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5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6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7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ng_research_ConnizzoLab\Users\smlawer\_Data\Dynamic Compression\"/>
    </mc:Choice>
  </mc:AlternateContent>
  <xr:revisionPtr revIDLastSave="0" documentId="13_ncr:1_{C13BFFF1-3D5D-4FF9-B5A6-1EAD41AAD2F5}" xr6:coauthVersionLast="47" xr6:coauthVersionMax="47" xr10:uidLastSave="{00000000-0000-0000-0000-000000000000}"/>
  <bookViews>
    <workbookView xWindow="0" yWindow="360" windowWidth="29040" windowHeight="15720" tabRatio="863" firstSheet="19" activeTab="25" xr2:uid="{9CC0DC4F-497D-4C8B-AEAA-DB11279F38D9}"/>
  </bookViews>
  <sheets>
    <sheet name="Table of Contents" sheetId="1" r:id="rId1"/>
    <sheet name="Experiment List" sheetId="2" r:id="rId2"/>
    <sheet name="Data Summary" sheetId="3" r:id="rId3"/>
    <sheet name="Statistics" sheetId="4" r:id="rId4"/>
    <sheet name="Biochem Summary" sheetId="8" r:id="rId5"/>
    <sheet name="Chronological Biochem" sheetId="15" r:id="rId6"/>
    <sheet name="Sheet3" sheetId="16" r:id="rId7"/>
    <sheet name="Alamar Blue (Raw)" sheetId="6" r:id="rId8"/>
    <sheet name="Alamar Blue (Analysis)" sheetId="7" r:id="rId9"/>
    <sheet name="PicoGreen" sheetId="10" r:id="rId10"/>
    <sheet name="DMMB" sheetId="11" r:id="rId11"/>
    <sheet name="OHP" sheetId="13" r:id="rId12"/>
    <sheet name="Weights" sheetId="9" r:id="rId13"/>
    <sheet name="Rx" sheetId="12" r:id="rId14"/>
    <sheet name="MMP Activity" sheetId="17" r:id="rId15"/>
    <sheet name="H&amp;E" sheetId="27" r:id="rId16"/>
    <sheet name="Tol Blue" sheetId="28" r:id="rId17"/>
    <sheet name="SHG - ctfire" sheetId="21" r:id="rId18"/>
    <sheet name="SHG2 - NW" sheetId="22" r:id="rId19"/>
    <sheet name="SHG3" sheetId="24" r:id="rId20"/>
    <sheet name="SHG2 - W" sheetId="25" r:id="rId21"/>
    <sheet name="SHG-Summary" sheetId="26" r:id="rId22"/>
    <sheet name="Bioreactor Loading" sheetId="14" r:id="rId23"/>
    <sheet name="Gene Expression" sheetId="18" r:id="rId24"/>
    <sheet name="PCR Plates" sheetId="19" r:id="rId25"/>
    <sheet name="PCR Results" sheetId="20" r:id="rId26"/>
    <sheet name="MSD_Inflammatory" sheetId="29" r:id="rId27"/>
    <sheet name="MSD_In Data" sheetId="30" r:id="rId28"/>
    <sheet name="MSD_MMP" sheetId="31" r:id="rId29"/>
    <sheet name="MSD_MMP_Data" sheetId="32" r:id="rId30"/>
    <sheet name="MSD_MMP_Data-SIGNAL" sheetId="34" r:id="rId31"/>
    <sheet name="Sheet6" sheetId="33" r:id="rId32"/>
  </sheets>
  <externalReferences>
    <externalReference r:id="rId33"/>
    <externalReference r:id="rId3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30" l="1" a="1"/>
  <c r="J26" i="30" s="1"/>
  <c r="J27" i="30" a="1"/>
  <c r="J27" i="30" s="1"/>
  <c r="J28" i="30" a="1"/>
  <c r="J28" i="30" s="1"/>
  <c r="J29" i="30" a="1"/>
  <c r="J29" i="30" s="1"/>
  <c r="L29" i="30" a="1"/>
  <c r="L29" i="30" s="1"/>
  <c r="L28" i="30" a="1"/>
  <c r="L28" i="30" s="1"/>
  <c r="L27" i="30" a="1"/>
  <c r="L27" i="30" s="1"/>
  <c r="M26" i="30" a="1"/>
  <c r="M26" i="30" s="1"/>
  <c r="M27" i="30" a="1"/>
  <c r="M27" i="30" s="1"/>
  <c r="M29" i="30" a="1"/>
  <c r="M29" i="30" s="1"/>
  <c r="E37" i="4"/>
  <c r="F8" i="32" a="1"/>
  <c r="F8" i="32" s="1"/>
  <c r="F3" i="32" a="1"/>
  <c r="F3" i="32" s="1"/>
  <c r="F4" i="32" a="1"/>
  <c r="F4" i="32" s="1"/>
  <c r="F5" i="32" a="1"/>
  <c r="F5" i="32" s="1"/>
  <c r="F6" i="32" a="1"/>
  <c r="F6" i="32" s="1"/>
  <c r="F7" i="32" a="1"/>
  <c r="F7" i="32" s="1"/>
  <c r="F9" i="32" a="1"/>
  <c r="F9" i="32" s="1"/>
  <c r="F10" i="32" a="1"/>
  <c r="F10" i="32" s="1"/>
  <c r="F11" i="32" a="1"/>
  <c r="F11" i="32" s="1"/>
  <c r="F12" i="32" a="1"/>
  <c r="F12" i="32" s="1"/>
  <c r="F13" i="32" a="1"/>
  <c r="F13" i="32" s="1"/>
  <c r="F14" i="32" a="1"/>
  <c r="F14" i="32" s="1"/>
  <c r="F15" i="32" a="1"/>
  <c r="F15" i="32" s="1"/>
  <c r="F16" i="32" a="1"/>
  <c r="F16" i="32" s="1"/>
  <c r="F17" i="32" a="1"/>
  <c r="F17" i="32" s="1"/>
  <c r="F18" i="32" a="1"/>
  <c r="F18" i="32" s="1"/>
  <c r="F19" i="32" a="1"/>
  <c r="F19" i="32" s="1"/>
  <c r="F20" i="32" a="1"/>
  <c r="F20" i="32" s="1"/>
  <c r="F21" i="32" a="1"/>
  <c r="F21" i="32" s="1"/>
  <c r="F22" i="32" a="1"/>
  <c r="F22" i="32" s="1"/>
  <c r="F23" i="32" a="1"/>
  <c r="F23" i="32" s="1"/>
  <c r="F24" i="32" a="1"/>
  <c r="F24" i="32" s="1"/>
  <c r="F25" i="32" a="1"/>
  <c r="F25" i="32" s="1"/>
  <c r="F26" i="32" a="1"/>
  <c r="F26" i="32" s="1"/>
  <c r="F27" i="32" a="1"/>
  <c r="F27" i="32" s="1"/>
  <c r="F28" i="32" a="1"/>
  <c r="F28" i="32" s="1"/>
  <c r="F29" i="32" a="1"/>
  <c r="F29" i="32" s="1"/>
  <c r="F31" i="34"/>
  <c r="F30" i="34"/>
  <c r="G31" i="34"/>
  <c r="G30" i="34"/>
  <c r="E31" i="34"/>
  <c r="E30" i="34"/>
  <c r="F2" i="34" a="1"/>
  <c r="F2" i="34" s="1"/>
  <c r="G2" i="34" a="1"/>
  <c r="G2" i="34" s="1"/>
  <c r="F3" i="34" a="1"/>
  <c r="F3" i="34" s="1"/>
  <c r="G3" i="34" a="1"/>
  <c r="G3" i="34" s="1"/>
  <c r="F4" i="34" a="1"/>
  <c r="F4" i="34" s="1"/>
  <c r="G4" i="34" a="1"/>
  <c r="G4" i="34" s="1"/>
  <c r="F5" i="34" a="1"/>
  <c r="F5" i="34" s="1"/>
  <c r="G5" i="34" a="1"/>
  <c r="G5" i="34" s="1"/>
  <c r="F6" i="34" a="1"/>
  <c r="F6" i="34" s="1"/>
  <c r="G6" i="34" a="1"/>
  <c r="G6" i="34" s="1"/>
  <c r="F7" i="34" a="1"/>
  <c r="F7" i="34" s="1"/>
  <c r="G7" i="34" a="1"/>
  <c r="G7" i="34" s="1"/>
  <c r="F8" i="34" a="1"/>
  <c r="F8" i="34" s="1"/>
  <c r="G8" i="34" a="1"/>
  <c r="G8" i="34" s="1"/>
  <c r="F9" i="34" a="1"/>
  <c r="F9" i="34" s="1"/>
  <c r="G9" i="34" a="1"/>
  <c r="G9" i="34" s="1"/>
  <c r="F10" i="34" a="1"/>
  <c r="F10" i="34" s="1"/>
  <c r="G10" i="34" a="1"/>
  <c r="G10" i="34" s="1"/>
  <c r="F11" i="34" a="1"/>
  <c r="F11" i="34" s="1"/>
  <c r="G11" i="34" a="1"/>
  <c r="G11" i="34" s="1"/>
  <c r="F12" i="34" a="1"/>
  <c r="F12" i="34" s="1"/>
  <c r="G12" i="34" a="1"/>
  <c r="G12" i="34" s="1"/>
  <c r="F13" i="34" a="1"/>
  <c r="F13" i="34" s="1"/>
  <c r="G13" i="34" a="1"/>
  <c r="G13" i="34" s="1"/>
  <c r="F14" i="34" a="1"/>
  <c r="F14" i="34" s="1"/>
  <c r="G14" i="34" a="1"/>
  <c r="G14" i="34" s="1"/>
  <c r="F15" i="34" a="1"/>
  <c r="F15" i="34" s="1"/>
  <c r="G15" i="34" a="1"/>
  <c r="G15" i="34" s="1"/>
  <c r="F16" i="34" a="1"/>
  <c r="F16" i="34" s="1"/>
  <c r="G16" i="34" a="1"/>
  <c r="G16" i="34" s="1"/>
  <c r="F17" i="34" a="1"/>
  <c r="F17" i="34" s="1"/>
  <c r="G17" i="34" a="1"/>
  <c r="G17" i="34" s="1"/>
  <c r="Q7" i="34" s="1"/>
  <c r="F18" i="34" a="1"/>
  <c r="F18" i="34" s="1"/>
  <c r="G18" i="34" a="1"/>
  <c r="G18" i="34" s="1"/>
  <c r="F19" i="34" a="1"/>
  <c r="F19" i="34" s="1"/>
  <c r="G19" i="34" a="1"/>
  <c r="G19" i="34" s="1"/>
  <c r="F20" i="34" a="1"/>
  <c r="F20" i="34" s="1"/>
  <c r="G20" i="34" a="1"/>
  <c r="G20" i="34" s="1"/>
  <c r="F21" i="34" a="1"/>
  <c r="F21" i="34" s="1"/>
  <c r="G21" i="34" a="1"/>
  <c r="G21" i="34" s="1"/>
  <c r="F22" i="34" a="1"/>
  <c r="F22" i="34" s="1"/>
  <c r="G22" i="34" a="1"/>
  <c r="G22" i="34" s="1"/>
  <c r="F23" i="34" a="1"/>
  <c r="F23" i="34" s="1"/>
  <c r="G23" i="34" a="1"/>
  <c r="G23" i="34" s="1"/>
  <c r="F24" i="34" a="1"/>
  <c r="F24" i="34" s="1"/>
  <c r="G24" i="34" a="1"/>
  <c r="G24" i="34" s="1"/>
  <c r="F25" i="34" a="1"/>
  <c r="F25" i="34" s="1"/>
  <c r="G25" i="34" a="1"/>
  <c r="G25" i="34" s="1"/>
  <c r="F26" i="34" a="1"/>
  <c r="F26" i="34" s="1"/>
  <c r="G26" i="34" a="1"/>
  <c r="G26" i="34" s="1"/>
  <c r="F27" i="34" a="1"/>
  <c r="F27" i="34" s="1"/>
  <c r="G27" i="34" a="1"/>
  <c r="G27" i="34" s="1"/>
  <c r="F28" i="34" a="1"/>
  <c r="F28" i="34" s="1"/>
  <c r="G28" i="34" a="1"/>
  <c r="G28" i="34" s="1"/>
  <c r="F29" i="34" a="1"/>
  <c r="F29" i="34" s="1"/>
  <c r="G29" i="34" a="1"/>
  <c r="G29" i="34" s="1"/>
  <c r="E3" i="34" a="1"/>
  <c r="E3" i="34" s="1"/>
  <c r="E4" i="34" a="1"/>
  <c r="E4" i="34" s="1"/>
  <c r="E5" i="34" a="1"/>
  <c r="E5" i="34" s="1"/>
  <c r="E6" i="34" a="1"/>
  <c r="E6" i="34" s="1"/>
  <c r="E7" i="34" a="1"/>
  <c r="E7" i="34" s="1"/>
  <c r="E8" i="34" a="1"/>
  <c r="E8" i="34" s="1"/>
  <c r="E9" i="34" a="1"/>
  <c r="E9" i="34" s="1"/>
  <c r="E10" i="34" a="1"/>
  <c r="E10" i="34" s="1"/>
  <c r="E11" i="34" a="1"/>
  <c r="E11" i="34" s="1"/>
  <c r="E12" i="34" a="1"/>
  <c r="E12" i="34" s="1"/>
  <c r="E13" i="34" a="1"/>
  <c r="E13" i="34" s="1"/>
  <c r="E14" i="34" a="1"/>
  <c r="E14" i="34" s="1"/>
  <c r="E15" i="34" a="1"/>
  <c r="E15" i="34" s="1"/>
  <c r="E16" i="34" a="1"/>
  <c r="E16" i="34" s="1"/>
  <c r="E17" i="34" a="1"/>
  <c r="E17" i="34" s="1"/>
  <c r="E18" i="34" a="1"/>
  <c r="E18" i="34" s="1"/>
  <c r="E19" i="34" a="1"/>
  <c r="E19" i="34" s="1"/>
  <c r="E20" i="34" a="1"/>
  <c r="E20" i="34" s="1"/>
  <c r="E21" i="34" a="1"/>
  <c r="E21" i="34" s="1"/>
  <c r="E22" i="34" a="1"/>
  <c r="E22" i="34" s="1"/>
  <c r="E23" i="34" a="1"/>
  <c r="E23" i="34" s="1"/>
  <c r="E24" i="34" a="1"/>
  <c r="E24" i="34" s="1"/>
  <c r="E25" i="34" a="1"/>
  <c r="E25" i="34" s="1"/>
  <c r="E26" i="34" a="1"/>
  <c r="E26" i="34" s="1"/>
  <c r="E27" i="34" a="1"/>
  <c r="E27" i="34" s="1"/>
  <c r="E28" i="34" a="1"/>
  <c r="E28" i="34" s="1"/>
  <c r="E29" i="34" a="1"/>
  <c r="E29" i="34" s="1"/>
  <c r="E2" i="34" a="1"/>
  <c r="E2" i="34" s="1"/>
  <c r="W19" i="34"/>
  <c r="V19" i="34"/>
  <c r="U19" i="34"/>
  <c r="E3" i="32" a="1"/>
  <c r="E3" i="32" s="1"/>
  <c r="E4" i="32" a="1"/>
  <c r="E4" i="32" s="1"/>
  <c r="E5" i="32" a="1"/>
  <c r="E5" i="32" s="1"/>
  <c r="E6" i="32" a="1"/>
  <c r="E6" i="32" s="1"/>
  <c r="E7" i="32" a="1"/>
  <c r="E7" i="32" s="1"/>
  <c r="E8" i="32" a="1"/>
  <c r="E8" i="32" s="1"/>
  <c r="E9" i="32" a="1"/>
  <c r="E9" i="32" s="1"/>
  <c r="E10" i="32" a="1"/>
  <c r="E10" i="32" s="1"/>
  <c r="E11" i="32" a="1"/>
  <c r="E11" i="32" s="1"/>
  <c r="E12" i="32" a="1"/>
  <c r="E12" i="32" s="1"/>
  <c r="E13" i="32" a="1"/>
  <c r="E13" i="32" s="1"/>
  <c r="E14" i="32" a="1"/>
  <c r="E14" i="32" s="1"/>
  <c r="E15" i="32" a="1"/>
  <c r="E15" i="32" s="1"/>
  <c r="E16" i="32" a="1"/>
  <c r="E16" i="32" s="1"/>
  <c r="E17" i="32" a="1"/>
  <c r="E17" i="32" s="1"/>
  <c r="E18" i="32" a="1"/>
  <c r="E18" i="32" s="1"/>
  <c r="E19" i="32" a="1"/>
  <c r="E19" i="32" s="1"/>
  <c r="E20" i="32" a="1"/>
  <c r="E20" i="32" s="1"/>
  <c r="E22" i="32" a="1"/>
  <c r="E22" i="32" s="1"/>
  <c r="E23" i="32" a="1"/>
  <c r="E23" i="32" s="1"/>
  <c r="E24" i="32" a="1"/>
  <c r="E24" i="32" s="1"/>
  <c r="E25" i="32" a="1"/>
  <c r="E25" i="32" s="1"/>
  <c r="E26" i="32" a="1"/>
  <c r="E26" i="32" s="1"/>
  <c r="E27" i="32" a="1"/>
  <c r="E27" i="32" s="1"/>
  <c r="E28" i="32" a="1"/>
  <c r="E28" i="32" s="1"/>
  <c r="E29" i="32" a="1"/>
  <c r="E29" i="32" s="1"/>
  <c r="E2" i="32" a="1"/>
  <c r="E2" i="32" s="1"/>
  <c r="F2" i="32" a="1"/>
  <c r="F2" i="32" s="1"/>
  <c r="G2" i="32" a="1"/>
  <c r="G2" i="32" s="1"/>
  <c r="M14" i="32" s="1"/>
  <c r="G3" i="32" a="1"/>
  <c r="G3" i="32" s="1"/>
  <c r="G4" i="32" a="1"/>
  <c r="G4" i="32" s="1"/>
  <c r="G5" i="32" a="1"/>
  <c r="G5" i="32" s="1"/>
  <c r="G6" i="32" a="1"/>
  <c r="G6" i="32" s="1"/>
  <c r="G7" i="32" a="1"/>
  <c r="G7" i="32" s="1"/>
  <c r="G8" i="32" a="1"/>
  <c r="G8" i="32" s="1"/>
  <c r="G9" i="32" a="1"/>
  <c r="G9" i="32" s="1"/>
  <c r="G10" i="32" a="1"/>
  <c r="G10" i="32" s="1"/>
  <c r="G11" i="32" a="1"/>
  <c r="G11" i="32" s="1"/>
  <c r="G12" i="32" a="1"/>
  <c r="G12" i="32" s="1"/>
  <c r="G13" i="32" a="1"/>
  <c r="G13" i="32" s="1"/>
  <c r="G14" i="32" a="1"/>
  <c r="G14" i="32" s="1"/>
  <c r="G15" i="32" a="1"/>
  <c r="G15" i="32" s="1"/>
  <c r="G16" i="32" a="1"/>
  <c r="G16" i="32" s="1"/>
  <c r="G17" i="32" a="1"/>
  <c r="G17" i="32" s="1"/>
  <c r="G18" i="32" a="1"/>
  <c r="G18" i="32" s="1"/>
  <c r="G19" i="32" a="1"/>
  <c r="G19" i="32" s="1"/>
  <c r="G20" i="32" a="1"/>
  <c r="G20" i="32" s="1"/>
  <c r="G21" i="32" a="1"/>
  <c r="G21" i="32" s="1"/>
  <c r="G22" i="32" a="1"/>
  <c r="G22" i="32" s="1"/>
  <c r="G23" i="32" a="1"/>
  <c r="G23" i="32" s="1"/>
  <c r="G24" i="32" a="1"/>
  <c r="G24" i="32" s="1"/>
  <c r="G25" i="32" a="1"/>
  <c r="G25" i="32" s="1"/>
  <c r="G26" i="32" a="1"/>
  <c r="G26" i="32" s="1"/>
  <c r="G27" i="32" a="1"/>
  <c r="G27" i="32" s="1"/>
  <c r="G28" i="32" a="1"/>
  <c r="G28" i="32" s="1"/>
  <c r="G29" i="32" a="1"/>
  <c r="G29" i="32" s="1"/>
  <c r="I7" i="33"/>
  <c r="J7" i="33"/>
  <c r="I8" i="33"/>
  <c r="J8" i="33"/>
  <c r="I9" i="33"/>
  <c r="J9" i="33"/>
  <c r="I10" i="33"/>
  <c r="J10" i="33"/>
  <c r="H7" i="33"/>
  <c r="N22" i="33" s="1"/>
  <c r="H8" i="33"/>
  <c r="H9" i="33"/>
  <c r="H10" i="33"/>
  <c r="P20" i="33"/>
  <c r="O20" i="33"/>
  <c r="O19" i="33"/>
  <c r="P18" i="33"/>
  <c r="O18" i="33"/>
  <c r="O17" i="33"/>
  <c r="V9" i="33"/>
  <c r="U9" i="33"/>
  <c r="T9" i="33"/>
  <c r="S9" i="33"/>
  <c r="R9" i="33"/>
  <c r="Q9" i="33"/>
  <c r="V8" i="33"/>
  <c r="U8" i="33"/>
  <c r="T8" i="33"/>
  <c r="S8" i="33"/>
  <c r="R8" i="33"/>
  <c r="Q8" i="33"/>
  <c r="S7" i="33"/>
  <c r="R7" i="33"/>
  <c r="Q7" i="33"/>
  <c r="U6" i="33"/>
  <c r="O6" i="33"/>
  <c r="J2" i="33"/>
  <c r="I3" i="33"/>
  <c r="J3" i="33"/>
  <c r="I4" i="33"/>
  <c r="J4" i="33"/>
  <c r="J5" i="33"/>
  <c r="I11" i="33"/>
  <c r="J11" i="33"/>
  <c r="I12" i="33"/>
  <c r="J12" i="33"/>
  <c r="I13" i="33"/>
  <c r="J13" i="33"/>
  <c r="I14" i="33"/>
  <c r="J14" i="33"/>
  <c r="I15" i="33"/>
  <c r="J15" i="33"/>
  <c r="I16" i="33"/>
  <c r="J16" i="33"/>
  <c r="J17" i="33"/>
  <c r="P17" i="33" s="1"/>
  <c r="I18" i="33"/>
  <c r="J18" i="33"/>
  <c r="I19" i="33"/>
  <c r="J19" i="33"/>
  <c r="I20" i="33"/>
  <c r="J20" i="33"/>
  <c r="J21" i="33"/>
  <c r="J22" i="33"/>
  <c r="I23" i="33"/>
  <c r="J23" i="33"/>
  <c r="I24" i="33"/>
  <c r="J24" i="33"/>
  <c r="I25" i="33"/>
  <c r="J25" i="33"/>
  <c r="I26" i="33"/>
  <c r="J26" i="33"/>
  <c r="I27" i="33"/>
  <c r="J27" i="33"/>
  <c r="I28" i="33"/>
  <c r="J28" i="33"/>
  <c r="I29" i="33"/>
  <c r="J29" i="33"/>
  <c r="H3" i="33"/>
  <c r="H4" i="33"/>
  <c r="H5" i="33"/>
  <c r="H11" i="33"/>
  <c r="N6" i="33" s="1"/>
  <c r="H12" i="33"/>
  <c r="H13" i="33"/>
  <c r="H14" i="33"/>
  <c r="H15" i="33"/>
  <c r="H16" i="33"/>
  <c r="H17" i="33"/>
  <c r="H18" i="33"/>
  <c r="H19" i="33"/>
  <c r="H20" i="33"/>
  <c r="H21" i="33"/>
  <c r="H22" i="33"/>
  <c r="N8" i="33" s="1"/>
  <c r="H23" i="33"/>
  <c r="H24" i="33"/>
  <c r="H25" i="33"/>
  <c r="H26" i="33"/>
  <c r="H27" i="33"/>
  <c r="H2" i="33"/>
  <c r="GD47" i="10"/>
  <c r="GD48" i="10"/>
  <c r="GD49" i="10"/>
  <c r="GD46" i="10"/>
  <c r="GC37" i="10"/>
  <c r="GD37" i="10"/>
  <c r="GE37" i="10"/>
  <c r="GC38" i="10"/>
  <c r="GD38" i="10"/>
  <c r="GE38" i="10"/>
  <c r="GC39" i="10"/>
  <c r="GD39" i="10"/>
  <c r="GE39" i="10"/>
  <c r="GC40" i="10"/>
  <c r="GD40" i="10"/>
  <c r="GE40" i="10"/>
  <c r="GC41" i="10"/>
  <c r="GC42" i="10"/>
  <c r="GB38" i="10"/>
  <c r="GB39" i="10"/>
  <c r="GB40" i="10"/>
  <c r="GB41" i="10"/>
  <c r="GB42" i="10"/>
  <c r="GB37" i="10"/>
  <c r="GC13" i="10"/>
  <c r="GD13" i="10"/>
  <c r="GE13" i="10"/>
  <c r="GF13" i="10"/>
  <c r="GG13" i="10"/>
  <c r="GH13" i="10"/>
  <c r="GI13" i="10"/>
  <c r="GJ13" i="10"/>
  <c r="GK13" i="10"/>
  <c r="GL13" i="10"/>
  <c r="GM13" i="10"/>
  <c r="GC14" i="10"/>
  <c r="GD14" i="10"/>
  <c r="GE14" i="10"/>
  <c r="GF14" i="10"/>
  <c r="GG14" i="10"/>
  <c r="GH14" i="10"/>
  <c r="GI14" i="10"/>
  <c r="GJ14" i="10"/>
  <c r="GK14" i="10"/>
  <c r="GL14" i="10"/>
  <c r="GM14" i="10"/>
  <c r="GC15" i="10"/>
  <c r="GD15" i="10"/>
  <c r="GE15" i="10"/>
  <c r="GF15" i="10"/>
  <c r="GG15" i="10"/>
  <c r="GH15" i="10"/>
  <c r="GI15" i="10"/>
  <c r="GJ15" i="10"/>
  <c r="GK15" i="10"/>
  <c r="GL15" i="10"/>
  <c r="GM15" i="10"/>
  <c r="GC16" i="10"/>
  <c r="GD16" i="10"/>
  <c r="GE16" i="10"/>
  <c r="GF16" i="10"/>
  <c r="GG16" i="10"/>
  <c r="GH16" i="10"/>
  <c r="GI16" i="10"/>
  <c r="GJ16" i="10"/>
  <c r="GK16" i="10"/>
  <c r="GL16" i="10"/>
  <c r="GM16" i="10"/>
  <c r="GC17" i="10"/>
  <c r="GD17" i="10"/>
  <c r="GE17" i="10"/>
  <c r="GF17" i="10"/>
  <c r="GG17" i="10"/>
  <c r="GH17" i="10"/>
  <c r="GI17" i="10"/>
  <c r="GJ17" i="10"/>
  <c r="GK17" i="10"/>
  <c r="GL17" i="10"/>
  <c r="GM17" i="10"/>
  <c r="GC18" i="10"/>
  <c r="GD18" i="10"/>
  <c r="GE18" i="10"/>
  <c r="GF18" i="10"/>
  <c r="GG18" i="10"/>
  <c r="GH18" i="10"/>
  <c r="GI18" i="10"/>
  <c r="GJ18" i="10"/>
  <c r="GK18" i="10"/>
  <c r="GL18" i="10"/>
  <c r="GM18" i="10"/>
  <c r="GC19" i="10"/>
  <c r="GD19" i="10"/>
  <c r="GE19" i="10"/>
  <c r="GF19" i="10"/>
  <c r="GG19" i="10"/>
  <c r="GH19" i="10"/>
  <c r="GI19" i="10"/>
  <c r="GJ19" i="10"/>
  <c r="GK19" i="10"/>
  <c r="GL19" i="10"/>
  <c r="GM19" i="10"/>
  <c r="GC20" i="10"/>
  <c r="GD20" i="10"/>
  <c r="GE20" i="10"/>
  <c r="GF20" i="10"/>
  <c r="GG20" i="10"/>
  <c r="GH20" i="10"/>
  <c r="GI20" i="10"/>
  <c r="GJ20" i="10"/>
  <c r="GK20" i="10"/>
  <c r="GL20" i="10"/>
  <c r="GM20" i="10"/>
  <c r="GB14" i="10"/>
  <c r="GB15" i="10"/>
  <c r="GB16" i="10"/>
  <c r="GB17" i="10"/>
  <c r="GB18" i="10"/>
  <c r="GB19" i="10"/>
  <c r="GB20" i="10"/>
  <c r="GB13" i="10"/>
  <c r="GG11" i="10"/>
  <c r="V19" i="32"/>
  <c r="W19" i="32"/>
  <c r="U19" i="32"/>
  <c r="M22" i="34" l="1"/>
  <c r="S5" i="34"/>
  <c r="Q5" i="34"/>
  <c r="R5" i="34"/>
  <c r="R4" i="34"/>
  <c r="M16" i="34"/>
  <c r="M21" i="34"/>
  <c r="Q4" i="34"/>
  <c r="S4" i="34"/>
  <c r="R7" i="34"/>
  <c r="J38" i="34" s="1"/>
  <c r="S7" i="34"/>
  <c r="K20" i="34"/>
  <c r="K9" i="34"/>
  <c r="K18" i="34"/>
  <c r="K17" i="34"/>
  <c r="M9" i="34"/>
  <c r="L9" i="34"/>
  <c r="L18" i="34"/>
  <c r="P9" i="34"/>
  <c r="O9" i="34"/>
  <c r="L17" i="34"/>
  <c r="N9" i="34"/>
  <c r="L20" i="34"/>
  <c r="P8" i="34"/>
  <c r="K19" i="34"/>
  <c r="M18" i="34"/>
  <c r="S9" i="34"/>
  <c r="R9" i="34"/>
  <c r="Q9" i="34"/>
  <c r="M20" i="34"/>
  <c r="R8" i="34"/>
  <c r="K15" i="34"/>
  <c r="M6" i="34"/>
  <c r="L6" i="34"/>
  <c r="K6" i="34"/>
  <c r="P6" i="34"/>
  <c r="O6" i="34"/>
  <c r="N6" i="34"/>
  <c r="L15" i="34"/>
  <c r="M8" i="34"/>
  <c r="K8" i="34"/>
  <c r="K16" i="34"/>
  <c r="K21" i="34"/>
  <c r="K14" i="34"/>
  <c r="M4" i="34"/>
  <c r="L4" i="34"/>
  <c r="K4" i="34"/>
  <c r="K22" i="34"/>
  <c r="M5" i="34"/>
  <c r="L5" i="34"/>
  <c r="K5" i="34"/>
  <c r="Q6" i="34"/>
  <c r="R6" i="34"/>
  <c r="M14" i="34"/>
  <c r="S6" i="34"/>
  <c r="M15" i="34"/>
  <c r="O8" i="34"/>
  <c r="O4" i="34"/>
  <c r="L16" i="34"/>
  <c r="P4" i="34"/>
  <c r="L21" i="34"/>
  <c r="L14" i="34"/>
  <c r="N4" i="34"/>
  <c r="P5" i="34"/>
  <c r="O5" i="34"/>
  <c r="N5" i="34"/>
  <c r="L22" i="34"/>
  <c r="S8" i="34"/>
  <c r="Q8" i="34"/>
  <c r="M7" i="34"/>
  <c r="L7" i="34"/>
  <c r="K7" i="34"/>
  <c r="P7" i="34"/>
  <c r="O7" i="34"/>
  <c r="L19" i="34"/>
  <c r="N7" i="34"/>
  <c r="L8" i="34"/>
  <c r="N8" i="34"/>
  <c r="M17" i="34"/>
  <c r="M19" i="34"/>
  <c r="N14" i="33"/>
  <c r="V4" i="33"/>
  <c r="P22" i="33"/>
  <c r="Q5" i="33"/>
  <c r="P16" i="33"/>
  <c r="O5" i="33"/>
  <c r="V6" i="33"/>
  <c r="P14" i="33"/>
  <c r="U7" i="33"/>
  <c r="N16" i="33"/>
  <c r="P7" i="33"/>
  <c r="S6" i="33"/>
  <c r="O14" i="33"/>
  <c r="O15" i="33"/>
  <c r="P9" i="33"/>
  <c r="T4" i="33"/>
  <c r="O8" i="33"/>
  <c r="O22" i="33"/>
  <c r="P8" i="33"/>
  <c r="P6" i="33"/>
  <c r="R6" i="33"/>
  <c r="O9" i="33"/>
  <c r="N18" i="33"/>
  <c r="U4" i="33"/>
  <c r="N5" i="33"/>
  <c r="Q6" i="33"/>
  <c r="T7" i="33"/>
  <c r="N9" i="33"/>
  <c r="N15" i="33"/>
  <c r="N19" i="33"/>
  <c r="P5" i="33"/>
  <c r="V7" i="33"/>
  <c r="P15" i="33"/>
  <c r="P19" i="33"/>
  <c r="N4" i="33"/>
  <c r="T6" i="33"/>
  <c r="N20" i="33"/>
  <c r="O16" i="33"/>
  <c r="Q4" i="33"/>
  <c r="T5" i="33"/>
  <c r="N7" i="33"/>
  <c r="N17" i="33"/>
  <c r="N21" i="33"/>
  <c r="R5" i="33"/>
  <c r="S5" i="33"/>
  <c r="R4" i="33"/>
  <c r="U5" i="33"/>
  <c r="O7" i="33"/>
  <c r="O21" i="33"/>
  <c r="O4" i="33"/>
  <c r="P4" i="33"/>
  <c r="S4" i="33"/>
  <c r="V5" i="33"/>
  <c r="P21" i="33"/>
  <c r="GA25" i="10"/>
  <c r="GA27" i="10"/>
  <c r="GA28" i="10"/>
  <c r="GA24" i="10"/>
  <c r="GA26" i="10"/>
  <c r="I38" i="34" l="1"/>
  <c r="F40" i="34"/>
  <c r="E40" i="34"/>
  <c r="H35" i="34"/>
  <c r="G35" i="34"/>
  <c r="H39" i="34"/>
  <c r="G39" i="34"/>
  <c r="F35" i="34"/>
  <c r="E35" i="34"/>
  <c r="F39" i="34"/>
  <c r="E39" i="34"/>
  <c r="F38" i="34"/>
  <c r="E38" i="34"/>
  <c r="J35" i="34"/>
  <c r="I35" i="34"/>
  <c r="H38" i="34"/>
  <c r="G38" i="34"/>
  <c r="H37" i="34"/>
  <c r="G37" i="34"/>
  <c r="H40" i="34"/>
  <c r="G40" i="34"/>
  <c r="J39" i="34"/>
  <c r="I39" i="34"/>
  <c r="J37" i="34"/>
  <c r="I37" i="34"/>
  <c r="J40" i="34"/>
  <c r="I40" i="34"/>
  <c r="F36" i="34"/>
  <c r="E36" i="34"/>
  <c r="F37" i="34"/>
  <c r="E37" i="34"/>
  <c r="J36" i="34"/>
  <c r="I36" i="34"/>
  <c r="H36" i="34"/>
  <c r="G36" i="34"/>
  <c r="K4" i="32"/>
  <c r="M20" i="32" l="1"/>
  <c r="M15" i="32"/>
  <c r="N5" i="32"/>
  <c r="M17" i="32"/>
  <c r="N8" i="32"/>
  <c r="M21" i="32"/>
  <c r="L21" i="32"/>
  <c r="N6" i="32"/>
  <c r="L19" i="32"/>
  <c r="M16" i="32"/>
  <c r="L8" i="32"/>
  <c r="L16" i="32"/>
  <c r="M5" i="32"/>
  <c r="L17" i="32"/>
  <c r="L15" i="32"/>
  <c r="M7" i="32"/>
  <c r="M18" i="32"/>
  <c r="L14" i="32"/>
  <c r="L22" i="32"/>
  <c r="N4" i="32"/>
  <c r="M6" i="32"/>
  <c r="N7" i="32"/>
  <c r="M22" i="32"/>
  <c r="M19" i="32"/>
  <c r="K5" i="32"/>
  <c r="L5" i="32"/>
  <c r="L4" i="32"/>
  <c r="E35" i="32" s="1"/>
  <c r="K20" i="32"/>
  <c r="L6" i="32"/>
  <c r="K22" i="32"/>
  <c r="L9" i="32"/>
  <c r="K15" i="32"/>
  <c r="M4" i="32"/>
  <c r="L7" i="32"/>
  <c r="K6" i="32"/>
  <c r="K7" i="32"/>
  <c r="K8" i="32"/>
  <c r="M8" i="32"/>
  <c r="K9" i="32"/>
  <c r="M9" i="32"/>
  <c r="K14" i="32"/>
  <c r="K16" i="32"/>
  <c r="L20" i="32"/>
  <c r="K17" i="32"/>
  <c r="K18" i="32"/>
  <c r="K19" i="32"/>
  <c r="L18" i="32"/>
  <c r="K21" i="32"/>
  <c r="S9" i="32"/>
  <c r="R9" i="32"/>
  <c r="Q9" i="32"/>
  <c r="P8" i="32"/>
  <c r="O8" i="32"/>
  <c r="S8" i="32"/>
  <c r="R8" i="32"/>
  <c r="Q8" i="32"/>
  <c r="S6" i="32"/>
  <c r="R6" i="32"/>
  <c r="Q6" i="32"/>
  <c r="P6" i="32"/>
  <c r="O6" i="32"/>
  <c r="P9" i="32"/>
  <c r="O9" i="32"/>
  <c r="N9" i="32"/>
  <c r="P5" i="32"/>
  <c r="O5" i="32"/>
  <c r="S5" i="32"/>
  <c r="Q5" i="32"/>
  <c r="R5" i="32"/>
  <c r="P4" i="32"/>
  <c r="O4" i="32"/>
  <c r="P7" i="32"/>
  <c r="O7" i="32"/>
  <c r="S4" i="32"/>
  <c r="R4" i="32"/>
  <c r="Q4" i="32"/>
  <c r="S7" i="32"/>
  <c r="R7" i="32"/>
  <c r="Q7" i="32"/>
  <c r="F35" i="32" l="1"/>
  <c r="F39" i="32"/>
  <c r="E39" i="32"/>
  <c r="F36" i="32"/>
  <c r="E36" i="32"/>
  <c r="F38" i="32"/>
  <c r="E38" i="32"/>
  <c r="F37" i="32"/>
  <c r="E37" i="32"/>
  <c r="F40" i="32"/>
  <c r="E40" i="32"/>
  <c r="H40" i="32"/>
  <c r="G40" i="32"/>
  <c r="H39" i="32"/>
  <c r="G39" i="32"/>
  <c r="J36" i="32"/>
  <c r="I36" i="32"/>
  <c r="H38" i="32"/>
  <c r="G38" i="32"/>
  <c r="J38" i="32"/>
  <c r="I38" i="32"/>
  <c r="H36" i="32"/>
  <c r="G36" i="32"/>
  <c r="J40" i="32"/>
  <c r="I40" i="32"/>
  <c r="H35" i="32"/>
  <c r="G35" i="32"/>
  <c r="J37" i="32"/>
  <c r="I37" i="32"/>
  <c r="J39" i="32"/>
  <c r="I39" i="32"/>
  <c r="H37" i="32"/>
  <c r="G37" i="32"/>
  <c r="J35" i="32"/>
  <c r="I35" i="32"/>
  <c r="G36" i="30" l="1"/>
  <c r="H36" i="30"/>
  <c r="I36" i="30"/>
  <c r="J36" i="30"/>
  <c r="K36" i="30"/>
  <c r="L36" i="30"/>
  <c r="M36" i="30"/>
  <c r="N36" i="30"/>
  <c r="O36" i="30"/>
  <c r="P36" i="30"/>
  <c r="Q36" i="30"/>
  <c r="R36" i="30"/>
  <c r="S36" i="30"/>
  <c r="T36" i="30"/>
  <c r="G38" i="30"/>
  <c r="H38" i="30"/>
  <c r="I38" i="30"/>
  <c r="J38" i="30"/>
  <c r="K38" i="30"/>
  <c r="L38" i="30"/>
  <c r="M38" i="30"/>
  <c r="N38" i="30"/>
  <c r="O38" i="30"/>
  <c r="P38" i="30"/>
  <c r="Q38" i="30"/>
  <c r="R38" i="30"/>
  <c r="S38" i="30"/>
  <c r="T38" i="30"/>
  <c r="G39" i="30"/>
  <c r="H39" i="30"/>
  <c r="I39" i="30"/>
  <c r="J39" i="30"/>
  <c r="K39" i="30"/>
  <c r="L39" i="30"/>
  <c r="M39" i="30"/>
  <c r="N39" i="30"/>
  <c r="O39" i="30"/>
  <c r="P39" i="30"/>
  <c r="Q39" i="30"/>
  <c r="R39" i="30"/>
  <c r="S39" i="30"/>
  <c r="T39" i="30"/>
  <c r="G40" i="30"/>
  <c r="H40" i="30"/>
  <c r="I40" i="30"/>
  <c r="J40" i="30"/>
  <c r="K40" i="30"/>
  <c r="L40" i="30"/>
  <c r="O40" i="30"/>
  <c r="P40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E36" i="30"/>
  <c r="F36" i="30"/>
  <c r="E38" i="30"/>
  <c r="F38" i="30"/>
  <c r="E39" i="30"/>
  <c r="F39" i="30"/>
  <c r="E40" i="30"/>
  <c r="F40" i="30"/>
  <c r="F35" i="30"/>
  <c r="E35" i="30"/>
  <c r="F2" i="30" a="1"/>
  <c r="F2" i="30"/>
  <c r="G2" i="30" a="1"/>
  <c r="G2" i="30"/>
  <c r="H2" i="30" a="1"/>
  <c r="H2" i="30"/>
  <c r="I2" i="30" a="1"/>
  <c r="I2" i="30"/>
  <c r="J2" i="30" a="1"/>
  <c r="J2" i="30"/>
  <c r="K2" i="30" a="1"/>
  <c r="K2" i="30"/>
  <c r="L2" i="30" a="1"/>
  <c r="L2" i="30"/>
  <c r="M2" i="30" a="1"/>
  <c r="M2" i="30"/>
  <c r="F3" i="30" a="1"/>
  <c r="F3" i="30"/>
  <c r="G3" i="30" a="1"/>
  <c r="G3" i="30"/>
  <c r="H3" i="30" a="1"/>
  <c r="H3" i="30"/>
  <c r="I3" i="30" a="1"/>
  <c r="I3" i="30"/>
  <c r="J3" i="30" a="1"/>
  <c r="J3" i="30"/>
  <c r="K3" i="30" a="1"/>
  <c r="K3" i="30"/>
  <c r="L3" i="30" a="1"/>
  <c r="L3" i="30"/>
  <c r="M3" i="30" a="1"/>
  <c r="M3" i="30"/>
  <c r="F4" i="30" a="1"/>
  <c r="F4" i="30"/>
  <c r="G4" i="30" a="1"/>
  <c r="G4" i="30"/>
  <c r="H4" i="30" a="1"/>
  <c r="H4" i="30"/>
  <c r="I4" i="30" a="1"/>
  <c r="I4" i="30"/>
  <c r="J4" i="30" a="1"/>
  <c r="J4" i="30"/>
  <c r="K4" i="30" a="1"/>
  <c r="K4" i="30"/>
  <c r="L4" i="30" a="1"/>
  <c r="L4" i="30"/>
  <c r="M4" i="30" a="1"/>
  <c r="M4" i="30"/>
  <c r="F5" i="30" a="1"/>
  <c r="F5" i="30"/>
  <c r="G5" i="30" a="1"/>
  <c r="G5" i="30"/>
  <c r="H5" i="30" a="1"/>
  <c r="H5" i="30"/>
  <c r="I5" i="30" a="1"/>
  <c r="I5" i="30"/>
  <c r="J5" i="30" a="1"/>
  <c r="J5" i="30"/>
  <c r="K5" i="30" a="1"/>
  <c r="K5" i="30"/>
  <c r="L5" i="30" a="1"/>
  <c r="L5" i="30"/>
  <c r="M5" i="30" a="1"/>
  <c r="M5" i="30"/>
  <c r="F6" i="30" a="1"/>
  <c r="F6" i="30"/>
  <c r="G6" i="30" a="1"/>
  <c r="G6" i="30"/>
  <c r="H6" i="30" a="1"/>
  <c r="H6" i="30"/>
  <c r="I6" i="30" a="1"/>
  <c r="I6" i="30"/>
  <c r="J6" i="30" a="1"/>
  <c r="J6" i="30"/>
  <c r="K6" i="30" a="1"/>
  <c r="K6" i="30"/>
  <c r="L6" i="30" a="1"/>
  <c r="L6" i="30"/>
  <c r="M6" i="30" a="1"/>
  <c r="M6" i="30"/>
  <c r="F7" i="30" a="1"/>
  <c r="F7" i="30"/>
  <c r="G7" i="30" a="1"/>
  <c r="G7" i="30"/>
  <c r="H7" i="30" a="1"/>
  <c r="H7" i="30"/>
  <c r="I7" i="30" a="1"/>
  <c r="I7" i="30" s="1"/>
  <c r="J7" i="30" a="1"/>
  <c r="J7" i="30"/>
  <c r="K7" i="30" a="1"/>
  <c r="K7" i="30"/>
  <c r="L7" i="30" a="1"/>
  <c r="L7" i="30" s="1"/>
  <c r="M7" i="30" a="1"/>
  <c r="M7" i="30" s="1"/>
  <c r="F8" i="30" a="1"/>
  <c r="F8" i="30"/>
  <c r="G8" i="30" a="1"/>
  <c r="G8" i="30" s="1"/>
  <c r="H8" i="30" a="1"/>
  <c r="H8" i="30"/>
  <c r="I8" i="30" a="1"/>
  <c r="I8" i="30"/>
  <c r="J8" i="30" a="1"/>
  <c r="J8" i="30" s="1"/>
  <c r="K8" i="30" a="1"/>
  <c r="K8" i="30" s="1"/>
  <c r="L8" i="30" a="1"/>
  <c r="L8" i="30" s="1"/>
  <c r="M8" i="30" a="1"/>
  <c r="M8" i="30" s="1"/>
  <c r="F9" i="30" a="1"/>
  <c r="F9" i="30" s="1"/>
  <c r="G9" i="30" a="1"/>
  <c r="G9" i="30" s="1"/>
  <c r="H9" i="30" a="1"/>
  <c r="H9" i="30" s="1"/>
  <c r="I9" i="30" a="1"/>
  <c r="I9" i="30" s="1"/>
  <c r="J9" i="30" a="1"/>
  <c r="J9" i="30" s="1"/>
  <c r="K9" i="30" a="1"/>
  <c r="K9" i="30" s="1"/>
  <c r="L9" i="30" a="1"/>
  <c r="L9" i="30" s="1"/>
  <c r="M9" i="30" a="1"/>
  <c r="M9" i="30" s="1"/>
  <c r="F10" i="30" a="1"/>
  <c r="F10" i="30" s="1"/>
  <c r="G10" i="30" a="1"/>
  <c r="G10" i="30" s="1"/>
  <c r="H10" i="30" a="1"/>
  <c r="H10" i="30" s="1"/>
  <c r="I10" i="30" a="1"/>
  <c r="I10" i="30" s="1"/>
  <c r="J10" i="30" a="1"/>
  <c r="J10" i="30" s="1"/>
  <c r="K10" i="30" a="1"/>
  <c r="K10" i="30" s="1"/>
  <c r="L10" i="30" a="1"/>
  <c r="L10" i="30" s="1"/>
  <c r="M10" i="30" a="1"/>
  <c r="M10" i="30" s="1"/>
  <c r="F11" i="30" a="1"/>
  <c r="F11" i="30" s="1"/>
  <c r="G11" i="30" a="1"/>
  <c r="G11" i="30" s="1"/>
  <c r="H11" i="30" a="1"/>
  <c r="H11" i="30" s="1"/>
  <c r="I11" i="30" a="1"/>
  <c r="I11" i="30" s="1"/>
  <c r="J11" i="30" a="1"/>
  <c r="J11" i="30" s="1"/>
  <c r="K11" i="30" a="1"/>
  <c r="K11" i="30" s="1"/>
  <c r="L11" i="30" a="1"/>
  <c r="L11" i="30" s="1"/>
  <c r="M11" i="30" a="1"/>
  <c r="M11" i="30" s="1"/>
  <c r="F13" i="30" a="1"/>
  <c r="F13" i="30" s="1"/>
  <c r="G13" i="30" a="1"/>
  <c r="G13" i="30" s="1"/>
  <c r="H13" i="30" a="1"/>
  <c r="H13" i="30" s="1"/>
  <c r="I13" i="30" a="1"/>
  <c r="I13" i="30" s="1"/>
  <c r="J13" i="30" a="1"/>
  <c r="J13" i="30" s="1"/>
  <c r="K13" i="30" a="1"/>
  <c r="K13" i="30" s="1"/>
  <c r="L13" i="30" a="1"/>
  <c r="L13" i="30" s="1"/>
  <c r="M13" i="30" a="1"/>
  <c r="M13" i="30" s="1"/>
  <c r="F14" i="30" a="1"/>
  <c r="F14" i="30" s="1"/>
  <c r="G14" i="30" a="1"/>
  <c r="G14" i="30" s="1"/>
  <c r="H14" i="30" a="1"/>
  <c r="H14" i="30" s="1"/>
  <c r="I14" i="30" a="1"/>
  <c r="I14" i="30" s="1"/>
  <c r="J14" i="30" a="1"/>
  <c r="J14" i="30" s="1"/>
  <c r="K14" i="30" a="1"/>
  <c r="K14" i="30" s="1"/>
  <c r="L14" i="30" a="1"/>
  <c r="L14" i="30" s="1"/>
  <c r="M14" i="30" a="1"/>
  <c r="M14" i="30" s="1"/>
  <c r="F15" i="30" a="1"/>
  <c r="F15" i="30" s="1"/>
  <c r="G15" i="30" a="1"/>
  <c r="G15" i="30" s="1"/>
  <c r="H15" i="30" a="1"/>
  <c r="H15" i="30" s="1"/>
  <c r="I15" i="30" a="1"/>
  <c r="I15" i="30" s="1"/>
  <c r="J15" i="30" a="1"/>
  <c r="J15" i="30" s="1"/>
  <c r="K15" i="30" a="1"/>
  <c r="K15" i="30" s="1"/>
  <c r="L15" i="30" a="1"/>
  <c r="L15" i="30" s="1"/>
  <c r="M15" i="30" a="1"/>
  <c r="M15" i="30" s="1"/>
  <c r="F16" i="30" a="1"/>
  <c r="F16" i="30" s="1"/>
  <c r="G16" i="30" a="1"/>
  <c r="G16" i="30" s="1"/>
  <c r="H16" i="30" a="1"/>
  <c r="H16" i="30" s="1"/>
  <c r="I16" i="30" a="1"/>
  <c r="I16" i="30" s="1"/>
  <c r="J16" i="30" a="1"/>
  <c r="J16" i="30" s="1"/>
  <c r="K16" i="30" a="1"/>
  <c r="K16" i="30" s="1"/>
  <c r="L16" i="30" a="1"/>
  <c r="L16" i="30" s="1"/>
  <c r="M16" i="30" a="1"/>
  <c r="M16" i="30" s="1"/>
  <c r="F17" i="30" a="1"/>
  <c r="F17" i="30" s="1"/>
  <c r="G17" i="30" a="1"/>
  <c r="G17" i="30" s="1"/>
  <c r="H17" i="30" a="1"/>
  <c r="H17" i="30" s="1"/>
  <c r="I17" i="30" a="1"/>
  <c r="I17" i="30" s="1"/>
  <c r="J17" i="30" a="1"/>
  <c r="J17" i="30" s="1"/>
  <c r="K17" i="30" a="1"/>
  <c r="K17" i="30" s="1"/>
  <c r="L17" i="30" a="1"/>
  <c r="L17" i="30" s="1"/>
  <c r="M17" i="30" a="1"/>
  <c r="M17" i="30" s="1"/>
  <c r="F18" i="30" a="1"/>
  <c r="F18" i="30" s="1"/>
  <c r="G18" i="30" a="1"/>
  <c r="G18" i="30" s="1"/>
  <c r="H18" i="30" a="1"/>
  <c r="H18" i="30" s="1"/>
  <c r="I18" i="30" a="1"/>
  <c r="I18" i="30" s="1"/>
  <c r="J18" i="30" a="1"/>
  <c r="J18" i="30" s="1"/>
  <c r="K18" i="30" a="1"/>
  <c r="K18" i="30" s="1"/>
  <c r="L18" i="30" a="1"/>
  <c r="L18" i="30" s="1"/>
  <c r="M18" i="30" a="1"/>
  <c r="M18" i="30" s="1"/>
  <c r="F19" i="30" a="1"/>
  <c r="F19" i="30" s="1"/>
  <c r="G19" i="30" a="1"/>
  <c r="G19" i="30" s="1"/>
  <c r="H19" i="30" a="1"/>
  <c r="H19" i="30" s="1"/>
  <c r="I19" i="30" a="1"/>
  <c r="I19" i="30" s="1"/>
  <c r="J19" i="30" a="1"/>
  <c r="J19" i="30" s="1"/>
  <c r="K19" i="30" a="1"/>
  <c r="K19" i="30" s="1"/>
  <c r="L19" i="30" a="1"/>
  <c r="L19" i="30" s="1"/>
  <c r="M19" i="30" a="1"/>
  <c r="M19" i="30" s="1"/>
  <c r="F20" i="30" a="1"/>
  <c r="F20" i="30" s="1"/>
  <c r="G20" i="30" a="1"/>
  <c r="G20" i="30" s="1"/>
  <c r="H20" i="30" a="1"/>
  <c r="H20" i="30" s="1"/>
  <c r="I20" i="30" a="1"/>
  <c r="I20" i="30" s="1"/>
  <c r="J20" i="30" a="1"/>
  <c r="J20" i="30" s="1"/>
  <c r="K20" i="30" a="1"/>
  <c r="K20" i="30" s="1"/>
  <c r="L20" i="30" a="1"/>
  <c r="L20" i="30" s="1"/>
  <c r="M20" i="30" a="1"/>
  <c r="M20" i="30" s="1"/>
  <c r="F21" i="30" a="1"/>
  <c r="F21" i="30" s="1"/>
  <c r="G21" i="30" a="1"/>
  <c r="G21" i="30" s="1"/>
  <c r="H21" i="30" a="1"/>
  <c r="H21" i="30" s="1"/>
  <c r="I21" i="30" a="1"/>
  <c r="I21" i="30" s="1"/>
  <c r="J21" i="30" a="1"/>
  <c r="J21" i="30" s="1"/>
  <c r="K21" i="30" a="1"/>
  <c r="K21" i="30" s="1"/>
  <c r="L21" i="30" a="1"/>
  <c r="L21" i="30" s="1"/>
  <c r="M21" i="30" a="1"/>
  <c r="M21" i="30" s="1"/>
  <c r="F22" i="30" a="1"/>
  <c r="F22" i="30" s="1"/>
  <c r="G22" i="30" a="1"/>
  <c r="G22" i="30" s="1"/>
  <c r="H22" i="30" a="1"/>
  <c r="H22" i="30" s="1"/>
  <c r="I22" i="30" a="1"/>
  <c r="I22" i="30" s="1"/>
  <c r="J22" i="30" a="1"/>
  <c r="J22" i="30" s="1"/>
  <c r="K22" i="30" a="1"/>
  <c r="K22" i="30" s="1"/>
  <c r="L22" i="30" a="1"/>
  <c r="L22" i="30" s="1"/>
  <c r="M22" i="30" a="1"/>
  <c r="M22" i="30" s="1"/>
  <c r="F23" i="30" a="1"/>
  <c r="F23" i="30" s="1"/>
  <c r="G23" i="30" a="1"/>
  <c r="G23" i="30" s="1"/>
  <c r="H23" i="30" a="1"/>
  <c r="H23" i="30" s="1"/>
  <c r="I23" i="30" a="1"/>
  <c r="I23" i="30" s="1"/>
  <c r="J23" i="30" a="1"/>
  <c r="J23" i="30" s="1"/>
  <c r="K23" i="30" a="1"/>
  <c r="K23" i="30" s="1"/>
  <c r="L23" i="30" a="1"/>
  <c r="L23" i="30" s="1"/>
  <c r="M23" i="30" a="1"/>
  <c r="M23" i="30" s="1"/>
  <c r="F24" i="30" a="1"/>
  <c r="F24" i="30" s="1"/>
  <c r="G24" i="30" a="1"/>
  <c r="G24" i="30" s="1"/>
  <c r="H24" i="30" a="1"/>
  <c r="H24" i="30" s="1"/>
  <c r="I24" i="30" a="1"/>
  <c r="I24" i="30" s="1"/>
  <c r="J24" i="30" a="1"/>
  <c r="J24" i="30" s="1"/>
  <c r="K24" i="30" a="1"/>
  <c r="K24" i="30" s="1"/>
  <c r="L24" i="30" a="1"/>
  <c r="L24" i="30" s="1"/>
  <c r="M24" i="30" a="1"/>
  <c r="M24" i="30" s="1"/>
  <c r="F25" i="30" a="1"/>
  <c r="F25" i="30" s="1"/>
  <c r="G25" i="30" a="1"/>
  <c r="G25" i="30" s="1"/>
  <c r="H25" i="30" a="1"/>
  <c r="H25" i="30" s="1"/>
  <c r="I25" i="30" a="1"/>
  <c r="I25" i="30" s="1"/>
  <c r="J25" i="30" a="1"/>
  <c r="J25" i="30" s="1"/>
  <c r="K25" i="30" a="1"/>
  <c r="K25" i="30" s="1"/>
  <c r="L25" i="30" a="1"/>
  <c r="L25" i="30" s="1"/>
  <c r="M25" i="30" a="1"/>
  <c r="M25" i="30" s="1"/>
  <c r="F26" i="30" a="1"/>
  <c r="F26" i="30" s="1"/>
  <c r="G26" i="30" a="1"/>
  <c r="G26" i="30" s="1"/>
  <c r="H26" i="30" a="1"/>
  <c r="H26" i="30" s="1"/>
  <c r="I26" i="30" a="1"/>
  <c r="I26" i="30" s="1"/>
  <c r="K26" i="30" a="1"/>
  <c r="K26" i="30" s="1"/>
  <c r="L26" i="30" a="1"/>
  <c r="L26" i="30" s="1"/>
  <c r="F27" i="30" a="1"/>
  <c r="F27" i="30" s="1"/>
  <c r="G27" i="30" a="1"/>
  <c r="G27" i="30" s="1"/>
  <c r="H27" i="30" a="1"/>
  <c r="H27" i="30" s="1"/>
  <c r="I27" i="30" a="1"/>
  <c r="I27" i="30" s="1"/>
  <c r="K27" i="30" a="1"/>
  <c r="K27" i="30" s="1"/>
  <c r="F28" i="30" a="1"/>
  <c r="F28" i="30" s="1"/>
  <c r="G28" i="30" a="1"/>
  <c r="G28" i="30" s="1"/>
  <c r="H28" i="30" a="1"/>
  <c r="H28" i="30" s="1"/>
  <c r="I28" i="30" a="1"/>
  <c r="I28" i="30" s="1"/>
  <c r="K28" i="30" a="1"/>
  <c r="K28" i="30" s="1"/>
  <c r="M28" i="30" a="1"/>
  <c r="M28" i="30" s="1"/>
  <c r="F29" i="30" a="1"/>
  <c r="F29" i="30" s="1"/>
  <c r="G29" i="30" a="1"/>
  <c r="G29" i="30" s="1"/>
  <c r="H29" i="30" a="1"/>
  <c r="H29" i="30" s="1"/>
  <c r="I29" i="30" a="1"/>
  <c r="I29" i="30" s="1"/>
  <c r="K29" i="30" a="1"/>
  <c r="K29" i="30" s="1"/>
  <c r="E3" i="30" a="1"/>
  <c r="E3" i="30" s="1"/>
  <c r="E4" i="30" a="1"/>
  <c r="E4" i="30" s="1"/>
  <c r="E5" i="30" a="1"/>
  <c r="E5" i="30" s="1"/>
  <c r="E6" i="30" a="1"/>
  <c r="E6" i="30" s="1"/>
  <c r="E7" i="30" a="1"/>
  <c r="E7" i="30" s="1"/>
  <c r="E8" i="30" a="1"/>
  <c r="E8" i="30" s="1"/>
  <c r="E9" i="30" a="1"/>
  <c r="E9" i="30" s="1"/>
  <c r="E10" i="30" a="1"/>
  <c r="E10" i="30" s="1"/>
  <c r="E11" i="30" a="1"/>
  <c r="E11" i="30" s="1"/>
  <c r="E13" i="30" a="1"/>
  <c r="E13" i="30" s="1"/>
  <c r="E14" i="30" a="1"/>
  <c r="E14" i="30" s="1"/>
  <c r="E15" i="30" a="1"/>
  <c r="E15" i="30" s="1"/>
  <c r="E16" i="30" a="1"/>
  <c r="E16" i="30" s="1"/>
  <c r="E17" i="30" a="1"/>
  <c r="E17" i="30" s="1"/>
  <c r="E18" i="30" a="1"/>
  <c r="E18" i="30" s="1"/>
  <c r="E19" i="30" a="1"/>
  <c r="E19" i="30" s="1"/>
  <c r="E20" i="30" a="1"/>
  <c r="E20" i="30" s="1"/>
  <c r="E21" i="30" a="1"/>
  <c r="E21" i="30" s="1"/>
  <c r="E22" i="30" a="1"/>
  <c r="E22" i="30" s="1"/>
  <c r="E23" i="30" a="1"/>
  <c r="E23" i="30" s="1"/>
  <c r="E24" i="30" a="1"/>
  <c r="E24" i="30" s="1"/>
  <c r="E25" i="30" a="1"/>
  <c r="E25" i="30" s="1"/>
  <c r="E26" i="30" a="1"/>
  <c r="E26" i="30" s="1"/>
  <c r="E27" i="30" a="1"/>
  <c r="E27" i="30" s="1"/>
  <c r="E28" i="30" a="1"/>
  <c r="E28" i="30" s="1"/>
  <c r="E29" i="30" a="1"/>
  <c r="E29" i="30" s="1"/>
  <c r="E2" i="30" a="1"/>
  <c r="E2" i="30" s="1"/>
  <c r="V4" i="30"/>
  <c r="Y4" i="30"/>
  <c r="AB4" i="30"/>
  <c r="AE4" i="30"/>
  <c r="AH4" i="30"/>
  <c r="AK4" i="30"/>
  <c r="AN4" i="30"/>
  <c r="U4" i="30"/>
  <c r="X4" i="30"/>
  <c r="AA4" i="30"/>
  <c r="AD4" i="30"/>
  <c r="AG4" i="30"/>
  <c r="AJ4" i="30"/>
  <c r="AM4" i="30"/>
  <c r="T4" i="30"/>
  <c r="W4" i="30"/>
  <c r="Z4" i="30"/>
  <c r="AC4" i="30"/>
  <c r="AF4" i="30"/>
  <c r="AI4" i="30"/>
  <c r="AL4" i="30"/>
  <c r="S5" i="30" l="1"/>
  <c r="R5" i="30"/>
  <c r="Q5" i="30"/>
  <c r="X16" i="30"/>
  <c r="AN5" i="30"/>
  <c r="AM5" i="30"/>
  <c r="AL5" i="30"/>
  <c r="W16" i="30"/>
  <c r="AK5" i="30"/>
  <c r="AJ5" i="30"/>
  <c r="AI5" i="30"/>
  <c r="V5" i="30"/>
  <c r="U5" i="30"/>
  <c r="T5" i="30"/>
  <c r="R16" i="30"/>
  <c r="AH5" i="30"/>
  <c r="V16" i="30"/>
  <c r="AG5" i="30"/>
  <c r="AF5" i="30"/>
  <c r="AE5" i="30"/>
  <c r="AD5" i="30"/>
  <c r="AC5" i="30"/>
  <c r="U16" i="30"/>
  <c r="T16" i="30"/>
  <c r="AA5" i="30"/>
  <c r="Z5" i="30"/>
  <c r="AB5" i="30"/>
  <c r="R18" i="30"/>
  <c r="AF8" i="30"/>
  <c r="V22" i="30"/>
  <c r="AH8" i="30"/>
  <c r="AG8" i="30"/>
  <c r="U22" i="30"/>
  <c r="AE8" i="30"/>
  <c r="AC8" i="30"/>
  <c r="AD8" i="30"/>
  <c r="AL9" i="30"/>
  <c r="T22" i="30"/>
  <c r="AB8" i="30"/>
  <c r="AA8" i="30"/>
  <c r="Z8" i="30"/>
  <c r="X21" i="30"/>
  <c r="AN7" i="30"/>
  <c r="AM7" i="30"/>
  <c r="AL7" i="30"/>
  <c r="X19" i="30"/>
  <c r="AL6" i="30"/>
  <c r="X14" i="30"/>
  <c r="X15" i="30"/>
  <c r="AN6" i="30"/>
  <c r="AM6" i="30"/>
  <c r="AM8" i="30"/>
  <c r="AL8" i="30"/>
  <c r="X22" i="30"/>
  <c r="AN8" i="30"/>
  <c r="AJ9" i="30"/>
  <c r="Y8" i="30"/>
  <c r="X8" i="30"/>
  <c r="W8" i="30"/>
  <c r="W21" i="30"/>
  <c r="AK7" i="30"/>
  <c r="AJ7" i="30"/>
  <c r="AI7" i="30"/>
  <c r="W19" i="30"/>
  <c r="W14" i="30"/>
  <c r="W15" i="30"/>
  <c r="AK6" i="30"/>
  <c r="AI6" i="30"/>
  <c r="AJ6" i="30"/>
  <c r="R22" i="30"/>
  <c r="V8" i="30"/>
  <c r="U8" i="30"/>
  <c r="T8" i="30"/>
  <c r="V17" i="30"/>
  <c r="V21" i="30"/>
  <c r="AH7" i="30"/>
  <c r="AG7" i="30"/>
  <c r="AF7" i="30"/>
  <c r="V19" i="30"/>
  <c r="V15" i="30"/>
  <c r="AH6" i="30"/>
  <c r="AG6" i="30"/>
  <c r="V14" i="30"/>
  <c r="AF6" i="30"/>
  <c r="U15" i="30"/>
  <c r="AE6" i="30"/>
  <c r="AD6" i="30"/>
  <c r="AC6" i="30"/>
  <c r="U14" i="30"/>
  <c r="AI8" i="30"/>
  <c r="W22" i="30"/>
  <c r="AJ8" i="30"/>
  <c r="AK8" i="30"/>
  <c r="T18" i="30"/>
  <c r="AA7" i="30"/>
  <c r="Z7" i="30"/>
  <c r="T19" i="30"/>
  <c r="T21" i="30"/>
  <c r="AB7" i="30"/>
  <c r="T15" i="30"/>
  <c r="AB6" i="30"/>
  <c r="AA6" i="30"/>
  <c r="Z6" i="30"/>
  <c r="T14" i="30"/>
  <c r="S18" i="30"/>
  <c r="X7" i="30"/>
  <c r="S19" i="30"/>
  <c r="W7" i="30"/>
  <c r="S21" i="30"/>
  <c r="Y7" i="30"/>
  <c r="Y6" i="30"/>
  <c r="X6" i="30"/>
  <c r="W6" i="30"/>
  <c r="S14" i="30"/>
  <c r="T7" i="30"/>
  <c r="R19" i="30"/>
  <c r="U7" i="30"/>
  <c r="R21" i="30"/>
  <c r="V7" i="30"/>
  <c r="R15" i="30"/>
  <c r="V6" i="30"/>
  <c r="U6" i="30"/>
  <c r="T6" i="30"/>
  <c r="R14" i="30"/>
  <c r="U18" i="30"/>
  <c r="R8" i="30"/>
  <c r="Q8" i="30"/>
  <c r="S8" i="30"/>
  <c r="Q22" i="30"/>
  <c r="U21" i="30"/>
  <c r="AE7" i="30"/>
  <c r="AD7" i="30"/>
  <c r="AC7" i="30"/>
  <c r="U19" i="30"/>
  <c r="Q9" i="30"/>
  <c r="S7" i="30"/>
  <c r="R7" i="30"/>
  <c r="Q7" i="30"/>
  <c r="Q19" i="30"/>
  <c r="Q15" i="30"/>
  <c r="S6" i="30"/>
  <c r="R6" i="30"/>
  <c r="Q6" i="30"/>
  <c r="S4" i="30"/>
  <c r="R4" i="30"/>
  <c r="Q21" i="30"/>
  <c r="Q4" i="30"/>
  <c r="Q16" i="30"/>
  <c r="Q14" i="30"/>
  <c r="V20" i="30"/>
  <c r="AI9" i="30"/>
  <c r="AG9" i="30"/>
  <c r="AE9" i="30"/>
  <c r="X20" i="30"/>
  <c r="U17" i="30"/>
  <c r="AC9" i="30"/>
  <c r="X18" i="30"/>
  <c r="AF9" i="30"/>
  <c r="AD9" i="30"/>
  <c r="AB9" i="30"/>
  <c r="W20" i="30"/>
  <c r="T17" i="30"/>
  <c r="AA9" i="30"/>
  <c r="Y9" i="30"/>
  <c r="S17" i="30"/>
  <c r="Z9" i="30"/>
  <c r="X9" i="30"/>
  <c r="V9" i="30"/>
  <c r="U20" i="30"/>
  <c r="W18" i="30"/>
  <c r="R17" i="30"/>
  <c r="W9" i="30"/>
  <c r="U9" i="30"/>
  <c r="T20" i="30"/>
  <c r="V18" i="30"/>
  <c r="T9" i="30"/>
  <c r="Q17" i="30"/>
  <c r="S20" i="30"/>
  <c r="Q18" i="30"/>
  <c r="R20" i="30"/>
  <c r="S9" i="30"/>
  <c r="Q20" i="30"/>
  <c r="R9" i="30"/>
  <c r="AN9" i="30"/>
  <c r="X17" i="30"/>
  <c r="AM9" i="30"/>
  <c r="AK9" i="30"/>
  <c r="W17" i="30"/>
  <c r="AH9" i="30"/>
  <c r="W5" i="30"/>
  <c r="S16" i="30"/>
  <c r="X5" i="30"/>
  <c r="Y5" i="30"/>
  <c r="S15" i="30"/>
  <c r="S22" i="30"/>
  <c r="S40" i="30" l="1"/>
  <c r="T40" i="30"/>
  <c r="Q40" i="30"/>
  <c r="R40" i="30"/>
  <c r="N40" i="30"/>
  <c r="M40" i="30"/>
  <c r="S37" i="30"/>
  <c r="T37" i="30"/>
  <c r="O37" i="30"/>
  <c r="P37" i="30"/>
  <c r="E37" i="30"/>
  <c r="F37" i="30"/>
  <c r="Q37" i="30"/>
  <c r="R37" i="30"/>
  <c r="K37" i="30"/>
  <c r="L37" i="30"/>
  <c r="M37" i="30"/>
  <c r="N37" i="30"/>
  <c r="I37" i="30"/>
  <c r="J37" i="30"/>
  <c r="G37" i="30"/>
  <c r="H37" i="30"/>
  <c r="L16" i="26" l="1"/>
  <c r="M16" i="26"/>
  <c r="L17" i="26"/>
  <c r="M17" i="26"/>
  <c r="K17" i="26"/>
  <c r="K16" i="26"/>
  <c r="L14" i="26"/>
  <c r="M14" i="26"/>
  <c r="K14" i="26"/>
  <c r="L13" i="26"/>
  <c r="M13" i="26"/>
  <c r="K13" i="26"/>
  <c r="E60" i="26"/>
  <c r="F60" i="26"/>
  <c r="G60" i="26"/>
  <c r="E61" i="26"/>
  <c r="F61" i="26"/>
  <c r="G61" i="26"/>
  <c r="E38" i="26"/>
  <c r="F38" i="26"/>
  <c r="G38" i="26"/>
  <c r="E39" i="26"/>
  <c r="F39" i="26"/>
  <c r="G39" i="26"/>
  <c r="E40" i="26"/>
  <c r="F40" i="26"/>
  <c r="G40" i="26"/>
  <c r="E41" i="26"/>
  <c r="F41" i="26"/>
  <c r="G41" i="26"/>
  <c r="E42" i="26"/>
  <c r="F42" i="26"/>
  <c r="G42" i="26"/>
  <c r="E43" i="26"/>
  <c r="F43" i="26"/>
  <c r="G43" i="26"/>
  <c r="E44" i="26"/>
  <c r="F44" i="26"/>
  <c r="G44" i="26"/>
  <c r="E45" i="26"/>
  <c r="F45" i="26"/>
  <c r="G45" i="26"/>
  <c r="E46" i="26"/>
  <c r="F46" i="26"/>
  <c r="G46" i="26"/>
  <c r="E47" i="26"/>
  <c r="F47" i="26"/>
  <c r="G47" i="26"/>
  <c r="E48" i="26"/>
  <c r="F48" i="26"/>
  <c r="G48" i="26"/>
  <c r="E49" i="26"/>
  <c r="F49" i="26"/>
  <c r="G49" i="26"/>
  <c r="E50" i="26"/>
  <c r="F50" i="26"/>
  <c r="G50" i="26"/>
  <c r="E51" i="26"/>
  <c r="F51" i="26"/>
  <c r="G51" i="26"/>
  <c r="E52" i="26"/>
  <c r="F52" i="26"/>
  <c r="G52" i="26"/>
  <c r="E53" i="26"/>
  <c r="F53" i="26"/>
  <c r="G53" i="26"/>
  <c r="E54" i="26"/>
  <c r="F54" i="26"/>
  <c r="G54" i="26"/>
  <c r="E55" i="26"/>
  <c r="F55" i="26"/>
  <c r="G55" i="26"/>
  <c r="E56" i="26"/>
  <c r="F56" i="26"/>
  <c r="G56" i="26"/>
  <c r="E57" i="26"/>
  <c r="F57" i="26"/>
  <c r="G57" i="26"/>
  <c r="E58" i="26"/>
  <c r="F58" i="26"/>
  <c r="G58" i="26"/>
  <c r="E59" i="26"/>
  <c r="F59" i="26"/>
  <c r="G59" i="26"/>
  <c r="E38" i="24"/>
  <c r="F38" i="24"/>
  <c r="G38" i="24"/>
  <c r="E39" i="24"/>
  <c r="F39" i="24"/>
  <c r="G39" i="24"/>
  <c r="E40" i="24"/>
  <c r="F40" i="24"/>
  <c r="G40" i="24"/>
  <c r="E41" i="24"/>
  <c r="F41" i="24"/>
  <c r="G41" i="24"/>
  <c r="E42" i="24"/>
  <c r="F42" i="24"/>
  <c r="G42" i="24"/>
  <c r="E43" i="24"/>
  <c r="F43" i="24"/>
  <c r="G43" i="24"/>
  <c r="E44" i="24"/>
  <c r="F44" i="24"/>
  <c r="G44" i="24"/>
  <c r="E45" i="24"/>
  <c r="F45" i="24"/>
  <c r="G45" i="24"/>
  <c r="E46" i="24"/>
  <c r="F46" i="24"/>
  <c r="G46" i="24"/>
  <c r="E47" i="24"/>
  <c r="F47" i="24"/>
  <c r="G47" i="24"/>
  <c r="E48" i="24"/>
  <c r="F48" i="24"/>
  <c r="G48" i="24"/>
  <c r="E49" i="24"/>
  <c r="F49" i="24"/>
  <c r="G49" i="24"/>
  <c r="E50" i="24"/>
  <c r="F50" i="24"/>
  <c r="G50" i="24"/>
  <c r="E51" i="24"/>
  <c r="F51" i="24"/>
  <c r="G51" i="24"/>
  <c r="E52" i="24"/>
  <c r="F52" i="24"/>
  <c r="G52" i="24"/>
  <c r="E53" i="24"/>
  <c r="F53" i="24"/>
  <c r="G53" i="24"/>
  <c r="E54" i="24"/>
  <c r="F54" i="24"/>
  <c r="G54" i="24"/>
  <c r="E55" i="24"/>
  <c r="F55" i="24"/>
  <c r="G55" i="24"/>
  <c r="E56" i="24"/>
  <c r="F56" i="24"/>
  <c r="G56" i="24"/>
  <c r="E57" i="24"/>
  <c r="F57" i="24"/>
  <c r="G57" i="24"/>
  <c r="E58" i="24"/>
  <c r="F58" i="24"/>
  <c r="G58" i="24"/>
  <c r="E59" i="24"/>
  <c r="F59" i="24"/>
  <c r="G59" i="24"/>
  <c r="E60" i="24"/>
  <c r="F60" i="24"/>
  <c r="G60" i="24"/>
  <c r="E61" i="24"/>
  <c r="F61" i="24"/>
  <c r="G61" i="24"/>
  <c r="E62" i="24"/>
  <c r="F62" i="24"/>
  <c r="G62" i="24"/>
  <c r="E63" i="24"/>
  <c r="F63" i="24"/>
  <c r="G63" i="24"/>
  <c r="E37" i="26"/>
  <c r="L4" i="28"/>
  <c r="L5" i="28"/>
  <c r="L6" i="28"/>
  <c r="L7" i="28"/>
  <c r="L8" i="28"/>
  <c r="L9" i="28"/>
  <c r="N11" i="27"/>
  <c r="O11" i="27"/>
  <c r="N12" i="27"/>
  <c r="O12" i="27"/>
  <c r="N13" i="27"/>
  <c r="O13" i="27"/>
  <c r="N14" i="27"/>
  <c r="O14" i="27"/>
  <c r="N15" i="27"/>
  <c r="O15" i="27"/>
  <c r="N16" i="27"/>
  <c r="O16" i="27"/>
  <c r="N17" i="27"/>
  <c r="O17" i="27"/>
  <c r="N18" i="27"/>
  <c r="O18" i="27"/>
  <c r="N19" i="27"/>
  <c r="O19" i="27"/>
  <c r="M16" i="27"/>
  <c r="M15" i="27"/>
  <c r="M14" i="27"/>
  <c r="M19" i="27"/>
  <c r="M18" i="27"/>
  <c r="M17" i="27"/>
  <c r="M13" i="27"/>
  <c r="M12" i="27"/>
  <c r="M11" i="27"/>
  <c r="N4" i="27"/>
  <c r="O4" i="27"/>
  <c r="N5" i="27"/>
  <c r="O5" i="27"/>
  <c r="N6" i="27"/>
  <c r="O6" i="27"/>
  <c r="N7" i="27"/>
  <c r="O7" i="27"/>
  <c r="N8" i="27"/>
  <c r="O8" i="27"/>
  <c r="N9" i="27"/>
  <c r="O9" i="27"/>
  <c r="M9" i="27"/>
  <c r="M8" i="27"/>
  <c r="M7" i="27"/>
  <c r="M6" i="27"/>
  <c r="M5" i="27"/>
  <c r="M4" i="27"/>
  <c r="K22" i="28"/>
  <c r="K21" i="28"/>
  <c r="K20" i="28"/>
  <c r="K19" i="28"/>
  <c r="K18" i="28"/>
  <c r="K17" i="28"/>
  <c r="K16" i="28"/>
  <c r="K15" i="28"/>
  <c r="K14" i="28"/>
  <c r="K9" i="28"/>
  <c r="K8" i="28"/>
  <c r="K7" i="28"/>
  <c r="K6" i="28"/>
  <c r="K5" i="28"/>
  <c r="K4" i="28"/>
  <c r="L28" i="26" l="1"/>
  <c r="L25" i="26"/>
  <c r="K25" i="26"/>
  <c r="K28" i="26"/>
  <c r="M4" i="26"/>
  <c r="K4" i="26"/>
  <c r="M7" i="26"/>
  <c r="M25" i="26"/>
  <c r="L7" i="26"/>
  <c r="L4" i="26"/>
  <c r="K7" i="26"/>
  <c r="M28" i="26"/>
  <c r="U221" i="8"/>
  <c r="U222" i="8"/>
  <c r="U220" i="8"/>
  <c r="R221" i="8"/>
  <c r="R222" i="8"/>
  <c r="R220" i="8"/>
  <c r="AB7" i="4"/>
  <c r="Q9" i="20"/>
  <c r="AK51" i="20"/>
  <c r="T117" i="20" s="1"/>
  <c r="AI52" i="20"/>
  <c r="AI53" i="20"/>
  <c r="AI54" i="20"/>
  <c r="AI55" i="20"/>
  <c r="AI56" i="20"/>
  <c r="AI57" i="20"/>
  <c r="AI51" i="20"/>
  <c r="AO32" i="19"/>
  <c r="AO21" i="19"/>
  <c r="E109" i="20"/>
  <c r="E115" i="20"/>
  <c r="F115" i="20"/>
  <c r="G115" i="20"/>
  <c r="H115" i="20"/>
  <c r="I115" i="20"/>
  <c r="J115" i="20"/>
  <c r="K115" i="20"/>
  <c r="L115" i="20"/>
  <c r="M115" i="20"/>
  <c r="N115" i="20"/>
  <c r="O115" i="20"/>
  <c r="T115" i="20"/>
  <c r="E116" i="20"/>
  <c r="F116" i="20"/>
  <c r="G116" i="20"/>
  <c r="H116" i="20"/>
  <c r="I116" i="20"/>
  <c r="J116" i="20"/>
  <c r="K116" i="20"/>
  <c r="L116" i="20"/>
  <c r="M116" i="20"/>
  <c r="N116" i="20"/>
  <c r="O116" i="20"/>
  <c r="T116" i="20"/>
  <c r="E117" i="20"/>
  <c r="F117" i="20"/>
  <c r="G117" i="20"/>
  <c r="H117" i="20"/>
  <c r="I117" i="20"/>
  <c r="J117" i="20"/>
  <c r="K117" i="20"/>
  <c r="L117" i="20"/>
  <c r="M117" i="20"/>
  <c r="N117" i="20"/>
  <c r="O117" i="20"/>
  <c r="P117" i="20"/>
  <c r="Q117" i="20"/>
  <c r="E118" i="20"/>
  <c r="F118" i="20"/>
  <c r="G118" i="20"/>
  <c r="H118" i="20"/>
  <c r="I118" i="20"/>
  <c r="J118" i="20"/>
  <c r="K118" i="20"/>
  <c r="L118" i="20"/>
  <c r="M118" i="20"/>
  <c r="N118" i="20"/>
  <c r="O118" i="20"/>
  <c r="P118" i="20"/>
  <c r="Q118" i="20"/>
  <c r="D118" i="20"/>
  <c r="D117" i="20"/>
  <c r="D116" i="20"/>
  <c r="D115" i="20"/>
  <c r="AG33" i="20"/>
  <c r="AH33" i="20"/>
  <c r="Q116" i="20" s="1"/>
  <c r="AH34" i="20"/>
  <c r="AH35" i="20"/>
  <c r="X33" i="20"/>
  <c r="X34" i="20"/>
  <c r="X35" i="20"/>
  <c r="AI48" i="20"/>
  <c r="T118" i="20" l="1"/>
  <c r="R117" i="20"/>
  <c r="R118" i="20"/>
  <c r="R103" i="20"/>
  <c r="S103" i="20"/>
  <c r="R106" i="20"/>
  <c r="S106" i="20"/>
  <c r="R107" i="20"/>
  <c r="R108" i="20"/>
  <c r="AP43" i="19"/>
  <c r="AP41" i="19"/>
  <c r="AP39" i="19"/>
  <c r="AO86" i="19"/>
  <c r="AO85" i="19"/>
  <c r="AP85" i="19" s="1"/>
  <c r="S57" i="20" s="1"/>
  <c r="AO84" i="19"/>
  <c r="AO83" i="19"/>
  <c r="AO82" i="19"/>
  <c r="AO81" i="19"/>
  <c r="AO80" i="19"/>
  <c r="AO79" i="19"/>
  <c r="AO78" i="19"/>
  <c r="AO77" i="19"/>
  <c r="AO76" i="19"/>
  <c r="AO75" i="19"/>
  <c r="AO74" i="19"/>
  <c r="AO73" i="19"/>
  <c r="AO72" i="19"/>
  <c r="AO71" i="19"/>
  <c r="AO70" i="19"/>
  <c r="AO69" i="19"/>
  <c r="AO68" i="19"/>
  <c r="AO67" i="19"/>
  <c r="AO66" i="19"/>
  <c r="AO65" i="19"/>
  <c r="AP65" i="19" s="1"/>
  <c r="R96" i="20" s="1"/>
  <c r="AO64" i="19"/>
  <c r="AO63" i="19"/>
  <c r="AO62" i="19"/>
  <c r="AO61" i="19"/>
  <c r="AO60" i="19"/>
  <c r="AO59" i="19"/>
  <c r="AO46" i="19"/>
  <c r="AO45" i="19"/>
  <c r="AO44" i="19"/>
  <c r="AO43" i="19"/>
  <c r="AO42" i="19"/>
  <c r="AO41" i="19"/>
  <c r="AO40" i="19"/>
  <c r="AO39" i="19"/>
  <c r="AP19" i="19"/>
  <c r="AP7" i="19"/>
  <c r="AP5" i="19"/>
  <c r="AP3" i="19"/>
  <c r="AO10" i="19"/>
  <c r="AO9" i="19"/>
  <c r="AO8" i="19"/>
  <c r="AO7" i="19"/>
  <c r="AO6" i="19"/>
  <c r="AO5" i="19"/>
  <c r="AO4" i="19"/>
  <c r="AO3" i="19"/>
  <c r="AO20" i="19"/>
  <c r="AO19" i="19"/>
  <c r="AN4" i="19"/>
  <c r="AN5" i="19"/>
  <c r="AN6" i="19"/>
  <c r="AN7" i="19"/>
  <c r="AN8" i="19"/>
  <c r="AN9" i="19"/>
  <c r="AN10" i="19"/>
  <c r="AN11" i="19"/>
  <c r="AN12" i="19"/>
  <c r="AN13" i="19"/>
  <c r="AN14" i="19"/>
  <c r="AN15" i="19"/>
  <c r="AN16" i="19"/>
  <c r="AN17" i="19"/>
  <c r="AN18" i="19"/>
  <c r="AN19" i="19"/>
  <c r="AN20" i="19"/>
  <c r="AN21" i="19"/>
  <c r="AN22" i="19"/>
  <c r="AO22" i="19" s="1"/>
  <c r="AP21" i="19" s="1"/>
  <c r="P34" i="20" s="1"/>
  <c r="AG34" i="20" s="1"/>
  <c r="P116" i="20" s="1"/>
  <c r="AN23" i="19"/>
  <c r="AN24" i="19"/>
  <c r="AN25" i="19"/>
  <c r="AN26" i="19"/>
  <c r="AN27" i="19"/>
  <c r="AN28" i="19"/>
  <c r="AN29" i="19"/>
  <c r="AN30" i="19"/>
  <c r="AN31" i="19"/>
  <c r="AO31" i="19" s="1"/>
  <c r="AP31" i="19" s="1"/>
  <c r="P19" i="20" s="1"/>
  <c r="AG19" i="20" s="1"/>
  <c r="P115" i="20" s="1"/>
  <c r="AN32" i="19"/>
  <c r="AN33" i="19"/>
  <c r="AN34" i="19"/>
  <c r="AN35" i="19"/>
  <c r="AN36" i="19"/>
  <c r="AN37" i="19"/>
  <c r="AN38" i="19"/>
  <c r="AN39" i="19"/>
  <c r="AN40" i="19"/>
  <c r="AN41" i="19"/>
  <c r="AN42" i="19"/>
  <c r="AN43" i="19"/>
  <c r="AN44" i="19"/>
  <c r="AN45" i="19"/>
  <c r="AN46" i="19"/>
  <c r="AN47" i="19"/>
  <c r="AN48" i="19"/>
  <c r="AN49" i="19"/>
  <c r="AN50" i="19"/>
  <c r="AN51" i="19"/>
  <c r="AN52" i="19"/>
  <c r="AN53" i="19"/>
  <c r="AN54" i="19"/>
  <c r="AN55" i="19"/>
  <c r="AN56" i="19"/>
  <c r="AN57" i="19"/>
  <c r="AN58" i="19"/>
  <c r="AN59" i="19"/>
  <c r="AN60" i="19"/>
  <c r="AN61" i="19"/>
  <c r="AN62" i="19"/>
  <c r="AN63" i="19"/>
  <c r="AN64" i="19"/>
  <c r="AN65" i="19"/>
  <c r="AN66" i="19"/>
  <c r="AN67" i="19"/>
  <c r="AN68" i="19"/>
  <c r="AN69" i="19"/>
  <c r="AN70" i="19"/>
  <c r="AN71" i="19"/>
  <c r="AN72" i="19"/>
  <c r="AN73" i="19"/>
  <c r="AN74" i="19"/>
  <c r="AN75" i="19"/>
  <c r="AN76" i="19"/>
  <c r="AN77" i="19"/>
  <c r="AN78" i="19"/>
  <c r="AN79" i="19"/>
  <c r="AN80" i="19"/>
  <c r="AN81" i="19"/>
  <c r="AN82" i="19"/>
  <c r="AN83" i="19"/>
  <c r="AN84" i="19"/>
  <c r="AN85" i="19"/>
  <c r="AN86" i="19"/>
  <c r="AN3" i="19"/>
  <c r="AP75" i="19" l="1"/>
  <c r="S51" i="20" s="1"/>
  <c r="AP61" i="19"/>
  <c r="R93" i="20" s="1"/>
  <c r="AP63" i="19"/>
  <c r="R95" i="20" s="1"/>
  <c r="AP69" i="19"/>
  <c r="S93" i="20" s="1"/>
  <c r="AP81" i="19"/>
  <c r="S55" i="20" s="1"/>
  <c r="AP59" i="19"/>
  <c r="R92" i="20" s="1"/>
  <c r="AP71" i="19"/>
  <c r="S95" i="20" s="1"/>
  <c r="AP83" i="19"/>
  <c r="S56" i="20" s="1"/>
  <c r="AP73" i="19"/>
  <c r="S96" i="20" s="1"/>
  <c r="AP77" i="19"/>
  <c r="S52" i="20" s="1"/>
  <c r="AP67" i="19"/>
  <c r="S92" i="20" s="1"/>
  <c r="AP79" i="19"/>
  <c r="S53" i="20" s="1"/>
  <c r="G105" i="20"/>
  <c r="AE29" i="4"/>
  <c r="AD29" i="4"/>
  <c r="AC29" i="4"/>
  <c r="I29" i="4"/>
  <c r="H29" i="4"/>
  <c r="G29" i="4"/>
  <c r="F29" i="4"/>
  <c r="E29" i="4"/>
  <c r="E104" i="20"/>
  <c r="F104" i="20"/>
  <c r="G104" i="20"/>
  <c r="H104" i="20"/>
  <c r="I104" i="20"/>
  <c r="J104" i="20"/>
  <c r="K104" i="20"/>
  <c r="L104" i="20"/>
  <c r="M104" i="20"/>
  <c r="N104" i="20"/>
  <c r="O104" i="20"/>
  <c r="P104" i="20"/>
  <c r="E105" i="20"/>
  <c r="F105" i="20"/>
  <c r="H105" i="20"/>
  <c r="I105" i="20"/>
  <c r="J105" i="20"/>
  <c r="K105" i="20"/>
  <c r="L105" i="20"/>
  <c r="M105" i="20"/>
  <c r="N105" i="20"/>
  <c r="O105" i="20"/>
  <c r="P105" i="20"/>
  <c r="Q105" i="20"/>
  <c r="E106" i="20"/>
  <c r="F106" i="20"/>
  <c r="G106" i="20"/>
  <c r="H106" i="20"/>
  <c r="I106" i="20"/>
  <c r="J106" i="20"/>
  <c r="K106" i="20"/>
  <c r="L106" i="20"/>
  <c r="M106" i="20"/>
  <c r="N106" i="20"/>
  <c r="O106" i="20"/>
  <c r="P106" i="20"/>
  <c r="Q106" i="20"/>
  <c r="E107" i="20"/>
  <c r="F107" i="20"/>
  <c r="G107" i="20"/>
  <c r="H107" i="20"/>
  <c r="I107" i="20"/>
  <c r="J107" i="20"/>
  <c r="K107" i="20"/>
  <c r="L107" i="20"/>
  <c r="M107" i="20"/>
  <c r="N107" i="20"/>
  <c r="O107" i="20"/>
  <c r="P107" i="20"/>
  <c r="Q107" i="20"/>
  <c r="E108" i="20"/>
  <c r="F108" i="20"/>
  <c r="G108" i="20"/>
  <c r="H108" i="20"/>
  <c r="I108" i="20"/>
  <c r="J108" i="20"/>
  <c r="K108" i="20"/>
  <c r="L108" i="20"/>
  <c r="M108" i="20"/>
  <c r="N108" i="20"/>
  <c r="O108" i="20"/>
  <c r="P108" i="20"/>
  <c r="Q108" i="20"/>
  <c r="D108" i="20"/>
  <c r="D107" i="20"/>
  <c r="D106" i="20"/>
  <c r="D105" i="20"/>
  <c r="D104" i="20"/>
  <c r="E103" i="20"/>
  <c r="F103" i="20"/>
  <c r="G103" i="20"/>
  <c r="H103" i="20"/>
  <c r="I103" i="20"/>
  <c r="J103" i="20"/>
  <c r="K103" i="20"/>
  <c r="L103" i="20"/>
  <c r="M103" i="20"/>
  <c r="N103" i="20"/>
  <c r="O103" i="20"/>
  <c r="P103" i="20"/>
  <c r="Q103" i="20"/>
  <c r="D103" i="20"/>
  <c r="T109" i="20"/>
  <c r="G110" i="20"/>
  <c r="K110" i="20"/>
  <c r="P110" i="20"/>
  <c r="Q110" i="20"/>
  <c r="T110" i="20"/>
  <c r="T111" i="20"/>
  <c r="AD34" i="20" l="1"/>
  <c r="AC34" i="20"/>
  <c r="AC36" i="20"/>
  <c r="S58" i="20"/>
  <c r="T58" i="20"/>
  <c r="U34" i="20"/>
  <c r="W34" i="20"/>
  <c r="Y34" i="20"/>
  <c r="Z34" i="20"/>
  <c r="AA34" i="20"/>
  <c r="AE34" i="20"/>
  <c r="AF34" i="20"/>
  <c r="U35" i="20"/>
  <c r="V35" i="20"/>
  <c r="W35" i="20"/>
  <c r="Y35" i="20"/>
  <c r="Z35" i="20"/>
  <c r="AE35" i="20"/>
  <c r="AF35" i="20"/>
  <c r="W36" i="20"/>
  <c r="Y36" i="20"/>
  <c r="AE36" i="20"/>
  <c r="AF36" i="20"/>
  <c r="U37" i="20"/>
  <c r="V37" i="20"/>
  <c r="W37" i="20"/>
  <c r="Y37" i="20"/>
  <c r="AE37" i="20"/>
  <c r="AF37" i="20"/>
  <c r="U38" i="20"/>
  <c r="V38" i="20"/>
  <c r="W38" i="20"/>
  <c r="Y38" i="20"/>
  <c r="Z38" i="20"/>
  <c r="AA38" i="20"/>
  <c r="AD38" i="20"/>
  <c r="AE38" i="20"/>
  <c r="AF38" i="20"/>
  <c r="W33" i="20"/>
  <c r="Y33" i="20"/>
  <c r="Z33" i="20"/>
  <c r="AA33" i="20"/>
  <c r="AD33" i="20"/>
  <c r="AE33" i="20"/>
  <c r="AF33" i="20"/>
  <c r="U33" i="20"/>
  <c r="AK24" i="20"/>
  <c r="AJ87" i="20" l="1"/>
  <c r="AJ84" i="20"/>
  <c r="AJ83" i="20"/>
  <c r="AJ88" i="20"/>
  <c r="AJ78" i="20"/>
  <c r="AJ86" i="20"/>
  <c r="AJ64" i="20"/>
  <c r="AJ62" i="20"/>
  <c r="AJ69" i="20"/>
  <c r="AJ70" i="20"/>
  <c r="AJ56" i="20"/>
  <c r="AJ52" i="20"/>
  <c r="AJ51" i="20"/>
  <c r="AJ57" i="20"/>
  <c r="AJ53" i="20"/>
  <c r="AJ55" i="20"/>
  <c r="D110" i="20"/>
  <c r="O110" i="20"/>
  <c r="N110" i="20"/>
  <c r="J110" i="20"/>
  <c r="I110" i="20"/>
  <c r="H110" i="20"/>
  <c r="F110" i="20"/>
  <c r="M110" i="20"/>
  <c r="E110" i="20"/>
  <c r="L110" i="20"/>
  <c r="S117" i="20" l="1"/>
  <c r="S118" i="20"/>
  <c r="S108" i="20"/>
  <c r="S113" i="20"/>
  <c r="S114" i="20"/>
  <c r="S107" i="20"/>
  <c r="S112" i="20"/>
  <c r="E19" i="20" a="1"/>
  <c r="E19" i="20" s="1"/>
  <c r="V19" i="20" s="1"/>
  <c r="E39" i="20"/>
  <c r="F39" i="20"/>
  <c r="H39" i="20"/>
  <c r="I39" i="20"/>
  <c r="J39" i="20"/>
  <c r="L39" i="20"/>
  <c r="M39" i="20"/>
  <c r="N39" i="20"/>
  <c r="O39" i="20"/>
  <c r="R39" i="20"/>
  <c r="S39" i="20"/>
  <c r="T39" i="20"/>
  <c r="D39" i="20"/>
  <c r="N21" i="20" a="1"/>
  <c r="N21" i="20" s="1"/>
  <c r="AE21" i="20" s="1"/>
  <c r="J21" i="20" a="1"/>
  <c r="J21" i="20" s="1"/>
  <c r="AA21" i="20" s="1"/>
  <c r="I21" i="20" a="1"/>
  <c r="I21" i="20" s="1"/>
  <c r="Z21" i="20" s="1"/>
  <c r="H21" i="20" a="1"/>
  <c r="H21" i="20" s="1"/>
  <c r="Y21" i="20" s="1"/>
  <c r="F21" i="20" a="1"/>
  <c r="F21" i="20" s="1"/>
  <c r="W21" i="20" s="1"/>
  <c r="S20" i="20" a="1"/>
  <c r="S20" i="20" s="1"/>
  <c r="R20" i="20" a="1"/>
  <c r="R20" i="20" s="1"/>
  <c r="Q20" i="20" a="1"/>
  <c r="Q20" i="20" s="1"/>
  <c r="AH20" i="20" s="1"/>
  <c r="O20" i="20" a="1"/>
  <c r="O20" i="20" s="1"/>
  <c r="AF20" i="20" s="1"/>
  <c r="N20" i="20" a="1"/>
  <c r="N20" i="20" s="1"/>
  <c r="AE20" i="20" s="1"/>
  <c r="M20" i="20" a="1"/>
  <c r="M20" i="20" s="1"/>
  <c r="AD20" i="20" s="1"/>
  <c r="L20" i="20" a="1"/>
  <c r="L20" i="20" s="1"/>
  <c r="AC20" i="20" s="1"/>
  <c r="J20" i="20" a="1"/>
  <c r="J20" i="20" s="1"/>
  <c r="AA20" i="20" s="1"/>
  <c r="I20" i="20" a="1"/>
  <c r="I20" i="20" s="1"/>
  <c r="Z20" i="20" s="1"/>
  <c r="H20" i="20" a="1"/>
  <c r="H20" i="20" s="1"/>
  <c r="Y20" i="20" s="1"/>
  <c r="G20" i="20" a="1"/>
  <c r="G20" i="20" s="1"/>
  <c r="X20" i="20" s="1"/>
  <c r="F20" i="20" a="1"/>
  <c r="F20" i="20" s="1"/>
  <c r="W20" i="20" s="1"/>
  <c r="D20" i="20" a="1"/>
  <c r="D20" i="20" s="1"/>
  <c r="U20" i="20" s="1"/>
  <c r="S19" i="20" a="1"/>
  <c r="S19" i="20" s="1"/>
  <c r="N19" i="20" a="1"/>
  <c r="N19" i="20" s="1"/>
  <c r="AE19" i="20" s="1"/>
  <c r="I19" i="20" a="1"/>
  <c r="I19" i="20" s="1"/>
  <c r="Z19" i="20" s="1"/>
  <c r="H19" i="20" a="1"/>
  <c r="H19" i="20" s="1"/>
  <c r="Y19" i="20" s="1"/>
  <c r="F19" i="20" a="1"/>
  <c r="F19" i="20" s="1"/>
  <c r="W19" i="20" s="1"/>
  <c r="T18" i="20" a="1"/>
  <c r="T18" i="20" s="1"/>
  <c r="S18" i="20" a="1"/>
  <c r="S18" i="20" s="1"/>
  <c r="R18" i="20" a="1"/>
  <c r="R18" i="20" s="1"/>
  <c r="Q18" i="20" a="1"/>
  <c r="Q18" i="20" s="1"/>
  <c r="AH18" i="20" s="1"/>
  <c r="P18" i="20" a="1"/>
  <c r="P18" i="20" s="1"/>
  <c r="AG18" i="20" s="1"/>
  <c r="O18" i="20" a="1"/>
  <c r="O18" i="20" s="1"/>
  <c r="AF18" i="20" s="1"/>
  <c r="N18" i="20" a="1"/>
  <c r="N18" i="20" s="1"/>
  <c r="AE18" i="20" s="1"/>
  <c r="M18" i="20" a="1"/>
  <c r="M18" i="20" s="1"/>
  <c r="AD18" i="20" s="1"/>
  <c r="L18" i="20" a="1"/>
  <c r="L18" i="20" s="1"/>
  <c r="AC18" i="20" s="1"/>
  <c r="K18" i="20" a="1"/>
  <c r="K18" i="20" s="1"/>
  <c r="AB18" i="20" s="1"/>
  <c r="J18" i="20" a="1"/>
  <c r="J18" i="20" s="1"/>
  <c r="AA18" i="20" s="1"/>
  <c r="I18" i="20" a="1"/>
  <c r="I18" i="20" s="1"/>
  <c r="Z18" i="20" s="1"/>
  <c r="H18" i="20" a="1"/>
  <c r="H18" i="20" s="1"/>
  <c r="Y18" i="20" s="1"/>
  <c r="G18" i="20" a="1"/>
  <c r="G18" i="20" s="1"/>
  <c r="X18" i="20" s="1"/>
  <c r="F18" i="20" a="1"/>
  <c r="F18" i="20" s="1"/>
  <c r="W18" i="20" s="1"/>
  <c r="E18" i="20" a="1"/>
  <c r="E18" i="20" s="1"/>
  <c r="V18" i="20" s="1"/>
  <c r="D18" i="20" a="1"/>
  <c r="D18" i="20" s="1"/>
  <c r="U18" i="20" s="1"/>
  <c r="Q115" i="20" l="1"/>
  <c r="Q104" i="20"/>
  <c r="J109" i="20"/>
  <c r="J111" i="20"/>
  <c r="AB24" i="20"/>
  <c r="K111" i="20"/>
  <c r="K109" i="20"/>
  <c r="X24" i="20"/>
  <c r="G109" i="20"/>
  <c r="G111" i="20"/>
  <c r="AC24" i="20"/>
  <c r="L109" i="20"/>
  <c r="L111" i="20"/>
  <c r="AF24" i="20"/>
  <c r="O109" i="20"/>
  <c r="O111" i="20"/>
  <c r="AG24" i="20"/>
  <c r="P111" i="20"/>
  <c r="P109" i="20"/>
  <c r="V24" i="20"/>
  <c r="E111" i="20"/>
  <c r="Q109" i="20"/>
  <c r="Q111" i="20"/>
  <c r="AA24" i="20"/>
  <c r="AH24" i="20"/>
  <c r="R58" i="20"/>
  <c r="S4" i="20" l="1"/>
  <c r="S3" i="20"/>
  <c r="R4" i="20"/>
  <c r="R3" i="20"/>
  <c r="R9" i="20" l="1"/>
  <c r="S9" i="20"/>
  <c r="AJ4" i="20"/>
  <c r="M167" i="19"/>
  <c r="M168" i="19"/>
  <c r="M169" i="19"/>
  <c r="M170" i="19"/>
  <c r="M171" i="19"/>
  <c r="M172" i="19"/>
  <c r="M173" i="19"/>
  <c r="M174" i="19"/>
  <c r="M175" i="19"/>
  <c r="M176" i="19"/>
  <c r="M177" i="19"/>
  <c r="M178" i="19"/>
  <c r="M179" i="19"/>
  <c r="M180" i="19"/>
  <c r="M181" i="19"/>
  <c r="M182" i="19"/>
  <c r="M166" i="19"/>
  <c r="M149" i="19"/>
  <c r="M150" i="19"/>
  <c r="M151" i="19"/>
  <c r="M152" i="19"/>
  <c r="M153" i="19"/>
  <c r="M154" i="19"/>
  <c r="M155" i="19"/>
  <c r="M156" i="19"/>
  <c r="M157" i="19"/>
  <c r="M158" i="19"/>
  <c r="M159" i="19"/>
  <c r="M160" i="19"/>
  <c r="M161" i="19"/>
  <c r="M162" i="19"/>
  <c r="M163" i="19"/>
  <c r="M164" i="19"/>
  <c r="M148" i="19"/>
  <c r="M131" i="19"/>
  <c r="M132" i="19"/>
  <c r="M133" i="19"/>
  <c r="M134" i="19"/>
  <c r="M135" i="19"/>
  <c r="M136" i="19"/>
  <c r="M137" i="19"/>
  <c r="M138" i="19"/>
  <c r="M139" i="19"/>
  <c r="M140" i="19"/>
  <c r="M141" i="19"/>
  <c r="M142" i="19"/>
  <c r="M143" i="19"/>
  <c r="M144" i="19"/>
  <c r="M145" i="19"/>
  <c r="M146" i="19"/>
  <c r="M130" i="19"/>
  <c r="M113" i="19"/>
  <c r="M114" i="19"/>
  <c r="M115" i="19"/>
  <c r="M116" i="19"/>
  <c r="M117" i="19"/>
  <c r="M118" i="19"/>
  <c r="M119" i="19"/>
  <c r="M120" i="19"/>
  <c r="M121" i="19"/>
  <c r="M122" i="19"/>
  <c r="M123" i="19"/>
  <c r="M124" i="19"/>
  <c r="M125" i="19"/>
  <c r="M126" i="19"/>
  <c r="M127" i="19"/>
  <c r="M128" i="19"/>
  <c r="M112" i="19"/>
  <c r="M96" i="19"/>
  <c r="M97" i="19"/>
  <c r="M98" i="19"/>
  <c r="M99" i="19"/>
  <c r="M100" i="19"/>
  <c r="M101" i="19"/>
  <c r="M102" i="19"/>
  <c r="M103" i="19"/>
  <c r="M104" i="19"/>
  <c r="M105" i="19"/>
  <c r="M106" i="19"/>
  <c r="M107" i="19"/>
  <c r="M108" i="19"/>
  <c r="M109" i="19"/>
  <c r="M110" i="19"/>
  <c r="M94" i="19"/>
  <c r="M77" i="19"/>
  <c r="M78" i="19"/>
  <c r="M79" i="19"/>
  <c r="M80" i="19"/>
  <c r="M81" i="19"/>
  <c r="M82" i="19"/>
  <c r="M83" i="19"/>
  <c r="M84" i="19"/>
  <c r="M85" i="19"/>
  <c r="M86" i="19"/>
  <c r="M87" i="19"/>
  <c r="M88" i="19"/>
  <c r="M89" i="19"/>
  <c r="M90" i="19"/>
  <c r="M91" i="19"/>
  <c r="M92" i="19"/>
  <c r="M76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58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56" i="19"/>
  <c r="M40" i="19"/>
  <c r="L254" i="19"/>
  <c r="M254" i="19" s="1"/>
  <c r="L253" i="19"/>
  <c r="M253" i="19" s="1"/>
  <c r="L252" i="19"/>
  <c r="M252" i="19" s="1"/>
  <c r="L251" i="19"/>
  <c r="M251" i="19" s="1"/>
  <c r="L250" i="19"/>
  <c r="M250" i="19" s="1"/>
  <c r="L249" i="19"/>
  <c r="M249" i="19" s="1"/>
  <c r="L248" i="19"/>
  <c r="M248" i="19" s="1"/>
  <c r="L247" i="19"/>
  <c r="M247" i="19" s="1"/>
  <c r="L246" i="19"/>
  <c r="M246" i="19" s="1"/>
  <c r="L245" i="19"/>
  <c r="M245" i="19" s="1"/>
  <c r="L244" i="19"/>
  <c r="M244" i="19" s="1"/>
  <c r="L243" i="19"/>
  <c r="M243" i="19" s="1"/>
  <c r="L242" i="19"/>
  <c r="M242" i="19" s="1"/>
  <c r="L241" i="19"/>
  <c r="M241" i="19" s="1"/>
  <c r="L240" i="19"/>
  <c r="M240" i="19" s="1"/>
  <c r="L239" i="19"/>
  <c r="M239" i="19" s="1"/>
  <c r="L238" i="19"/>
  <c r="M238" i="19" s="1"/>
  <c r="L237" i="19"/>
  <c r="L236" i="19"/>
  <c r="M236" i="19" s="1"/>
  <c r="N236" i="19" s="1"/>
  <c r="L235" i="19"/>
  <c r="M235" i="19" s="1"/>
  <c r="L234" i="19"/>
  <c r="M234" i="19" s="1"/>
  <c r="N234" i="19" s="1"/>
  <c r="L233" i="19"/>
  <c r="M233" i="19" s="1"/>
  <c r="N233" i="19" s="1"/>
  <c r="L232" i="19"/>
  <c r="M232" i="19" s="1"/>
  <c r="N232" i="19" s="1"/>
  <c r="L231" i="19"/>
  <c r="M231" i="19" s="1"/>
  <c r="N231" i="19" s="1"/>
  <c r="L230" i="19"/>
  <c r="M230" i="19" s="1"/>
  <c r="L229" i="19"/>
  <c r="M229" i="19" s="1"/>
  <c r="L228" i="19"/>
  <c r="M228" i="19" s="1"/>
  <c r="L227" i="19"/>
  <c r="M227" i="19" s="1"/>
  <c r="L226" i="19"/>
  <c r="M226" i="19" s="1"/>
  <c r="L225" i="19"/>
  <c r="M225" i="19" s="1"/>
  <c r="L224" i="19"/>
  <c r="M224" i="19" s="1"/>
  <c r="L223" i="19"/>
  <c r="M223" i="19" s="1"/>
  <c r="N223" i="19" s="1"/>
  <c r="L222" i="19"/>
  <c r="M222" i="19" s="1"/>
  <c r="N222" i="19" s="1"/>
  <c r="L221" i="19"/>
  <c r="M221" i="19" s="1"/>
  <c r="N221" i="19" s="1"/>
  <c r="L220" i="19"/>
  <c r="M220" i="19" s="1"/>
  <c r="N220" i="19" s="1"/>
  <c r="L219" i="19"/>
  <c r="L218" i="19"/>
  <c r="M218" i="19" s="1"/>
  <c r="L217" i="19"/>
  <c r="M217" i="19" s="1"/>
  <c r="L216" i="19"/>
  <c r="M216" i="19" s="1"/>
  <c r="L215" i="19"/>
  <c r="M215" i="19" s="1"/>
  <c r="L214" i="19"/>
  <c r="M214" i="19" s="1"/>
  <c r="L213" i="19"/>
  <c r="M213" i="19" s="1"/>
  <c r="L212" i="19"/>
  <c r="M212" i="19" s="1"/>
  <c r="L211" i="19"/>
  <c r="M211" i="19" s="1"/>
  <c r="L210" i="19"/>
  <c r="M210" i="19" s="1"/>
  <c r="L209" i="19"/>
  <c r="M209" i="19" s="1"/>
  <c r="L208" i="19"/>
  <c r="M208" i="19" s="1"/>
  <c r="L207" i="19"/>
  <c r="M207" i="19" s="1"/>
  <c r="L206" i="19"/>
  <c r="M206" i="19" s="1"/>
  <c r="L205" i="19"/>
  <c r="M205" i="19" s="1"/>
  <c r="L204" i="19"/>
  <c r="M204" i="19" s="1"/>
  <c r="L203" i="19"/>
  <c r="M203" i="19" s="1"/>
  <c r="L202" i="19"/>
  <c r="M202" i="19" s="1"/>
  <c r="L201" i="19"/>
  <c r="M200" i="19"/>
  <c r="L200" i="19"/>
  <c r="L199" i="19"/>
  <c r="M199" i="19" s="1"/>
  <c r="L198" i="19"/>
  <c r="M198" i="19" s="1"/>
  <c r="L197" i="19"/>
  <c r="M197" i="19" s="1"/>
  <c r="L196" i="19"/>
  <c r="M196" i="19" s="1"/>
  <c r="L195" i="19"/>
  <c r="M195" i="19" s="1"/>
  <c r="L194" i="19"/>
  <c r="M194" i="19" s="1"/>
  <c r="L193" i="19"/>
  <c r="M193" i="19" s="1"/>
  <c r="L192" i="19"/>
  <c r="M192" i="19" s="1"/>
  <c r="L191" i="19"/>
  <c r="M191" i="19" s="1"/>
  <c r="N191" i="19" s="1"/>
  <c r="L190" i="19"/>
  <c r="M190" i="19" s="1"/>
  <c r="L189" i="19"/>
  <c r="M189" i="19" s="1"/>
  <c r="L188" i="19"/>
  <c r="M188" i="19" s="1"/>
  <c r="N188" i="19" s="1"/>
  <c r="L187" i="19"/>
  <c r="M187" i="19" s="1"/>
  <c r="L186" i="19"/>
  <c r="M186" i="19" s="1"/>
  <c r="N186" i="19" s="1"/>
  <c r="L185" i="19"/>
  <c r="M185" i="19" s="1"/>
  <c r="M184" i="19"/>
  <c r="L184" i="19"/>
  <c r="L183" i="19"/>
  <c r="L182" i="19"/>
  <c r="L181" i="19"/>
  <c r="L180" i="19"/>
  <c r="L179" i="19"/>
  <c r="L178" i="19"/>
  <c r="L177" i="19"/>
  <c r="L176" i="19"/>
  <c r="L175" i="19"/>
  <c r="L174" i="19"/>
  <c r="L173" i="19"/>
  <c r="L172" i="19"/>
  <c r="L171" i="19"/>
  <c r="L170" i="19"/>
  <c r="L169" i="19"/>
  <c r="L168" i="19"/>
  <c r="L167" i="19"/>
  <c r="L166" i="19"/>
  <c r="L165" i="19"/>
  <c r="L164" i="19"/>
  <c r="L163" i="19"/>
  <c r="L162" i="19"/>
  <c r="L161" i="19"/>
  <c r="L160" i="19"/>
  <c r="L159" i="19"/>
  <c r="L158" i="19"/>
  <c r="L157" i="19"/>
  <c r="L156" i="19"/>
  <c r="L155" i="19"/>
  <c r="L154" i="19"/>
  <c r="L153" i="19"/>
  <c r="L152" i="19"/>
  <c r="L151" i="19"/>
  <c r="L150" i="19"/>
  <c r="L149" i="19"/>
  <c r="L148" i="19"/>
  <c r="L147" i="19"/>
  <c r="L146" i="19"/>
  <c r="L145" i="19"/>
  <c r="L144" i="19"/>
  <c r="L143" i="19"/>
  <c r="L142" i="19"/>
  <c r="L141" i="19"/>
  <c r="L140" i="19"/>
  <c r="L139" i="19"/>
  <c r="L138" i="19"/>
  <c r="L137" i="19"/>
  <c r="L136" i="19"/>
  <c r="L135" i="19"/>
  <c r="L134" i="19"/>
  <c r="L133" i="19"/>
  <c r="L132" i="19"/>
  <c r="L131" i="19"/>
  <c r="L130" i="19"/>
  <c r="L129" i="19"/>
  <c r="L128" i="19"/>
  <c r="L127" i="19"/>
  <c r="L126" i="19"/>
  <c r="L125" i="19"/>
  <c r="L124" i="19"/>
  <c r="L123" i="19"/>
  <c r="L122" i="19"/>
  <c r="L121" i="19"/>
  <c r="L120" i="19"/>
  <c r="L119" i="19"/>
  <c r="L118" i="19"/>
  <c r="L117" i="19"/>
  <c r="L116" i="19"/>
  <c r="L115" i="19"/>
  <c r="L114" i="19"/>
  <c r="L113" i="19"/>
  <c r="L112" i="19"/>
  <c r="L111" i="19"/>
  <c r="L110" i="19"/>
  <c r="L109" i="19"/>
  <c r="L108" i="19"/>
  <c r="L107" i="19"/>
  <c r="L106" i="19"/>
  <c r="L105" i="19"/>
  <c r="L104" i="19"/>
  <c r="L103" i="19"/>
  <c r="L102" i="19"/>
  <c r="L101" i="19"/>
  <c r="L100" i="19"/>
  <c r="L99" i="19"/>
  <c r="L98" i="19"/>
  <c r="L97" i="19"/>
  <c r="L96" i="19"/>
  <c r="L95" i="19"/>
  <c r="M95" i="19" s="1"/>
  <c r="L94" i="19"/>
  <c r="L93" i="19"/>
  <c r="L92" i="19"/>
  <c r="L91" i="19"/>
  <c r="L90" i="19"/>
  <c r="L89" i="19"/>
  <c r="L88" i="19"/>
  <c r="L87" i="19"/>
  <c r="L86" i="19"/>
  <c r="L85" i="19"/>
  <c r="L84" i="19"/>
  <c r="L83" i="19"/>
  <c r="L82" i="19"/>
  <c r="L81" i="19"/>
  <c r="L80" i="19"/>
  <c r="L79" i="19"/>
  <c r="L78" i="19"/>
  <c r="L77" i="19"/>
  <c r="L76" i="19"/>
  <c r="L75" i="19"/>
  <c r="L74" i="19"/>
  <c r="L73" i="19"/>
  <c r="L72" i="19"/>
  <c r="L71" i="19"/>
  <c r="L70" i="19"/>
  <c r="L69" i="19"/>
  <c r="L68" i="19"/>
  <c r="L67" i="19"/>
  <c r="L66" i="19"/>
  <c r="L65" i="19"/>
  <c r="L64" i="19"/>
  <c r="L63" i="19"/>
  <c r="L62" i="19"/>
  <c r="L61" i="19"/>
  <c r="L60" i="19"/>
  <c r="L59" i="19"/>
  <c r="L58" i="19"/>
  <c r="L57" i="19"/>
  <c r="L56" i="19"/>
  <c r="L55" i="19"/>
  <c r="L54" i="19"/>
  <c r="L53" i="19"/>
  <c r="L52" i="19"/>
  <c r="L51" i="19"/>
  <c r="L50" i="19"/>
  <c r="L49" i="19"/>
  <c r="L48" i="19"/>
  <c r="L47" i="19"/>
  <c r="L46" i="19"/>
  <c r="L45" i="19"/>
  <c r="L44" i="19"/>
  <c r="L43" i="19"/>
  <c r="L42" i="19"/>
  <c r="L41" i="19"/>
  <c r="L40" i="19"/>
  <c r="L39" i="19"/>
  <c r="AG254" i="19"/>
  <c r="AG253" i="19"/>
  <c r="AH253" i="19" s="1"/>
  <c r="AG252" i="19"/>
  <c r="AH252" i="19" s="1"/>
  <c r="AG251" i="19"/>
  <c r="AG250" i="19"/>
  <c r="AG249" i="19"/>
  <c r="AH249" i="19" s="1"/>
  <c r="AG248" i="19"/>
  <c r="AH248" i="19" s="1"/>
  <c r="AG247" i="19"/>
  <c r="AH247" i="19" s="1"/>
  <c r="AG246" i="19"/>
  <c r="AG245" i="19"/>
  <c r="AG244" i="19"/>
  <c r="AG243" i="19"/>
  <c r="AG242" i="19"/>
  <c r="AG241" i="19"/>
  <c r="AH241" i="19" s="1"/>
  <c r="AG240" i="19"/>
  <c r="AH240" i="19" s="1"/>
  <c r="AG239" i="19"/>
  <c r="AH239" i="19" s="1"/>
  <c r="AG238" i="19"/>
  <c r="AG237" i="19"/>
  <c r="AG236" i="19"/>
  <c r="AG235" i="19"/>
  <c r="AG234" i="19"/>
  <c r="AG233" i="19"/>
  <c r="AH233" i="19" s="1"/>
  <c r="AG232" i="19"/>
  <c r="AH232" i="19" s="1"/>
  <c r="AG231" i="19"/>
  <c r="AG230" i="19"/>
  <c r="AG229" i="19"/>
  <c r="AG228" i="19"/>
  <c r="AG227" i="19"/>
  <c r="AG226" i="19"/>
  <c r="AH226" i="19" s="1"/>
  <c r="AG225" i="19"/>
  <c r="AG224" i="19"/>
  <c r="AG223" i="19"/>
  <c r="AH223" i="19" s="1"/>
  <c r="AH222" i="19"/>
  <c r="AI222" i="19" s="1"/>
  <c r="F70" i="20" s="1" a="1"/>
  <c r="F70" i="20" s="1"/>
  <c r="AG222" i="19"/>
  <c r="AG221" i="19"/>
  <c r="AG220" i="19"/>
  <c r="AG219" i="19"/>
  <c r="AG218" i="19"/>
  <c r="AG217" i="19"/>
  <c r="AG216" i="19"/>
  <c r="AG215" i="19"/>
  <c r="AG214" i="19"/>
  <c r="AG213" i="19"/>
  <c r="AG212" i="19"/>
  <c r="AH212" i="19" s="1"/>
  <c r="AG211" i="19"/>
  <c r="AH211" i="19" s="1"/>
  <c r="AG210" i="19"/>
  <c r="AG209" i="19"/>
  <c r="AG208" i="19"/>
  <c r="AG207" i="19"/>
  <c r="AG206" i="19"/>
  <c r="AG205" i="19"/>
  <c r="AG204" i="19"/>
  <c r="AG203" i="19"/>
  <c r="AG202" i="19"/>
  <c r="AG201" i="19"/>
  <c r="AG200" i="19"/>
  <c r="AH199" i="19"/>
  <c r="AG199" i="19"/>
  <c r="AG198" i="19"/>
  <c r="AG197" i="19"/>
  <c r="AG196" i="19"/>
  <c r="AG195" i="19"/>
  <c r="AG194" i="19"/>
  <c r="AG193" i="19"/>
  <c r="AG192" i="19"/>
  <c r="AG191" i="19"/>
  <c r="AG190" i="19"/>
  <c r="AH190" i="19" s="1"/>
  <c r="AG189" i="19"/>
  <c r="AG188" i="19"/>
  <c r="AG187" i="19"/>
  <c r="AG186" i="19"/>
  <c r="AG185" i="19"/>
  <c r="AG184" i="19"/>
  <c r="AG183" i="19"/>
  <c r="AG182" i="19"/>
  <c r="AG181" i="19"/>
  <c r="AG180" i="19"/>
  <c r="AG179" i="19"/>
  <c r="AG178" i="19"/>
  <c r="AG177" i="19"/>
  <c r="AG176" i="19"/>
  <c r="AG175" i="19"/>
  <c r="AG174" i="19"/>
  <c r="AG173" i="19"/>
  <c r="AG172" i="19"/>
  <c r="AG171" i="19"/>
  <c r="AG170" i="19"/>
  <c r="AG169" i="19"/>
  <c r="AG168" i="19"/>
  <c r="AG167" i="19"/>
  <c r="AG166" i="19"/>
  <c r="AG165" i="19"/>
  <c r="AG164" i="19"/>
  <c r="AG163" i="19"/>
  <c r="AG162" i="19"/>
  <c r="AG161" i="19"/>
  <c r="AG160" i="19"/>
  <c r="AH160" i="19" s="1"/>
  <c r="AG159" i="19"/>
  <c r="AH159" i="19" s="1"/>
  <c r="AG158" i="19"/>
  <c r="AG157" i="19"/>
  <c r="AG156" i="19"/>
  <c r="AH156" i="19" s="1"/>
  <c r="AG155" i="19"/>
  <c r="AG154" i="19"/>
  <c r="AG153" i="19"/>
  <c r="AG152" i="19"/>
  <c r="AG151" i="19"/>
  <c r="AG150" i="19"/>
  <c r="AH150" i="19" s="1"/>
  <c r="AG149" i="19"/>
  <c r="AH149" i="19" s="1"/>
  <c r="AG148" i="19"/>
  <c r="AH148" i="19" s="1"/>
  <c r="AI148" i="19" s="1"/>
  <c r="AG147" i="19"/>
  <c r="AG146" i="19"/>
  <c r="AG145" i="19"/>
  <c r="AG144" i="19"/>
  <c r="AG143" i="19"/>
  <c r="AG142" i="19"/>
  <c r="AG141" i="19"/>
  <c r="AG140" i="19"/>
  <c r="AG139" i="19"/>
  <c r="AH139" i="19" s="1"/>
  <c r="AG138" i="19"/>
  <c r="AH138" i="19" s="1"/>
  <c r="AG137" i="19"/>
  <c r="AG136" i="19"/>
  <c r="AG135" i="19"/>
  <c r="AG134" i="19"/>
  <c r="AG133" i="19"/>
  <c r="AG132" i="19"/>
  <c r="AG131" i="19"/>
  <c r="AG130" i="19"/>
  <c r="AG129" i="19"/>
  <c r="AG128" i="19"/>
  <c r="AG127" i="19"/>
  <c r="AH127" i="19" s="1"/>
  <c r="AG126" i="19"/>
  <c r="AH126" i="19" s="1"/>
  <c r="AG125" i="19"/>
  <c r="AH125" i="19" s="1"/>
  <c r="AG124" i="19"/>
  <c r="AG123" i="19"/>
  <c r="AG122" i="19"/>
  <c r="AG121" i="19"/>
  <c r="AG120" i="19"/>
  <c r="AG119" i="19"/>
  <c r="AG118" i="19"/>
  <c r="AH117" i="19"/>
  <c r="AG117" i="19"/>
  <c r="AG116" i="19"/>
  <c r="AG115" i="19"/>
  <c r="AG114" i="19"/>
  <c r="AG113" i="19"/>
  <c r="AH113" i="19" s="1"/>
  <c r="AG112" i="19"/>
  <c r="AG111" i="19"/>
  <c r="AG110" i="19"/>
  <c r="AG109" i="19"/>
  <c r="AH108" i="19"/>
  <c r="AG108" i="19"/>
  <c r="AG107" i="19"/>
  <c r="AG106" i="19"/>
  <c r="AG105" i="19"/>
  <c r="AG104" i="19"/>
  <c r="AG103" i="19"/>
  <c r="AG102" i="19"/>
  <c r="AH102" i="19" s="1"/>
  <c r="AH101" i="19"/>
  <c r="AG101" i="19"/>
  <c r="AG100" i="19"/>
  <c r="AG99" i="19"/>
  <c r="AG98" i="19"/>
  <c r="AG97" i="19"/>
  <c r="AG96" i="19"/>
  <c r="AG95" i="19"/>
  <c r="AH95" i="19" s="1"/>
  <c r="AG94" i="19"/>
  <c r="AG93" i="19"/>
  <c r="AG92" i="19"/>
  <c r="AG91" i="19"/>
  <c r="AG90" i="19"/>
  <c r="AG89" i="19"/>
  <c r="AG88" i="19"/>
  <c r="AG87" i="19"/>
  <c r="AG86" i="19"/>
  <c r="AH86" i="19" s="1"/>
  <c r="AG85" i="19"/>
  <c r="AG84" i="19"/>
  <c r="AG83" i="19"/>
  <c r="AG82" i="19"/>
  <c r="AG81" i="19"/>
  <c r="AG80" i="19"/>
  <c r="AG79" i="19"/>
  <c r="AG78" i="19"/>
  <c r="AG77" i="19"/>
  <c r="AG76" i="19"/>
  <c r="AG75" i="19"/>
  <c r="AG74" i="19"/>
  <c r="AG73" i="19"/>
  <c r="AG72" i="19"/>
  <c r="AG71" i="19"/>
  <c r="AG70" i="19"/>
  <c r="AG69" i="19"/>
  <c r="AG68" i="19"/>
  <c r="AG67" i="19"/>
  <c r="AG66" i="19"/>
  <c r="AG65" i="19"/>
  <c r="AG64" i="19"/>
  <c r="AG63" i="19"/>
  <c r="AG62" i="19"/>
  <c r="AG61" i="19"/>
  <c r="AG60" i="19"/>
  <c r="AG59" i="19"/>
  <c r="AG58" i="19"/>
  <c r="AG57" i="19"/>
  <c r="AG56" i="19"/>
  <c r="AG55" i="19"/>
  <c r="AG54" i="19"/>
  <c r="AH54" i="19" s="1"/>
  <c r="AG53" i="19"/>
  <c r="AG52" i="19"/>
  <c r="AG51" i="19"/>
  <c r="AG50" i="19"/>
  <c r="AG49" i="19"/>
  <c r="AG48" i="19"/>
  <c r="AG47" i="19"/>
  <c r="AG46" i="19"/>
  <c r="AG45" i="19"/>
  <c r="AG44" i="19"/>
  <c r="AH44" i="19" s="1"/>
  <c r="AG43" i="19"/>
  <c r="AG42" i="19"/>
  <c r="AG41" i="19"/>
  <c r="AG40" i="19"/>
  <c r="AG39" i="19"/>
  <c r="AA114" i="19"/>
  <c r="AA118" i="19"/>
  <c r="AA122" i="19"/>
  <c r="AA127" i="19"/>
  <c r="AA239" i="19"/>
  <c r="AA240" i="19"/>
  <c r="AA243" i="19"/>
  <c r="AA244" i="19"/>
  <c r="AA247" i="19"/>
  <c r="AA249" i="19"/>
  <c r="AA251" i="19"/>
  <c r="AA252" i="19"/>
  <c r="AA224" i="19"/>
  <c r="AA228" i="19"/>
  <c r="AA236" i="19"/>
  <c r="AA203" i="19"/>
  <c r="AA204" i="19"/>
  <c r="AA207" i="19"/>
  <c r="AA208" i="19"/>
  <c r="AA211" i="19"/>
  <c r="AA213" i="19"/>
  <c r="AA215" i="19"/>
  <c r="AA216" i="19"/>
  <c r="AA194" i="19"/>
  <c r="AB194" i="19" s="1"/>
  <c r="N88" i="20" s="1" a="1"/>
  <c r="N88" i="20" s="1"/>
  <c r="AA195" i="19"/>
  <c r="AA198" i="19"/>
  <c r="AA166" i="19"/>
  <c r="AA151" i="19"/>
  <c r="AA156" i="19"/>
  <c r="AA163" i="19"/>
  <c r="AA131" i="19"/>
  <c r="AA132" i="19"/>
  <c r="AA135" i="19"/>
  <c r="AA141" i="19"/>
  <c r="AA143" i="19"/>
  <c r="AA144" i="19"/>
  <c r="AA130" i="19"/>
  <c r="AA97" i="19"/>
  <c r="AA86" i="19"/>
  <c r="AA43" i="19"/>
  <c r="AA44" i="19"/>
  <c r="AA48" i="19"/>
  <c r="AA51" i="19"/>
  <c r="Z254" i="19"/>
  <c r="AA254" i="19" s="1"/>
  <c r="Z253" i="19"/>
  <c r="AA253" i="19" s="1"/>
  <c r="Z252" i="19"/>
  <c r="Z251" i="19"/>
  <c r="Z250" i="19"/>
  <c r="AA250" i="19" s="1"/>
  <c r="Z249" i="19"/>
  <c r="Z248" i="19"/>
  <c r="AA248" i="19" s="1"/>
  <c r="Z247" i="19"/>
  <c r="Z246" i="19"/>
  <c r="AA246" i="19" s="1"/>
  <c r="Z245" i="19"/>
  <c r="AA245" i="19" s="1"/>
  <c r="Z244" i="19"/>
  <c r="Z243" i="19"/>
  <c r="Z242" i="19"/>
  <c r="AA242" i="19" s="1"/>
  <c r="Z241" i="19"/>
  <c r="AA241" i="19" s="1"/>
  <c r="Z240" i="19"/>
  <c r="Z239" i="19"/>
  <c r="Z238" i="19"/>
  <c r="AA238" i="19" s="1"/>
  <c r="Z237" i="19"/>
  <c r="AH230" i="19" s="1"/>
  <c r="AI230" i="19" s="1"/>
  <c r="N70" i="20" s="1" a="1"/>
  <c r="N70" i="20" s="1"/>
  <c r="Z236" i="19"/>
  <c r="Z235" i="19"/>
  <c r="AA235" i="19" s="1"/>
  <c r="AB235" i="19" s="1"/>
  <c r="Z234" i="19"/>
  <c r="AA234" i="19" s="1"/>
  <c r="Z233" i="19"/>
  <c r="AA233" i="19" s="1"/>
  <c r="Z232" i="19"/>
  <c r="AA232" i="19" s="1"/>
  <c r="Z231" i="19"/>
  <c r="AA231" i="19" s="1"/>
  <c r="Z230" i="19"/>
  <c r="AA230" i="19" s="1"/>
  <c r="Z229" i="19"/>
  <c r="AA229" i="19" s="1"/>
  <c r="Z228" i="19"/>
  <c r="Z227" i="19"/>
  <c r="AA227" i="19" s="1"/>
  <c r="Z226" i="19"/>
  <c r="AA226" i="19" s="1"/>
  <c r="Z225" i="19"/>
  <c r="AA225" i="19" s="1"/>
  <c r="AB225" i="19" s="1"/>
  <c r="I66" i="20" s="1" a="1"/>
  <c r="I66" i="20" s="1"/>
  <c r="Z224" i="19"/>
  <c r="Z223" i="19"/>
  <c r="AA223" i="19" s="1"/>
  <c r="Z222" i="19"/>
  <c r="AA222" i="19" s="1"/>
  <c r="Z221" i="19"/>
  <c r="AA221" i="19" s="1"/>
  <c r="Z220" i="19"/>
  <c r="Z219" i="19"/>
  <c r="Z218" i="19"/>
  <c r="AA218" i="19" s="1"/>
  <c r="Z217" i="19"/>
  <c r="AA217" i="19" s="1"/>
  <c r="Z216" i="19"/>
  <c r="Z215" i="19"/>
  <c r="Z214" i="19"/>
  <c r="AA214" i="19" s="1"/>
  <c r="Z213" i="19"/>
  <c r="Z212" i="19"/>
  <c r="AA212" i="19" s="1"/>
  <c r="Z211" i="19"/>
  <c r="Z210" i="19"/>
  <c r="AA210" i="19" s="1"/>
  <c r="Z209" i="19"/>
  <c r="AA209" i="19" s="1"/>
  <c r="Z208" i="19"/>
  <c r="Z207" i="19"/>
  <c r="Z206" i="19"/>
  <c r="AA206" i="19" s="1"/>
  <c r="Z205" i="19"/>
  <c r="AA205" i="19" s="1"/>
  <c r="Z204" i="19"/>
  <c r="Z203" i="19"/>
  <c r="Z202" i="19"/>
  <c r="AA202" i="19" s="1"/>
  <c r="Z201" i="19"/>
  <c r="Z200" i="19"/>
  <c r="AA200" i="19" s="1"/>
  <c r="Z199" i="19"/>
  <c r="AA199" i="19" s="1"/>
  <c r="AB199" i="19" s="1"/>
  <c r="S88" i="20" s="1" a="1"/>
  <c r="S88" i="20" s="1"/>
  <c r="Z198" i="19"/>
  <c r="Z197" i="19"/>
  <c r="AA197" i="19" s="1"/>
  <c r="Z196" i="19"/>
  <c r="Z195" i="19"/>
  <c r="Z194" i="19"/>
  <c r="Z193" i="19"/>
  <c r="Z192" i="19"/>
  <c r="Z191" i="19"/>
  <c r="AA191" i="19" s="1"/>
  <c r="Z190" i="19"/>
  <c r="Z189" i="19"/>
  <c r="Z188" i="19"/>
  <c r="AA188" i="19" s="1"/>
  <c r="Z187" i="19"/>
  <c r="AA187" i="19" s="1"/>
  <c r="AB187" i="19" s="1"/>
  <c r="G88" i="20" s="1" a="1"/>
  <c r="G88" i="20" s="1"/>
  <c r="Z186" i="19"/>
  <c r="AA186" i="19" s="1"/>
  <c r="Z185" i="19"/>
  <c r="Z184" i="19"/>
  <c r="Z183" i="19"/>
  <c r="AA190" i="19" s="1"/>
  <c r="AB190" i="19" s="1"/>
  <c r="J88" i="20" s="1" a="1"/>
  <c r="J88" i="20" s="1"/>
  <c r="Z182" i="19"/>
  <c r="Z181" i="19"/>
  <c r="Z180" i="19"/>
  <c r="Z179" i="19"/>
  <c r="Z178" i="19"/>
  <c r="Z177" i="19"/>
  <c r="Z176" i="19"/>
  <c r="Z175" i="19"/>
  <c r="Z174" i="19"/>
  <c r="Z173" i="19"/>
  <c r="Z172" i="19"/>
  <c r="Z171" i="19"/>
  <c r="Z170" i="19"/>
  <c r="Z169" i="19"/>
  <c r="Z168" i="19"/>
  <c r="Z167" i="19"/>
  <c r="Z166" i="19"/>
  <c r="Z165" i="19"/>
  <c r="AH166" i="19" s="1"/>
  <c r="Z164" i="19"/>
  <c r="AA164" i="19" s="1"/>
  <c r="Z163" i="19"/>
  <c r="Z162" i="19"/>
  <c r="Z161" i="19"/>
  <c r="AA161" i="19" s="1"/>
  <c r="Z160" i="19"/>
  <c r="AA160" i="19" s="1"/>
  <c r="Z159" i="19"/>
  <c r="AA159" i="19" s="1"/>
  <c r="Z158" i="19"/>
  <c r="Z157" i="19"/>
  <c r="AA157" i="19" s="1"/>
  <c r="Z156" i="19"/>
  <c r="Z155" i="19"/>
  <c r="AA155" i="19" s="1"/>
  <c r="Z154" i="19"/>
  <c r="AA154" i="19" s="1"/>
  <c r="Z153" i="19"/>
  <c r="Z152" i="19"/>
  <c r="AA152" i="19" s="1"/>
  <c r="Z151" i="19"/>
  <c r="Z150" i="19"/>
  <c r="AA150" i="19" s="1"/>
  <c r="Z149" i="19"/>
  <c r="AA149" i="19" s="1"/>
  <c r="Z148" i="19"/>
  <c r="AA148" i="19" s="1"/>
  <c r="AB148" i="19" s="1"/>
  <c r="D87" i="20" s="1" a="1"/>
  <c r="D87" i="20" s="1"/>
  <c r="Z147" i="19"/>
  <c r="AA162" i="19" s="1"/>
  <c r="Z146" i="19"/>
  <c r="AA146" i="19" s="1"/>
  <c r="Z145" i="19"/>
  <c r="AA145" i="19" s="1"/>
  <c r="Z144" i="19"/>
  <c r="Z143" i="19"/>
  <c r="Z142" i="19"/>
  <c r="AA142" i="19" s="1"/>
  <c r="Z141" i="19"/>
  <c r="Z140" i="19"/>
  <c r="AA140" i="19" s="1"/>
  <c r="AB122" i="19" s="1"/>
  <c r="N86" i="20" s="1" a="1"/>
  <c r="N86" i="20" s="1"/>
  <c r="Z139" i="19"/>
  <c r="AA139" i="19" s="1"/>
  <c r="Z138" i="19"/>
  <c r="AA138" i="19" s="1"/>
  <c r="Z137" i="19"/>
  <c r="AA137" i="19" s="1"/>
  <c r="Z136" i="19"/>
  <c r="AA136" i="19" s="1"/>
  <c r="AB118" i="19" s="1"/>
  <c r="J86" i="20" s="1" a="1"/>
  <c r="J86" i="20" s="1"/>
  <c r="Z135" i="19"/>
  <c r="Z134" i="19"/>
  <c r="AA134" i="19" s="1"/>
  <c r="AB116" i="19" s="1"/>
  <c r="H86" i="20" s="1" a="1"/>
  <c r="H86" i="20" s="1"/>
  <c r="Z133" i="19"/>
  <c r="AA133" i="19" s="1"/>
  <c r="Z132" i="19"/>
  <c r="Z131" i="19"/>
  <c r="Z130" i="19"/>
  <c r="Z129" i="19"/>
  <c r="Z128" i="19"/>
  <c r="AA128" i="19" s="1"/>
  <c r="Z127" i="19"/>
  <c r="Z126" i="19"/>
  <c r="AA126" i="19" s="1"/>
  <c r="Z125" i="19"/>
  <c r="AA125" i="19" s="1"/>
  <c r="Z124" i="19"/>
  <c r="AA124" i="19" s="1"/>
  <c r="AB124" i="19" s="1"/>
  <c r="P86" i="20" s="1" a="1"/>
  <c r="P86" i="20" s="1"/>
  <c r="Z123" i="19"/>
  <c r="AA123" i="19" s="1"/>
  <c r="Z122" i="19"/>
  <c r="Z121" i="19"/>
  <c r="AA121" i="19" s="1"/>
  <c r="Z120" i="19"/>
  <c r="AA120" i="19" s="1"/>
  <c r="Z119" i="19"/>
  <c r="Z118" i="19"/>
  <c r="Z117" i="19"/>
  <c r="AA117" i="19" s="1"/>
  <c r="Z116" i="19"/>
  <c r="AA116" i="19" s="1"/>
  <c r="Z115" i="19"/>
  <c r="AA115" i="19" s="1"/>
  <c r="Z114" i="19"/>
  <c r="Z113" i="19"/>
  <c r="AA113" i="19" s="1"/>
  <c r="AB112" i="19"/>
  <c r="D86" i="20" s="1" a="1"/>
  <c r="D86" i="20" s="1"/>
  <c r="Z112" i="19"/>
  <c r="Z111" i="19"/>
  <c r="AA112" i="19" s="1"/>
  <c r="Z110" i="19"/>
  <c r="AA110" i="19" s="1"/>
  <c r="Z109" i="19"/>
  <c r="Z108" i="19"/>
  <c r="Z107" i="19"/>
  <c r="AA107" i="19" s="1"/>
  <c r="Z106" i="19"/>
  <c r="AA106" i="19" s="1"/>
  <c r="Z105" i="19"/>
  <c r="AA105" i="19" s="1"/>
  <c r="Z104" i="19"/>
  <c r="AA104" i="19" s="1"/>
  <c r="Z103" i="19"/>
  <c r="Z102" i="19"/>
  <c r="AA102" i="19" s="1"/>
  <c r="Z101" i="19"/>
  <c r="AA101" i="19" s="1"/>
  <c r="Z100" i="19"/>
  <c r="Z99" i="19"/>
  <c r="AA99" i="19" s="1"/>
  <c r="Z98" i="19"/>
  <c r="AA98" i="19" s="1"/>
  <c r="Z97" i="19"/>
  <c r="Z96" i="19"/>
  <c r="Z95" i="19"/>
  <c r="AA95" i="19" s="1"/>
  <c r="Z94" i="19"/>
  <c r="AA94" i="19" s="1"/>
  <c r="Z93" i="19"/>
  <c r="Z92" i="19"/>
  <c r="Z91" i="19"/>
  <c r="Z90" i="19"/>
  <c r="AA90" i="19" s="1"/>
  <c r="Z89" i="19"/>
  <c r="AA89" i="19" s="1"/>
  <c r="AB89" i="19" s="1"/>
  <c r="Z88" i="19"/>
  <c r="Z87" i="19"/>
  <c r="AA87" i="19" s="1"/>
  <c r="Z86" i="19"/>
  <c r="Z85" i="19"/>
  <c r="Z84" i="19"/>
  <c r="Z83" i="19"/>
  <c r="Z82" i="19"/>
  <c r="Z81" i="19"/>
  <c r="Z80" i="19"/>
  <c r="Z79" i="19"/>
  <c r="AA79" i="19" s="1"/>
  <c r="Z78" i="19"/>
  <c r="AA78" i="19" s="1"/>
  <c r="Z77" i="19"/>
  <c r="Z76" i="19"/>
  <c r="AA76" i="19" s="1"/>
  <c r="Z75" i="19"/>
  <c r="AA82" i="19" s="1"/>
  <c r="Z74" i="19"/>
  <c r="Z73" i="19"/>
  <c r="Z72" i="19"/>
  <c r="Z71" i="19"/>
  <c r="Z70" i="19"/>
  <c r="AA70" i="19" s="1"/>
  <c r="Z69" i="19"/>
  <c r="Z68" i="19"/>
  <c r="Z67" i="19"/>
  <c r="AA67" i="19" s="1"/>
  <c r="Z66" i="19"/>
  <c r="AA66" i="19" s="1"/>
  <c r="Z65" i="19"/>
  <c r="Z64" i="19"/>
  <c r="AA64" i="19" s="1"/>
  <c r="Z63" i="19"/>
  <c r="Z62" i="19"/>
  <c r="Z61" i="19"/>
  <c r="Z60" i="19"/>
  <c r="Z59" i="19"/>
  <c r="AA59" i="19" s="1"/>
  <c r="Z58" i="19"/>
  <c r="Z57" i="19"/>
  <c r="Z56" i="19"/>
  <c r="Z55" i="19"/>
  <c r="AA55" i="19" s="1"/>
  <c r="Z54" i="19"/>
  <c r="AA54" i="19" s="1"/>
  <c r="Z53" i="19"/>
  <c r="Z52" i="19"/>
  <c r="Z51" i="19"/>
  <c r="Z50" i="19"/>
  <c r="Z49" i="19"/>
  <c r="AA49" i="19" s="1"/>
  <c r="Z48" i="19"/>
  <c r="Z47" i="19"/>
  <c r="AA47" i="19" s="1"/>
  <c r="Z46" i="19"/>
  <c r="AA46" i="19" s="1"/>
  <c r="AB46" i="19" s="1"/>
  <c r="J83" i="20" s="1" a="1"/>
  <c r="J83" i="20" s="1"/>
  <c r="Z45" i="19"/>
  <c r="Z44" i="19"/>
  <c r="Z43" i="19"/>
  <c r="Z42" i="19"/>
  <c r="Z41" i="19"/>
  <c r="AA41" i="19" s="1"/>
  <c r="Z40" i="19"/>
  <c r="AA40" i="19" s="1"/>
  <c r="Z39" i="19"/>
  <c r="AH43" i="19" s="1"/>
  <c r="E3" i="26"/>
  <c r="F3" i="26"/>
  <c r="G3" i="26"/>
  <c r="E4" i="26"/>
  <c r="F4" i="26"/>
  <c r="G4" i="26"/>
  <c r="E5" i="26"/>
  <c r="F5" i="26"/>
  <c r="G5" i="26"/>
  <c r="E6" i="26"/>
  <c r="F6" i="26"/>
  <c r="G6" i="26"/>
  <c r="E7" i="26"/>
  <c r="F7" i="26"/>
  <c r="G7" i="26"/>
  <c r="E8" i="26"/>
  <c r="F8" i="26"/>
  <c r="G8" i="26"/>
  <c r="E9" i="26"/>
  <c r="F9" i="26"/>
  <c r="G9" i="26"/>
  <c r="E10" i="26"/>
  <c r="F10" i="26"/>
  <c r="G10" i="26"/>
  <c r="E11" i="26"/>
  <c r="F11" i="26"/>
  <c r="G11" i="26"/>
  <c r="E14" i="26"/>
  <c r="F14" i="26"/>
  <c r="G14" i="26"/>
  <c r="E15" i="26"/>
  <c r="F15" i="26"/>
  <c r="G15" i="26"/>
  <c r="E16" i="26"/>
  <c r="F16" i="26"/>
  <c r="G16" i="26"/>
  <c r="E17" i="26"/>
  <c r="F17" i="26"/>
  <c r="G17" i="26"/>
  <c r="E18" i="26"/>
  <c r="F18" i="26"/>
  <c r="G18" i="26"/>
  <c r="E19" i="26"/>
  <c r="F19" i="26"/>
  <c r="G19" i="26"/>
  <c r="E23" i="26"/>
  <c r="F23" i="26"/>
  <c r="G23" i="26"/>
  <c r="E24" i="26"/>
  <c r="F24" i="26"/>
  <c r="G24" i="26"/>
  <c r="E25" i="26"/>
  <c r="F25" i="26"/>
  <c r="G25" i="26"/>
  <c r="E26" i="26"/>
  <c r="F26" i="26"/>
  <c r="G26" i="26"/>
  <c r="E27" i="26"/>
  <c r="F27" i="26"/>
  <c r="G27" i="26"/>
  <c r="E28" i="26"/>
  <c r="F28" i="26"/>
  <c r="G28" i="26"/>
  <c r="E29" i="26"/>
  <c r="F29" i="26"/>
  <c r="G29" i="26"/>
  <c r="E30" i="26"/>
  <c r="F30" i="26"/>
  <c r="G30" i="26"/>
  <c r="E31" i="26"/>
  <c r="F31" i="26"/>
  <c r="G31" i="26"/>
  <c r="E32" i="26"/>
  <c r="F32" i="26"/>
  <c r="G32" i="26"/>
  <c r="E33" i="26"/>
  <c r="F33" i="26"/>
  <c r="G33" i="26"/>
  <c r="E34" i="26"/>
  <c r="F34" i="26"/>
  <c r="G34" i="26"/>
  <c r="E35" i="26"/>
  <c r="F35" i="26"/>
  <c r="G35" i="26"/>
  <c r="E36" i="26"/>
  <c r="F36" i="26"/>
  <c r="G36" i="26"/>
  <c r="F37" i="26"/>
  <c r="G37" i="26"/>
  <c r="F2" i="26"/>
  <c r="G2" i="26"/>
  <c r="E2" i="26"/>
  <c r="E3" i="24"/>
  <c r="F3" i="24"/>
  <c r="G3" i="24"/>
  <c r="E4" i="24"/>
  <c r="F4" i="24"/>
  <c r="G4" i="24"/>
  <c r="E5" i="24"/>
  <c r="F5" i="24"/>
  <c r="G5" i="24"/>
  <c r="E6" i="24"/>
  <c r="F6" i="24"/>
  <c r="G6" i="24"/>
  <c r="E7" i="24"/>
  <c r="F7" i="24"/>
  <c r="G7" i="24"/>
  <c r="E8" i="24"/>
  <c r="F8" i="24"/>
  <c r="G8" i="24"/>
  <c r="E9" i="24"/>
  <c r="F9" i="24"/>
  <c r="G9" i="24"/>
  <c r="E10" i="24"/>
  <c r="F10" i="24"/>
  <c r="G10" i="24"/>
  <c r="E11" i="24"/>
  <c r="F11" i="24"/>
  <c r="G11" i="24"/>
  <c r="E14" i="24"/>
  <c r="F14" i="24"/>
  <c r="G14" i="24"/>
  <c r="E15" i="24"/>
  <c r="F15" i="24"/>
  <c r="G15" i="24"/>
  <c r="E16" i="24"/>
  <c r="F16" i="24"/>
  <c r="G16" i="24"/>
  <c r="E17" i="24"/>
  <c r="F17" i="24"/>
  <c r="G17" i="24"/>
  <c r="E18" i="24"/>
  <c r="F18" i="24"/>
  <c r="G18" i="24"/>
  <c r="E19" i="24"/>
  <c r="F19" i="24"/>
  <c r="G19" i="24"/>
  <c r="E23" i="24"/>
  <c r="F23" i="24"/>
  <c r="G23" i="24"/>
  <c r="E24" i="24"/>
  <c r="F24" i="24"/>
  <c r="G24" i="24"/>
  <c r="E25" i="24"/>
  <c r="F25" i="24"/>
  <c r="G25" i="24"/>
  <c r="E26" i="24"/>
  <c r="F26" i="24"/>
  <c r="G26" i="24"/>
  <c r="E27" i="24"/>
  <c r="F27" i="24"/>
  <c r="G27" i="24"/>
  <c r="E28" i="24"/>
  <c r="F28" i="24"/>
  <c r="G28" i="24"/>
  <c r="E29" i="24"/>
  <c r="F29" i="24"/>
  <c r="G29" i="24"/>
  <c r="E30" i="24"/>
  <c r="F30" i="24"/>
  <c r="G30" i="24"/>
  <c r="E31" i="24"/>
  <c r="F31" i="24"/>
  <c r="G31" i="24"/>
  <c r="E32" i="24"/>
  <c r="F32" i="24"/>
  <c r="G32" i="24"/>
  <c r="E33" i="24"/>
  <c r="F33" i="24"/>
  <c r="G33" i="24"/>
  <c r="E34" i="24"/>
  <c r="F34" i="24"/>
  <c r="L7" i="24" s="1"/>
  <c r="G34" i="24"/>
  <c r="E35" i="24"/>
  <c r="F35" i="24"/>
  <c r="G35" i="24"/>
  <c r="E36" i="24"/>
  <c r="F36" i="24"/>
  <c r="G36" i="24"/>
  <c r="E37" i="24"/>
  <c r="F37" i="24"/>
  <c r="G37" i="24"/>
  <c r="F2" i="24"/>
  <c r="G2" i="24"/>
  <c r="E2" i="24"/>
  <c r="AJ37" i="20" l="1"/>
  <c r="AJ33" i="20"/>
  <c r="AJ18" i="20"/>
  <c r="AJ20" i="20"/>
  <c r="AJ19" i="20"/>
  <c r="AJ3" i="20"/>
  <c r="AI37" i="20"/>
  <c r="AI33" i="20"/>
  <c r="AI20" i="20"/>
  <c r="AI18" i="20"/>
  <c r="AI3" i="20"/>
  <c r="AI4" i="20"/>
  <c r="K6" i="26"/>
  <c r="K18" i="26"/>
  <c r="M9" i="26"/>
  <c r="L9" i="26"/>
  <c r="K8" i="26"/>
  <c r="M30" i="26"/>
  <c r="L30" i="26"/>
  <c r="K30" i="26"/>
  <c r="M18" i="26"/>
  <c r="L20" i="26"/>
  <c r="K19" i="26"/>
  <c r="K26" i="26"/>
  <c r="M26" i="26"/>
  <c r="L26" i="26"/>
  <c r="M20" i="26"/>
  <c r="K29" i="26"/>
  <c r="M29" i="26"/>
  <c r="L29" i="26"/>
  <c r="K27" i="26"/>
  <c r="M27" i="26"/>
  <c r="L27" i="26"/>
  <c r="K20" i="26"/>
  <c r="L18" i="26"/>
  <c r="N164" i="19"/>
  <c r="N89" i="19"/>
  <c r="N84" i="19"/>
  <c r="N86" i="19"/>
  <c r="N87" i="19"/>
  <c r="N44" i="19"/>
  <c r="N121" i="19"/>
  <c r="N148" i="19"/>
  <c r="N160" i="19"/>
  <c r="N184" i="19"/>
  <c r="N116" i="19"/>
  <c r="N128" i="19"/>
  <c r="N151" i="19"/>
  <c r="N152" i="19"/>
  <c r="N196" i="19"/>
  <c r="N163" i="19"/>
  <c r="N47" i="19"/>
  <c r="N122" i="19"/>
  <c r="N154" i="19"/>
  <c r="N91" i="19"/>
  <c r="N123" i="19"/>
  <c r="N155" i="19"/>
  <c r="N80" i="19"/>
  <c r="N92" i="19"/>
  <c r="N156" i="19"/>
  <c r="N113" i="19"/>
  <c r="N157" i="19"/>
  <c r="N185" i="19"/>
  <c r="N126" i="19"/>
  <c r="N227" i="19"/>
  <c r="N115" i="19"/>
  <c r="N229" i="19"/>
  <c r="N51" i="19"/>
  <c r="N54" i="19"/>
  <c r="N117" i="19"/>
  <c r="N200" i="19"/>
  <c r="N46" i="19"/>
  <c r="N190" i="19"/>
  <c r="N76" i="19"/>
  <c r="N88" i="19"/>
  <c r="N118" i="19"/>
  <c r="N49" i="19"/>
  <c r="N77" i="19"/>
  <c r="N120" i="19"/>
  <c r="N193" i="19"/>
  <c r="N79" i="19"/>
  <c r="N194" i="19"/>
  <c r="N192" i="19"/>
  <c r="N40" i="19"/>
  <c r="N52" i="19"/>
  <c r="N195" i="19"/>
  <c r="N41" i="19"/>
  <c r="N53" i="19"/>
  <c r="N187" i="19"/>
  <c r="N82" i="19"/>
  <c r="N112" i="19"/>
  <c r="N124" i="19"/>
  <c r="N43" i="19"/>
  <c r="N55" i="19"/>
  <c r="N161" i="19"/>
  <c r="N114" i="19"/>
  <c r="N153" i="19"/>
  <c r="N45" i="19"/>
  <c r="N85" i="19"/>
  <c r="N127" i="19"/>
  <c r="N189" i="19"/>
  <c r="N199" i="19"/>
  <c r="N48" i="19"/>
  <c r="N224" i="19"/>
  <c r="N225" i="19"/>
  <c r="N119" i="19"/>
  <c r="N50" i="19"/>
  <c r="N78" i="19"/>
  <c r="N90" i="19"/>
  <c r="N226" i="19"/>
  <c r="N235" i="19"/>
  <c r="N149" i="19"/>
  <c r="N158" i="19"/>
  <c r="N81" i="19"/>
  <c r="N150" i="19"/>
  <c r="N159" i="19"/>
  <c r="N228" i="19"/>
  <c r="N42" i="19"/>
  <c r="N83" i="19"/>
  <c r="N125" i="19"/>
  <c r="N197" i="19"/>
  <c r="N230" i="19"/>
  <c r="N56" i="19"/>
  <c r="N198" i="19"/>
  <c r="N162" i="19"/>
  <c r="AH64" i="19"/>
  <c r="AH76" i="19"/>
  <c r="AH53" i="19"/>
  <c r="AI53" i="19" s="1"/>
  <c r="AH65" i="19"/>
  <c r="AH77" i="19"/>
  <c r="AI77" i="19" s="1"/>
  <c r="AH99" i="19"/>
  <c r="AH200" i="19"/>
  <c r="AI223" i="19"/>
  <c r="AA73" i="19"/>
  <c r="AA65" i="19"/>
  <c r="AB47" i="19" s="1"/>
  <c r="AA68" i="19"/>
  <c r="AH55" i="19"/>
  <c r="AH180" i="19"/>
  <c r="AH191" i="19"/>
  <c r="AH51" i="19"/>
  <c r="AA53" i="19"/>
  <c r="AA42" i="19"/>
  <c r="AA45" i="19"/>
  <c r="AA50" i="19"/>
  <c r="AH100" i="19"/>
  <c r="AA96" i="19"/>
  <c r="AA108" i="19"/>
  <c r="AA100" i="19"/>
  <c r="AB82" i="19" s="1"/>
  <c r="J84" i="20" s="1" a="1"/>
  <c r="J84" i="20" s="1"/>
  <c r="AH105" i="19"/>
  <c r="AH103" i="19"/>
  <c r="AH109" i="19"/>
  <c r="AH96" i="19"/>
  <c r="AA103" i="19"/>
  <c r="AH82" i="19"/>
  <c r="AI82" i="19" s="1"/>
  <c r="AA158" i="19"/>
  <c r="AA109" i="19"/>
  <c r="AH47" i="19"/>
  <c r="AH94" i="19"/>
  <c r="AA170" i="19"/>
  <c r="AB152" i="19" s="1"/>
  <c r="H87" i="20" s="1" a="1"/>
  <c r="H87" i="20" s="1"/>
  <c r="AA58" i="19"/>
  <c r="AB40" i="19" s="1"/>
  <c r="D83" i="20" s="1" a="1"/>
  <c r="D83" i="20" s="1"/>
  <c r="U83" i="20" s="1"/>
  <c r="AA74" i="19"/>
  <c r="AA69" i="19"/>
  <c r="AI113" i="19"/>
  <c r="AA60" i="19"/>
  <c r="AA61" i="19"/>
  <c r="AB77" i="19"/>
  <c r="AA189" i="19"/>
  <c r="AA184" i="19"/>
  <c r="AH195" i="19"/>
  <c r="AA192" i="19"/>
  <c r="AA193" i="19"/>
  <c r="AB200" i="19"/>
  <c r="T88" i="20" s="1" a="1"/>
  <c r="T88" i="20" s="1"/>
  <c r="AK88" i="20" s="1"/>
  <c r="AA83" i="19"/>
  <c r="AB83" i="19" s="1"/>
  <c r="AA92" i="19"/>
  <c r="AB92" i="19" s="1"/>
  <c r="AA52" i="19"/>
  <c r="AA84" i="19"/>
  <c r="AB84" i="19" s="1"/>
  <c r="AA56" i="19"/>
  <c r="AB56" i="19" s="1"/>
  <c r="T83" i="20" s="1" a="1"/>
  <c r="T83" i="20" s="1"/>
  <c r="AK83" i="20" s="1"/>
  <c r="AA62" i="19"/>
  <c r="AB44" i="19" s="1"/>
  <c r="H83" i="20" s="1" a="1"/>
  <c r="H83" i="20" s="1"/>
  <c r="AH106" i="19"/>
  <c r="AA81" i="19"/>
  <c r="AA71" i="19"/>
  <c r="AB128" i="19"/>
  <c r="T86" i="20" s="1" a="1"/>
  <c r="T86" i="20" s="1"/>
  <c r="AK86" i="20" s="1"/>
  <c r="AA72" i="19"/>
  <c r="AA63" i="19"/>
  <c r="AB185" i="19"/>
  <c r="E88" i="20" s="1" a="1"/>
  <c r="E88" i="20" s="1"/>
  <c r="AA185" i="19"/>
  <c r="AA196" i="19"/>
  <c r="AB196" i="19" s="1"/>
  <c r="AB220" i="19"/>
  <c r="AA220" i="19"/>
  <c r="AH107" i="19"/>
  <c r="AA85" i="19"/>
  <c r="AB85" i="19" s="1"/>
  <c r="AA88" i="19"/>
  <c r="AA77" i="19"/>
  <c r="AH90" i="19"/>
  <c r="AI90" i="19" s="1"/>
  <c r="AH78" i="19"/>
  <c r="AI78" i="19" s="1"/>
  <c r="F71" i="20" s="1" a="1"/>
  <c r="F71" i="20" s="1"/>
  <c r="AA80" i="19"/>
  <c r="AA167" i="19"/>
  <c r="AB149" i="19" s="1"/>
  <c r="AH97" i="19"/>
  <c r="AH187" i="19"/>
  <c r="AB76" i="19"/>
  <c r="D84" i="20" s="1" a="1"/>
  <c r="D84" i="20" s="1"/>
  <c r="U84" i="20" s="1"/>
  <c r="AA91" i="19"/>
  <c r="AB79" i="19"/>
  <c r="AB114" i="19"/>
  <c r="F86" i="20" s="1" a="1"/>
  <c r="F86" i="20" s="1"/>
  <c r="AH52" i="19"/>
  <c r="AI52" i="19" s="1"/>
  <c r="AH63" i="19"/>
  <c r="AH85" i="19"/>
  <c r="AI85" i="19" s="1"/>
  <c r="AH116" i="19"/>
  <c r="AI116" i="19" s="1"/>
  <c r="AH137" i="19"/>
  <c r="AH158" i="19"/>
  <c r="AH189" i="19"/>
  <c r="AH210" i="19"/>
  <c r="AH231" i="19"/>
  <c r="AI231" i="19" s="1"/>
  <c r="AB117" i="19"/>
  <c r="I86" i="20" s="1" a="1"/>
  <c r="I86" i="20" s="1"/>
  <c r="AB184" i="19"/>
  <c r="D88" i="20" s="1" a="1"/>
  <c r="D88" i="20" s="1"/>
  <c r="U88" i="20" s="1"/>
  <c r="AH45" i="19"/>
  <c r="AH66" i="19"/>
  <c r="AI48" i="19" s="1"/>
  <c r="AH87" i="19"/>
  <c r="AH118" i="19"/>
  <c r="AH128" i="19"/>
  <c r="AH140" i="19"/>
  <c r="AH151" i="19"/>
  <c r="AH213" i="19"/>
  <c r="AH224" i="19"/>
  <c r="AH242" i="19"/>
  <c r="AH46" i="19"/>
  <c r="AI46" i="19" s="1"/>
  <c r="J68" i="20" s="1" a="1"/>
  <c r="J68" i="20" s="1"/>
  <c r="AH67" i="19"/>
  <c r="AH88" i="19"/>
  <c r="AH119" i="19"/>
  <c r="AI119" i="19" s="1"/>
  <c r="AH141" i="19"/>
  <c r="AI123" i="19" s="1"/>
  <c r="AH161" i="19"/>
  <c r="AH192" i="19"/>
  <c r="AH202" i="19"/>
  <c r="AH214" i="19"/>
  <c r="AH225" i="19"/>
  <c r="AI225" i="19" s="1"/>
  <c r="AH234" i="19"/>
  <c r="AI234" i="19" s="1"/>
  <c r="AH250" i="19"/>
  <c r="AH56" i="19"/>
  <c r="AI56" i="19" s="1"/>
  <c r="AH68" i="19"/>
  <c r="AH79" i="19"/>
  <c r="AH89" i="19"/>
  <c r="AI89" i="19" s="1"/>
  <c r="AH110" i="19"/>
  <c r="AH120" i="19"/>
  <c r="AI120" i="19" s="1"/>
  <c r="AH130" i="19"/>
  <c r="AH142" i="19"/>
  <c r="AH152" i="19"/>
  <c r="AH162" i="19"/>
  <c r="AH193" i="19"/>
  <c r="AI193" i="19" s="1"/>
  <c r="AH203" i="19"/>
  <c r="AH215" i="19"/>
  <c r="AH235" i="19"/>
  <c r="AI235" i="19" s="1"/>
  <c r="S70" i="20" s="1" a="1"/>
  <c r="S70" i="20" s="1"/>
  <c r="AH243" i="19"/>
  <c r="AH251" i="19"/>
  <c r="AI233" i="19" s="1"/>
  <c r="AH69" i="19"/>
  <c r="AH80" i="19"/>
  <c r="AI80" i="19" s="1"/>
  <c r="H71" i="20" s="1" a="1"/>
  <c r="H71" i="20" s="1"/>
  <c r="AH104" i="19"/>
  <c r="AI86" i="19" s="1"/>
  <c r="N71" i="20" s="1" a="1"/>
  <c r="N71" i="20" s="1"/>
  <c r="AH131" i="19"/>
  <c r="AH143" i="19"/>
  <c r="AI125" i="19" s="1"/>
  <c r="AH153" i="19"/>
  <c r="AH163" i="19"/>
  <c r="AH184" i="19"/>
  <c r="AH194" i="19"/>
  <c r="AH204" i="19"/>
  <c r="AH216" i="19"/>
  <c r="AH236" i="19"/>
  <c r="AH244" i="19"/>
  <c r="AI226" i="19" s="1"/>
  <c r="AH48" i="19"/>
  <c r="AH58" i="19"/>
  <c r="AH70" i="19"/>
  <c r="AH81" i="19"/>
  <c r="AI81" i="19" s="1"/>
  <c r="AH98" i="19"/>
  <c r="AH112" i="19"/>
  <c r="AI112" i="19" s="1"/>
  <c r="AH121" i="19"/>
  <c r="AI121" i="19" s="1"/>
  <c r="AH132" i="19"/>
  <c r="AI114" i="19" s="1"/>
  <c r="F85" i="20" s="1" a="1"/>
  <c r="F85" i="20" s="1"/>
  <c r="AH144" i="19"/>
  <c r="AI126" i="19" s="1"/>
  <c r="AH154" i="19"/>
  <c r="AH185" i="19"/>
  <c r="AI185" i="19" s="1"/>
  <c r="AH205" i="19"/>
  <c r="AH217" i="19"/>
  <c r="AH227" i="19"/>
  <c r="AH49" i="19"/>
  <c r="AH59" i="19"/>
  <c r="AH71" i="19"/>
  <c r="AH91" i="19"/>
  <c r="AH122" i="19"/>
  <c r="AI122" i="19" s="1"/>
  <c r="N85" i="20" s="1" a="1"/>
  <c r="N85" i="20" s="1"/>
  <c r="AH133" i="19"/>
  <c r="AH145" i="19"/>
  <c r="AI127" i="19" s="1"/>
  <c r="AH155" i="19"/>
  <c r="AH164" i="19"/>
  <c r="AH186" i="19"/>
  <c r="AH206" i="19"/>
  <c r="AH218" i="19"/>
  <c r="AH228" i="19"/>
  <c r="AH238" i="19"/>
  <c r="AH245" i="19"/>
  <c r="AA153" i="19"/>
  <c r="AA119" i="19"/>
  <c r="AB119" i="19" s="1"/>
  <c r="K86" i="20" s="1" a="1"/>
  <c r="K86" i="20" s="1"/>
  <c r="AH40" i="19"/>
  <c r="AI40" i="19" s="1"/>
  <c r="D68" i="20" s="1" a="1"/>
  <c r="D68" i="20" s="1"/>
  <c r="U68" i="20" s="1"/>
  <c r="AH50" i="19"/>
  <c r="AH60" i="19"/>
  <c r="AH72" i="19"/>
  <c r="AH92" i="19"/>
  <c r="AH123" i="19"/>
  <c r="AH134" i="19"/>
  <c r="AH146" i="19"/>
  <c r="AH196" i="19"/>
  <c r="AI196" i="19" s="1"/>
  <c r="AH207" i="19"/>
  <c r="AH229" i="19"/>
  <c r="AI229" i="19" s="1"/>
  <c r="AH41" i="19"/>
  <c r="AI41" i="19" s="1"/>
  <c r="AH61" i="19"/>
  <c r="AI43" i="19" s="1"/>
  <c r="AH73" i="19"/>
  <c r="AH83" i="19"/>
  <c r="AI83" i="19" s="1"/>
  <c r="AH114" i="19"/>
  <c r="AH124" i="19"/>
  <c r="AI124" i="19" s="1"/>
  <c r="AH135" i="19"/>
  <c r="AI117" i="19" s="1"/>
  <c r="AH197" i="19"/>
  <c r="AH208" i="19"/>
  <c r="AI190" i="19" s="1"/>
  <c r="AH220" i="19"/>
  <c r="AI220" i="19" s="1"/>
  <c r="D70" i="20" s="1" a="1"/>
  <c r="D70" i="20" s="1"/>
  <c r="U70" i="20" s="1"/>
  <c r="AH246" i="19"/>
  <c r="AH254" i="19"/>
  <c r="AB81" i="19"/>
  <c r="I84" i="20" s="1" a="1"/>
  <c r="I84" i="20" s="1"/>
  <c r="Z84" i="20" s="1"/>
  <c r="AH42" i="19"/>
  <c r="AI42" i="19" s="1"/>
  <c r="F68" i="20" s="1" a="1"/>
  <c r="F68" i="20" s="1"/>
  <c r="AH62" i="19"/>
  <c r="AH74" i="19"/>
  <c r="AH84" i="19"/>
  <c r="AI84" i="19" s="1"/>
  <c r="AH115" i="19"/>
  <c r="AH136" i="19"/>
  <c r="AH157" i="19"/>
  <c r="AH173" i="19"/>
  <c r="AH188" i="19"/>
  <c r="AH198" i="19"/>
  <c r="AI198" i="19" s="1"/>
  <c r="AH209" i="19"/>
  <c r="AH221" i="19"/>
  <c r="AI221" i="19" s="1"/>
  <c r="AI199" i="19"/>
  <c r="S69" i="20" s="1" a="1"/>
  <c r="S69" i="20" s="1"/>
  <c r="AI232" i="19"/>
  <c r="AI44" i="19"/>
  <c r="AI54" i="19"/>
  <c r="AI45" i="19"/>
  <c r="AI118" i="19"/>
  <c r="AI191" i="19"/>
  <c r="AI192" i="19"/>
  <c r="AI47" i="19"/>
  <c r="AI184" i="19"/>
  <c r="AI194" i="19"/>
  <c r="N69" i="20" s="1" a="1"/>
  <c r="N69" i="20" s="1"/>
  <c r="AI49" i="19"/>
  <c r="AI155" i="19"/>
  <c r="AI195" i="19"/>
  <c r="AI187" i="19"/>
  <c r="AI197" i="19"/>
  <c r="AB121" i="19"/>
  <c r="M86" i="20" s="1" a="1"/>
  <c r="M86" i="20" s="1"/>
  <c r="AB230" i="19"/>
  <c r="N66" i="20" s="1" a="1"/>
  <c r="N66" i="20" s="1"/>
  <c r="AB236" i="19"/>
  <c r="AB229" i="19"/>
  <c r="AB231" i="19"/>
  <c r="O66" i="20" s="1" a="1"/>
  <c r="O66" i="20" s="1"/>
  <c r="AF66" i="20" s="1"/>
  <c r="AB234" i="19"/>
  <c r="AB227" i="19"/>
  <c r="AB221" i="19"/>
  <c r="AB222" i="19"/>
  <c r="F66" i="20" s="1" a="1"/>
  <c r="F66" i="20" s="1"/>
  <c r="W66" i="20" s="1"/>
  <c r="AB233" i="19"/>
  <c r="AB226" i="19"/>
  <c r="AB223" i="19"/>
  <c r="AB232" i="19"/>
  <c r="AB191" i="19"/>
  <c r="K88" i="20" s="1" a="1"/>
  <c r="K88" i="20" s="1"/>
  <c r="AB188" i="19"/>
  <c r="H88" i="20" s="1" a="1"/>
  <c r="H88" i="20" s="1"/>
  <c r="AB198" i="19"/>
  <c r="R88" i="20" s="1" a="1"/>
  <c r="R88" i="20" s="1"/>
  <c r="AI88" i="20" s="1"/>
  <c r="AB192" i="19"/>
  <c r="L88" i="20" s="1" a="1"/>
  <c r="L88" i="20" s="1"/>
  <c r="AB197" i="19"/>
  <c r="Q88" i="20" s="1" a="1"/>
  <c r="Q88" i="20" s="1"/>
  <c r="AB193" i="19"/>
  <c r="M88" i="20" s="1" a="1"/>
  <c r="M88" i="20" s="1"/>
  <c r="AB186" i="19"/>
  <c r="F88" i="20" s="1" a="1"/>
  <c r="F88" i="20" s="1"/>
  <c r="AB189" i="19"/>
  <c r="I88" i="20" s="1" a="1"/>
  <c r="I88" i="20" s="1"/>
  <c r="Z88" i="20" s="1"/>
  <c r="AB195" i="19"/>
  <c r="O88" i="20" s="1" a="1"/>
  <c r="O88" i="20" s="1"/>
  <c r="AF88" i="20" s="1"/>
  <c r="AB120" i="19"/>
  <c r="L86" i="20" s="1" a="1"/>
  <c r="L86" i="20" s="1"/>
  <c r="AB125" i="19"/>
  <c r="Q86" i="20" s="1" a="1"/>
  <c r="Q86" i="20" s="1"/>
  <c r="AB113" i="19"/>
  <c r="E86" i="20" s="1" a="1"/>
  <c r="E86" i="20" s="1"/>
  <c r="AB126" i="19"/>
  <c r="R86" i="20" s="1" a="1"/>
  <c r="R86" i="20" s="1"/>
  <c r="AI86" i="20" s="1"/>
  <c r="AB115" i="19"/>
  <c r="G86" i="20" s="1" a="1"/>
  <c r="G86" i="20" s="1"/>
  <c r="AB127" i="19"/>
  <c r="S86" i="20" s="1" a="1"/>
  <c r="S86" i="20" s="1"/>
  <c r="AB78" i="19"/>
  <c r="F84" i="20" s="1" a="1"/>
  <c r="F84" i="20" s="1"/>
  <c r="AB86" i="19"/>
  <c r="N84" i="20" s="1" a="1"/>
  <c r="N84" i="20" s="1"/>
  <c r="AB87" i="19"/>
  <c r="O84" i="20" s="1" a="1"/>
  <c r="O84" i="20" s="1"/>
  <c r="AF84" i="20" s="1"/>
  <c r="AB88" i="19"/>
  <c r="AB90" i="19"/>
  <c r="AB48" i="19"/>
  <c r="AB41" i="19"/>
  <c r="AB54" i="19"/>
  <c r="AB53" i="19"/>
  <c r="Q83" i="20" s="1" a="1"/>
  <c r="Q83" i="20" s="1"/>
  <c r="AB51" i="19"/>
  <c r="O83" i="20" s="1" a="1"/>
  <c r="O83" i="20" s="1"/>
  <c r="AF83" i="20" s="1"/>
  <c r="AB55" i="19"/>
  <c r="S83" i="20" s="1" a="1"/>
  <c r="S83" i="20" s="1"/>
  <c r="AB42" i="19"/>
  <c r="F83" i="20" s="1" a="1"/>
  <c r="F83" i="20" s="1"/>
  <c r="AB43" i="19"/>
  <c r="AB45" i="19"/>
  <c r="I83" i="20" s="1" a="1"/>
  <c r="I83" i="20" s="1"/>
  <c r="AB52" i="19"/>
  <c r="AB49" i="19"/>
  <c r="M83" i="20" s="1" a="1"/>
  <c r="M83" i="20" s="1"/>
  <c r="AD83" i="20" s="1"/>
  <c r="AB224" i="19"/>
  <c r="AB123" i="19"/>
  <c r="O86" i="20" s="1" a="1"/>
  <c r="O86" i="20" s="1"/>
  <c r="AF86" i="20" s="1"/>
  <c r="AB80" i="19"/>
  <c r="H84" i="20" s="1" a="1"/>
  <c r="H84" i="20" s="1"/>
  <c r="AB228" i="19"/>
  <c r="L8" i="26"/>
  <c r="M8" i="26"/>
  <c r="K9" i="26"/>
  <c r="M19" i="26"/>
  <c r="L6" i="26"/>
  <c r="M6" i="26"/>
  <c r="L15" i="26"/>
  <c r="M15" i="26"/>
  <c r="L5" i="26"/>
  <c r="L19" i="26"/>
  <c r="M5" i="26"/>
  <c r="K15" i="26"/>
  <c r="K5" i="26"/>
  <c r="M7" i="24"/>
  <c r="M13" i="24"/>
  <c r="M12" i="24"/>
  <c r="M4" i="24"/>
  <c r="M14" i="24"/>
  <c r="L4" i="24"/>
  <c r="L14" i="24"/>
  <c r="L12" i="24"/>
  <c r="M5" i="24"/>
  <c r="M15" i="24"/>
  <c r="L5" i="24"/>
  <c r="L15" i="24"/>
  <c r="M6" i="24"/>
  <c r="L6" i="24"/>
  <c r="L13" i="24"/>
  <c r="K6" i="24"/>
  <c r="K5" i="24"/>
  <c r="K7" i="24"/>
  <c r="K13" i="24"/>
  <c r="K14" i="24"/>
  <c r="K15" i="24"/>
  <c r="K12" i="24"/>
  <c r="K4" i="24"/>
  <c r="N13" i="21"/>
  <c r="O13" i="21"/>
  <c r="P13" i="21"/>
  <c r="N14" i="21"/>
  <c r="O14" i="21"/>
  <c r="P14" i="21"/>
  <c r="N15" i="21"/>
  <c r="O15" i="21"/>
  <c r="P15" i="21"/>
  <c r="N16" i="21"/>
  <c r="O16" i="21"/>
  <c r="P16" i="21"/>
  <c r="M16" i="21"/>
  <c r="M15" i="21"/>
  <c r="M14" i="21"/>
  <c r="M13" i="21"/>
  <c r="N6" i="21"/>
  <c r="O6" i="21"/>
  <c r="P6" i="21"/>
  <c r="N7" i="21"/>
  <c r="O7" i="21"/>
  <c r="P7" i="21"/>
  <c r="N8" i="21"/>
  <c r="O8" i="21"/>
  <c r="P8" i="21"/>
  <c r="M8" i="21"/>
  <c r="M7" i="21"/>
  <c r="M6" i="21"/>
  <c r="N5" i="21"/>
  <c r="O5" i="21"/>
  <c r="P5" i="21"/>
  <c r="M5" i="21"/>
  <c r="E24" i="20"/>
  <c r="G24" i="20"/>
  <c r="J24" i="20"/>
  <c r="K24" i="20"/>
  <c r="L24" i="20"/>
  <c r="O24" i="20"/>
  <c r="P24" i="20"/>
  <c r="Q24" i="20"/>
  <c r="R24" i="20"/>
  <c r="T24" i="20"/>
  <c r="T224" i="19"/>
  <c r="T226" i="19"/>
  <c r="T227" i="19"/>
  <c r="T228" i="19"/>
  <c r="T229" i="19"/>
  <c r="T236" i="19"/>
  <c r="T203" i="19"/>
  <c r="T204" i="19"/>
  <c r="T205" i="19"/>
  <c r="T206" i="19"/>
  <c r="T212" i="19"/>
  <c r="T215" i="19"/>
  <c r="T216" i="19"/>
  <c r="T217" i="19"/>
  <c r="T218" i="19"/>
  <c r="T189" i="19"/>
  <c r="T192" i="19"/>
  <c r="T193" i="19"/>
  <c r="T194" i="19"/>
  <c r="U194" i="19" s="1"/>
  <c r="T195" i="19"/>
  <c r="T151" i="19"/>
  <c r="T152" i="19"/>
  <c r="T158" i="19"/>
  <c r="T163" i="19"/>
  <c r="T164" i="19"/>
  <c r="T135" i="19"/>
  <c r="T138" i="19"/>
  <c r="T140" i="19"/>
  <c r="T141" i="19"/>
  <c r="T116" i="19"/>
  <c r="T117" i="19"/>
  <c r="T118" i="19"/>
  <c r="T128" i="19"/>
  <c r="T99" i="19"/>
  <c r="T102" i="19"/>
  <c r="T104" i="19"/>
  <c r="T105" i="19"/>
  <c r="T81" i="19"/>
  <c r="T82" i="19"/>
  <c r="T76" i="19"/>
  <c r="T65" i="19"/>
  <c r="T66" i="19"/>
  <c r="T68" i="19"/>
  <c r="T69" i="19"/>
  <c r="T70" i="19"/>
  <c r="T41" i="19"/>
  <c r="U41" i="19" s="1"/>
  <c r="T43" i="19"/>
  <c r="T44" i="19"/>
  <c r="T50" i="19"/>
  <c r="T53" i="19"/>
  <c r="T55" i="19"/>
  <c r="T56" i="19"/>
  <c r="S254" i="19"/>
  <c r="S253" i="19"/>
  <c r="S252" i="19"/>
  <c r="S251" i="19"/>
  <c r="S250" i="19"/>
  <c r="T250" i="19" s="1"/>
  <c r="S249" i="19"/>
  <c r="S248" i="19"/>
  <c r="S247" i="19"/>
  <c r="T247" i="19" s="1"/>
  <c r="S246" i="19"/>
  <c r="T246" i="19" s="1"/>
  <c r="S245" i="19"/>
  <c r="T245" i="19" s="1"/>
  <c r="S244" i="19"/>
  <c r="S243" i="19"/>
  <c r="S242" i="19"/>
  <c r="S241" i="19"/>
  <c r="S240" i="19"/>
  <c r="S239" i="19"/>
  <c r="S238" i="19"/>
  <c r="T238" i="19" s="1"/>
  <c r="S237" i="19"/>
  <c r="S236" i="19"/>
  <c r="S235" i="19"/>
  <c r="T235" i="19" s="1"/>
  <c r="S234" i="19"/>
  <c r="T234" i="19" s="1"/>
  <c r="S233" i="19"/>
  <c r="T233" i="19" s="1"/>
  <c r="S232" i="19"/>
  <c r="T232" i="19" s="1"/>
  <c r="S231" i="19"/>
  <c r="T231" i="19" s="1"/>
  <c r="S230" i="19"/>
  <c r="S229" i="19"/>
  <c r="S228" i="19"/>
  <c r="S227" i="19"/>
  <c r="S226" i="19"/>
  <c r="S225" i="19"/>
  <c r="T225" i="19" s="1"/>
  <c r="S224" i="19"/>
  <c r="S223" i="19"/>
  <c r="T223" i="19" s="1"/>
  <c r="S222" i="19"/>
  <c r="T222" i="19" s="1"/>
  <c r="S221" i="19"/>
  <c r="T221" i="19" s="1"/>
  <c r="S220" i="19"/>
  <c r="T220" i="19" s="1"/>
  <c r="S219" i="19"/>
  <c r="T230" i="19" s="1"/>
  <c r="S218" i="19"/>
  <c r="S217" i="19"/>
  <c r="S216" i="19"/>
  <c r="S215" i="19"/>
  <c r="S214" i="19"/>
  <c r="T214" i="19" s="1"/>
  <c r="S213" i="19"/>
  <c r="T213" i="19" s="1"/>
  <c r="S212" i="19"/>
  <c r="S211" i="19"/>
  <c r="T211" i="19" s="1"/>
  <c r="S210" i="19"/>
  <c r="T210" i="19" s="1"/>
  <c r="S209" i="19"/>
  <c r="T209" i="19" s="1"/>
  <c r="S208" i="19"/>
  <c r="T208" i="19" s="1"/>
  <c r="S207" i="19"/>
  <c r="T207" i="19" s="1"/>
  <c r="S206" i="19"/>
  <c r="S205" i="19"/>
  <c r="S204" i="19"/>
  <c r="S203" i="19"/>
  <c r="S202" i="19"/>
  <c r="T202" i="19" s="1"/>
  <c r="S201" i="19"/>
  <c r="S200" i="19"/>
  <c r="T200" i="19" s="1"/>
  <c r="S199" i="19"/>
  <c r="S198" i="19"/>
  <c r="T198" i="19" s="1"/>
  <c r="S197" i="19"/>
  <c r="T197" i="19" s="1"/>
  <c r="S196" i="19"/>
  <c r="T196" i="19" s="1"/>
  <c r="S195" i="19"/>
  <c r="S194" i="19"/>
  <c r="S193" i="19"/>
  <c r="S192" i="19"/>
  <c r="S191" i="19"/>
  <c r="S190" i="19"/>
  <c r="T190" i="19" s="1"/>
  <c r="U190" i="19" s="1"/>
  <c r="S189" i="19"/>
  <c r="S188" i="19"/>
  <c r="T188" i="19" s="1"/>
  <c r="S187" i="19"/>
  <c r="T187" i="19" s="1"/>
  <c r="S186" i="19"/>
  <c r="T186" i="19" s="1"/>
  <c r="S185" i="19"/>
  <c r="T185" i="19" s="1"/>
  <c r="S184" i="19"/>
  <c r="S183" i="19"/>
  <c r="T191" i="19" s="1"/>
  <c r="S182" i="19"/>
  <c r="S181" i="19"/>
  <c r="S180" i="19"/>
  <c r="S179" i="19"/>
  <c r="S178" i="19"/>
  <c r="T178" i="19" s="1"/>
  <c r="S177" i="19"/>
  <c r="S176" i="19"/>
  <c r="S175" i="19"/>
  <c r="T175" i="19" s="1"/>
  <c r="S174" i="19"/>
  <c r="T174" i="19" s="1"/>
  <c r="S173" i="19"/>
  <c r="T173" i="19" s="1"/>
  <c r="S172" i="19"/>
  <c r="T172" i="19" s="1"/>
  <c r="S171" i="19"/>
  <c r="S170" i="19"/>
  <c r="S169" i="19"/>
  <c r="S168" i="19"/>
  <c r="S167" i="19"/>
  <c r="S166" i="19"/>
  <c r="T166" i="19" s="1"/>
  <c r="S165" i="19"/>
  <c r="T157" i="19" s="1"/>
  <c r="S164" i="19"/>
  <c r="S163" i="19"/>
  <c r="S162" i="19"/>
  <c r="T162" i="19" s="1"/>
  <c r="S161" i="19"/>
  <c r="T161" i="19" s="1"/>
  <c r="S160" i="19"/>
  <c r="T160" i="19" s="1"/>
  <c r="S159" i="19"/>
  <c r="S158" i="19"/>
  <c r="S157" i="19"/>
  <c r="S156" i="19"/>
  <c r="T156" i="19" s="1"/>
  <c r="S155" i="19"/>
  <c r="T155" i="19" s="1"/>
  <c r="S154" i="19"/>
  <c r="T154" i="19" s="1"/>
  <c r="S153" i="19"/>
  <c r="T153" i="19" s="1"/>
  <c r="S152" i="19"/>
  <c r="S151" i="19"/>
  <c r="S150" i="19"/>
  <c r="T150" i="19" s="1"/>
  <c r="S149" i="19"/>
  <c r="T149" i="19" s="1"/>
  <c r="S148" i="19"/>
  <c r="T148" i="19" s="1"/>
  <c r="S147" i="19"/>
  <c r="S146" i="19"/>
  <c r="T146" i="19" s="1"/>
  <c r="S145" i="19"/>
  <c r="S144" i="19"/>
  <c r="T144" i="19" s="1"/>
  <c r="S143" i="19"/>
  <c r="S142" i="19"/>
  <c r="T142" i="19" s="1"/>
  <c r="S141" i="19"/>
  <c r="S140" i="19"/>
  <c r="S139" i="19"/>
  <c r="T139" i="19" s="1"/>
  <c r="S138" i="19"/>
  <c r="S137" i="19"/>
  <c r="T137" i="19" s="1"/>
  <c r="S136" i="19"/>
  <c r="T136" i="19" s="1"/>
  <c r="U118" i="19" s="1"/>
  <c r="S135" i="19"/>
  <c r="S134" i="19"/>
  <c r="T134" i="19" s="1"/>
  <c r="S133" i="19"/>
  <c r="S132" i="19"/>
  <c r="T132" i="19" s="1"/>
  <c r="S131" i="19"/>
  <c r="S130" i="19"/>
  <c r="T130" i="19" s="1"/>
  <c r="S129" i="19"/>
  <c r="AA174" i="19" s="1"/>
  <c r="AB156" i="19" s="1"/>
  <c r="S128" i="19"/>
  <c r="S127" i="19"/>
  <c r="T127" i="19" s="1"/>
  <c r="S126" i="19"/>
  <c r="T126" i="19" s="1"/>
  <c r="S125" i="19"/>
  <c r="T125" i="19" s="1"/>
  <c r="S124" i="19"/>
  <c r="T124" i="19" s="1"/>
  <c r="S123" i="19"/>
  <c r="T123" i="19" s="1"/>
  <c r="S122" i="19"/>
  <c r="T122" i="19" s="1"/>
  <c r="U122" i="19" s="1"/>
  <c r="S121" i="19"/>
  <c r="T121" i="19" s="1"/>
  <c r="S120" i="19"/>
  <c r="S119" i="19"/>
  <c r="S118" i="19"/>
  <c r="S117" i="19"/>
  <c r="S116" i="19"/>
  <c r="S115" i="19"/>
  <c r="T115" i="19" s="1"/>
  <c r="S114" i="19"/>
  <c r="T114" i="19" s="1"/>
  <c r="S113" i="19"/>
  <c r="T113" i="19" s="1"/>
  <c r="S112" i="19"/>
  <c r="S111" i="19"/>
  <c r="T119" i="19" s="1"/>
  <c r="S110" i="19"/>
  <c r="T110" i="19" s="1"/>
  <c r="S109" i="19"/>
  <c r="S108" i="19"/>
  <c r="T108" i="19" s="1"/>
  <c r="S107" i="19"/>
  <c r="S106" i="19"/>
  <c r="T106" i="19" s="1"/>
  <c r="S105" i="19"/>
  <c r="S104" i="19"/>
  <c r="S103" i="19"/>
  <c r="T103" i="19" s="1"/>
  <c r="S102" i="19"/>
  <c r="S101" i="19"/>
  <c r="T101" i="19" s="1"/>
  <c r="S100" i="19"/>
  <c r="T100" i="19" s="1"/>
  <c r="S99" i="19"/>
  <c r="S98" i="19"/>
  <c r="T98" i="19" s="1"/>
  <c r="S97" i="19"/>
  <c r="S96" i="19"/>
  <c r="T96" i="19" s="1"/>
  <c r="S95" i="19"/>
  <c r="T95" i="19" s="1"/>
  <c r="S94" i="19"/>
  <c r="T94" i="19" s="1"/>
  <c r="S93" i="19"/>
  <c r="T83" i="19" s="1"/>
  <c r="S92" i="19"/>
  <c r="S91" i="19"/>
  <c r="T91" i="19" s="1"/>
  <c r="S90" i="19"/>
  <c r="T90" i="19" s="1"/>
  <c r="S89" i="19"/>
  <c r="T89" i="19" s="1"/>
  <c r="S88" i="19"/>
  <c r="T88" i="19" s="1"/>
  <c r="S87" i="19"/>
  <c r="T87" i="19" s="1"/>
  <c r="S86" i="19"/>
  <c r="T86" i="19" s="1"/>
  <c r="S85" i="19"/>
  <c r="T85" i="19" s="1"/>
  <c r="S84" i="19"/>
  <c r="T84" i="19" s="1"/>
  <c r="S83" i="19"/>
  <c r="S82" i="19"/>
  <c r="S81" i="19"/>
  <c r="S80" i="19"/>
  <c r="S79" i="19"/>
  <c r="T79" i="19" s="1"/>
  <c r="S78" i="19"/>
  <c r="T78" i="19" s="1"/>
  <c r="S77" i="19"/>
  <c r="T77" i="19" s="1"/>
  <c r="S76" i="19"/>
  <c r="S75" i="19"/>
  <c r="S74" i="19"/>
  <c r="T74" i="19" s="1"/>
  <c r="S73" i="19"/>
  <c r="T73" i="19" s="1"/>
  <c r="U55" i="19" s="1"/>
  <c r="S72" i="19"/>
  <c r="T72" i="19" s="1"/>
  <c r="S71" i="19"/>
  <c r="T71" i="19" s="1"/>
  <c r="S70" i="19"/>
  <c r="S69" i="19"/>
  <c r="S68" i="19"/>
  <c r="S67" i="19"/>
  <c r="S66" i="19"/>
  <c r="S65" i="19"/>
  <c r="S64" i="19"/>
  <c r="T64" i="19" s="1"/>
  <c r="S63" i="19"/>
  <c r="T63" i="19" s="1"/>
  <c r="S62" i="19"/>
  <c r="T62" i="19" s="1"/>
  <c r="S61" i="19"/>
  <c r="T61" i="19" s="1"/>
  <c r="U43" i="19" s="1"/>
  <c r="S60" i="19"/>
  <c r="T60" i="19" s="1"/>
  <c r="S59" i="19"/>
  <c r="T59" i="19" s="1"/>
  <c r="S58" i="19"/>
  <c r="T58" i="19" s="1"/>
  <c r="S57" i="19"/>
  <c r="T67" i="19" s="1"/>
  <c r="S56" i="19"/>
  <c r="S55" i="19"/>
  <c r="S54" i="19"/>
  <c r="S53" i="19"/>
  <c r="S52" i="19"/>
  <c r="T52" i="19" s="1"/>
  <c r="S51" i="19"/>
  <c r="T51" i="19" s="1"/>
  <c r="S50" i="19"/>
  <c r="S49" i="19"/>
  <c r="T49" i="19" s="1"/>
  <c r="S48" i="19"/>
  <c r="T48" i="19" s="1"/>
  <c r="U48" i="19" s="1"/>
  <c r="S47" i="19"/>
  <c r="T47" i="19" s="1"/>
  <c r="U47" i="19" s="1"/>
  <c r="S46" i="19"/>
  <c r="T46" i="19" s="1"/>
  <c r="U46" i="19" s="1"/>
  <c r="S45" i="19"/>
  <c r="T45" i="19" s="1"/>
  <c r="U45" i="19" s="1"/>
  <c r="S44" i="19"/>
  <c r="S43" i="19"/>
  <c r="S42" i="19"/>
  <c r="S41" i="19"/>
  <c r="S40" i="19"/>
  <c r="T40" i="19" s="1"/>
  <c r="S39" i="19"/>
  <c r="T42" i="19" s="1"/>
  <c r="Q58" i="20"/>
  <c r="P58" i="20"/>
  <c r="AG86" i="20" s="1"/>
  <c r="O58" i="20"/>
  <c r="N58" i="20"/>
  <c r="AE70" i="20" s="1"/>
  <c r="M58" i="20"/>
  <c r="L58" i="20"/>
  <c r="K58" i="20"/>
  <c r="J58" i="20"/>
  <c r="AA83" i="20" s="1"/>
  <c r="I58" i="20"/>
  <c r="Z66" i="20" s="1"/>
  <c r="H58" i="20"/>
  <c r="Y86" i="20" s="1"/>
  <c r="G58" i="20"/>
  <c r="X88" i="20" s="1"/>
  <c r="F58" i="20"/>
  <c r="W70" i="20" s="1"/>
  <c r="E58" i="20"/>
  <c r="D58" i="20"/>
  <c r="U87" i="20" s="1"/>
  <c r="AI9" i="20" l="1"/>
  <c r="R116" i="20"/>
  <c r="R115" i="20"/>
  <c r="R104" i="20"/>
  <c r="R109" i="20"/>
  <c r="AI24" i="20"/>
  <c r="R105" i="20"/>
  <c r="R110" i="20"/>
  <c r="R111" i="20"/>
  <c r="S110" i="20"/>
  <c r="S105" i="20"/>
  <c r="S116" i="20"/>
  <c r="AJ9" i="20"/>
  <c r="Y83" i="20"/>
  <c r="AA68" i="20"/>
  <c r="AC88" i="20"/>
  <c r="AE71" i="20"/>
  <c r="W85" i="20"/>
  <c r="Z86" i="20"/>
  <c r="W88" i="20"/>
  <c r="AB86" i="20"/>
  <c r="AE85" i="20"/>
  <c r="AA86" i="20"/>
  <c r="AD88" i="20"/>
  <c r="AE69" i="20"/>
  <c r="U86" i="20"/>
  <c r="Z83" i="20"/>
  <c r="AE84" i="20"/>
  <c r="AH88" i="20"/>
  <c r="V88" i="20"/>
  <c r="AA88" i="20"/>
  <c r="W84" i="20"/>
  <c r="AA84" i="20"/>
  <c r="W68" i="20"/>
  <c r="W71" i="20"/>
  <c r="Y87" i="20"/>
  <c r="Y88" i="20"/>
  <c r="AE66" i="20"/>
  <c r="Y71" i="20"/>
  <c r="AE86" i="20"/>
  <c r="AB88" i="20"/>
  <c r="V86" i="20"/>
  <c r="AD86" i="20"/>
  <c r="X86" i="20"/>
  <c r="AH83" i="20"/>
  <c r="AH86" i="20"/>
  <c r="AE88" i="20"/>
  <c r="W83" i="20"/>
  <c r="Y84" i="20"/>
  <c r="AC86" i="20"/>
  <c r="W86" i="20"/>
  <c r="U42" i="19"/>
  <c r="U56" i="19"/>
  <c r="U40" i="19"/>
  <c r="U53" i="19"/>
  <c r="U44" i="19"/>
  <c r="U112" i="19"/>
  <c r="U184" i="19"/>
  <c r="T244" i="19"/>
  <c r="U226" i="19" s="1"/>
  <c r="AI186" i="19"/>
  <c r="F69" i="20" s="1" a="1"/>
  <c r="F69" i="20" s="1"/>
  <c r="W69" i="20" s="1"/>
  <c r="AI87" i="19"/>
  <c r="O71" i="20" s="1" a="1"/>
  <c r="O71" i="20" s="1"/>
  <c r="AF71" i="20" s="1"/>
  <c r="AI51" i="19"/>
  <c r="AH178" i="19"/>
  <c r="AI160" i="19" s="1"/>
  <c r="T54" i="19"/>
  <c r="U54" i="19" s="1"/>
  <c r="T92" i="19"/>
  <c r="T80" i="19"/>
  <c r="AI188" i="19"/>
  <c r="H69" i="20" s="1" a="1"/>
  <c r="H69" i="20" s="1"/>
  <c r="Y69" i="20" s="1"/>
  <c r="AA180" i="19"/>
  <c r="AB162" i="19" s="1"/>
  <c r="AI154" i="19"/>
  <c r="AI79" i="19"/>
  <c r="AI88" i="19"/>
  <c r="T176" i="19"/>
  <c r="U224" i="19"/>
  <c r="T248" i="19"/>
  <c r="U230" i="19" s="1"/>
  <c r="AA168" i="19"/>
  <c r="AB150" i="19" s="1"/>
  <c r="F87" i="20" s="1" a="1"/>
  <c r="F87" i="20" s="1"/>
  <c r="W87" i="20" s="1"/>
  <c r="AI55" i="19"/>
  <c r="AI236" i="19"/>
  <c r="T70" i="20" s="1" a="1"/>
  <c r="T70" i="20" s="1"/>
  <c r="AK70" i="20" s="1"/>
  <c r="U199" i="19"/>
  <c r="U81" i="19"/>
  <c r="U117" i="19"/>
  <c r="AH171" i="19"/>
  <c r="AI153" i="19" s="1"/>
  <c r="AH177" i="19"/>
  <c r="AI159" i="19" s="1"/>
  <c r="O67" i="20" s="1" a="1"/>
  <c r="O67" i="20" s="1"/>
  <c r="AF67" i="20" s="1"/>
  <c r="AH176" i="19"/>
  <c r="AH182" i="19"/>
  <c r="AH169" i="19"/>
  <c r="AA176" i="19"/>
  <c r="AB158" i="19" s="1"/>
  <c r="N87" i="20" s="1" a="1"/>
  <c r="N87" i="20" s="1"/>
  <c r="AE87" i="20" s="1"/>
  <c r="AA169" i="19"/>
  <c r="AB151" i="19" s="1"/>
  <c r="AA175" i="19"/>
  <c r="AB157" i="19" s="1"/>
  <c r="M87" i="20" s="1" a="1"/>
  <c r="M87" i="20" s="1"/>
  <c r="AD87" i="20" s="1"/>
  <c r="AH174" i="19"/>
  <c r="AI156" i="19" s="1"/>
  <c r="AA182" i="19"/>
  <c r="AB164" i="19" s="1"/>
  <c r="AA172" i="19"/>
  <c r="AB154" i="19" s="1"/>
  <c r="J87" i="20" s="1" a="1"/>
  <c r="J87" i="20" s="1"/>
  <c r="AA87" i="20" s="1"/>
  <c r="AH168" i="19"/>
  <c r="AI150" i="19" s="1"/>
  <c r="F67" i="20" s="1" a="1"/>
  <c r="F67" i="20" s="1"/>
  <c r="W67" i="20" s="1"/>
  <c r="T177" i="19"/>
  <c r="U189" i="19"/>
  <c r="T249" i="19"/>
  <c r="T159" i="19"/>
  <c r="T184" i="19"/>
  <c r="AA179" i="19"/>
  <c r="AB161" i="19" s="1"/>
  <c r="AB91" i="19"/>
  <c r="S84" i="20" s="1" a="1"/>
  <c r="S84" i="20" s="1"/>
  <c r="AI115" i="19"/>
  <c r="AH179" i="19"/>
  <c r="AI161" i="19" s="1"/>
  <c r="AA171" i="19"/>
  <c r="AB153" i="19" s="1"/>
  <c r="I87" i="20" s="1" a="1"/>
  <c r="I87" i="20" s="1"/>
  <c r="Z87" i="20" s="1"/>
  <c r="AI91" i="19"/>
  <c r="AI224" i="19"/>
  <c r="AA177" i="19"/>
  <c r="AB159" i="19" s="1"/>
  <c r="O87" i="20" s="1" a="1"/>
  <c r="O87" i="20" s="1"/>
  <c r="AF87" i="20" s="1"/>
  <c r="T167" i="19"/>
  <c r="T179" i="19"/>
  <c r="U161" i="19" s="1"/>
  <c r="T239" i="19"/>
  <c r="T251" i="19"/>
  <c r="AI162" i="19"/>
  <c r="AA181" i="19"/>
  <c r="AB163" i="19" s="1"/>
  <c r="S87" i="20" s="1" a="1"/>
  <c r="S87" i="20" s="1"/>
  <c r="AI164" i="19"/>
  <c r="T67" i="20" s="1" a="1"/>
  <c r="T67" i="20" s="1"/>
  <c r="AK67" i="20" s="1"/>
  <c r="U120" i="19"/>
  <c r="T168" i="19"/>
  <c r="U150" i="19" s="1"/>
  <c r="T180" i="19"/>
  <c r="U228" i="19"/>
  <c r="T240" i="19"/>
  <c r="T252" i="19"/>
  <c r="T109" i="19"/>
  <c r="T97" i="19"/>
  <c r="T145" i="19"/>
  <c r="T133" i="19"/>
  <c r="T199" i="19"/>
  <c r="AI92" i="19"/>
  <c r="T71" i="20" s="1" a="1"/>
  <c r="T71" i="20" s="1"/>
  <c r="AK71" i="20" s="1"/>
  <c r="AI151" i="19"/>
  <c r="AI189" i="19"/>
  <c r="AH175" i="19"/>
  <c r="AI157" i="19" s="1"/>
  <c r="AH172" i="19"/>
  <c r="AB50" i="19"/>
  <c r="N83" i="20" s="1" a="1"/>
  <c r="N83" i="20" s="1"/>
  <c r="AE83" i="20" s="1"/>
  <c r="AA178" i="19"/>
  <c r="AB160" i="19" s="1"/>
  <c r="P87" i="20" s="1" a="1"/>
  <c r="P87" i="20" s="1"/>
  <c r="AG87" i="20" s="1"/>
  <c r="AI76" i="19"/>
  <c r="D71" i="20" s="1" a="1"/>
  <c r="D71" i="20" s="1"/>
  <c r="U71" i="20" s="1"/>
  <c r="U79" i="19"/>
  <c r="T169" i="19"/>
  <c r="U151" i="19" s="1"/>
  <c r="T181" i="19"/>
  <c r="T241" i="19"/>
  <c r="U223" i="19" s="1"/>
  <c r="T253" i="19"/>
  <c r="U235" i="19" s="1"/>
  <c r="AI228" i="19"/>
  <c r="AH167" i="19"/>
  <c r="AI149" i="19" s="1"/>
  <c r="AH170" i="19"/>
  <c r="AI152" i="19" s="1"/>
  <c r="T170" i="19"/>
  <c r="T182" i="19"/>
  <c r="T242" i="19"/>
  <c r="T254" i="19"/>
  <c r="U236" i="19" s="1"/>
  <c r="T107" i="19"/>
  <c r="T120" i="19"/>
  <c r="T143" i="19"/>
  <c r="T131" i="19"/>
  <c r="U113" i="19" s="1"/>
  <c r="AI227" i="19"/>
  <c r="AI128" i="19"/>
  <c r="AI158" i="19"/>
  <c r="N67" i="20" s="1" a="1"/>
  <c r="N67" i="20" s="1"/>
  <c r="AE67" i="20" s="1"/>
  <c r="AH181" i="19"/>
  <c r="AI163" i="19" s="1"/>
  <c r="T171" i="19"/>
  <c r="T243" i="19"/>
  <c r="T112" i="19"/>
  <c r="AA173" i="19"/>
  <c r="AB155" i="19" s="1"/>
  <c r="AI50" i="19"/>
  <c r="N68" i="20" s="1" a="1"/>
  <c r="N68" i="20" s="1"/>
  <c r="AE68" i="20" s="1"/>
  <c r="AI200" i="19"/>
  <c r="U227" i="19"/>
  <c r="U222" i="19"/>
  <c r="U221" i="19"/>
  <c r="U233" i="19"/>
  <c r="U234" i="19"/>
  <c r="U229" i="19"/>
  <c r="U231" i="19"/>
  <c r="U198" i="19"/>
  <c r="U186" i="19"/>
  <c r="U191" i="19"/>
  <c r="U187" i="19"/>
  <c r="U195" i="19"/>
  <c r="U196" i="19"/>
  <c r="U197" i="19"/>
  <c r="U192" i="19"/>
  <c r="U193" i="19"/>
  <c r="U185" i="19"/>
  <c r="U157" i="19"/>
  <c r="U158" i="19"/>
  <c r="U160" i="19"/>
  <c r="U163" i="19"/>
  <c r="U162" i="19"/>
  <c r="U148" i="19"/>
  <c r="U124" i="19"/>
  <c r="U126" i="19"/>
  <c r="U114" i="19"/>
  <c r="U116" i="19"/>
  <c r="U121" i="19"/>
  <c r="U115" i="19"/>
  <c r="U125" i="19"/>
  <c r="U119" i="19"/>
  <c r="U78" i="19"/>
  <c r="U90" i="19"/>
  <c r="U91" i="19"/>
  <c r="U84" i="19"/>
  <c r="U85" i="19"/>
  <c r="U87" i="19"/>
  <c r="U77" i="19"/>
  <c r="U80" i="19"/>
  <c r="U92" i="19"/>
  <c r="U50" i="19"/>
  <c r="U52" i="19"/>
  <c r="U51" i="19"/>
  <c r="U49" i="19"/>
  <c r="U225" i="19"/>
  <c r="U220" i="19"/>
  <c r="U232" i="19"/>
  <c r="U188" i="19"/>
  <c r="U200" i="19"/>
  <c r="U152" i="19"/>
  <c r="U153" i="19"/>
  <c r="U154" i="19"/>
  <c r="U164" i="19"/>
  <c r="U155" i="19"/>
  <c r="U156" i="19"/>
  <c r="U149" i="19"/>
  <c r="U159" i="19"/>
  <c r="U123" i="19"/>
  <c r="U127" i="19"/>
  <c r="U128" i="19"/>
  <c r="U82" i="19"/>
  <c r="U83" i="19"/>
  <c r="U76" i="19"/>
  <c r="U88" i="19"/>
  <c r="U86" i="19"/>
  <c r="U89" i="19"/>
  <c r="F172" i="19"/>
  <c r="F166" i="19"/>
  <c r="F156" i="19"/>
  <c r="F157" i="19"/>
  <c r="F158" i="19"/>
  <c r="F159" i="19"/>
  <c r="F161" i="19"/>
  <c r="F138" i="19"/>
  <c r="F114" i="19"/>
  <c r="F115" i="19"/>
  <c r="F120" i="19"/>
  <c r="G120" i="19" s="1"/>
  <c r="L78" i="20" s="1" a="1"/>
  <c r="L78" i="20" s="1"/>
  <c r="F121" i="19"/>
  <c r="F122" i="19"/>
  <c r="F123" i="19"/>
  <c r="F125" i="19"/>
  <c r="F126" i="19"/>
  <c r="F127" i="19"/>
  <c r="G77" i="19"/>
  <c r="G84" i="19"/>
  <c r="F85" i="19"/>
  <c r="F86" i="19"/>
  <c r="G87" i="19"/>
  <c r="G88" i="19"/>
  <c r="G89" i="19"/>
  <c r="G90" i="19"/>
  <c r="F91" i="19"/>
  <c r="G79" i="19"/>
  <c r="G83" i="19"/>
  <c r="G92" i="19"/>
  <c r="G82" i="19"/>
  <c r="F62" i="19"/>
  <c r="F63" i="19"/>
  <c r="F74" i="19"/>
  <c r="F58" i="19"/>
  <c r="G40" i="19" s="1"/>
  <c r="D64" i="20" s="1" a="1"/>
  <c r="D64" i="20" s="1"/>
  <c r="U64" i="20" s="1"/>
  <c r="F48" i="19"/>
  <c r="F49" i="19"/>
  <c r="F50" i="19"/>
  <c r="F51" i="19"/>
  <c r="F52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F40" i="19" s="1"/>
  <c r="E41" i="19"/>
  <c r="F41" i="19" s="1"/>
  <c r="E42" i="19"/>
  <c r="F42" i="19" s="1"/>
  <c r="E43" i="19"/>
  <c r="F43" i="19" s="1"/>
  <c r="E44" i="19"/>
  <c r="F44" i="19" s="1"/>
  <c r="G44" i="19" s="1"/>
  <c r="H64" i="20" s="1" a="1"/>
  <c r="H64" i="20" s="1"/>
  <c r="Y64" i="20" s="1"/>
  <c r="E45" i="19"/>
  <c r="F45" i="19" s="1"/>
  <c r="G45" i="19" s="1"/>
  <c r="I64" i="20" s="1" a="1"/>
  <c r="I64" i="20" s="1"/>
  <c r="Z64" i="20" s="1"/>
  <c r="E46" i="19"/>
  <c r="F46" i="19" s="1"/>
  <c r="G46" i="19" s="1"/>
  <c r="J64" i="20" s="1" a="1"/>
  <c r="J64" i="20" s="1"/>
  <c r="AA64" i="20" s="1"/>
  <c r="E47" i="19"/>
  <c r="F47" i="19" s="1"/>
  <c r="G47" i="19" s="1"/>
  <c r="K64" i="20" s="1" a="1"/>
  <c r="K64" i="20" s="1"/>
  <c r="AB64" i="20" s="1"/>
  <c r="E48" i="19"/>
  <c r="E49" i="19"/>
  <c r="E50" i="19"/>
  <c r="E51" i="19"/>
  <c r="E52" i="19"/>
  <c r="E53" i="19"/>
  <c r="F53" i="19" s="1"/>
  <c r="E54" i="19"/>
  <c r="F54" i="19" s="1"/>
  <c r="E55" i="19"/>
  <c r="F55" i="19" s="1"/>
  <c r="E56" i="19"/>
  <c r="F56" i="19" s="1"/>
  <c r="G56" i="19" s="1"/>
  <c r="T64" i="20" s="1" a="1"/>
  <c r="T64" i="20" s="1"/>
  <c r="E57" i="19"/>
  <c r="F60" i="19" s="1"/>
  <c r="E58" i="19"/>
  <c r="E59" i="19"/>
  <c r="F59" i="19" s="1"/>
  <c r="E60" i="19"/>
  <c r="E61" i="19"/>
  <c r="E62" i="19"/>
  <c r="E63" i="19"/>
  <c r="E64" i="19"/>
  <c r="F64" i="19" s="1"/>
  <c r="E65" i="19"/>
  <c r="F65" i="19" s="1"/>
  <c r="E66" i="19"/>
  <c r="F66" i="19" s="1"/>
  <c r="G48" i="19" s="1"/>
  <c r="L64" i="20" s="1" a="1"/>
  <c r="L64" i="20" s="1"/>
  <c r="AC64" i="20" s="1"/>
  <c r="E67" i="19"/>
  <c r="F67" i="19" s="1"/>
  <c r="G49" i="19" s="1"/>
  <c r="M64" i="20" s="1" a="1"/>
  <c r="M64" i="20" s="1"/>
  <c r="AD64" i="20" s="1"/>
  <c r="E68" i="19"/>
  <c r="F68" i="19" s="1"/>
  <c r="G50" i="19" s="1"/>
  <c r="N64" i="20" s="1" a="1"/>
  <c r="N64" i="20" s="1"/>
  <c r="AE64" i="20" s="1"/>
  <c r="E69" i="19"/>
  <c r="F69" i="19" s="1"/>
  <c r="E70" i="19"/>
  <c r="F70" i="19" s="1"/>
  <c r="E71" i="19"/>
  <c r="F71" i="19" s="1"/>
  <c r="E72" i="19"/>
  <c r="E73" i="19"/>
  <c r="E74" i="19"/>
  <c r="E75" i="19"/>
  <c r="E76" i="19"/>
  <c r="F76" i="19" s="1"/>
  <c r="G76" i="19" s="1"/>
  <c r="D12" i="20" s="1" a="1"/>
  <c r="D12" i="20" s="1"/>
  <c r="E77" i="19"/>
  <c r="E78" i="19"/>
  <c r="F78" i="19" s="1"/>
  <c r="E79" i="19"/>
  <c r="E80" i="19"/>
  <c r="F80" i="19" s="1"/>
  <c r="E81" i="19"/>
  <c r="F81" i="19" s="1"/>
  <c r="E82" i="19"/>
  <c r="E83" i="19"/>
  <c r="E84" i="19"/>
  <c r="E85" i="19"/>
  <c r="E86" i="19"/>
  <c r="E87" i="19"/>
  <c r="E88" i="19"/>
  <c r="E89" i="19"/>
  <c r="E90" i="19"/>
  <c r="E91" i="19"/>
  <c r="E92" i="19"/>
  <c r="E93" i="19"/>
  <c r="F109" i="19" s="1"/>
  <c r="E94" i="19"/>
  <c r="E95" i="19"/>
  <c r="E96" i="19"/>
  <c r="E97" i="19"/>
  <c r="E98" i="19"/>
  <c r="E99" i="19"/>
  <c r="E100" i="19"/>
  <c r="E101" i="19"/>
  <c r="E102" i="19"/>
  <c r="E103" i="19"/>
  <c r="F103" i="19" s="1"/>
  <c r="E104" i="19"/>
  <c r="F104" i="19" s="1"/>
  <c r="E105" i="19"/>
  <c r="E106" i="19"/>
  <c r="E107" i="19"/>
  <c r="E108" i="19"/>
  <c r="E109" i="19"/>
  <c r="E110" i="19"/>
  <c r="E111" i="19"/>
  <c r="E112" i="19"/>
  <c r="F112" i="19" s="1"/>
  <c r="E113" i="19"/>
  <c r="E114" i="19"/>
  <c r="E115" i="19"/>
  <c r="E116" i="19"/>
  <c r="F116" i="19" s="1"/>
  <c r="E117" i="19"/>
  <c r="F117" i="19" s="1"/>
  <c r="E118" i="19"/>
  <c r="F118" i="19" s="1"/>
  <c r="E119" i="19"/>
  <c r="F119" i="19" s="1"/>
  <c r="G119" i="19" s="1"/>
  <c r="K78" i="20" s="1" a="1"/>
  <c r="K78" i="20" s="1"/>
  <c r="E120" i="19"/>
  <c r="E121" i="19"/>
  <c r="E122" i="19"/>
  <c r="E123" i="19"/>
  <c r="E124" i="19"/>
  <c r="E125" i="19"/>
  <c r="E126" i="19"/>
  <c r="E127" i="19"/>
  <c r="E128" i="19"/>
  <c r="F128" i="19" s="1"/>
  <c r="G128" i="19" s="1"/>
  <c r="T78" i="20" s="1" a="1"/>
  <c r="T78" i="20" s="1"/>
  <c r="E129" i="19"/>
  <c r="F146" i="19" s="1"/>
  <c r="E130" i="19"/>
  <c r="F130" i="19" s="1"/>
  <c r="E131" i="19"/>
  <c r="F131" i="19" s="1"/>
  <c r="G113" i="19" s="1"/>
  <c r="E78" i="20" s="1" a="1"/>
  <c r="E78" i="20" s="1"/>
  <c r="E132" i="19"/>
  <c r="E133" i="19"/>
  <c r="E134" i="19"/>
  <c r="E135" i="19"/>
  <c r="E136" i="19"/>
  <c r="E137" i="19"/>
  <c r="E138" i="19"/>
  <c r="E139" i="19"/>
  <c r="F139" i="19" s="1"/>
  <c r="E140" i="19"/>
  <c r="F140" i="19" s="1"/>
  <c r="G122" i="19" s="1"/>
  <c r="N78" i="20" s="1" a="1"/>
  <c r="N78" i="20" s="1"/>
  <c r="AE78" i="20" s="1"/>
  <c r="E141" i="19"/>
  <c r="F141" i="19" s="1"/>
  <c r="E142" i="19"/>
  <c r="F142" i="19" s="1"/>
  <c r="G124" i="19" s="1"/>
  <c r="P78" i="20" s="1" a="1"/>
  <c r="P78" i="20" s="1"/>
  <c r="AG78" i="20" s="1"/>
  <c r="E143" i="19"/>
  <c r="F143" i="19" s="1"/>
  <c r="E144" i="19"/>
  <c r="E145" i="19"/>
  <c r="E146" i="19"/>
  <c r="E147" i="19"/>
  <c r="E148" i="19"/>
  <c r="F148" i="19" s="1"/>
  <c r="E149" i="19"/>
  <c r="E150" i="19"/>
  <c r="F150" i="19" s="1"/>
  <c r="E151" i="19"/>
  <c r="F151" i="19" s="1"/>
  <c r="E152" i="19"/>
  <c r="F152" i="19" s="1"/>
  <c r="E153" i="19"/>
  <c r="F153" i="19" s="1"/>
  <c r="G153" i="19" s="1"/>
  <c r="I62" i="20" s="1" a="1"/>
  <c r="I62" i="20" s="1"/>
  <c r="E154" i="19"/>
  <c r="F154" i="19" s="1"/>
  <c r="G154" i="19" s="1"/>
  <c r="J62" i="20" s="1" a="1"/>
  <c r="J62" i="20" s="1"/>
  <c r="E155" i="19"/>
  <c r="F155" i="19" s="1"/>
  <c r="G155" i="19" s="1"/>
  <c r="K62" i="20" s="1" a="1"/>
  <c r="K62" i="20" s="1"/>
  <c r="E156" i="19"/>
  <c r="E157" i="19"/>
  <c r="E158" i="19"/>
  <c r="E159" i="19"/>
  <c r="E160" i="19"/>
  <c r="E161" i="19"/>
  <c r="E162" i="19"/>
  <c r="F162" i="19" s="1"/>
  <c r="E163" i="19"/>
  <c r="F163" i="19" s="1"/>
  <c r="E164" i="19"/>
  <c r="F164" i="19" s="1"/>
  <c r="E165" i="19"/>
  <c r="F180" i="19" s="1"/>
  <c r="E166" i="19"/>
  <c r="E167" i="19"/>
  <c r="F167" i="19" s="1"/>
  <c r="G149" i="19" s="1"/>
  <c r="E62" i="20" s="1" a="1"/>
  <c r="E62" i="20" s="1"/>
  <c r="V62" i="20" s="1"/>
  <c r="E168" i="19"/>
  <c r="E169" i="19"/>
  <c r="E170" i="19"/>
  <c r="E171" i="19"/>
  <c r="E172" i="19"/>
  <c r="E173" i="19"/>
  <c r="F173" i="19" s="1"/>
  <c r="E174" i="19"/>
  <c r="F174" i="19" s="1"/>
  <c r="E175" i="19"/>
  <c r="F175" i="19" s="1"/>
  <c r="G157" i="19" s="1"/>
  <c r="M62" i="20" s="1" a="1"/>
  <c r="M62" i="20" s="1"/>
  <c r="E176" i="19"/>
  <c r="F176" i="19" s="1"/>
  <c r="G158" i="19" s="1"/>
  <c r="N62" i="20" s="1" a="1"/>
  <c r="N62" i="20" s="1"/>
  <c r="E177" i="19"/>
  <c r="F177" i="19" s="1"/>
  <c r="E178" i="19"/>
  <c r="F178" i="19" s="1"/>
  <c r="G160" i="19" s="1"/>
  <c r="P62" i="20" s="1" a="1"/>
  <c r="P62" i="20" s="1"/>
  <c r="AG62" i="20" s="1"/>
  <c r="E179" i="19"/>
  <c r="F179" i="19" s="1"/>
  <c r="E180" i="19"/>
  <c r="E181" i="19"/>
  <c r="E182" i="19"/>
  <c r="E3" i="19"/>
  <c r="N113" i="20" l="1"/>
  <c r="P113" i="20"/>
  <c r="T112" i="20"/>
  <c r="K72" i="20"/>
  <c r="AB62" i="20"/>
  <c r="K112" i="20" s="1"/>
  <c r="M72" i="20"/>
  <c r="AD62" i="20"/>
  <c r="M112" i="20" s="1"/>
  <c r="E89" i="20"/>
  <c r="V78" i="20"/>
  <c r="N72" i="20"/>
  <c r="AE62" i="20"/>
  <c r="N112" i="20" s="1"/>
  <c r="J72" i="20"/>
  <c r="AA62" i="20"/>
  <c r="J112" i="20" s="1"/>
  <c r="D24" i="20"/>
  <c r="U12" i="20"/>
  <c r="I72" i="20"/>
  <c r="Z62" i="20"/>
  <c r="I112" i="20" s="1"/>
  <c r="K89" i="20"/>
  <c r="AB78" i="20"/>
  <c r="T89" i="20"/>
  <c r="AK78" i="20"/>
  <c r="L89" i="20"/>
  <c r="AC78" i="20"/>
  <c r="N89" i="20"/>
  <c r="P89" i="20"/>
  <c r="G116" i="19"/>
  <c r="H78" i="20" s="1" a="1"/>
  <c r="H78" i="20" s="1"/>
  <c r="G85" i="19"/>
  <c r="M12" i="20" s="1" a="1"/>
  <c r="M12" i="20" s="1"/>
  <c r="G41" i="19"/>
  <c r="E64" i="20" s="1" a="1"/>
  <c r="E64" i="20" s="1"/>
  <c r="V64" i="20" s="1"/>
  <c r="E112" i="20" s="1"/>
  <c r="G42" i="19"/>
  <c r="F64" i="20" s="1" a="1"/>
  <c r="F64" i="20" s="1"/>
  <c r="W64" i="20" s="1"/>
  <c r="G152" i="19"/>
  <c r="H62" i="20" s="1" a="1"/>
  <c r="H62" i="20" s="1"/>
  <c r="G54" i="19"/>
  <c r="R64" i="20" s="1" a="1"/>
  <c r="R64" i="20" s="1"/>
  <c r="AI64" i="20" s="1"/>
  <c r="G53" i="19"/>
  <c r="Q64" i="20" s="1" a="1"/>
  <c r="Q64" i="20" s="1"/>
  <c r="AH64" i="20" s="1"/>
  <c r="G51" i="19"/>
  <c r="O64" i="20" s="1" a="1"/>
  <c r="O64" i="20" s="1"/>
  <c r="AF64" i="20" s="1"/>
  <c r="G52" i="19"/>
  <c r="P64" i="20" s="1" a="1"/>
  <c r="P64" i="20" s="1"/>
  <c r="G91" i="19"/>
  <c r="S12" i="20" s="1" a="1"/>
  <c r="S12" i="20" s="1"/>
  <c r="F136" i="19"/>
  <c r="G118" i="19" s="1"/>
  <c r="J78" i="20" s="1" a="1"/>
  <c r="J78" i="20" s="1"/>
  <c r="F170" i="19"/>
  <c r="G161" i="19"/>
  <c r="Q62" i="20" s="1" a="1"/>
  <c r="Q62" i="20" s="1"/>
  <c r="F182" i="19"/>
  <c r="G164" i="19" s="1"/>
  <c r="T62" i="20" s="1" a="1"/>
  <c r="T62" i="20" s="1"/>
  <c r="T72" i="20" s="1"/>
  <c r="F99" i="19"/>
  <c r="G81" i="19" s="1"/>
  <c r="I12" i="20" s="1" a="1"/>
  <c r="I12" i="20" s="1"/>
  <c r="F145" i="19"/>
  <c r="F96" i="19"/>
  <c r="G78" i="19" s="1"/>
  <c r="F12" i="20" s="1" a="1"/>
  <c r="F12" i="20" s="1"/>
  <c r="G148" i="19"/>
  <c r="D62" i="20" s="1" a="1"/>
  <c r="D62" i="20" s="1"/>
  <c r="F73" i="19"/>
  <c r="G55" i="19" s="1"/>
  <c r="S64" i="20" s="1" a="1"/>
  <c r="S64" i="20" s="1"/>
  <c r="F169" i="19"/>
  <c r="G151" i="19" s="1"/>
  <c r="G62" i="20" s="1" a="1"/>
  <c r="G62" i="20" s="1"/>
  <c r="X62" i="20" s="1"/>
  <c r="F72" i="19"/>
  <c r="F134" i="19"/>
  <c r="F181" i="19"/>
  <c r="F168" i="19"/>
  <c r="F133" i="19"/>
  <c r="F132" i="19"/>
  <c r="G114" i="19" s="1"/>
  <c r="F78" i="20" s="1" a="1"/>
  <c r="F78" i="20" s="1"/>
  <c r="F98" i="19"/>
  <c r="G80" i="19" s="1"/>
  <c r="H12" i="20" s="1" a="1"/>
  <c r="H12" i="20" s="1"/>
  <c r="F144" i="19"/>
  <c r="F61" i="19"/>
  <c r="G43" i="19" s="1"/>
  <c r="G64" i="20" s="1" a="1"/>
  <c r="G64" i="20" s="1"/>
  <c r="X64" i="20" s="1"/>
  <c r="F135" i="19"/>
  <c r="G162" i="19"/>
  <c r="R62" i="20" s="1" a="1"/>
  <c r="R62" i="20" s="1"/>
  <c r="AI62" i="20" s="1"/>
  <c r="R112" i="20" s="1"/>
  <c r="G150" i="19"/>
  <c r="F62" i="20" s="1" a="1"/>
  <c r="F62" i="20" s="1"/>
  <c r="G156" i="19"/>
  <c r="L62" i="20" s="1" a="1"/>
  <c r="L62" i="20" s="1"/>
  <c r="G159" i="19"/>
  <c r="O62" i="20" s="1" a="1"/>
  <c r="O62" i="20" s="1"/>
  <c r="AF62" i="20" s="1"/>
  <c r="O112" i="20" s="1"/>
  <c r="G163" i="19"/>
  <c r="S62" i="20" s="1" a="1"/>
  <c r="S62" i="20" s="1"/>
  <c r="G123" i="19"/>
  <c r="O78" i="20" s="1" a="1"/>
  <c r="O78" i="20" s="1"/>
  <c r="G121" i="19"/>
  <c r="M78" i="20" s="1" a="1"/>
  <c r="M78" i="20" s="1"/>
  <c r="G126" i="19"/>
  <c r="R78" i="20" s="1" a="1"/>
  <c r="R78" i="20" s="1"/>
  <c r="G125" i="19"/>
  <c r="Q78" i="20" s="1" a="1"/>
  <c r="Q78" i="20" s="1"/>
  <c r="G112" i="19"/>
  <c r="D78" i="20" s="1" a="1"/>
  <c r="D78" i="20" s="1"/>
  <c r="G117" i="19"/>
  <c r="I78" i="20" s="1" a="1"/>
  <c r="I78" i="20" s="1"/>
  <c r="G115" i="19"/>
  <c r="G78" i="20" s="1" a="1"/>
  <c r="G78" i="20" s="1"/>
  <c r="G127" i="19"/>
  <c r="S78" i="20" s="1" a="1"/>
  <c r="S78" i="20" s="1"/>
  <c r="G86" i="19"/>
  <c r="N12" i="20" s="1" a="1"/>
  <c r="N12" i="20" s="1"/>
  <c r="K114" i="20" l="1"/>
  <c r="K113" i="20"/>
  <c r="U24" i="20"/>
  <c r="D109" i="20"/>
  <c r="D111" i="20"/>
  <c r="N114" i="20"/>
  <c r="L113" i="20"/>
  <c r="G112" i="20"/>
  <c r="T114" i="20"/>
  <c r="T113" i="20"/>
  <c r="E113" i="20"/>
  <c r="E114" i="20"/>
  <c r="Q72" i="20"/>
  <c r="AH62" i="20"/>
  <c r="Q112" i="20" s="1"/>
  <c r="O89" i="20"/>
  <c r="AF78" i="20"/>
  <c r="H89" i="20"/>
  <c r="Y78" i="20"/>
  <c r="R89" i="20"/>
  <c r="AI78" i="20"/>
  <c r="J89" i="20"/>
  <c r="AA78" i="20"/>
  <c r="M89" i="20"/>
  <c r="AD78" i="20"/>
  <c r="M24" i="20"/>
  <c r="AD12" i="20"/>
  <c r="E72" i="20"/>
  <c r="Q89" i="20"/>
  <c r="AH78" i="20"/>
  <c r="L72" i="20"/>
  <c r="AC62" i="20"/>
  <c r="L112" i="20" s="1"/>
  <c r="S24" i="20"/>
  <c r="AJ12" i="20"/>
  <c r="F72" i="20"/>
  <c r="W62" i="20"/>
  <c r="F112" i="20" s="1"/>
  <c r="P72" i="20"/>
  <c r="AG64" i="20"/>
  <c r="G89" i="20"/>
  <c r="X78" i="20"/>
  <c r="D72" i="20"/>
  <c r="U62" i="20"/>
  <c r="D112" i="20" s="1"/>
  <c r="S89" i="20"/>
  <c r="F24" i="20"/>
  <c r="W12" i="20"/>
  <c r="I89" i="20"/>
  <c r="Z78" i="20"/>
  <c r="D89" i="20"/>
  <c r="U78" i="20"/>
  <c r="H72" i="20"/>
  <c r="Y62" i="20"/>
  <c r="H112" i="20" s="1"/>
  <c r="N24" i="20"/>
  <c r="AE12" i="20"/>
  <c r="H24" i="20"/>
  <c r="Y12" i="20"/>
  <c r="I24" i="20"/>
  <c r="Z12" i="20"/>
  <c r="F89" i="20"/>
  <c r="W78" i="20"/>
  <c r="G72" i="20"/>
  <c r="S72" i="20"/>
  <c r="O72" i="20"/>
  <c r="R72" i="20"/>
  <c r="K4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5" i="18"/>
  <c r="K26" i="18"/>
  <c r="K3" i="18"/>
  <c r="J4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5" i="18"/>
  <c r="J26" i="18"/>
  <c r="J3" i="18"/>
  <c r="I4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5" i="18"/>
  <c r="I26" i="18"/>
  <c r="I3" i="18"/>
  <c r="S104" i="20" l="1"/>
  <c r="S115" i="20"/>
  <c r="L114" i="20"/>
  <c r="W24" i="20"/>
  <c r="F109" i="20"/>
  <c r="F111" i="20"/>
  <c r="AJ24" i="20"/>
  <c r="S109" i="20"/>
  <c r="S111" i="20"/>
  <c r="Z24" i="20"/>
  <c r="I109" i="20"/>
  <c r="I111" i="20"/>
  <c r="Q113" i="20"/>
  <c r="Q114" i="20"/>
  <c r="AE24" i="20"/>
  <c r="N109" i="20"/>
  <c r="N111" i="20"/>
  <c r="G113" i="20"/>
  <c r="G114" i="20"/>
  <c r="F113" i="20"/>
  <c r="F114" i="20"/>
  <c r="I114" i="20"/>
  <c r="I113" i="20"/>
  <c r="J114" i="20"/>
  <c r="J113" i="20"/>
  <c r="R113" i="20"/>
  <c r="R114" i="20"/>
  <c r="Y24" i="20"/>
  <c r="H109" i="20"/>
  <c r="H111" i="20"/>
  <c r="H114" i="20"/>
  <c r="H113" i="20"/>
  <c r="O113" i="20"/>
  <c r="O114" i="20"/>
  <c r="P112" i="20"/>
  <c r="P114" i="20"/>
  <c r="AD24" i="20"/>
  <c r="M109" i="20"/>
  <c r="M111" i="20"/>
  <c r="D113" i="20"/>
  <c r="D114" i="20"/>
  <c r="M113" i="20"/>
  <c r="M114" i="20"/>
  <c r="Q64" i="17"/>
  <c r="C12" i="17"/>
  <c r="C13" i="17"/>
  <c r="AC43" i="17"/>
  <c r="AC53" i="17"/>
  <c r="AC60" i="17"/>
  <c r="AC64" i="17"/>
  <c r="AB64" i="17"/>
  <c r="AB60" i="17"/>
  <c r="AB53" i="17"/>
  <c r="AB43" i="17"/>
  <c r="V66" i="17"/>
  <c r="X66" i="17"/>
  <c r="X70" i="17"/>
  <c r="W70" i="17"/>
  <c r="V70" i="17"/>
  <c r="W66" i="17"/>
  <c r="X65" i="17"/>
  <c r="W65" i="17"/>
  <c r="V65" i="17"/>
  <c r="X59" i="17"/>
  <c r="W59" i="17"/>
  <c r="V59" i="17"/>
  <c r="P95" i="17"/>
  <c r="R95" i="17"/>
  <c r="R76" i="17"/>
  <c r="P76" i="17"/>
  <c r="R71" i="17"/>
  <c r="P71" i="17"/>
  <c r="P40" i="17"/>
  <c r="R40" i="17"/>
  <c r="O16" i="17"/>
  <c r="O36" i="17" s="1"/>
  <c r="I70" i="17" l="1"/>
  <c r="Q81" i="17" s="1"/>
  <c r="I42" i="17"/>
  <c r="Q53" i="17" s="1"/>
  <c r="I58" i="17"/>
  <c r="Q60" i="17" s="1"/>
  <c r="I66" i="17"/>
  <c r="Q67" i="17" s="1"/>
  <c r="I54" i="17"/>
  <c r="Q89" i="17" s="1"/>
  <c r="I46" i="17"/>
  <c r="Q57" i="17" s="1"/>
  <c r="I41" i="17"/>
  <c r="Q66" i="17" s="1"/>
  <c r="I61" i="17"/>
  <c r="I65" i="17"/>
  <c r="Q52" i="17" s="1"/>
  <c r="I40" i="17"/>
  <c r="Q65" i="17" s="1"/>
  <c r="I60" i="17"/>
  <c r="Q62" i="17" s="1"/>
  <c r="I64" i="17"/>
  <c r="Q51" i="17" s="1"/>
  <c r="I39" i="17"/>
  <c r="I59" i="17"/>
  <c r="Q61" i="17" s="1"/>
  <c r="I63" i="17"/>
  <c r="Q50" i="17" s="1"/>
  <c r="I53" i="17"/>
  <c r="Q88" i="17" s="1"/>
  <c r="I57" i="17"/>
  <c r="Q59" i="17" s="1"/>
  <c r="I74" i="17"/>
  <c r="Q85" i="17" s="1"/>
  <c r="I52" i="17"/>
  <c r="Q87" i="17" s="1"/>
  <c r="I56" i="17"/>
  <c r="I73" i="17"/>
  <c r="Q84" i="17" s="1"/>
  <c r="I51" i="17"/>
  <c r="I55" i="17"/>
  <c r="Q90" i="17" s="1"/>
  <c r="I72" i="17"/>
  <c r="Q83" i="17" s="1"/>
  <c r="I38" i="17"/>
  <c r="I50" i="17"/>
  <c r="Q94" i="17" s="1"/>
  <c r="I62" i="17"/>
  <c r="Q49" i="17" s="1"/>
  <c r="I71" i="17"/>
  <c r="Q82" i="17" s="1"/>
  <c r="I45" i="17"/>
  <c r="Q56" i="17" s="1"/>
  <c r="I49" i="17"/>
  <c r="Q93" i="17" s="1"/>
  <c r="I69" i="17"/>
  <c r="Q70" i="17" s="1"/>
  <c r="I44" i="17"/>
  <c r="Q55" i="17" s="1"/>
  <c r="I48" i="17"/>
  <c r="Q92" i="17" s="1"/>
  <c r="I68" i="17"/>
  <c r="Q69" i="17" s="1"/>
  <c r="I43" i="17"/>
  <c r="Q54" i="17" s="1"/>
  <c r="I47" i="17"/>
  <c r="I67" i="17"/>
  <c r="Q68" i="17" s="1"/>
  <c r="D29" i="17"/>
  <c r="D35" i="17"/>
  <c r="E29" i="17"/>
  <c r="E35" i="17"/>
  <c r="F31" i="17"/>
  <c r="F35" i="17"/>
  <c r="G30" i="17"/>
  <c r="G31" i="17"/>
  <c r="G33" i="17"/>
  <c r="G34" i="17"/>
  <c r="G36" i="17"/>
  <c r="H29" i="17"/>
  <c r="H30" i="17"/>
  <c r="H31" i="17"/>
  <c r="H32" i="17"/>
  <c r="H33" i="17"/>
  <c r="H34" i="17"/>
  <c r="H35" i="17"/>
  <c r="H36" i="17"/>
  <c r="D31" i="17"/>
  <c r="E30" i="17"/>
  <c r="F32" i="17"/>
  <c r="G29" i="17"/>
  <c r="G32" i="17"/>
  <c r="G35" i="17"/>
  <c r="I29" i="17"/>
  <c r="I30" i="17"/>
  <c r="I31" i="17"/>
  <c r="I32" i="17"/>
  <c r="I33" i="17"/>
  <c r="I34" i="17"/>
  <c r="I35" i="17"/>
  <c r="I36" i="17"/>
  <c r="D36" i="17"/>
  <c r="E31" i="17"/>
  <c r="F29" i="17"/>
  <c r="F34" i="17"/>
  <c r="J30" i="17"/>
  <c r="J32" i="17"/>
  <c r="J36" i="17"/>
  <c r="C15" i="17"/>
  <c r="K29" i="17"/>
  <c r="K30" i="17"/>
  <c r="K31" i="17"/>
  <c r="K32" i="17"/>
  <c r="K33" i="17"/>
  <c r="K34" i="17"/>
  <c r="K35" i="17"/>
  <c r="K36" i="17"/>
  <c r="D32" i="17"/>
  <c r="E32" i="17"/>
  <c r="F33" i="17"/>
  <c r="C14" i="17"/>
  <c r="J29" i="17"/>
  <c r="G54" i="17" s="1"/>
  <c r="O89" i="17" s="1"/>
  <c r="J31" i="17"/>
  <c r="J33" i="17"/>
  <c r="J34" i="17"/>
  <c r="J35" i="17"/>
  <c r="C16" i="17"/>
  <c r="L29" i="17"/>
  <c r="L30" i="17"/>
  <c r="L31" i="17"/>
  <c r="L32" i="17"/>
  <c r="L33" i="17"/>
  <c r="L34" i="17"/>
  <c r="L35" i="17"/>
  <c r="L36" i="17"/>
  <c r="E33" i="17"/>
  <c r="M30" i="17"/>
  <c r="M32" i="17"/>
  <c r="M36" i="17"/>
  <c r="D34" i="17"/>
  <c r="E36" i="17"/>
  <c r="F30" i="17"/>
  <c r="F36" i="17"/>
  <c r="M29" i="17"/>
  <c r="M31" i="17"/>
  <c r="M33" i="17"/>
  <c r="M34" i="17"/>
  <c r="M35" i="17"/>
  <c r="C18" i="17"/>
  <c r="N29" i="17"/>
  <c r="N30" i="17"/>
  <c r="N31" i="17"/>
  <c r="N32" i="17"/>
  <c r="N33" i="17"/>
  <c r="N34" i="17"/>
  <c r="N35" i="17"/>
  <c r="N36" i="17"/>
  <c r="D30" i="17"/>
  <c r="D33" i="17"/>
  <c r="E34" i="17"/>
  <c r="C19" i="17"/>
  <c r="O29" i="17"/>
  <c r="O30" i="17"/>
  <c r="O31" i="17"/>
  <c r="O32" i="17"/>
  <c r="O33" i="17"/>
  <c r="O34" i="17"/>
  <c r="O35" i="17"/>
  <c r="AC42" i="17" l="1"/>
  <c r="AC49" i="17"/>
  <c r="AC45" i="17"/>
  <c r="AC61" i="17"/>
  <c r="AC46" i="17"/>
  <c r="AC40" i="17"/>
  <c r="R81" i="17"/>
  <c r="W64" i="17"/>
  <c r="W67" i="17"/>
  <c r="G46" i="17"/>
  <c r="O57" i="17" s="1"/>
  <c r="G74" i="17"/>
  <c r="O85" i="17" s="1"/>
  <c r="X61" i="17"/>
  <c r="W61" i="17"/>
  <c r="V64" i="17"/>
  <c r="X64" i="17"/>
  <c r="X67" i="17"/>
  <c r="V61" i="17"/>
  <c r="G50" i="17"/>
  <c r="O94" i="17" s="1"/>
  <c r="G72" i="17"/>
  <c r="O83" i="17" s="1"/>
  <c r="V67" i="17"/>
  <c r="J70" i="17"/>
  <c r="J51" i="17"/>
  <c r="Q86" i="17"/>
  <c r="J38" i="17"/>
  <c r="R63" i="17" s="1"/>
  <c r="Q63" i="17"/>
  <c r="AC44" i="17" s="1"/>
  <c r="W46" i="17"/>
  <c r="J47" i="17"/>
  <c r="Q91" i="17"/>
  <c r="Q58" i="17"/>
  <c r="J56" i="17"/>
  <c r="R58" i="17" s="1"/>
  <c r="G73" i="17"/>
  <c r="O84" i="17" s="1"/>
  <c r="Q48" i="17"/>
  <c r="J61" i="17"/>
  <c r="R48" i="17" s="1"/>
  <c r="J42" i="17"/>
  <c r="R53" i="17" s="1"/>
  <c r="J66" i="17"/>
  <c r="R67" i="17" s="1"/>
  <c r="G66" i="17"/>
  <c r="O67" i="17" s="1"/>
  <c r="G42" i="17"/>
  <c r="O53" i="17" s="1"/>
  <c r="G55" i="17"/>
  <c r="O90" i="17" s="1"/>
  <c r="G39" i="17"/>
  <c r="O64" i="17" s="1"/>
  <c r="G60" i="17"/>
  <c r="O62" i="17" s="1"/>
  <c r="G51" i="17"/>
  <c r="O86" i="17" s="1"/>
  <c r="G43" i="17"/>
  <c r="O54" i="17" s="1"/>
  <c r="G48" i="17"/>
  <c r="O92" i="17" s="1"/>
  <c r="G58" i="17"/>
  <c r="O60" i="17" s="1"/>
  <c r="G69" i="17"/>
  <c r="O70" i="17" s="1"/>
  <c r="G56" i="17"/>
  <c r="G70" i="17"/>
  <c r="O81" i="17" s="1"/>
  <c r="G67" i="17"/>
  <c r="O68" i="17" s="1"/>
  <c r="G52" i="17"/>
  <c r="O87" i="17" s="1"/>
  <c r="G41" i="17"/>
  <c r="O66" i="17" s="1"/>
  <c r="G68" i="17"/>
  <c r="O69" i="17" s="1"/>
  <c r="G53" i="17"/>
  <c r="O88" i="17" s="1"/>
  <c r="G45" i="17"/>
  <c r="O56" i="17" s="1"/>
  <c r="G61" i="17"/>
  <c r="G44" i="17"/>
  <c r="O55" i="17" s="1"/>
  <c r="G65" i="17"/>
  <c r="O52" i="17" s="1"/>
  <c r="G57" i="17"/>
  <c r="O59" i="17" s="1"/>
  <c r="G40" i="17"/>
  <c r="O65" i="17" s="1"/>
  <c r="G59" i="17"/>
  <c r="O61" i="17" s="1"/>
  <c r="G64" i="17"/>
  <c r="O51" i="17" s="1"/>
  <c r="G49" i="17"/>
  <c r="O93" i="17" s="1"/>
  <c r="G63" i="17"/>
  <c r="O50" i="17" s="1"/>
  <c r="G71" i="17"/>
  <c r="O82" i="17" s="1"/>
  <c r="G62" i="17"/>
  <c r="O49" i="17" s="1"/>
  <c r="G38" i="17"/>
  <c r="G47" i="17"/>
  <c r="O91" i="17" s="1"/>
  <c r="AC58" i="17" l="1"/>
  <c r="AC51" i="17"/>
  <c r="R86" i="17"/>
  <c r="AC54" i="17"/>
  <c r="AC56" i="17"/>
  <c r="AC50" i="17"/>
  <c r="AB42" i="17"/>
  <c r="AB49" i="17"/>
  <c r="AB56" i="17"/>
  <c r="AB54" i="17"/>
  <c r="AB50" i="17"/>
  <c r="AB40" i="17"/>
  <c r="AB46" i="17"/>
  <c r="AB61" i="17"/>
  <c r="AB45" i="17"/>
  <c r="W45" i="17"/>
  <c r="AC41" i="17"/>
  <c r="AC62" i="17"/>
  <c r="AC47" i="17"/>
  <c r="AC48" i="17"/>
  <c r="AB51" i="17"/>
  <c r="AB58" i="17"/>
  <c r="P86" i="17"/>
  <c r="P81" i="17"/>
  <c r="V63" i="17"/>
  <c r="X63" i="17"/>
  <c r="W63" i="17"/>
  <c r="V62" i="17"/>
  <c r="X62" i="17"/>
  <c r="W62" i="17"/>
  <c r="V68" i="17"/>
  <c r="X68" i="17"/>
  <c r="W68" i="17"/>
  <c r="V60" i="17"/>
  <c r="X60" i="17"/>
  <c r="W60" i="17"/>
  <c r="W69" i="17"/>
  <c r="X69" i="17"/>
  <c r="W54" i="17"/>
  <c r="W51" i="17"/>
  <c r="V69" i="17"/>
  <c r="W47" i="17"/>
  <c r="W48" i="17"/>
  <c r="W44" i="17"/>
  <c r="W55" i="17"/>
  <c r="W49" i="17"/>
  <c r="V51" i="17"/>
  <c r="V50" i="17"/>
  <c r="W40" i="17"/>
  <c r="W41" i="17"/>
  <c r="W53" i="17"/>
  <c r="W42" i="17"/>
  <c r="W43" i="17"/>
  <c r="W52" i="17"/>
  <c r="W50" i="17"/>
  <c r="V52" i="17"/>
  <c r="V46" i="17"/>
  <c r="V54" i="17"/>
  <c r="H47" i="17"/>
  <c r="H51" i="17"/>
  <c r="H66" i="17"/>
  <c r="P67" i="17" s="1"/>
  <c r="H38" i="17"/>
  <c r="P63" i="17" s="1"/>
  <c r="O63" i="17"/>
  <c r="O48" i="17"/>
  <c r="H61" i="17"/>
  <c r="P48" i="17" s="1"/>
  <c r="H70" i="17"/>
  <c r="H42" i="17"/>
  <c r="P53" i="17" s="1"/>
  <c r="O58" i="17"/>
  <c r="V44" i="17" s="1"/>
  <c r="H56" i="17"/>
  <c r="P58" i="17" s="1"/>
  <c r="AB41" i="17" l="1"/>
  <c r="AB48" i="17"/>
  <c r="AB47" i="17"/>
  <c r="AB62" i="17"/>
  <c r="AB44" i="17"/>
  <c r="V43" i="17"/>
  <c r="V40" i="17"/>
  <c r="V42" i="17"/>
  <c r="V53" i="17"/>
  <c r="V41" i="17"/>
  <c r="V55" i="17"/>
  <c r="V49" i="17"/>
  <c r="V47" i="17"/>
  <c r="V48" i="17"/>
  <c r="V45" i="17"/>
  <c r="CD55" i="10" l="1"/>
  <c r="U226" i="8"/>
  <c r="U229" i="8"/>
  <c r="P29" i="4" l="1"/>
  <c r="S29" i="4"/>
  <c r="V29" i="4"/>
  <c r="Y29" i="4"/>
  <c r="AB29" i="4"/>
  <c r="E362" i="8"/>
  <c r="Y335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E335" i="8"/>
  <c r="E334" i="8"/>
  <c r="E333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E332" i="8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Q29" i="4"/>
  <c r="T29" i="4"/>
  <c r="W29" i="4"/>
  <c r="Z29" i="4"/>
  <c r="R29" i="4"/>
  <c r="U29" i="4"/>
  <c r="X29" i="4"/>
  <c r="AA29" i="4"/>
  <c r="O29" i="4"/>
  <c r="N29" i="4"/>
  <c r="AB28" i="4"/>
  <c r="Y28" i="4"/>
  <c r="X28" i="4"/>
  <c r="W28" i="4"/>
  <c r="T28" i="4"/>
  <c r="V28" i="4"/>
  <c r="AA28" i="4"/>
  <c r="Z28" i="4"/>
  <c r="U28" i="4"/>
  <c r="S28" i="4"/>
  <c r="R28" i="4"/>
  <c r="Q28" i="4"/>
  <c r="P28" i="4"/>
  <c r="O28" i="4"/>
  <c r="N28" i="4"/>
  <c r="Y350" i="8"/>
  <c r="E352" i="8"/>
  <c r="E351" i="8"/>
  <c r="E341" i="8"/>
  <c r="V396" i="8"/>
  <c r="W396" i="8"/>
  <c r="X396" i="8"/>
  <c r="V399" i="8"/>
  <c r="W399" i="8"/>
  <c r="X399" i="8"/>
  <c r="E399" i="8"/>
  <c r="E396" i="8"/>
  <c r="F355" i="8"/>
  <c r="G355" i="8"/>
  <c r="H355" i="8"/>
  <c r="I355" i="8"/>
  <c r="J355" i="8"/>
  <c r="K355" i="8"/>
  <c r="L355" i="8"/>
  <c r="M355" i="8"/>
  <c r="P355" i="8"/>
  <c r="S355" i="8"/>
  <c r="T355" i="8"/>
  <c r="U355" i="8"/>
  <c r="V355" i="8"/>
  <c r="W355" i="8"/>
  <c r="X355" i="8"/>
  <c r="F362" i="8"/>
  <c r="G362" i="8"/>
  <c r="H362" i="8"/>
  <c r="I362" i="8"/>
  <c r="J362" i="8"/>
  <c r="K362" i="8"/>
  <c r="L362" i="8"/>
  <c r="M362" i="8"/>
  <c r="N362" i="8"/>
  <c r="O362" i="8"/>
  <c r="P362" i="8"/>
  <c r="S362" i="8"/>
  <c r="T362" i="8"/>
  <c r="U362" i="8"/>
  <c r="V362" i="8"/>
  <c r="W362" i="8"/>
  <c r="X362" i="8"/>
  <c r="V363" i="8"/>
  <c r="W363" i="8"/>
  <c r="X363" i="8"/>
  <c r="E355" i="8"/>
  <c r="M29" i="4"/>
  <c r="L29" i="4"/>
  <c r="K29" i="4"/>
  <c r="M28" i="4"/>
  <c r="L28" i="4"/>
  <c r="K28" i="4"/>
  <c r="V392" i="8" l="1"/>
  <c r="W392" i="8"/>
  <c r="X392" i="8"/>
  <c r="M303" i="8"/>
  <c r="M304" i="8"/>
  <c r="M305" i="8"/>
  <c r="M306" i="8"/>
  <c r="M307" i="8"/>
  <c r="M308" i="8"/>
  <c r="M309" i="8"/>
  <c r="M310" i="8"/>
  <c r="M311" i="8"/>
  <c r="M312" i="8"/>
  <c r="M293" i="8"/>
  <c r="M294" i="8"/>
  <c r="M295" i="8"/>
  <c r="M296" i="8"/>
  <c r="M297" i="8"/>
  <c r="M298" i="8"/>
  <c r="M299" i="8"/>
  <c r="M300" i="8"/>
  <c r="M301" i="8"/>
  <c r="M302" i="8"/>
  <c r="M273" i="8"/>
  <c r="M274" i="8"/>
  <c r="M275" i="8"/>
  <c r="M276" i="8"/>
  <c r="M277" i="8"/>
  <c r="M278" i="8"/>
  <c r="M279" i="8"/>
  <c r="M280" i="8"/>
  <c r="M281" i="8"/>
  <c r="M282" i="8"/>
  <c r="M127" i="8"/>
  <c r="M128" i="8"/>
  <c r="M129" i="8"/>
  <c r="M130" i="8"/>
  <c r="M131" i="8"/>
  <c r="M73" i="8"/>
  <c r="M74" i="8"/>
  <c r="M75" i="8"/>
  <c r="M76" i="8"/>
  <c r="M77" i="8"/>
  <c r="DX56" i="13"/>
  <c r="DX51" i="13"/>
  <c r="DX46" i="13"/>
  <c r="EM56" i="13"/>
  <c r="EM46" i="13"/>
  <c r="EK40" i="13"/>
  <c r="EL40" i="13"/>
  <c r="EM40" i="13"/>
  <c r="EN40" i="13"/>
  <c r="EO40" i="13"/>
  <c r="EP40" i="13"/>
  <c r="EQ40" i="13"/>
  <c r="ER40" i="13"/>
  <c r="ES40" i="13"/>
  <c r="EK41" i="13"/>
  <c r="EL41" i="13"/>
  <c r="EM41" i="13"/>
  <c r="EN41" i="13"/>
  <c r="EO41" i="13"/>
  <c r="EP41" i="13"/>
  <c r="EQ41" i="13"/>
  <c r="ER41" i="13"/>
  <c r="ES41" i="13"/>
  <c r="EK42" i="13"/>
  <c r="EL42" i="13"/>
  <c r="EM42" i="13"/>
  <c r="EN42" i="13"/>
  <c r="EO42" i="13"/>
  <c r="EP42" i="13"/>
  <c r="EQ42" i="13"/>
  <c r="ER42" i="13"/>
  <c r="ES42" i="13"/>
  <c r="EK43" i="13"/>
  <c r="EL43" i="13"/>
  <c r="EM43" i="13"/>
  <c r="EN43" i="13"/>
  <c r="EO43" i="13"/>
  <c r="EP43" i="13"/>
  <c r="EQ43" i="13"/>
  <c r="ER43" i="13"/>
  <c r="ES43" i="13"/>
  <c r="EJ41" i="13"/>
  <c r="EJ42" i="13"/>
  <c r="EJ43" i="13"/>
  <c r="EJ40" i="13"/>
  <c r="EJ13" i="13"/>
  <c r="EK13" i="13"/>
  <c r="EL13" i="13"/>
  <c r="EM13" i="13"/>
  <c r="EN13" i="13"/>
  <c r="EO13" i="13"/>
  <c r="EP13" i="13"/>
  <c r="EQ13" i="13"/>
  <c r="ER13" i="13"/>
  <c r="ES13" i="13"/>
  <c r="ET13" i="13"/>
  <c r="EJ14" i="13"/>
  <c r="EK14" i="13"/>
  <c r="EH24" i="13" s="1"/>
  <c r="EL14" i="13"/>
  <c r="EH25" i="13" s="1"/>
  <c r="EM14" i="13"/>
  <c r="EN14" i="13"/>
  <c r="EO14" i="13"/>
  <c r="EP14" i="13"/>
  <c r="EQ14" i="13"/>
  <c r="ER14" i="13"/>
  <c r="ES14" i="13"/>
  <c r="ET14" i="13"/>
  <c r="EJ15" i="13"/>
  <c r="EK15" i="13"/>
  <c r="EL15" i="13"/>
  <c r="EM15" i="13"/>
  <c r="EH26" i="13" s="1"/>
  <c r="EN15" i="13"/>
  <c r="EO15" i="13"/>
  <c r="EP15" i="13"/>
  <c r="EQ15" i="13"/>
  <c r="ER15" i="13"/>
  <c r="ES15" i="13"/>
  <c r="ET15" i="13"/>
  <c r="EJ16" i="13"/>
  <c r="EK16" i="13"/>
  <c r="EL16" i="13"/>
  <c r="EM16" i="13"/>
  <c r="EN16" i="13"/>
  <c r="EK50" i="13" s="1"/>
  <c r="EL50" i="13" s="1"/>
  <c r="EO16" i="13"/>
  <c r="EP16" i="13"/>
  <c r="EQ16" i="13"/>
  <c r="EK53" i="13" s="1"/>
  <c r="EL53" i="13" s="1"/>
  <c r="ER16" i="13"/>
  <c r="ES16" i="13"/>
  <c r="ET16" i="13"/>
  <c r="EJ17" i="13"/>
  <c r="EK17" i="13"/>
  <c r="EL17" i="13"/>
  <c r="EM17" i="13"/>
  <c r="EN17" i="13"/>
  <c r="EO17" i="13"/>
  <c r="EP17" i="13"/>
  <c r="EQ17" i="13"/>
  <c r="ER17" i="13"/>
  <c r="ES17" i="13"/>
  <c r="ET17" i="13"/>
  <c r="EJ18" i="13"/>
  <c r="EK18" i="13"/>
  <c r="EL18" i="13"/>
  <c r="EM18" i="13"/>
  <c r="EN18" i="13"/>
  <c r="EO18" i="13"/>
  <c r="EP18" i="13"/>
  <c r="EQ18" i="13"/>
  <c r="ER18" i="13"/>
  <c r="ES18" i="13"/>
  <c r="ET18" i="13"/>
  <c r="EJ19" i="13"/>
  <c r="EK19" i="13"/>
  <c r="EL19" i="13"/>
  <c r="EM19" i="13"/>
  <c r="EN19" i="13"/>
  <c r="EO19" i="13"/>
  <c r="EP19" i="13"/>
  <c r="EQ19" i="13"/>
  <c r="ER19" i="13"/>
  <c r="ES19" i="13"/>
  <c r="ET19" i="13"/>
  <c r="EJ20" i="13"/>
  <c r="EK20" i="13"/>
  <c r="EL20" i="13"/>
  <c r="EM20" i="13"/>
  <c r="EN20" i="13"/>
  <c r="EO20" i="13"/>
  <c r="EP20" i="13"/>
  <c r="EQ20" i="13"/>
  <c r="ER20" i="13"/>
  <c r="ES20" i="13"/>
  <c r="ET20" i="13"/>
  <c r="EH27" i="13"/>
  <c r="EH28" i="13"/>
  <c r="EK64" i="13"/>
  <c r="EL64" i="13" s="1"/>
  <c r="EK65" i="13"/>
  <c r="EL65" i="13" s="1"/>
  <c r="EH23" i="13"/>
  <c r="EH29" i="13"/>
  <c r="EI14" i="13"/>
  <c r="EI15" i="13"/>
  <c r="EI16" i="13"/>
  <c r="EI17" i="13"/>
  <c r="EI18" i="13"/>
  <c r="EI19" i="13"/>
  <c r="EI20" i="13"/>
  <c r="EI13" i="13"/>
  <c r="EN11" i="13"/>
  <c r="DW52" i="13"/>
  <c r="DV52" i="13"/>
  <c r="DV65" i="13"/>
  <c r="DW65" i="13" s="1"/>
  <c r="DV64" i="13"/>
  <c r="DW64" i="13" s="1"/>
  <c r="DW63" i="13"/>
  <c r="DV63" i="13"/>
  <c r="DV62" i="13"/>
  <c r="DW62" i="13" s="1"/>
  <c r="DV61" i="13"/>
  <c r="DW61" i="13" s="1"/>
  <c r="DV60" i="13"/>
  <c r="DW60" i="13" s="1"/>
  <c r="DV59" i="13"/>
  <c r="DW59" i="13" s="1"/>
  <c r="DV58" i="13"/>
  <c r="DW58" i="13" s="1"/>
  <c r="DW57" i="13"/>
  <c r="DV57" i="13"/>
  <c r="DV56" i="13"/>
  <c r="DW56" i="13" s="1"/>
  <c r="DV55" i="13"/>
  <c r="DW55" i="13" s="1"/>
  <c r="DV54" i="13"/>
  <c r="DW54" i="13" s="1"/>
  <c r="DV53" i="13"/>
  <c r="DW53" i="13" s="1"/>
  <c r="DV51" i="13"/>
  <c r="DW51" i="13" s="1"/>
  <c r="DW50" i="13"/>
  <c r="DV50" i="13"/>
  <c r="DV49" i="13"/>
  <c r="DW49" i="13" s="1"/>
  <c r="DV48" i="13"/>
  <c r="DW48" i="13" s="1"/>
  <c r="DV47" i="13"/>
  <c r="DW47" i="13" s="1"/>
  <c r="DV46" i="13"/>
  <c r="DW46" i="13" s="1"/>
  <c r="DV40" i="13"/>
  <c r="DW40" i="13"/>
  <c r="DX40" i="13"/>
  <c r="DY40" i="13"/>
  <c r="DZ40" i="13"/>
  <c r="EA40" i="13"/>
  <c r="EB40" i="13"/>
  <c r="EC40" i="13"/>
  <c r="ED40" i="13"/>
  <c r="DV41" i="13"/>
  <c r="DW41" i="13"/>
  <c r="DX41" i="13"/>
  <c r="DY41" i="13"/>
  <c r="DZ41" i="13"/>
  <c r="EA41" i="13"/>
  <c r="EB41" i="13"/>
  <c r="EC41" i="13"/>
  <c r="ED41" i="13"/>
  <c r="DV42" i="13"/>
  <c r="DW42" i="13"/>
  <c r="DX42" i="13"/>
  <c r="DY42" i="13"/>
  <c r="DZ42" i="13"/>
  <c r="EA42" i="13"/>
  <c r="EB42" i="13"/>
  <c r="EC42" i="13"/>
  <c r="ED42" i="13"/>
  <c r="DV43" i="13"/>
  <c r="DW43" i="13"/>
  <c r="DX43" i="13"/>
  <c r="DY43" i="13"/>
  <c r="DZ43" i="13"/>
  <c r="EA43" i="13"/>
  <c r="EB43" i="13"/>
  <c r="EC43" i="13"/>
  <c r="ED43" i="13"/>
  <c r="DU41" i="13"/>
  <c r="DU42" i="13"/>
  <c r="DU43" i="13"/>
  <c r="DU40" i="13"/>
  <c r="DU13" i="13"/>
  <c r="DV13" i="13"/>
  <c r="DW13" i="13"/>
  <c r="DX13" i="13"/>
  <c r="DY13" i="13"/>
  <c r="DZ13" i="13"/>
  <c r="EA13" i="13"/>
  <c r="EB13" i="13"/>
  <c r="EC13" i="13"/>
  <c r="ED13" i="13"/>
  <c r="EE13" i="13"/>
  <c r="DU14" i="13"/>
  <c r="DS23" i="13" s="1"/>
  <c r="DV14" i="13"/>
  <c r="DS24" i="13" s="1"/>
  <c r="DW14" i="13"/>
  <c r="DS25" i="13" s="1"/>
  <c r="DX14" i="13"/>
  <c r="DY14" i="13"/>
  <c r="DZ14" i="13"/>
  <c r="EA14" i="13"/>
  <c r="EB14" i="13"/>
  <c r="EC14" i="13"/>
  <c r="ED14" i="13"/>
  <c r="EE14" i="13"/>
  <c r="DU15" i="13"/>
  <c r="DV15" i="13"/>
  <c r="DW15" i="13"/>
  <c r="DX15" i="13"/>
  <c r="DS26" i="13" s="1"/>
  <c r="DY15" i="13"/>
  <c r="DZ15" i="13"/>
  <c r="EA15" i="13"/>
  <c r="EB15" i="13"/>
  <c r="EC15" i="13"/>
  <c r="ED15" i="13"/>
  <c r="EE15" i="13"/>
  <c r="DU16" i="13"/>
  <c r="DV16" i="13"/>
  <c r="DW16" i="13"/>
  <c r="DX16" i="13"/>
  <c r="DY16" i="13"/>
  <c r="DZ16" i="13"/>
  <c r="EA16" i="13"/>
  <c r="EB16" i="13"/>
  <c r="EC16" i="13"/>
  <c r="ED16" i="13"/>
  <c r="EE16" i="13"/>
  <c r="DU17" i="13"/>
  <c r="DV17" i="13"/>
  <c r="DW17" i="13"/>
  <c r="DX17" i="13"/>
  <c r="DY17" i="13"/>
  <c r="DZ17" i="13"/>
  <c r="EA17" i="13"/>
  <c r="EB17" i="13"/>
  <c r="EC17" i="13"/>
  <c r="ED17" i="13"/>
  <c r="EE17" i="13"/>
  <c r="DU18" i="13"/>
  <c r="DV18" i="13"/>
  <c r="DW18" i="13"/>
  <c r="DX18" i="13"/>
  <c r="DY18" i="13"/>
  <c r="DZ18" i="13"/>
  <c r="EA18" i="13"/>
  <c r="EB18" i="13"/>
  <c r="EC18" i="13"/>
  <c r="ED18" i="13"/>
  <c r="EE18" i="13"/>
  <c r="DU19" i="13"/>
  <c r="DV19" i="13"/>
  <c r="DW19" i="13"/>
  <c r="DX19" i="13"/>
  <c r="DY19" i="13"/>
  <c r="DZ19" i="13"/>
  <c r="EA19" i="13"/>
  <c r="EB19" i="13"/>
  <c r="EC19" i="13"/>
  <c r="ED19" i="13"/>
  <c r="EE19" i="13"/>
  <c r="DU20" i="13"/>
  <c r="DV20" i="13"/>
  <c r="DW20" i="13"/>
  <c r="DX20" i="13"/>
  <c r="DY20" i="13"/>
  <c r="DZ20" i="13"/>
  <c r="EA20" i="13"/>
  <c r="EB20" i="13"/>
  <c r="EC20" i="13"/>
  <c r="ED20" i="13"/>
  <c r="EE20" i="13"/>
  <c r="DS29" i="13"/>
  <c r="DT14" i="13"/>
  <c r="DT15" i="13"/>
  <c r="DT16" i="13"/>
  <c r="DT17" i="13"/>
  <c r="DT18" i="13"/>
  <c r="DT19" i="13"/>
  <c r="DT20" i="13"/>
  <c r="DT13" i="13"/>
  <c r="DS27" i="13"/>
  <c r="DS28" i="13"/>
  <c r="DY11" i="13"/>
  <c r="M351" i="8" l="1"/>
  <c r="M352" i="8"/>
  <c r="M341" i="8"/>
  <c r="M399" i="8"/>
  <c r="M396" i="8"/>
  <c r="EK60" i="13"/>
  <c r="EL60" i="13" s="1"/>
  <c r="EK62" i="13"/>
  <c r="EL62" i="13" s="1"/>
  <c r="EK51" i="13"/>
  <c r="EL51" i="13" s="1"/>
  <c r="EK47" i="13"/>
  <c r="EL47" i="13" s="1"/>
  <c r="EK59" i="13"/>
  <c r="EL59" i="13" s="1"/>
  <c r="EK55" i="13"/>
  <c r="EL55" i="13" s="1"/>
  <c r="EK56" i="13"/>
  <c r="EL56" i="13" s="1"/>
  <c r="EK58" i="13"/>
  <c r="EL58" i="13" s="1"/>
  <c r="EK61" i="13"/>
  <c r="EL61" i="13" s="1"/>
  <c r="EK49" i="13"/>
  <c r="EL49" i="13" s="1"/>
  <c r="EK46" i="13"/>
  <c r="EL46" i="13" s="1"/>
  <c r="EK48" i="13"/>
  <c r="EL48" i="13" s="1"/>
  <c r="EK63" i="13"/>
  <c r="EL63" i="13" s="1"/>
  <c r="EK52" i="13"/>
  <c r="EL52" i="13" s="1"/>
  <c r="EK54" i="13"/>
  <c r="EL54" i="13" s="1"/>
  <c r="EK57" i="13"/>
  <c r="EL57" i="13" s="1"/>
  <c r="H311" i="8"/>
  <c r="V397" i="8"/>
  <c r="W397" i="8"/>
  <c r="X397" i="8"/>
  <c r="V398" i="8"/>
  <c r="W398" i="8"/>
  <c r="X398" i="8"/>
  <c r="Y398" i="8"/>
  <c r="V400" i="8"/>
  <c r="W400" i="8"/>
  <c r="X400" i="8"/>
  <c r="F304" i="8"/>
  <c r="O304" i="8" s="1"/>
  <c r="F305" i="8"/>
  <c r="F306" i="8"/>
  <c r="O306" i="8" s="1"/>
  <c r="F307" i="8"/>
  <c r="O307" i="8" s="1"/>
  <c r="F308" i="8"/>
  <c r="O308" i="8" s="1"/>
  <c r="F309" i="8"/>
  <c r="O309" i="8" s="1"/>
  <c r="F310" i="8"/>
  <c r="O310" i="8" s="1"/>
  <c r="F311" i="8"/>
  <c r="O311" i="8" s="1"/>
  <c r="F312" i="8"/>
  <c r="O312" i="8" s="1"/>
  <c r="F303" i="8"/>
  <c r="M196" i="9"/>
  <c r="I196" i="9"/>
  <c r="M195" i="9"/>
  <c r="I195" i="9"/>
  <c r="M194" i="9"/>
  <c r="I194" i="9"/>
  <c r="M193" i="9"/>
  <c r="I193" i="9"/>
  <c r="M192" i="9"/>
  <c r="I192" i="9"/>
  <c r="M191" i="9"/>
  <c r="I191" i="9"/>
  <c r="M190" i="9"/>
  <c r="I190" i="9"/>
  <c r="M189" i="9"/>
  <c r="I189" i="9"/>
  <c r="M188" i="9"/>
  <c r="I188" i="9"/>
  <c r="M187" i="9"/>
  <c r="I187" i="9"/>
  <c r="S304" i="8"/>
  <c r="S305" i="8"/>
  <c r="S306" i="8"/>
  <c r="S307" i="8"/>
  <c r="S308" i="8"/>
  <c r="S309" i="8"/>
  <c r="S310" i="8"/>
  <c r="S311" i="8"/>
  <c r="S312" i="8"/>
  <c r="P304" i="8"/>
  <c r="P305" i="8"/>
  <c r="P306" i="8"/>
  <c r="P307" i="8"/>
  <c r="P308" i="8"/>
  <c r="P309" i="8"/>
  <c r="P310" i="8"/>
  <c r="P311" i="8"/>
  <c r="P312" i="8"/>
  <c r="S303" i="8"/>
  <c r="P303" i="8"/>
  <c r="EO3" i="12"/>
  <c r="EK3" i="12"/>
  <c r="J304" i="8"/>
  <c r="J305" i="8"/>
  <c r="J306" i="8"/>
  <c r="J307" i="8"/>
  <c r="J308" i="8"/>
  <c r="J309" i="8"/>
  <c r="J310" i="8"/>
  <c r="J311" i="8"/>
  <c r="J312" i="8"/>
  <c r="J303" i="8"/>
  <c r="FO60" i="11"/>
  <c r="FO61" i="11"/>
  <c r="FO62" i="11"/>
  <c r="FO63" i="11"/>
  <c r="FO59" i="11"/>
  <c r="FO55" i="11"/>
  <c r="FO56" i="11"/>
  <c r="FO57" i="11"/>
  <c r="FO58" i="11"/>
  <c r="FO54" i="11"/>
  <c r="FN45" i="11"/>
  <c r="FO45" i="11"/>
  <c r="FP45" i="11"/>
  <c r="FQ45" i="11"/>
  <c r="FR45" i="11"/>
  <c r="FS45" i="11"/>
  <c r="FT45" i="11"/>
  <c r="FU45" i="11"/>
  <c r="FV45" i="11"/>
  <c r="FN46" i="11"/>
  <c r="FO46" i="11"/>
  <c r="FP46" i="11"/>
  <c r="FQ46" i="11"/>
  <c r="FR46" i="11"/>
  <c r="FS46" i="11"/>
  <c r="FT46" i="11"/>
  <c r="FU46" i="11"/>
  <c r="FV46" i="11"/>
  <c r="FN47" i="11"/>
  <c r="FO47" i="11"/>
  <c r="FP47" i="11"/>
  <c r="FN48" i="11"/>
  <c r="FO48" i="11"/>
  <c r="FP48" i="11"/>
  <c r="FN49" i="11"/>
  <c r="FO49" i="11"/>
  <c r="FP49" i="11"/>
  <c r="FN50" i="11"/>
  <c r="FO50" i="11"/>
  <c r="FP50" i="11"/>
  <c r="FN51" i="11"/>
  <c r="FO51" i="11"/>
  <c r="FP51" i="11"/>
  <c r="FM46" i="11"/>
  <c r="FM47" i="11"/>
  <c r="FM48" i="11"/>
  <c r="FM49" i="11"/>
  <c r="FM50" i="11"/>
  <c r="FM51" i="11"/>
  <c r="FM45" i="11"/>
  <c r="FL39" i="11"/>
  <c r="FX28" i="11"/>
  <c r="FW28" i="11"/>
  <c r="FV28" i="11"/>
  <c r="FU28" i="11"/>
  <c r="FT28" i="11"/>
  <c r="FS28" i="11"/>
  <c r="FR28" i="11"/>
  <c r="FQ28" i="11"/>
  <c r="FP28" i="11"/>
  <c r="FO28" i="11"/>
  <c r="FN28" i="11"/>
  <c r="FM28" i="11"/>
  <c r="FX27" i="11"/>
  <c r="FW27" i="11"/>
  <c r="FV27" i="11"/>
  <c r="FU27" i="11"/>
  <c r="FT27" i="11"/>
  <c r="FS27" i="11"/>
  <c r="FR27" i="11"/>
  <c r="FQ27" i="11"/>
  <c r="FP27" i="11"/>
  <c r="FO27" i="11"/>
  <c r="FN27" i="11"/>
  <c r="FM27" i="11"/>
  <c r="FX26" i="11"/>
  <c r="FW26" i="11"/>
  <c r="FV26" i="11"/>
  <c r="FU26" i="11"/>
  <c r="FT26" i="11"/>
  <c r="FS26" i="11"/>
  <c r="FR26" i="11"/>
  <c r="FQ26" i="11"/>
  <c r="FP26" i="11"/>
  <c r="FO26" i="11"/>
  <c r="FN26" i="11"/>
  <c r="FM26" i="11"/>
  <c r="FX25" i="11"/>
  <c r="FW25" i="11"/>
  <c r="FV25" i="11"/>
  <c r="FU25" i="11"/>
  <c r="FT25" i="11"/>
  <c r="FS25" i="11"/>
  <c r="FR25" i="11"/>
  <c r="FQ25" i="11"/>
  <c r="FP25" i="11"/>
  <c r="FO25" i="11"/>
  <c r="FN25" i="11"/>
  <c r="FM25" i="11"/>
  <c r="FX24" i="11"/>
  <c r="FW24" i="11"/>
  <c r="FV24" i="11"/>
  <c r="FU24" i="11"/>
  <c r="FT24" i="11"/>
  <c r="FS24" i="11"/>
  <c r="FR24" i="11"/>
  <c r="FQ24" i="11"/>
  <c r="FP24" i="11"/>
  <c r="FO24" i="11"/>
  <c r="FN24" i="11"/>
  <c r="FM24" i="11"/>
  <c r="FX23" i="11"/>
  <c r="FW23" i="11"/>
  <c r="FV23" i="11"/>
  <c r="FU23" i="11"/>
  <c r="FT23" i="11"/>
  <c r="FS23" i="11"/>
  <c r="FR23" i="11"/>
  <c r="FQ23" i="11"/>
  <c r="FP23" i="11"/>
  <c r="FO23" i="11"/>
  <c r="FN23" i="11"/>
  <c r="FM23" i="11"/>
  <c r="FX22" i="11"/>
  <c r="FW22" i="11"/>
  <c r="FV22" i="11"/>
  <c r="FU22" i="11"/>
  <c r="FT22" i="11"/>
  <c r="FS22" i="11"/>
  <c r="FR22" i="11"/>
  <c r="FQ22" i="11"/>
  <c r="FP22" i="11"/>
  <c r="FO22" i="11"/>
  <c r="FN22" i="11"/>
  <c r="FM22" i="11"/>
  <c r="FX21" i="11"/>
  <c r="FW21" i="11"/>
  <c r="FV21" i="11"/>
  <c r="FL40" i="11" s="1"/>
  <c r="FU21" i="11"/>
  <c r="FT21" i="11"/>
  <c r="FL38" i="11" s="1"/>
  <c r="FS21" i="11"/>
  <c r="FL37" i="11" s="1"/>
  <c r="FR21" i="11"/>
  <c r="FL36" i="11" s="1"/>
  <c r="FQ21" i="11"/>
  <c r="FL35" i="11" s="1"/>
  <c r="FP21" i="11"/>
  <c r="FL34" i="11" s="1"/>
  <c r="FO21" i="11"/>
  <c r="FL33" i="11" s="1"/>
  <c r="FN21" i="11"/>
  <c r="FL32" i="11" s="1"/>
  <c r="FM21" i="11"/>
  <c r="FL31" i="11" s="1"/>
  <c r="H304" i="8"/>
  <c r="N304" i="8" s="1"/>
  <c r="H305" i="8"/>
  <c r="H306" i="8"/>
  <c r="N306" i="8" s="1"/>
  <c r="H307" i="8"/>
  <c r="N307" i="8" s="1"/>
  <c r="H308" i="8"/>
  <c r="N308" i="8" s="1"/>
  <c r="H309" i="8"/>
  <c r="H310" i="8"/>
  <c r="N310" i="8" s="1"/>
  <c r="H312" i="8"/>
  <c r="N312" i="8" s="1"/>
  <c r="H303" i="8"/>
  <c r="FP46" i="10"/>
  <c r="FO52" i="10"/>
  <c r="FO53" i="10"/>
  <c r="FO54" i="10"/>
  <c r="FO55" i="10"/>
  <c r="FO51" i="10"/>
  <c r="FO47" i="10"/>
  <c r="FO48" i="10"/>
  <c r="FO49" i="10"/>
  <c r="FO50" i="10"/>
  <c r="FO46" i="10"/>
  <c r="FN37" i="10"/>
  <c r="FO37" i="10"/>
  <c r="FP37" i="10"/>
  <c r="FQ37" i="10"/>
  <c r="FR37" i="10"/>
  <c r="FN38" i="10"/>
  <c r="FO38" i="10"/>
  <c r="FP38" i="10"/>
  <c r="FQ38" i="10"/>
  <c r="FR38" i="10"/>
  <c r="FN39" i="10"/>
  <c r="FO39" i="10"/>
  <c r="FP39" i="10"/>
  <c r="FQ39" i="10"/>
  <c r="FR39" i="10"/>
  <c r="FN40" i="10"/>
  <c r="FO40" i="10"/>
  <c r="FP40" i="10"/>
  <c r="FQ40" i="10"/>
  <c r="FR40" i="10"/>
  <c r="FN41" i="10"/>
  <c r="FO41" i="10"/>
  <c r="FP41" i="10"/>
  <c r="FQ41" i="10"/>
  <c r="FR41" i="10"/>
  <c r="FN42" i="10"/>
  <c r="FM38" i="10"/>
  <c r="FM39" i="10"/>
  <c r="FM40" i="10"/>
  <c r="FM41" i="10"/>
  <c r="FM42" i="10"/>
  <c r="FM37" i="10"/>
  <c r="FN13" i="10"/>
  <c r="FO13" i="10"/>
  <c r="FP13" i="10"/>
  <c r="FQ13" i="10"/>
  <c r="FR13" i="10"/>
  <c r="FS13" i="10"/>
  <c r="FT13" i="10"/>
  <c r="FU13" i="10"/>
  <c r="FV13" i="10"/>
  <c r="FW13" i="10"/>
  <c r="FX13" i="10"/>
  <c r="FN14" i="10"/>
  <c r="FL25" i="10" s="1"/>
  <c r="FO14" i="10"/>
  <c r="FP14" i="10"/>
  <c r="FQ14" i="10"/>
  <c r="FR14" i="10"/>
  <c r="FS14" i="10"/>
  <c r="FT14" i="10"/>
  <c r="FU14" i="10"/>
  <c r="FV14" i="10"/>
  <c r="FW14" i="10"/>
  <c r="FX14" i="10"/>
  <c r="FN15" i="10"/>
  <c r="FO15" i="10"/>
  <c r="FP15" i="10"/>
  <c r="FQ15" i="10"/>
  <c r="FR15" i="10"/>
  <c r="FS15" i="10"/>
  <c r="FT15" i="10"/>
  <c r="FU15" i="10"/>
  <c r="FV15" i="10"/>
  <c r="FW15" i="10"/>
  <c r="FX15" i="10"/>
  <c r="FN16" i="10"/>
  <c r="FO16" i="10"/>
  <c r="FP16" i="10"/>
  <c r="FQ16" i="10"/>
  <c r="FR16" i="10"/>
  <c r="FS16" i="10"/>
  <c r="FT16" i="10"/>
  <c r="FU16" i="10"/>
  <c r="FV16" i="10"/>
  <c r="FW16" i="10"/>
  <c r="FX16" i="10"/>
  <c r="FN17" i="10"/>
  <c r="FO17" i="10"/>
  <c r="FP17" i="10"/>
  <c r="FQ17" i="10"/>
  <c r="FR17" i="10"/>
  <c r="FS17" i="10"/>
  <c r="FT17" i="10"/>
  <c r="FU17" i="10"/>
  <c r="FV17" i="10"/>
  <c r="FW17" i="10"/>
  <c r="FX17" i="10"/>
  <c r="FN18" i="10"/>
  <c r="FO18" i="10"/>
  <c r="FP18" i="10"/>
  <c r="FQ18" i="10"/>
  <c r="FR18" i="10"/>
  <c r="FS18" i="10"/>
  <c r="FT18" i="10"/>
  <c r="FU18" i="10"/>
  <c r="FV18" i="10"/>
  <c r="FW18" i="10"/>
  <c r="FX18" i="10"/>
  <c r="FN19" i="10"/>
  <c r="FO19" i="10"/>
  <c r="FP19" i="10"/>
  <c r="FQ19" i="10"/>
  <c r="FR19" i="10"/>
  <c r="FS19" i="10"/>
  <c r="FT19" i="10"/>
  <c r="FU19" i="10"/>
  <c r="FV19" i="10"/>
  <c r="FW19" i="10"/>
  <c r="FX19" i="10"/>
  <c r="FN20" i="10"/>
  <c r="FO20" i="10"/>
  <c r="FP20" i="10"/>
  <c r="FQ20" i="10"/>
  <c r="FR20" i="10"/>
  <c r="FS20" i="10"/>
  <c r="FT20" i="10"/>
  <c r="FU20" i="10"/>
  <c r="FV20" i="10"/>
  <c r="FW20" i="10"/>
  <c r="FX20" i="10"/>
  <c r="FM14" i="10"/>
  <c r="FM15" i="10"/>
  <c r="FM16" i="10"/>
  <c r="FM17" i="10"/>
  <c r="FM18" i="10"/>
  <c r="FM19" i="10"/>
  <c r="FM20" i="10"/>
  <c r="FM13" i="10"/>
  <c r="FR11" i="10"/>
  <c r="G310" i="8"/>
  <c r="AV31" i="7"/>
  <c r="AV35" i="7" s="1"/>
  <c r="AV32" i="7"/>
  <c r="K309" i="8" l="1"/>
  <c r="F351" i="8"/>
  <c r="F352" i="8"/>
  <c r="S351" i="8"/>
  <c r="S352" i="8"/>
  <c r="H352" i="8"/>
  <c r="H351" i="8"/>
  <c r="J352" i="8"/>
  <c r="J351" i="8"/>
  <c r="P351" i="8"/>
  <c r="P352" i="8"/>
  <c r="H341" i="8"/>
  <c r="J341" i="8"/>
  <c r="F341" i="8"/>
  <c r="K311" i="8"/>
  <c r="T311" i="8"/>
  <c r="H396" i="8"/>
  <c r="H399" i="8"/>
  <c r="J396" i="8"/>
  <c r="J399" i="8"/>
  <c r="P399" i="8"/>
  <c r="P396" i="8"/>
  <c r="S396" i="8"/>
  <c r="S399" i="8"/>
  <c r="F399" i="8"/>
  <c r="F396" i="8"/>
  <c r="R309" i="8"/>
  <c r="T307" i="8"/>
  <c r="R307" i="8"/>
  <c r="Q303" i="8"/>
  <c r="L305" i="8"/>
  <c r="K305" i="8"/>
  <c r="K307" i="8"/>
  <c r="U312" i="8"/>
  <c r="I311" i="8"/>
  <c r="T303" i="8"/>
  <c r="T309" i="8"/>
  <c r="I304" i="8"/>
  <c r="L310" i="8"/>
  <c r="R311" i="8"/>
  <c r="T308" i="8"/>
  <c r="L309" i="8"/>
  <c r="R310" i="8"/>
  <c r="K312" i="8"/>
  <c r="T310" i="8"/>
  <c r="U309" i="8"/>
  <c r="Q312" i="8"/>
  <c r="I312" i="8"/>
  <c r="I303" i="8"/>
  <c r="U303" i="8"/>
  <c r="K308" i="8"/>
  <c r="T306" i="8"/>
  <c r="L312" i="8"/>
  <c r="Q308" i="8"/>
  <c r="T305" i="8"/>
  <c r="L307" i="8"/>
  <c r="I305" i="8"/>
  <c r="T304" i="8"/>
  <c r="Q306" i="8"/>
  <c r="L304" i="8"/>
  <c r="R305" i="8"/>
  <c r="O305" i="8"/>
  <c r="L306" i="8"/>
  <c r="K306" i="8"/>
  <c r="Q310" i="8"/>
  <c r="Q304" i="8"/>
  <c r="N311" i="8"/>
  <c r="L311" i="8"/>
  <c r="R303" i="8"/>
  <c r="U307" i="8"/>
  <c r="N305" i="8"/>
  <c r="Q311" i="8"/>
  <c r="N309" i="8"/>
  <c r="R304" i="8"/>
  <c r="I310" i="8"/>
  <c r="R308" i="8"/>
  <c r="O303" i="8"/>
  <c r="I309" i="8"/>
  <c r="K310" i="8"/>
  <c r="K304" i="8"/>
  <c r="T312" i="8"/>
  <c r="N303" i="8"/>
  <c r="Q305" i="8"/>
  <c r="Q309" i="8"/>
  <c r="I308" i="8"/>
  <c r="L303" i="8"/>
  <c r="U311" i="8"/>
  <c r="U305" i="8"/>
  <c r="U306" i="8"/>
  <c r="I307" i="8"/>
  <c r="K303" i="8"/>
  <c r="Q307" i="8"/>
  <c r="U308" i="8"/>
  <c r="I306" i="8"/>
  <c r="L308" i="8"/>
  <c r="R312" i="8"/>
  <c r="R306" i="8"/>
  <c r="U310" i="8"/>
  <c r="U304" i="8"/>
  <c r="FP54" i="11"/>
  <c r="FL26" i="10"/>
  <c r="FL28" i="10"/>
  <c r="FL24" i="10"/>
  <c r="FL27" i="10"/>
  <c r="G303" i="8"/>
  <c r="G304" i="8"/>
  <c r="G305" i="8"/>
  <c r="G306" i="8"/>
  <c r="G307" i="8"/>
  <c r="G308" i="8"/>
  <c r="G312" i="8"/>
  <c r="AV24" i="7"/>
  <c r="AV25" i="7"/>
  <c r="AV26" i="7"/>
  <c r="AV27" i="7"/>
  <c r="AV28" i="7"/>
  <c r="AV29" i="7"/>
  <c r="AV30" i="7"/>
  <c r="AV34" i="7"/>
  <c r="AU33" i="7"/>
  <c r="AU34" i="7"/>
  <c r="AU32" i="7"/>
  <c r="AU30" i="7"/>
  <c r="AU31" i="7"/>
  <c r="AU25" i="7"/>
  <c r="AU26" i="7"/>
  <c r="AU27" i="7"/>
  <c r="AU28" i="7"/>
  <c r="AU29" i="7"/>
  <c r="AU24" i="7"/>
  <c r="L341" i="8" l="1"/>
  <c r="L352" i="8"/>
  <c r="L351" i="8"/>
  <c r="U352" i="8"/>
  <c r="U351" i="8"/>
  <c r="G341" i="8"/>
  <c r="G351" i="8"/>
  <c r="G352" i="8"/>
  <c r="R351" i="8"/>
  <c r="K341" i="8"/>
  <c r="K352" i="8"/>
  <c r="K351" i="8"/>
  <c r="Q351" i="8"/>
  <c r="O352" i="8"/>
  <c r="N352" i="8"/>
  <c r="I352" i="8"/>
  <c r="I351" i="8"/>
  <c r="T352" i="8"/>
  <c r="T351" i="8"/>
  <c r="O341" i="8"/>
  <c r="I341" i="8"/>
  <c r="N341" i="8"/>
  <c r="AB26" i="4"/>
  <c r="G396" i="8"/>
  <c r="G399" i="8"/>
  <c r="N399" i="8"/>
  <c r="I396" i="8"/>
  <c r="I399" i="8"/>
  <c r="R396" i="8"/>
  <c r="U396" i="8"/>
  <c r="U399" i="8"/>
  <c r="T396" i="8"/>
  <c r="T399" i="8"/>
  <c r="K399" i="8"/>
  <c r="K396" i="8"/>
  <c r="Q396" i="8"/>
  <c r="L399" i="8"/>
  <c r="L396" i="8"/>
  <c r="O399" i="8"/>
  <c r="O26" i="4"/>
  <c r="AA26" i="4"/>
  <c r="S26" i="4"/>
  <c r="W26" i="4"/>
  <c r="Y26" i="4"/>
  <c r="M26" i="4"/>
  <c r="T26" i="4"/>
  <c r="U26" i="4"/>
  <c r="V26" i="4"/>
  <c r="X26" i="4"/>
  <c r="R26" i="4"/>
  <c r="N26" i="4"/>
  <c r="P26" i="4"/>
  <c r="Z26" i="4"/>
  <c r="Q26" i="4"/>
  <c r="K26" i="4"/>
  <c r="L26" i="4"/>
  <c r="V393" i="8" l="1"/>
  <c r="W393" i="8"/>
  <c r="X393" i="8"/>
  <c r="V390" i="8"/>
  <c r="W390" i="8"/>
  <c r="X390" i="8"/>
  <c r="S273" i="8"/>
  <c r="S274" i="8"/>
  <c r="S275" i="8"/>
  <c r="S276" i="8"/>
  <c r="S277" i="8"/>
  <c r="S278" i="8"/>
  <c r="S279" i="8"/>
  <c r="S280" i="8"/>
  <c r="S281" i="8"/>
  <c r="S282" i="8"/>
  <c r="S297" i="8"/>
  <c r="S300" i="8"/>
  <c r="S301" i="8"/>
  <c r="S302" i="8"/>
  <c r="P293" i="8"/>
  <c r="P294" i="8"/>
  <c r="P295" i="8"/>
  <c r="P296" i="8"/>
  <c r="P297" i="8"/>
  <c r="P298" i="8"/>
  <c r="P299" i="8"/>
  <c r="P300" i="8"/>
  <c r="P301" i="8"/>
  <c r="P302" i="8"/>
  <c r="P273" i="8"/>
  <c r="P274" i="8"/>
  <c r="P275" i="8"/>
  <c r="P276" i="8"/>
  <c r="P277" i="8"/>
  <c r="P278" i="8"/>
  <c r="P279" i="8"/>
  <c r="P280" i="8"/>
  <c r="P281" i="8"/>
  <c r="P282" i="8"/>
  <c r="EC13" i="12"/>
  <c r="EC3" i="12"/>
  <c r="DY13" i="12"/>
  <c r="DY3" i="12"/>
  <c r="M172" i="9"/>
  <c r="M182" i="9"/>
  <c r="J293" i="8"/>
  <c r="J294" i="8"/>
  <c r="J295" i="8"/>
  <c r="J296" i="8"/>
  <c r="J297" i="8"/>
  <c r="J298" i="8"/>
  <c r="J299" i="8"/>
  <c r="J300" i="8"/>
  <c r="J301" i="8"/>
  <c r="J302" i="8"/>
  <c r="J273" i="8"/>
  <c r="J274" i="8"/>
  <c r="J275" i="8"/>
  <c r="J276" i="8"/>
  <c r="J277" i="8"/>
  <c r="J278" i="8"/>
  <c r="J279" i="8"/>
  <c r="J280" i="8"/>
  <c r="J281" i="8"/>
  <c r="J282" i="8"/>
  <c r="H297" i="8"/>
  <c r="N297" i="8" s="1"/>
  <c r="H298" i="8"/>
  <c r="N298" i="8" s="1"/>
  <c r="H300" i="8"/>
  <c r="N300" i="8" s="1"/>
  <c r="H301" i="8"/>
  <c r="N301" i="8" s="1"/>
  <c r="H302" i="8"/>
  <c r="N302" i="8" s="1"/>
  <c r="H273" i="8"/>
  <c r="N273" i="8" s="1"/>
  <c r="H274" i="8"/>
  <c r="H275" i="8"/>
  <c r="H276" i="8"/>
  <c r="N276" i="8" s="1"/>
  <c r="H277" i="8"/>
  <c r="N277" i="8" s="1"/>
  <c r="H278" i="8"/>
  <c r="N278" i="8" s="1"/>
  <c r="H279" i="8"/>
  <c r="H280" i="8"/>
  <c r="N280" i="8" s="1"/>
  <c r="H281" i="8"/>
  <c r="N281" i="8" s="1"/>
  <c r="H282" i="8"/>
  <c r="N282" i="8" s="1"/>
  <c r="FA64" i="11"/>
  <c r="FA54" i="11"/>
  <c r="EZ69" i="11"/>
  <c r="EZ70" i="11"/>
  <c r="EZ71" i="11"/>
  <c r="EZ72" i="11"/>
  <c r="EZ73" i="11"/>
  <c r="EZ64" i="11"/>
  <c r="EZ65" i="11"/>
  <c r="EZ66" i="11"/>
  <c r="EZ67" i="11"/>
  <c r="EZ68" i="11"/>
  <c r="EZ59" i="11"/>
  <c r="EZ60" i="11"/>
  <c r="EZ61" i="11"/>
  <c r="EZ62" i="11"/>
  <c r="EZ63" i="11"/>
  <c r="EZ54" i="11"/>
  <c r="EZ55" i="11"/>
  <c r="EZ56" i="11"/>
  <c r="EZ57" i="11"/>
  <c r="EZ58" i="11"/>
  <c r="EY45" i="11"/>
  <c r="EZ45" i="11"/>
  <c r="FA45" i="11"/>
  <c r="FB45" i="11"/>
  <c r="FC45" i="11"/>
  <c r="FD45" i="11"/>
  <c r="FE45" i="11"/>
  <c r="FF45" i="11"/>
  <c r="FG45" i="11"/>
  <c r="EY46" i="11"/>
  <c r="EZ46" i="11"/>
  <c r="FA46" i="11"/>
  <c r="FB46" i="11"/>
  <c r="FC46" i="11"/>
  <c r="FD46" i="11"/>
  <c r="FE46" i="11"/>
  <c r="FF46" i="11"/>
  <c r="FG46" i="11"/>
  <c r="EY47" i="11"/>
  <c r="EZ47" i="11"/>
  <c r="FA47" i="11"/>
  <c r="FB47" i="11"/>
  <c r="FC47" i="11"/>
  <c r="FD47" i="11"/>
  <c r="FE47" i="11"/>
  <c r="EY48" i="11"/>
  <c r="EZ48" i="11"/>
  <c r="FA48" i="11"/>
  <c r="FB48" i="11"/>
  <c r="FC48" i="11"/>
  <c r="FD48" i="11"/>
  <c r="FE48" i="11"/>
  <c r="EY49" i="11"/>
  <c r="EZ49" i="11"/>
  <c r="FA49" i="11"/>
  <c r="FB49" i="11"/>
  <c r="FC49" i="11"/>
  <c r="FD49" i="11"/>
  <c r="FE49" i="11"/>
  <c r="EY50" i="11"/>
  <c r="EZ50" i="11"/>
  <c r="FA50" i="11"/>
  <c r="FB50" i="11"/>
  <c r="FC50" i="11"/>
  <c r="FD50" i="11"/>
  <c r="FE50" i="11"/>
  <c r="EY51" i="11"/>
  <c r="EZ51" i="11"/>
  <c r="FA51" i="11"/>
  <c r="FB51" i="11"/>
  <c r="FC51" i="11"/>
  <c r="FD51" i="11"/>
  <c r="FE51" i="11"/>
  <c r="EX46" i="11"/>
  <c r="EX47" i="11"/>
  <c r="EX48" i="11"/>
  <c r="EX49" i="11"/>
  <c r="EX50" i="11"/>
  <c r="EX51" i="11"/>
  <c r="EX45" i="11"/>
  <c r="EW40" i="11"/>
  <c r="EW38" i="11"/>
  <c r="EW37" i="11"/>
  <c r="EW36" i="11"/>
  <c r="EW35" i="11"/>
  <c r="EW34" i="11"/>
  <c r="EW33" i="11"/>
  <c r="EW32" i="11"/>
  <c r="EW31" i="11"/>
  <c r="FI28" i="11"/>
  <c r="FH28" i="11"/>
  <c r="FG28" i="11"/>
  <c r="FF28" i="11"/>
  <c r="FE28" i="11"/>
  <c r="FD28" i="11"/>
  <c r="FC28" i="11"/>
  <c r="FB28" i="11"/>
  <c r="FA28" i="11"/>
  <c r="EZ28" i="11"/>
  <c r="EY28" i="11"/>
  <c r="EX28" i="11"/>
  <c r="FI27" i="11"/>
  <c r="FH27" i="11"/>
  <c r="FG27" i="11"/>
  <c r="FF27" i="11"/>
  <c r="FE27" i="11"/>
  <c r="FD27" i="11"/>
  <c r="FC27" i="11"/>
  <c r="FB27" i="11"/>
  <c r="FA27" i="11"/>
  <c r="EZ27" i="11"/>
  <c r="EY27" i="11"/>
  <c r="EX27" i="11"/>
  <c r="FI26" i="11"/>
  <c r="FH26" i="11"/>
  <c r="FG26" i="11"/>
  <c r="FF26" i="11"/>
  <c r="FE26" i="11"/>
  <c r="FD26" i="11"/>
  <c r="FC26" i="11"/>
  <c r="FB26" i="11"/>
  <c r="FA26" i="11"/>
  <c r="EZ26" i="11"/>
  <c r="EY26" i="11"/>
  <c r="EX26" i="11"/>
  <c r="FI25" i="11"/>
  <c r="FH25" i="11"/>
  <c r="FG25" i="11"/>
  <c r="FF25" i="11"/>
  <c r="FE25" i="11"/>
  <c r="FD25" i="11"/>
  <c r="FC25" i="11"/>
  <c r="FB25" i="11"/>
  <c r="FA25" i="11"/>
  <c r="EZ25" i="11"/>
  <c r="EY25" i="11"/>
  <c r="EX25" i="11"/>
  <c r="FI24" i="11"/>
  <c r="FH24" i="11"/>
  <c r="FG24" i="11"/>
  <c r="FF24" i="11"/>
  <c r="FE24" i="11"/>
  <c r="FD24" i="11"/>
  <c r="FC24" i="11"/>
  <c r="FB24" i="11"/>
  <c r="FA24" i="11"/>
  <c r="EZ24" i="11"/>
  <c r="EY24" i="11"/>
  <c r="EX24" i="11"/>
  <c r="FI23" i="11"/>
  <c r="FH23" i="11"/>
  <c r="FG23" i="11"/>
  <c r="FF23" i="11"/>
  <c r="FE23" i="11"/>
  <c r="FD23" i="11"/>
  <c r="FC23" i="11"/>
  <c r="FB23" i="11"/>
  <c r="FA23" i="11"/>
  <c r="EZ23" i="11"/>
  <c r="EY23" i="11"/>
  <c r="EX23" i="11"/>
  <c r="FI22" i="11"/>
  <c r="FH22" i="11"/>
  <c r="FG22" i="11"/>
  <c r="FF22" i="11"/>
  <c r="FE22" i="11"/>
  <c r="FD22" i="11"/>
  <c r="FC22" i="11"/>
  <c r="FB22" i="11"/>
  <c r="FA22" i="11"/>
  <c r="EZ22" i="11"/>
  <c r="EY22" i="11"/>
  <c r="EX22" i="11"/>
  <c r="FI21" i="11"/>
  <c r="FH21" i="11"/>
  <c r="FG21" i="11"/>
  <c r="FF21" i="11"/>
  <c r="FE21" i="11"/>
  <c r="FD21" i="11"/>
  <c r="FC21" i="11"/>
  <c r="FB21" i="11"/>
  <c r="FA21" i="11"/>
  <c r="EZ21" i="11"/>
  <c r="EY21" i="11"/>
  <c r="EX21" i="11"/>
  <c r="FA56" i="10"/>
  <c r="FA46" i="10"/>
  <c r="EZ62" i="10"/>
  <c r="EZ63" i="10"/>
  <c r="EZ64" i="10"/>
  <c r="EZ65" i="10"/>
  <c r="EZ61" i="10"/>
  <c r="EZ57" i="10"/>
  <c r="EZ58" i="10"/>
  <c r="EZ59" i="10"/>
  <c r="EZ60" i="10"/>
  <c r="EZ56" i="10"/>
  <c r="EZ51" i="10"/>
  <c r="EZ52" i="10"/>
  <c r="EZ53" i="10"/>
  <c r="EZ54" i="10"/>
  <c r="EZ55" i="10"/>
  <c r="EZ47" i="10"/>
  <c r="EZ48" i="10"/>
  <c r="EZ49" i="10"/>
  <c r="EZ50" i="10"/>
  <c r="EZ46" i="10"/>
  <c r="EY37" i="10"/>
  <c r="EZ37" i="10"/>
  <c r="FA37" i="10"/>
  <c r="FB37" i="10"/>
  <c r="FC37" i="10"/>
  <c r="FD37" i="10"/>
  <c r="FE37" i="10"/>
  <c r="FF37" i="10"/>
  <c r="FG37" i="10"/>
  <c r="EY38" i="10"/>
  <c r="EZ38" i="10"/>
  <c r="FA38" i="10"/>
  <c r="FB38" i="10"/>
  <c r="FC38" i="10"/>
  <c r="FD38" i="10"/>
  <c r="FE38" i="10"/>
  <c r="FF38" i="10"/>
  <c r="FG38" i="10"/>
  <c r="EY39" i="10"/>
  <c r="EZ39" i="10"/>
  <c r="FA39" i="10"/>
  <c r="FB39" i="10"/>
  <c r="FC39" i="10"/>
  <c r="FD39" i="10"/>
  <c r="FE39" i="10"/>
  <c r="FF39" i="10"/>
  <c r="FG39" i="10"/>
  <c r="EY40" i="10"/>
  <c r="EZ40" i="10"/>
  <c r="FA40" i="10"/>
  <c r="FB40" i="10"/>
  <c r="FC40" i="10"/>
  <c r="FD40" i="10"/>
  <c r="FE40" i="10"/>
  <c r="FF40" i="10"/>
  <c r="FG40" i="10"/>
  <c r="EY41" i="10"/>
  <c r="EZ41" i="10"/>
  <c r="FA41" i="10"/>
  <c r="FB41" i="10"/>
  <c r="FC41" i="10"/>
  <c r="FD41" i="10"/>
  <c r="FE41" i="10"/>
  <c r="FF41" i="10"/>
  <c r="FG41" i="10"/>
  <c r="EY42" i="10"/>
  <c r="EX38" i="10"/>
  <c r="EX39" i="10"/>
  <c r="EX40" i="10"/>
  <c r="EX41" i="10"/>
  <c r="EX42" i="10"/>
  <c r="EX37" i="10"/>
  <c r="EW27" i="10"/>
  <c r="EY13" i="10"/>
  <c r="EZ13" i="10"/>
  <c r="FA13" i="10"/>
  <c r="FB13" i="10"/>
  <c r="FC13" i="10"/>
  <c r="FD13" i="10"/>
  <c r="FE13" i="10"/>
  <c r="FF13" i="10"/>
  <c r="FG13" i="10"/>
  <c r="FH13" i="10"/>
  <c r="FI13" i="10"/>
  <c r="EY14" i="10"/>
  <c r="EZ14" i="10"/>
  <c r="FA14" i="10"/>
  <c r="FB14" i="10"/>
  <c r="FC14" i="10"/>
  <c r="FD14" i="10"/>
  <c r="FE14" i="10"/>
  <c r="FF14" i="10"/>
  <c r="FG14" i="10"/>
  <c r="FH14" i="10"/>
  <c r="FI14" i="10"/>
  <c r="EY15" i="10"/>
  <c r="EZ15" i="10"/>
  <c r="FA15" i="10"/>
  <c r="FB15" i="10"/>
  <c r="FC15" i="10"/>
  <c r="FD15" i="10"/>
  <c r="FE15" i="10"/>
  <c r="FF15" i="10"/>
  <c r="FG15" i="10"/>
  <c r="FH15" i="10"/>
  <c r="FI15" i="10"/>
  <c r="EY16" i="10"/>
  <c r="EZ16" i="10"/>
  <c r="FA16" i="10"/>
  <c r="FB16" i="10"/>
  <c r="FC16" i="10"/>
  <c r="FD16" i="10"/>
  <c r="FE16" i="10"/>
  <c r="FF16" i="10"/>
  <c r="FG16" i="10"/>
  <c r="FH16" i="10"/>
  <c r="FI16" i="10"/>
  <c r="EY17" i="10"/>
  <c r="EZ17" i="10"/>
  <c r="FA17" i="10"/>
  <c r="FB17" i="10"/>
  <c r="FC17" i="10"/>
  <c r="FD17" i="10"/>
  <c r="FE17" i="10"/>
  <c r="FF17" i="10"/>
  <c r="FG17" i="10"/>
  <c r="FH17" i="10"/>
  <c r="FI17" i="10"/>
  <c r="EY18" i="10"/>
  <c r="EZ18" i="10"/>
  <c r="FA18" i="10"/>
  <c r="FB18" i="10"/>
  <c r="FC18" i="10"/>
  <c r="FD18" i="10"/>
  <c r="FE18" i="10"/>
  <c r="FF18" i="10"/>
  <c r="FG18" i="10"/>
  <c r="FH18" i="10"/>
  <c r="FI18" i="10"/>
  <c r="EY19" i="10"/>
  <c r="EZ19" i="10"/>
  <c r="FA19" i="10"/>
  <c r="FB19" i="10"/>
  <c r="FC19" i="10"/>
  <c r="FD19" i="10"/>
  <c r="FE19" i="10"/>
  <c r="FF19" i="10"/>
  <c r="FG19" i="10"/>
  <c r="FH19" i="10"/>
  <c r="FI19" i="10"/>
  <c r="EY20" i="10"/>
  <c r="EZ20" i="10"/>
  <c r="FA20" i="10"/>
  <c r="FB20" i="10"/>
  <c r="FC20" i="10"/>
  <c r="FD20" i="10"/>
  <c r="FE20" i="10"/>
  <c r="FF20" i="10"/>
  <c r="FG20" i="10"/>
  <c r="FH20" i="10"/>
  <c r="FI20" i="10"/>
  <c r="EX13" i="10"/>
  <c r="EX14" i="10"/>
  <c r="EX15" i="10"/>
  <c r="EX16" i="10"/>
  <c r="EX17" i="10"/>
  <c r="EX18" i="10"/>
  <c r="EX19" i="10"/>
  <c r="EX20" i="10"/>
  <c r="FC11" i="10"/>
  <c r="G302" i="8"/>
  <c r="Y343" i="8"/>
  <c r="G300" i="8"/>
  <c r="G301" i="8"/>
  <c r="AV23" i="7"/>
  <c r="AV18" i="7"/>
  <c r="AV19" i="7"/>
  <c r="AV20" i="7"/>
  <c r="AV21" i="7"/>
  <c r="AV17" i="7"/>
  <c r="AU17" i="7"/>
  <c r="AU18" i="7"/>
  <c r="AU19" i="7"/>
  <c r="AU20" i="7"/>
  <c r="AU21" i="7"/>
  <c r="AU22" i="7"/>
  <c r="AV22" i="7" s="1"/>
  <c r="E294" i="8"/>
  <c r="F294" i="8"/>
  <c r="E295" i="8"/>
  <c r="F295" i="8"/>
  <c r="E296" i="8"/>
  <c r="F296" i="8"/>
  <c r="O296" i="8" s="1"/>
  <c r="E297" i="8"/>
  <c r="F297" i="8"/>
  <c r="O297" i="8" s="1"/>
  <c r="E298" i="8"/>
  <c r="F298" i="8"/>
  <c r="O298" i="8" s="1"/>
  <c r="E299" i="8"/>
  <c r="F299" i="8"/>
  <c r="O299" i="8" s="1"/>
  <c r="E300" i="8"/>
  <c r="F300" i="8"/>
  <c r="E301" i="8"/>
  <c r="F301" i="8"/>
  <c r="O301" i="8" s="1"/>
  <c r="E302" i="8"/>
  <c r="F302" i="8"/>
  <c r="O302" i="8" s="1"/>
  <c r="F293" i="8"/>
  <c r="E293" i="8"/>
  <c r="K282" i="8" l="1"/>
  <c r="L295" i="8"/>
  <c r="O295" i="8"/>
  <c r="L294" i="8"/>
  <c r="O294" i="8"/>
  <c r="Q279" i="8"/>
  <c r="N279" i="8"/>
  <c r="K280" i="8"/>
  <c r="Q275" i="8"/>
  <c r="N275" i="8"/>
  <c r="L300" i="8"/>
  <c r="O300" i="8"/>
  <c r="R293" i="8"/>
  <c r="O293" i="8"/>
  <c r="T274" i="8"/>
  <c r="N274" i="8"/>
  <c r="Q297" i="8"/>
  <c r="R295" i="8"/>
  <c r="I301" i="8"/>
  <c r="K274" i="8"/>
  <c r="K300" i="8"/>
  <c r="K273" i="8"/>
  <c r="Q281" i="8"/>
  <c r="Q280" i="8"/>
  <c r="L301" i="8"/>
  <c r="T273" i="8"/>
  <c r="L299" i="8"/>
  <c r="K278" i="8"/>
  <c r="L296" i="8"/>
  <c r="Q277" i="8"/>
  <c r="K277" i="8"/>
  <c r="I300" i="8"/>
  <c r="Q276" i="8"/>
  <c r="K276" i="8"/>
  <c r="K301" i="8"/>
  <c r="T275" i="8"/>
  <c r="I302" i="8"/>
  <c r="L293" i="8"/>
  <c r="Q274" i="8"/>
  <c r="U302" i="8"/>
  <c r="Q273" i="8"/>
  <c r="T301" i="8"/>
  <c r="Q302" i="8"/>
  <c r="T300" i="8"/>
  <c r="K302" i="8"/>
  <c r="Q301" i="8"/>
  <c r="T297" i="8"/>
  <c r="I297" i="8"/>
  <c r="Q282" i="8"/>
  <c r="R300" i="8"/>
  <c r="T282" i="8"/>
  <c r="R299" i="8"/>
  <c r="T281" i="8"/>
  <c r="R301" i="8"/>
  <c r="Q298" i="8"/>
  <c r="T280" i="8"/>
  <c r="K298" i="8"/>
  <c r="L302" i="8"/>
  <c r="R297" i="8"/>
  <c r="T279" i="8"/>
  <c r="K279" i="8"/>
  <c r="K297" i="8"/>
  <c r="Q278" i="8"/>
  <c r="R296" i="8"/>
  <c r="T278" i="8"/>
  <c r="Q300" i="8"/>
  <c r="R298" i="8"/>
  <c r="U301" i="8"/>
  <c r="T277" i="8"/>
  <c r="U300" i="8"/>
  <c r="T276" i="8"/>
  <c r="L298" i="8"/>
  <c r="K281" i="8"/>
  <c r="L297" i="8"/>
  <c r="U297" i="8"/>
  <c r="R294" i="8"/>
  <c r="I298" i="8"/>
  <c r="T302" i="8"/>
  <c r="K275" i="8"/>
  <c r="R302" i="8"/>
  <c r="EW25" i="10"/>
  <c r="EW26" i="10"/>
  <c r="EW28" i="10"/>
  <c r="EW24" i="10"/>
  <c r="E274" i="8" l="1"/>
  <c r="F274" i="8"/>
  <c r="O274" i="8" s="1"/>
  <c r="E275" i="8"/>
  <c r="F275" i="8"/>
  <c r="O275" i="8" s="1"/>
  <c r="E276" i="8"/>
  <c r="E277" i="8"/>
  <c r="E278" i="8"/>
  <c r="F278" i="8"/>
  <c r="O278" i="8" s="1"/>
  <c r="E279" i="8"/>
  <c r="F279" i="8"/>
  <c r="O279" i="8" s="1"/>
  <c r="E280" i="8"/>
  <c r="F280" i="8"/>
  <c r="O280" i="8" s="1"/>
  <c r="E281" i="8"/>
  <c r="F281" i="8"/>
  <c r="O281" i="8" s="1"/>
  <c r="E282" i="8"/>
  <c r="E273" i="8"/>
  <c r="M176" i="9"/>
  <c r="F282" i="8" s="1"/>
  <c r="O282" i="8" s="1"/>
  <c r="M186" i="9"/>
  <c r="I186" i="9"/>
  <c r="M185" i="9"/>
  <c r="I185" i="9"/>
  <c r="M184" i="9"/>
  <c r="I184" i="9"/>
  <c r="M183" i="9"/>
  <c r="I183" i="9"/>
  <c r="I182" i="9"/>
  <c r="M181" i="9"/>
  <c r="I181" i="9"/>
  <c r="M180" i="9"/>
  <c r="I180" i="9"/>
  <c r="M179" i="9"/>
  <c r="I179" i="9"/>
  <c r="M178" i="9"/>
  <c r="I178" i="9"/>
  <c r="M177" i="9"/>
  <c r="I177" i="9"/>
  <c r="I176" i="9"/>
  <c r="M175" i="9"/>
  <c r="I175" i="9"/>
  <c r="M174" i="9"/>
  <c r="I174" i="9"/>
  <c r="M173" i="9"/>
  <c r="I173" i="9"/>
  <c r="I172" i="9"/>
  <c r="M171" i="9"/>
  <c r="F277" i="8" s="1"/>
  <c r="O277" i="8" s="1"/>
  <c r="I171" i="9"/>
  <c r="M170" i="9"/>
  <c r="F276" i="8" s="1"/>
  <c r="O276" i="8" s="1"/>
  <c r="I170" i="9"/>
  <c r="M169" i="9"/>
  <c r="I169" i="9"/>
  <c r="M168" i="9"/>
  <c r="I168" i="9"/>
  <c r="M167" i="9"/>
  <c r="F273" i="8" s="1"/>
  <c r="I167" i="9"/>
  <c r="O273" i="8" l="1"/>
  <c r="R277" i="8"/>
  <c r="L277" i="8"/>
  <c r="U277" i="8"/>
  <c r="I277" i="8"/>
  <c r="I278" i="8"/>
  <c r="R278" i="8"/>
  <c r="L278" i="8"/>
  <c r="U278" i="8"/>
  <c r="L282" i="8"/>
  <c r="U282" i="8"/>
  <c r="R282" i="8"/>
  <c r="I282" i="8"/>
  <c r="U275" i="8"/>
  <c r="I275" i="8"/>
  <c r="R275" i="8"/>
  <c r="L275" i="8"/>
  <c r="I274" i="8"/>
  <c r="R274" i="8"/>
  <c r="U274" i="8"/>
  <c r="L274" i="8"/>
  <c r="R279" i="8"/>
  <c r="U279" i="8"/>
  <c r="L279" i="8"/>
  <c r="I279" i="8"/>
  <c r="I273" i="8"/>
  <c r="R273" i="8"/>
  <c r="L273" i="8"/>
  <c r="U273" i="8"/>
  <c r="L276" i="8"/>
  <c r="I276" i="8"/>
  <c r="U276" i="8"/>
  <c r="R276" i="8"/>
  <c r="L281" i="8"/>
  <c r="U281" i="8"/>
  <c r="I281" i="8"/>
  <c r="R281" i="8"/>
  <c r="L280" i="8"/>
  <c r="R280" i="8"/>
  <c r="U280" i="8"/>
  <c r="I280" i="8"/>
  <c r="V391" i="8"/>
  <c r="W391" i="8"/>
  <c r="X391" i="8"/>
  <c r="G273" i="8"/>
  <c r="G274" i="8"/>
  <c r="G275" i="8"/>
  <c r="G276" i="8"/>
  <c r="G277" i="8"/>
  <c r="G278" i="8"/>
  <c r="G280" i="8"/>
  <c r="G281" i="8"/>
  <c r="G282" i="8"/>
  <c r="AP57" i="7"/>
  <c r="AP46" i="7"/>
  <c r="AP47" i="7"/>
  <c r="AP48" i="7"/>
  <c r="AP49" i="7"/>
  <c r="AP50" i="7"/>
  <c r="AP51" i="7"/>
  <c r="AP52" i="7"/>
  <c r="AP54" i="7"/>
  <c r="AP55" i="7"/>
  <c r="AP56" i="7"/>
  <c r="AO52" i="7"/>
  <c r="AO53" i="7"/>
  <c r="AO54" i="7"/>
  <c r="AO55" i="7"/>
  <c r="AO56" i="7"/>
  <c r="AO47" i="7"/>
  <c r="AO48" i="7"/>
  <c r="AO49" i="7"/>
  <c r="AO50" i="7"/>
  <c r="AO51" i="7"/>
  <c r="AO46" i="7"/>
  <c r="P76" i="8" l="1"/>
  <c r="P77" i="8"/>
  <c r="P74" i="8"/>
  <c r="P75" i="8"/>
  <c r="S74" i="8"/>
  <c r="S75" i="8"/>
  <c r="S76" i="8"/>
  <c r="S77" i="8"/>
  <c r="S73" i="8"/>
  <c r="P73" i="8"/>
  <c r="S128" i="8"/>
  <c r="S129" i="8"/>
  <c r="S130" i="8"/>
  <c r="S131" i="8"/>
  <c r="P128" i="8"/>
  <c r="P129" i="8"/>
  <c r="P130" i="8"/>
  <c r="P131" i="8"/>
  <c r="S127" i="8"/>
  <c r="P127" i="8"/>
  <c r="DQ8" i="12"/>
  <c r="DQ3" i="12"/>
  <c r="DM8" i="12"/>
  <c r="DM3" i="12"/>
  <c r="J128" i="8"/>
  <c r="J129" i="8"/>
  <c r="J130" i="8"/>
  <c r="J131" i="8"/>
  <c r="H128" i="8"/>
  <c r="N128" i="8" s="1"/>
  <c r="H129" i="8"/>
  <c r="N129" i="8" s="1"/>
  <c r="H130" i="8"/>
  <c r="N130" i="8" s="1"/>
  <c r="H131" i="8"/>
  <c r="N131" i="8" s="1"/>
  <c r="J127" i="8"/>
  <c r="H127" i="8"/>
  <c r="N127" i="8" s="1"/>
  <c r="G128" i="8"/>
  <c r="G129" i="8"/>
  <c r="G130" i="8"/>
  <c r="G131" i="8"/>
  <c r="G127" i="8"/>
  <c r="E128" i="8"/>
  <c r="F128" i="8"/>
  <c r="O128" i="8" s="1"/>
  <c r="E129" i="8"/>
  <c r="F129" i="8"/>
  <c r="O129" i="8" s="1"/>
  <c r="E130" i="8"/>
  <c r="F130" i="8"/>
  <c r="O130" i="8" s="1"/>
  <c r="E131" i="8"/>
  <c r="F131" i="8"/>
  <c r="O131" i="8" s="1"/>
  <c r="F127" i="8"/>
  <c r="O127" i="8" s="1"/>
  <c r="E127" i="8"/>
  <c r="J74" i="8"/>
  <c r="J75" i="8"/>
  <c r="J76" i="8"/>
  <c r="J77" i="8"/>
  <c r="J73" i="8"/>
  <c r="EL59" i="11"/>
  <c r="EL54" i="11"/>
  <c r="EK60" i="11"/>
  <c r="EK61" i="11"/>
  <c r="EK62" i="11"/>
  <c r="EK63" i="11"/>
  <c r="EK59" i="11"/>
  <c r="EK55" i="11"/>
  <c r="EK56" i="11"/>
  <c r="EK57" i="11"/>
  <c r="EK58" i="11"/>
  <c r="EK54" i="11"/>
  <c r="EJ45" i="11"/>
  <c r="EK45" i="11"/>
  <c r="EL45" i="11"/>
  <c r="EM45" i="11"/>
  <c r="EN45" i="11"/>
  <c r="EO45" i="11"/>
  <c r="EP45" i="11"/>
  <c r="EQ45" i="11"/>
  <c r="ER45" i="11"/>
  <c r="EJ46" i="11"/>
  <c r="EK46" i="11"/>
  <c r="EL46" i="11"/>
  <c r="EM46" i="11"/>
  <c r="EN46" i="11"/>
  <c r="EO46" i="11"/>
  <c r="EP46" i="11"/>
  <c r="EQ46" i="11"/>
  <c r="ER46" i="11"/>
  <c r="EJ47" i="11"/>
  <c r="EK47" i="11"/>
  <c r="EL47" i="11"/>
  <c r="EJ48" i="11"/>
  <c r="EK48" i="11"/>
  <c r="EL48" i="11"/>
  <c r="EJ49" i="11"/>
  <c r="EK49" i="11"/>
  <c r="EL49" i="11"/>
  <c r="EJ50" i="11"/>
  <c r="EK50" i="11"/>
  <c r="EL50" i="11"/>
  <c r="EJ51" i="11"/>
  <c r="EK51" i="11"/>
  <c r="EL51" i="11"/>
  <c r="EI46" i="11"/>
  <c r="EI47" i="11"/>
  <c r="EI48" i="11"/>
  <c r="EI49" i="11"/>
  <c r="EI50" i="11"/>
  <c r="EI51" i="11"/>
  <c r="EI45" i="11"/>
  <c r="ET28" i="11"/>
  <c r="ES28" i="11"/>
  <c r="ER28" i="11"/>
  <c r="EQ28" i="11"/>
  <c r="EP28" i="11"/>
  <c r="EO28" i="11"/>
  <c r="EN28" i="11"/>
  <c r="EM28" i="11"/>
  <c r="EL28" i="11"/>
  <c r="EK28" i="11"/>
  <c r="EJ28" i="11"/>
  <c r="EI28" i="11"/>
  <c r="ET27" i="11"/>
  <c r="ES27" i="11"/>
  <c r="ER27" i="11"/>
  <c r="EQ27" i="11"/>
  <c r="EP27" i="11"/>
  <c r="EO27" i="11"/>
  <c r="EN27" i="11"/>
  <c r="EM27" i="11"/>
  <c r="EL27" i="11"/>
  <c r="EK27" i="11"/>
  <c r="EJ27" i="11"/>
  <c r="EI27" i="11"/>
  <c r="ET26" i="11"/>
  <c r="ES26" i="11"/>
  <c r="ER26" i="11"/>
  <c r="EQ26" i="11"/>
  <c r="EP26" i="11"/>
  <c r="EO26" i="11"/>
  <c r="EN26" i="11"/>
  <c r="EM26" i="11"/>
  <c r="EL26" i="11"/>
  <c r="EK26" i="11"/>
  <c r="EJ26" i="11"/>
  <c r="EI26" i="11"/>
  <c r="ET25" i="11"/>
  <c r="ES25" i="11"/>
  <c r="ER25" i="11"/>
  <c r="EQ25" i="11"/>
  <c r="EP25" i="11"/>
  <c r="EO25" i="11"/>
  <c r="EN25" i="11"/>
  <c r="EM25" i="11"/>
  <c r="EL25" i="11"/>
  <c r="EK25" i="11"/>
  <c r="EJ25" i="11"/>
  <c r="EI25" i="11"/>
  <c r="ET24" i="11"/>
  <c r="ES24" i="11"/>
  <c r="ER24" i="11"/>
  <c r="EQ24" i="11"/>
  <c r="EP24" i="11"/>
  <c r="EO24" i="11"/>
  <c r="EN24" i="11"/>
  <c r="EM24" i="11"/>
  <c r="EL24" i="11"/>
  <c r="EK24" i="11"/>
  <c r="EJ24" i="11"/>
  <c r="EI24" i="11"/>
  <c r="ET23" i="11"/>
  <c r="ES23" i="11"/>
  <c r="ER23" i="11"/>
  <c r="EQ23" i="11"/>
  <c r="EP23" i="11"/>
  <c r="EO23" i="11"/>
  <c r="EN23" i="11"/>
  <c r="EM23" i="11"/>
  <c r="EL23" i="11"/>
  <c r="EK23" i="11"/>
  <c r="EJ23" i="11"/>
  <c r="EI23" i="11"/>
  <c r="ET22" i="11"/>
  <c r="ES22" i="11"/>
  <c r="ER22" i="11"/>
  <c r="EQ22" i="11"/>
  <c r="EP22" i="11"/>
  <c r="EO22" i="11"/>
  <c r="EN22" i="11"/>
  <c r="EM22" i="11"/>
  <c r="EL22" i="11"/>
  <c r="EK22" i="11"/>
  <c r="EJ22" i="11"/>
  <c r="EI22" i="11"/>
  <c r="ET21" i="11"/>
  <c r="ES21" i="11"/>
  <c r="ER21" i="11"/>
  <c r="EH40" i="11" s="1"/>
  <c r="EQ21" i="11"/>
  <c r="EH39" i="11" s="1"/>
  <c r="EP21" i="11"/>
  <c r="EO21" i="11"/>
  <c r="EN21" i="11"/>
  <c r="EH36" i="11" s="1"/>
  <c r="EM21" i="11"/>
  <c r="EL21" i="11"/>
  <c r="EH34" i="11" s="1"/>
  <c r="EK21" i="11"/>
  <c r="EH33" i="11" s="1"/>
  <c r="EJ21" i="11"/>
  <c r="EH32" i="11" s="1"/>
  <c r="EI21" i="11"/>
  <c r="EH31" i="11" s="1"/>
  <c r="G74" i="8"/>
  <c r="G75" i="8"/>
  <c r="G73" i="8"/>
  <c r="R11" i="7"/>
  <c r="R16" i="7" s="1"/>
  <c r="R12" i="7"/>
  <c r="R13" i="7"/>
  <c r="R14" i="7"/>
  <c r="R15" i="7"/>
  <c r="R10" i="7"/>
  <c r="Q12" i="7"/>
  <c r="Q13" i="7"/>
  <c r="Q14" i="7"/>
  <c r="Q15" i="7"/>
  <c r="Q11" i="7"/>
  <c r="Q10" i="7"/>
  <c r="L31" i="7"/>
  <c r="L32" i="7"/>
  <c r="L33" i="7"/>
  <c r="L30" i="7"/>
  <c r="K31" i="7"/>
  <c r="K32" i="7"/>
  <c r="K33" i="7"/>
  <c r="K30" i="7"/>
  <c r="E74" i="8"/>
  <c r="F74" i="8"/>
  <c r="E75" i="8"/>
  <c r="F75" i="8"/>
  <c r="O75" i="8" s="1"/>
  <c r="E76" i="8"/>
  <c r="F76" i="8"/>
  <c r="E77" i="8"/>
  <c r="F77" i="8"/>
  <c r="O77" i="8" s="1"/>
  <c r="F73" i="8"/>
  <c r="O73" i="8" s="1"/>
  <c r="E73" i="8"/>
  <c r="M166" i="9"/>
  <c r="I166" i="9"/>
  <c r="M165" i="9"/>
  <c r="I165" i="9"/>
  <c r="M164" i="9"/>
  <c r="I164" i="9"/>
  <c r="M163" i="9"/>
  <c r="I163" i="9"/>
  <c r="M162" i="9"/>
  <c r="I162" i="9"/>
  <c r="M161" i="9"/>
  <c r="I161" i="9"/>
  <c r="M160" i="9"/>
  <c r="I160" i="9"/>
  <c r="M159" i="9"/>
  <c r="I159" i="9"/>
  <c r="M158" i="9"/>
  <c r="I158" i="9"/>
  <c r="M157" i="9"/>
  <c r="I157" i="9"/>
  <c r="H74" i="8"/>
  <c r="H75" i="8"/>
  <c r="H76" i="8"/>
  <c r="H77" i="8"/>
  <c r="H73" i="8"/>
  <c r="EL51" i="10"/>
  <c r="EL46" i="10"/>
  <c r="EK52" i="10"/>
  <c r="EK53" i="10"/>
  <c r="EK54" i="10"/>
  <c r="EK55" i="10"/>
  <c r="EK51" i="10"/>
  <c r="EK47" i="10"/>
  <c r="EK48" i="10"/>
  <c r="EK49" i="10"/>
  <c r="EK50" i="10"/>
  <c r="EK46" i="10"/>
  <c r="EJ37" i="10"/>
  <c r="EK37" i="10"/>
  <c r="EL37" i="10"/>
  <c r="EM37" i="10"/>
  <c r="EN37" i="10"/>
  <c r="EJ38" i="10"/>
  <c r="EK38" i="10"/>
  <c r="EL38" i="10"/>
  <c r="EM38" i="10"/>
  <c r="EN38" i="10"/>
  <c r="EJ39" i="10"/>
  <c r="EK39" i="10"/>
  <c r="EL39" i="10"/>
  <c r="EM39" i="10"/>
  <c r="EN39" i="10"/>
  <c r="EJ40" i="10"/>
  <c r="EK40" i="10"/>
  <c r="EL40" i="10"/>
  <c r="EM40" i="10"/>
  <c r="EN40" i="10"/>
  <c r="EJ41" i="10"/>
  <c r="EK41" i="10"/>
  <c r="EL41" i="10"/>
  <c r="EM41" i="10"/>
  <c r="EN41" i="10"/>
  <c r="EJ42" i="10"/>
  <c r="EI38" i="10"/>
  <c r="EI39" i="10"/>
  <c r="EI40" i="10"/>
  <c r="EI41" i="10"/>
  <c r="EI42" i="10"/>
  <c r="EI37" i="10"/>
  <c r="EH24" i="10"/>
  <c r="EH25" i="10"/>
  <c r="EH26" i="10"/>
  <c r="EH28" i="10"/>
  <c r="EJ13" i="10"/>
  <c r="EK13" i="10"/>
  <c r="EL13" i="10"/>
  <c r="EM13" i="10"/>
  <c r="EN13" i="10"/>
  <c r="EO13" i="10"/>
  <c r="EP13" i="10"/>
  <c r="EQ13" i="10"/>
  <c r="ER13" i="10"/>
  <c r="ES13" i="10"/>
  <c r="ET13" i="10"/>
  <c r="EJ14" i="10"/>
  <c r="EK14" i="10"/>
  <c r="EL14" i="10"/>
  <c r="EM14" i="10"/>
  <c r="EN14" i="10"/>
  <c r="EO14" i="10"/>
  <c r="EP14" i="10"/>
  <c r="EQ14" i="10"/>
  <c r="ER14" i="10"/>
  <c r="ES14" i="10"/>
  <c r="ET14" i="10"/>
  <c r="EJ15" i="10"/>
  <c r="EK15" i="10"/>
  <c r="EL15" i="10"/>
  <c r="EM15" i="10"/>
  <c r="EN15" i="10"/>
  <c r="EO15" i="10"/>
  <c r="EP15" i="10"/>
  <c r="EQ15" i="10"/>
  <c r="ER15" i="10"/>
  <c r="ES15" i="10"/>
  <c r="ET15" i="10"/>
  <c r="EJ16" i="10"/>
  <c r="EK16" i="10"/>
  <c r="EL16" i="10"/>
  <c r="EM16" i="10"/>
  <c r="EN16" i="10"/>
  <c r="EO16" i="10"/>
  <c r="EP16" i="10"/>
  <c r="EQ16" i="10"/>
  <c r="ER16" i="10"/>
  <c r="ES16" i="10"/>
  <c r="ET16" i="10"/>
  <c r="EJ17" i="10"/>
  <c r="EK17" i="10"/>
  <c r="EL17" i="10"/>
  <c r="EM17" i="10"/>
  <c r="EN17" i="10"/>
  <c r="EO17" i="10"/>
  <c r="EP17" i="10"/>
  <c r="EQ17" i="10"/>
  <c r="ER17" i="10"/>
  <c r="ES17" i="10"/>
  <c r="ET17" i="10"/>
  <c r="EJ18" i="10"/>
  <c r="EK18" i="10"/>
  <c r="EL18" i="10"/>
  <c r="EM18" i="10"/>
  <c r="EN18" i="10"/>
  <c r="EO18" i="10"/>
  <c r="EP18" i="10"/>
  <c r="EQ18" i="10"/>
  <c r="ER18" i="10"/>
  <c r="ES18" i="10"/>
  <c r="ET18" i="10"/>
  <c r="EJ19" i="10"/>
  <c r="EK19" i="10"/>
  <c r="EL19" i="10"/>
  <c r="EM19" i="10"/>
  <c r="EN19" i="10"/>
  <c r="EO19" i="10"/>
  <c r="EP19" i="10"/>
  <c r="EQ19" i="10"/>
  <c r="ER19" i="10"/>
  <c r="ES19" i="10"/>
  <c r="ET19" i="10"/>
  <c r="EJ20" i="10"/>
  <c r="EK20" i="10"/>
  <c r="EL20" i="10"/>
  <c r="EM20" i="10"/>
  <c r="EN20" i="10"/>
  <c r="EO20" i="10"/>
  <c r="EP20" i="10"/>
  <c r="EQ20" i="10"/>
  <c r="ER20" i="10"/>
  <c r="ES20" i="10"/>
  <c r="ET20" i="10"/>
  <c r="EI14" i="10"/>
  <c r="EI15" i="10"/>
  <c r="EI16" i="10"/>
  <c r="EI17" i="10"/>
  <c r="EI18" i="10"/>
  <c r="EI19" i="10"/>
  <c r="EI20" i="10"/>
  <c r="EI13" i="10"/>
  <c r="EN11" i="10"/>
  <c r="O209" i="8"/>
  <c r="O211" i="8"/>
  <c r="O212" i="8"/>
  <c r="O213" i="8"/>
  <c r="O214" i="8"/>
  <c r="O215" i="8"/>
  <c r="O216" i="8"/>
  <c r="O217" i="8"/>
  <c r="O219" i="8"/>
  <c r="O220" i="8"/>
  <c r="O221" i="8"/>
  <c r="O222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09" i="8"/>
  <c r="N351" i="8" l="1"/>
  <c r="O351" i="8"/>
  <c r="O355" i="8"/>
  <c r="O396" i="8"/>
  <c r="N355" i="8"/>
  <c r="N396" i="8"/>
  <c r="U76" i="8"/>
  <c r="O76" i="8"/>
  <c r="U74" i="8"/>
  <c r="O74" i="8"/>
  <c r="L130" i="8"/>
  <c r="I131" i="8"/>
  <c r="U128" i="8"/>
  <c r="Q73" i="8"/>
  <c r="U129" i="8"/>
  <c r="T77" i="8"/>
  <c r="L131" i="8"/>
  <c r="Q131" i="8"/>
  <c r="T75" i="8"/>
  <c r="K74" i="8"/>
  <c r="K129" i="8"/>
  <c r="Q129" i="8"/>
  <c r="R75" i="8"/>
  <c r="Q74" i="8"/>
  <c r="I127" i="8"/>
  <c r="T131" i="8"/>
  <c r="K131" i="8"/>
  <c r="T130" i="8"/>
  <c r="L128" i="8"/>
  <c r="R131" i="8"/>
  <c r="Q128" i="8"/>
  <c r="T74" i="8"/>
  <c r="I77" i="8"/>
  <c r="I130" i="8"/>
  <c r="T128" i="8"/>
  <c r="U75" i="8"/>
  <c r="I73" i="8"/>
  <c r="I129" i="8"/>
  <c r="K127" i="8"/>
  <c r="I128" i="8"/>
  <c r="R130" i="8"/>
  <c r="K76" i="8"/>
  <c r="R127" i="8"/>
  <c r="R73" i="8"/>
  <c r="Q77" i="8"/>
  <c r="L75" i="8"/>
  <c r="T127" i="8"/>
  <c r="T73" i="8"/>
  <c r="I75" i="8"/>
  <c r="K75" i="8"/>
  <c r="K130" i="8"/>
  <c r="R129" i="8"/>
  <c r="Q75" i="8"/>
  <c r="L74" i="8"/>
  <c r="L129" i="8"/>
  <c r="U127" i="8"/>
  <c r="R74" i="8"/>
  <c r="U73" i="8"/>
  <c r="Q130" i="8"/>
  <c r="I74" i="8"/>
  <c r="R128" i="8"/>
  <c r="R77" i="8"/>
  <c r="T129" i="8"/>
  <c r="K128" i="8"/>
  <c r="L127" i="8"/>
  <c r="Q127" i="8"/>
  <c r="U77" i="8"/>
  <c r="R76" i="8"/>
  <c r="U131" i="8"/>
  <c r="Q76" i="8"/>
  <c r="I76" i="8"/>
  <c r="L73" i="8"/>
  <c r="L77" i="8"/>
  <c r="T76" i="8"/>
  <c r="K73" i="8"/>
  <c r="K77" i="8"/>
  <c r="L76" i="8"/>
  <c r="EH37" i="11"/>
  <c r="EH35" i="11"/>
  <c r="EH38" i="11"/>
  <c r="L35" i="7"/>
  <c r="M272" i="8" l="1"/>
  <c r="M361" i="8" s="1"/>
  <c r="M263" i="8"/>
  <c r="M264" i="8"/>
  <c r="M265" i="8"/>
  <c r="M266" i="8"/>
  <c r="M262" i="8"/>
  <c r="M284" i="8"/>
  <c r="M285" i="8"/>
  <c r="M286" i="8"/>
  <c r="M287" i="8"/>
  <c r="M288" i="8"/>
  <c r="M290" i="8"/>
  <c r="M291" i="8"/>
  <c r="M292" i="8"/>
  <c r="M283" i="8"/>
  <c r="M179" i="8"/>
  <c r="M180" i="8"/>
  <c r="M181" i="8"/>
  <c r="M182" i="8"/>
  <c r="M183" i="8"/>
  <c r="M178" i="8"/>
  <c r="M69" i="8"/>
  <c r="M70" i="8"/>
  <c r="M71" i="8"/>
  <c r="M68" i="8"/>
  <c r="M123" i="8"/>
  <c r="M124" i="8"/>
  <c r="M125" i="8"/>
  <c r="M126" i="8"/>
  <c r="M122" i="8"/>
  <c r="DI61" i="13"/>
  <c r="DI56" i="13"/>
  <c r="DI51" i="13"/>
  <c r="DI46" i="13"/>
  <c r="DH56" i="13"/>
  <c r="DH57" i="13"/>
  <c r="DH58" i="13"/>
  <c r="DH59" i="13"/>
  <c r="DH60" i="13"/>
  <c r="DH61" i="13"/>
  <c r="DH62" i="13"/>
  <c r="DH63" i="13"/>
  <c r="DH64" i="13"/>
  <c r="DH65" i="13"/>
  <c r="DH55" i="13"/>
  <c r="DG65" i="13"/>
  <c r="DG64" i="13"/>
  <c r="DG63" i="13"/>
  <c r="DG62" i="13"/>
  <c r="DG55" i="13"/>
  <c r="DO40" i="13"/>
  <c r="DO41" i="13"/>
  <c r="DO42" i="13"/>
  <c r="DO43" i="13"/>
  <c r="DG61" i="13"/>
  <c r="DG60" i="13"/>
  <c r="DG59" i="13"/>
  <c r="DG58" i="13"/>
  <c r="DG57" i="13"/>
  <c r="DG56" i="13"/>
  <c r="DG54" i="13"/>
  <c r="DH54" i="13" s="1"/>
  <c r="DG53" i="13"/>
  <c r="DH53" i="13" s="1"/>
  <c r="DG51" i="13"/>
  <c r="DH51" i="13" s="1"/>
  <c r="DG50" i="13"/>
  <c r="DH50" i="13" s="1"/>
  <c r="DG49" i="13"/>
  <c r="DH49" i="13" s="1"/>
  <c r="DG48" i="13"/>
  <c r="DH48" i="13" s="1"/>
  <c r="DG47" i="13"/>
  <c r="DH47" i="13" s="1"/>
  <c r="DH46" i="13"/>
  <c r="DG46" i="13"/>
  <c r="DG40" i="13"/>
  <c r="DH40" i="13"/>
  <c r="DI40" i="13"/>
  <c r="DJ40" i="13"/>
  <c r="DK40" i="13"/>
  <c r="DL40" i="13"/>
  <c r="DM40" i="13"/>
  <c r="DN40" i="13"/>
  <c r="DG41" i="13"/>
  <c r="DH41" i="13"/>
  <c r="DI41" i="13"/>
  <c r="DJ41" i="13"/>
  <c r="DK41" i="13"/>
  <c r="DL41" i="13"/>
  <c r="DM41" i="13"/>
  <c r="DN41" i="13"/>
  <c r="DG42" i="13"/>
  <c r="DH42" i="13"/>
  <c r="DI42" i="13"/>
  <c r="DJ42" i="13"/>
  <c r="DK42" i="13"/>
  <c r="DL42" i="13"/>
  <c r="DM42" i="13"/>
  <c r="DN42" i="13"/>
  <c r="DG43" i="13"/>
  <c r="DH43" i="13"/>
  <c r="DI43" i="13"/>
  <c r="DJ43" i="13"/>
  <c r="DK43" i="13"/>
  <c r="DL43" i="13"/>
  <c r="DM43" i="13"/>
  <c r="DN43" i="13"/>
  <c r="DF41" i="13"/>
  <c r="DF42" i="13"/>
  <c r="DF43" i="13"/>
  <c r="DF40" i="13"/>
  <c r="DD26" i="13"/>
  <c r="DD23" i="13"/>
  <c r="DF13" i="13"/>
  <c r="DG13" i="13"/>
  <c r="DH13" i="13"/>
  <c r="DI13" i="13"/>
  <c r="DJ13" i="13"/>
  <c r="DK13" i="13"/>
  <c r="DL13" i="13"/>
  <c r="DM13" i="13"/>
  <c r="DN13" i="13"/>
  <c r="DO13" i="13"/>
  <c r="DP13" i="13"/>
  <c r="DF14" i="13"/>
  <c r="DG14" i="13"/>
  <c r="DH14" i="13"/>
  <c r="DD25" i="13" s="1"/>
  <c r="DI14" i="13"/>
  <c r="DJ14" i="13"/>
  <c r="DK14" i="13"/>
  <c r="DL14" i="13"/>
  <c r="DM14" i="13"/>
  <c r="DD30" i="13" s="1"/>
  <c r="DN14" i="13"/>
  <c r="DO14" i="13"/>
  <c r="DP14" i="13"/>
  <c r="DF15" i="13"/>
  <c r="DG15" i="13"/>
  <c r="DD24" i="13" s="1"/>
  <c r="DH15" i="13"/>
  <c r="DI15" i="13"/>
  <c r="DJ15" i="13"/>
  <c r="DD27" i="13" s="1"/>
  <c r="DK15" i="13"/>
  <c r="DL15" i="13"/>
  <c r="DD29" i="13" s="1"/>
  <c r="DM15" i="13"/>
  <c r="DN15" i="13"/>
  <c r="DO15" i="13"/>
  <c r="DP15" i="13"/>
  <c r="DF16" i="13"/>
  <c r="DG16" i="13"/>
  <c r="DH16" i="13"/>
  <c r="DI16" i="13"/>
  <c r="DJ16" i="13"/>
  <c r="DK16" i="13"/>
  <c r="DL16" i="13"/>
  <c r="DM16" i="13"/>
  <c r="DN16" i="13"/>
  <c r="DO16" i="13"/>
  <c r="DP16" i="13"/>
  <c r="DF17" i="13"/>
  <c r="DG17" i="13"/>
  <c r="DH17" i="13"/>
  <c r="DI17" i="13"/>
  <c r="DJ17" i="13"/>
  <c r="DK17" i="13"/>
  <c r="DL17" i="13"/>
  <c r="DM17" i="13"/>
  <c r="DN17" i="13"/>
  <c r="DO17" i="13"/>
  <c r="DP17" i="13"/>
  <c r="DF18" i="13"/>
  <c r="DG18" i="13"/>
  <c r="DH18" i="13"/>
  <c r="DI18" i="13"/>
  <c r="DJ18" i="13"/>
  <c r="DK18" i="13"/>
  <c r="DL18" i="13"/>
  <c r="DM18" i="13"/>
  <c r="DN18" i="13"/>
  <c r="DO18" i="13"/>
  <c r="DP18" i="13"/>
  <c r="DF19" i="13"/>
  <c r="DG19" i="13"/>
  <c r="DH19" i="13"/>
  <c r="DI19" i="13"/>
  <c r="DJ19" i="13"/>
  <c r="DK19" i="13"/>
  <c r="DL19" i="13"/>
  <c r="DM19" i="13"/>
  <c r="DN19" i="13"/>
  <c r="DO19" i="13"/>
  <c r="DP19" i="13"/>
  <c r="DF20" i="13"/>
  <c r="DG20" i="13"/>
  <c r="DH20" i="13"/>
  <c r="DI20" i="13"/>
  <c r="DJ20" i="13"/>
  <c r="DK20" i="13"/>
  <c r="DL20" i="13"/>
  <c r="DM20" i="13"/>
  <c r="DN20" i="13"/>
  <c r="DO20" i="13"/>
  <c r="DP20" i="13"/>
  <c r="DE14" i="13"/>
  <c r="DE15" i="13"/>
  <c r="DE16" i="13"/>
  <c r="DE17" i="13"/>
  <c r="DE18" i="13"/>
  <c r="DE19" i="13"/>
  <c r="DE20" i="13"/>
  <c r="DE13" i="13"/>
  <c r="DJ11" i="13"/>
  <c r="DD28" i="13"/>
  <c r="CT55" i="13"/>
  <c r="CT51" i="13"/>
  <c r="CT46" i="13"/>
  <c r="CS47" i="13"/>
  <c r="CS48" i="13"/>
  <c r="CS49" i="13"/>
  <c r="CS50" i="13"/>
  <c r="CS51" i="13"/>
  <c r="CS52" i="13"/>
  <c r="CS53" i="13"/>
  <c r="CS54" i="13"/>
  <c r="CS55" i="13"/>
  <c r="CS56" i="13"/>
  <c r="CS57" i="13"/>
  <c r="CS58" i="13"/>
  <c r="CS59" i="13"/>
  <c r="CS60" i="13"/>
  <c r="CS46" i="13"/>
  <c r="CR56" i="13"/>
  <c r="CR57" i="13"/>
  <c r="CR58" i="13"/>
  <c r="CR59" i="13"/>
  <c r="CR60" i="13"/>
  <c r="CR55" i="13"/>
  <c r="CR47" i="13"/>
  <c r="CR48" i="13"/>
  <c r="CR49" i="13"/>
  <c r="CR50" i="13"/>
  <c r="CR51" i="13"/>
  <c r="CR52" i="13"/>
  <c r="CR53" i="13"/>
  <c r="CR54" i="13"/>
  <c r="CR46" i="13"/>
  <c r="CR40" i="13"/>
  <c r="CS40" i="13"/>
  <c r="CT40" i="13"/>
  <c r="CU40" i="13"/>
  <c r="CV40" i="13"/>
  <c r="CW40" i="13"/>
  <c r="CX40" i="13"/>
  <c r="CY40" i="13"/>
  <c r="CR41" i="13"/>
  <c r="CS41" i="13"/>
  <c r="CT41" i="13"/>
  <c r="CU41" i="13"/>
  <c r="CV41" i="13"/>
  <c r="CW41" i="13"/>
  <c r="CX41" i="13"/>
  <c r="CY41" i="13"/>
  <c r="CR42" i="13"/>
  <c r="CS42" i="13"/>
  <c r="CT42" i="13"/>
  <c r="CU42" i="13"/>
  <c r="CV42" i="13"/>
  <c r="CR43" i="13"/>
  <c r="CS43" i="13"/>
  <c r="CT43" i="13"/>
  <c r="CU43" i="13"/>
  <c r="CV43" i="13"/>
  <c r="CQ41" i="13"/>
  <c r="CQ42" i="13"/>
  <c r="CQ43" i="13"/>
  <c r="CQ40" i="13"/>
  <c r="CQ13" i="13"/>
  <c r="CR13" i="13"/>
  <c r="CS13" i="13"/>
  <c r="CT13" i="13"/>
  <c r="CU13" i="13"/>
  <c r="CV13" i="13"/>
  <c r="CW13" i="13"/>
  <c r="CX13" i="13"/>
  <c r="CY13" i="13"/>
  <c r="CZ13" i="13"/>
  <c r="DA13" i="13"/>
  <c r="CQ14" i="13"/>
  <c r="CR14" i="13"/>
  <c r="CS14" i="13"/>
  <c r="CO25" i="13" s="1"/>
  <c r="CT14" i="13"/>
  <c r="CO26" i="13" s="1"/>
  <c r="CU14" i="13"/>
  <c r="CV14" i="13"/>
  <c r="CW14" i="13"/>
  <c r="CX14" i="13"/>
  <c r="CY14" i="13"/>
  <c r="CZ14" i="13"/>
  <c r="DA14" i="13"/>
  <c r="CQ15" i="13"/>
  <c r="CR15" i="13"/>
  <c r="CS15" i="13"/>
  <c r="CT15" i="13"/>
  <c r="CU15" i="13"/>
  <c r="CO27" i="13" s="1"/>
  <c r="CV15" i="13"/>
  <c r="CW15" i="13"/>
  <c r="CX15" i="13"/>
  <c r="CY15" i="13"/>
  <c r="CZ15" i="13"/>
  <c r="DA15" i="13"/>
  <c r="CQ16" i="13"/>
  <c r="CR16" i="13"/>
  <c r="CS16" i="13"/>
  <c r="CT16" i="13"/>
  <c r="CU16" i="13"/>
  <c r="CV16" i="13"/>
  <c r="CW16" i="13"/>
  <c r="CX16" i="13"/>
  <c r="CY16" i="13"/>
  <c r="CZ16" i="13"/>
  <c r="DA16" i="13"/>
  <c r="CQ17" i="13"/>
  <c r="CR17" i="13"/>
  <c r="CS17" i="13"/>
  <c r="CT17" i="13"/>
  <c r="CU17" i="13"/>
  <c r="CV17" i="13"/>
  <c r="CW17" i="13"/>
  <c r="CX17" i="13"/>
  <c r="CY17" i="13"/>
  <c r="CZ17" i="13"/>
  <c r="DA17" i="13"/>
  <c r="CQ18" i="13"/>
  <c r="CR18" i="13"/>
  <c r="CS18" i="13"/>
  <c r="CT18" i="13"/>
  <c r="CU18" i="13"/>
  <c r="CV18" i="13"/>
  <c r="CW18" i="13"/>
  <c r="CX18" i="13"/>
  <c r="CY18" i="13"/>
  <c r="CZ18" i="13"/>
  <c r="DA18" i="13"/>
  <c r="CQ19" i="13"/>
  <c r="CR19" i="13"/>
  <c r="CS19" i="13"/>
  <c r="CT19" i="13"/>
  <c r="CU19" i="13"/>
  <c r="CV19" i="13"/>
  <c r="CW19" i="13"/>
  <c r="CX19" i="13"/>
  <c r="CY19" i="13"/>
  <c r="CZ19" i="13"/>
  <c r="DA19" i="13"/>
  <c r="CQ20" i="13"/>
  <c r="CR20" i="13"/>
  <c r="CS20" i="13"/>
  <c r="CT20" i="13"/>
  <c r="CU20" i="13"/>
  <c r="CV20" i="13"/>
  <c r="CW20" i="13"/>
  <c r="CX20" i="13"/>
  <c r="CY20" i="13"/>
  <c r="CZ20" i="13"/>
  <c r="DA20" i="13"/>
  <c r="CO23" i="13"/>
  <c r="CO24" i="13"/>
  <c r="CP14" i="13"/>
  <c r="CP15" i="13"/>
  <c r="CP16" i="13"/>
  <c r="CP17" i="13"/>
  <c r="CP18" i="13"/>
  <c r="CP19" i="13"/>
  <c r="CP20" i="13"/>
  <c r="CP13" i="13"/>
  <c r="CU11" i="13"/>
  <c r="CO30" i="13"/>
  <c r="CO29" i="13"/>
  <c r="CO28" i="13"/>
  <c r="Q109" i="8"/>
  <c r="Q110" i="8"/>
  <c r="Q111" i="8"/>
  <c r="Q112" i="8"/>
  <c r="Q108" i="8"/>
  <c r="Q352" i="8" l="1"/>
  <c r="R352" i="8"/>
  <c r="M350" i="8"/>
  <c r="M320" i="8"/>
  <c r="M325" i="8"/>
  <c r="M321" i="8"/>
  <c r="M331" i="8"/>
  <c r="M363" i="8"/>
  <c r="R355" i="8"/>
  <c r="R362" i="8"/>
  <c r="R399" i="8"/>
  <c r="Q355" i="8"/>
  <c r="Q362" i="8"/>
  <c r="Q399" i="8"/>
  <c r="M354" i="8"/>
  <c r="M348" i="8"/>
  <c r="M392" i="8"/>
  <c r="M400" i="8"/>
  <c r="M398" i="8"/>
  <c r="M343" i="8"/>
  <c r="M390" i="8"/>
  <c r="M339" i="8"/>
  <c r="M338" i="8"/>
  <c r="S272" i="8" l="1"/>
  <c r="P272" i="8"/>
  <c r="J272" i="8"/>
  <c r="H272" i="8"/>
  <c r="N272" i="8" s="1"/>
  <c r="N361" i="8" s="1"/>
  <c r="G272" i="8"/>
  <c r="F272" i="8"/>
  <c r="O272" i="8" s="1"/>
  <c r="O361" i="8" s="1"/>
  <c r="E272" i="8"/>
  <c r="P263" i="8"/>
  <c r="P264" i="8"/>
  <c r="P265" i="8"/>
  <c r="P266" i="8"/>
  <c r="S263" i="8"/>
  <c r="S264" i="8"/>
  <c r="S265" i="8"/>
  <c r="S266" i="8"/>
  <c r="S262" i="8"/>
  <c r="P262" i="8"/>
  <c r="J263" i="8"/>
  <c r="J264" i="8"/>
  <c r="J265" i="8"/>
  <c r="J266" i="8"/>
  <c r="J262" i="8"/>
  <c r="H263" i="8"/>
  <c r="N263" i="8" s="1"/>
  <c r="H264" i="8"/>
  <c r="N264" i="8" s="1"/>
  <c r="H265" i="8"/>
  <c r="N265" i="8" s="1"/>
  <c r="H266" i="8"/>
  <c r="N266" i="8" s="1"/>
  <c r="H262" i="8"/>
  <c r="N262" i="8" s="1"/>
  <c r="G263" i="8"/>
  <c r="G264" i="8"/>
  <c r="G265" i="8"/>
  <c r="G266" i="8"/>
  <c r="G262" i="8"/>
  <c r="E263" i="8"/>
  <c r="F263" i="8"/>
  <c r="O263" i="8" s="1"/>
  <c r="E264" i="8"/>
  <c r="F264" i="8"/>
  <c r="O264" i="8" s="1"/>
  <c r="E265" i="8"/>
  <c r="F265" i="8"/>
  <c r="O265" i="8" s="1"/>
  <c r="E266" i="8"/>
  <c r="F266" i="8"/>
  <c r="O266" i="8" s="1"/>
  <c r="F262" i="8"/>
  <c r="O262" i="8" s="1"/>
  <c r="E262" i="8"/>
  <c r="S284" i="8"/>
  <c r="S285" i="8"/>
  <c r="S286" i="8"/>
  <c r="S287" i="8"/>
  <c r="S288" i="8"/>
  <c r="S290" i="8"/>
  <c r="S292" i="8"/>
  <c r="S283" i="8"/>
  <c r="P284" i="8"/>
  <c r="P285" i="8"/>
  <c r="P286" i="8"/>
  <c r="P287" i="8"/>
  <c r="P288" i="8"/>
  <c r="P290" i="8"/>
  <c r="P292" i="8"/>
  <c r="P283" i="8"/>
  <c r="S179" i="8"/>
  <c r="S180" i="8"/>
  <c r="S181" i="8"/>
  <c r="S182" i="8"/>
  <c r="S183" i="8"/>
  <c r="P179" i="8"/>
  <c r="P180" i="8"/>
  <c r="P181" i="8"/>
  <c r="P182" i="8"/>
  <c r="P183" i="8"/>
  <c r="S178" i="8"/>
  <c r="P178" i="8"/>
  <c r="DE24" i="12"/>
  <c r="DE14" i="12"/>
  <c r="DE19" i="12"/>
  <c r="DE9" i="12"/>
  <c r="DA24" i="12"/>
  <c r="DA19" i="12"/>
  <c r="DA14" i="12"/>
  <c r="DE3" i="12"/>
  <c r="DA9" i="12"/>
  <c r="DA3" i="12"/>
  <c r="J284" i="8"/>
  <c r="J285" i="8"/>
  <c r="J286" i="8"/>
  <c r="J287" i="8"/>
  <c r="J288" i="8"/>
  <c r="J290" i="8"/>
  <c r="J291" i="8"/>
  <c r="J292" i="8"/>
  <c r="J283" i="8"/>
  <c r="H284" i="8"/>
  <c r="N284" i="8" s="1"/>
  <c r="H285" i="8"/>
  <c r="N285" i="8" s="1"/>
  <c r="H286" i="8"/>
  <c r="N286" i="8" s="1"/>
  <c r="H287" i="8"/>
  <c r="N287" i="8" s="1"/>
  <c r="H288" i="8"/>
  <c r="H290" i="8"/>
  <c r="N290" i="8" s="1"/>
  <c r="H291" i="8"/>
  <c r="N291" i="8" s="1"/>
  <c r="H292" i="8"/>
  <c r="N292" i="8" s="1"/>
  <c r="H283" i="8"/>
  <c r="G289" i="8"/>
  <c r="G290" i="8"/>
  <c r="G292" i="8"/>
  <c r="G284" i="8"/>
  <c r="G285" i="8"/>
  <c r="G286" i="8"/>
  <c r="G287" i="8"/>
  <c r="G288" i="8"/>
  <c r="G283" i="8"/>
  <c r="E284" i="8"/>
  <c r="F284" i="8"/>
  <c r="O284" i="8" s="1"/>
  <c r="E285" i="8"/>
  <c r="F285" i="8"/>
  <c r="O285" i="8" s="1"/>
  <c r="E286" i="8"/>
  <c r="F286" i="8"/>
  <c r="O286" i="8" s="1"/>
  <c r="E287" i="8"/>
  <c r="F287" i="8"/>
  <c r="O287" i="8" s="1"/>
  <c r="E288" i="8"/>
  <c r="F288" i="8"/>
  <c r="E289" i="8"/>
  <c r="F289" i="8"/>
  <c r="E290" i="8"/>
  <c r="F290" i="8"/>
  <c r="O290" i="8" s="1"/>
  <c r="E291" i="8"/>
  <c r="F291" i="8"/>
  <c r="O291" i="8" s="1"/>
  <c r="E292" i="8"/>
  <c r="F292" i="8"/>
  <c r="O292" i="8" s="1"/>
  <c r="F283" i="8"/>
  <c r="E283" i="8"/>
  <c r="E179" i="8"/>
  <c r="F179" i="8"/>
  <c r="O179" i="8" s="1"/>
  <c r="E180" i="8"/>
  <c r="F180" i="8"/>
  <c r="O180" i="8" s="1"/>
  <c r="E181" i="8"/>
  <c r="F181" i="8"/>
  <c r="O181" i="8" s="1"/>
  <c r="E182" i="8"/>
  <c r="F182" i="8"/>
  <c r="O182" i="8" s="1"/>
  <c r="E183" i="8"/>
  <c r="F183" i="8"/>
  <c r="O183" i="8" s="1"/>
  <c r="F178" i="8"/>
  <c r="O178" i="8" s="1"/>
  <c r="E178" i="8"/>
  <c r="M152" i="9"/>
  <c r="I150" i="9"/>
  <c r="M142" i="9"/>
  <c r="M156" i="9"/>
  <c r="I156" i="9"/>
  <c r="M155" i="9"/>
  <c r="I155" i="9"/>
  <c r="M154" i="9"/>
  <c r="I154" i="9"/>
  <c r="M153" i="9"/>
  <c r="I153" i="9"/>
  <c r="I152" i="9"/>
  <c r="M151" i="9"/>
  <c r="I151" i="9"/>
  <c r="M150" i="9"/>
  <c r="M149" i="9"/>
  <c r="I149" i="9"/>
  <c r="M148" i="9"/>
  <c r="I148" i="9"/>
  <c r="M147" i="9"/>
  <c r="I147" i="9"/>
  <c r="M146" i="9"/>
  <c r="I146" i="9"/>
  <c r="M145" i="9"/>
  <c r="I145" i="9"/>
  <c r="M144" i="9"/>
  <c r="I144" i="9"/>
  <c r="M143" i="9"/>
  <c r="I143" i="9"/>
  <c r="I142" i="9"/>
  <c r="M141" i="9"/>
  <c r="I141" i="9"/>
  <c r="M140" i="9"/>
  <c r="I140" i="9"/>
  <c r="M139" i="9"/>
  <c r="I139" i="9"/>
  <c r="M138" i="9"/>
  <c r="I138" i="9"/>
  <c r="M137" i="9"/>
  <c r="I137" i="9"/>
  <c r="M136" i="9"/>
  <c r="I136" i="9"/>
  <c r="M135" i="9"/>
  <c r="I135" i="9"/>
  <c r="M134" i="9"/>
  <c r="I134" i="9"/>
  <c r="M133" i="9"/>
  <c r="I133" i="9"/>
  <c r="M132" i="9"/>
  <c r="I132" i="9"/>
  <c r="M131" i="9"/>
  <c r="I131" i="9"/>
  <c r="G179" i="8"/>
  <c r="G180" i="8"/>
  <c r="G181" i="8"/>
  <c r="G182" i="8"/>
  <c r="G183" i="8"/>
  <c r="G178" i="8"/>
  <c r="J179" i="8"/>
  <c r="J180" i="8"/>
  <c r="J181" i="8"/>
  <c r="J182" i="8"/>
  <c r="J183" i="8"/>
  <c r="J178" i="8"/>
  <c r="H179" i="8"/>
  <c r="N179" i="8" s="1"/>
  <c r="H180" i="8"/>
  <c r="N180" i="8" s="1"/>
  <c r="H181" i="8"/>
  <c r="N181" i="8" s="1"/>
  <c r="H182" i="8"/>
  <c r="N182" i="8" s="1"/>
  <c r="H183" i="8"/>
  <c r="N183" i="8" s="1"/>
  <c r="H178" i="8"/>
  <c r="N178" i="8" s="1"/>
  <c r="DW75" i="11"/>
  <c r="DW70" i="11"/>
  <c r="DW65" i="11"/>
  <c r="DW60" i="11"/>
  <c r="DW54" i="11"/>
  <c r="DV76" i="11"/>
  <c r="DV77" i="11"/>
  <c r="DV78" i="11"/>
  <c r="DV79" i="11"/>
  <c r="DV75" i="11"/>
  <c r="DV71" i="11"/>
  <c r="DV72" i="11"/>
  <c r="DV73" i="11"/>
  <c r="DV74" i="11"/>
  <c r="DV70" i="11"/>
  <c r="DV66" i="11"/>
  <c r="DV67" i="11"/>
  <c r="DV68" i="11"/>
  <c r="DV69" i="11"/>
  <c r="DV65" i="11"/>
  <c r="DV61" i="11"/>
  <c r="DV62" i="11"/>
  <c r="DV63" i="11"/>
  <c r="DV64" i="11"/>
  <c r="DV60" i="11"/>
  <c r="DV55" i="11"/>
  <c r="DV56" i="11"/>
  <c r="DV57" i="11"/>
  <c r="DV58" i="11"/>
  <c r="DV59" i="11"/>
  <c r="DV54" i="11"/>
  <c r="DU45" i="11"/>
  <c r="DV45" i="11"/>
  <c r="DW45" i="11"/>
  <c r="DX45" i="11"/>
  <c r="DY45" i="11"/>
  <c r="DZ45" i="11"/>
  <c r="EA45" i="11"/>
  <c r="EB45" i="11"/>
  <c r="EC45" i="11"/>
  <c r="DU46" i="11"/>
  <c r="DV46" i="11"/>
  <c r="DW46" i="11"/>
  <c r="DX46" i="11"/>
  <c r="DY46" i="11"/>
  <c r="DZ46" i="11"/>
  <c r="EA46" i="11"/>
  <c r="EB46" i="11"/>
  <c r="EC46" i="11"/>
  <c r="DU47" i="11"/>
  <c r="DV47" i="11"/>
  <c r="DW47" i="11"/>
  <c r="DX47" i="11"/>
  <c r="DY47" i="11"/>
  <c r="DZ47" i="11"/>
  <c r="EA47" i="11"/>
  <c r="EB47" i="11"/>
  <c r="EC47" i="11"/>
  <c r="DU48" i="11"/>
  <c r="DV48" i="11"/>
  <c r="DW48" i="11"/>
  <c r="DX48" i="11"/>
  <c r="DY48" i="11"/>
  <c r="DZ48" i="11"/>
  <c r="EA48" i="11"/>
  <c r="EB48" i="11"/>
  <c r="EC48" i="11"/>
  <c r="DU49" i="11"/>
  <c r="DV49" i="11"/>
  <c r="DW49" i="11"/>
  <c r="DX49" i="11"/>
  <c r="DY49" i="11"/>
  <c r="DZ49" i="11"/>
  <c r="EA49" i="11"/>
  <c r="EB49" i="11"/>
  <c r="EC49" i="11"/>
  <c r="DU50" i="11"/>
  <c r="DV50" i="11"/>
  <c r="DW50" i="11"/>
  <c r="DX50" i="11"/>
  <c r="DY50" i="11"/>
  <c r="DZ50" i="11"/>
  <c r="EA50" i="11"/>
  <c r="EB50" i="11"/>
  <c r="EC50" i="11"/>
  <c r="DU51" i="11"/>
  <c r="DV51" i="11"/>
  <c r="DW51" i="11"/>
  <c r="DX51" i="11"/>
  <c r="DY51" i="11"/>
  <c r="DZ51" i="11"/>
  <c r="EA51" i="11"/>
  <c r="EB51" i="11"/>
  <c r="EC51" i="11"/>
  <c r="DU52" i="11"/>
  <c r="DT46" i="11"/>
  <c r="DT47" i="11"/>
  <c r="DT48" i="11"/>
  <c r="DT49" i="11"/>
  <c r="DT50" i="11"/>
  <c r="DT51" i="11"/>
  <c r="DT52" i="11"/>
  <c r="DT45" i="11"/>
  <c r="DS40" i="11"/>
  <c r="DS39" i="11"/>
  <c r="DS38" i="11"/>
  <c r="DS37" i="11"/>
  <c r="DS36" i="11"/>
  <c r="DS35" i="11"/>
  <c r="DS34" i="11"/>
  <c r="DS33" i="11"/>
  <c r="DS32" i="11"/>
  <c r="DS31" i="11"/>
  <c r="DU21" i="11"/>
  <c r="DV21" i="11"/>
  <c r="DW21" i="11"/>
  <c r="DX21" i="11"/>
  <c r="DY21" i="11"/>
  <c r="DZ21" i="11"/>
  <c r="EA21" i="11"/>
  <c r="EB21" i="11"/>
  <c r="EC21" i="11"/>
  <c r="ED21" i="11"/>
  <c r="EE21" i="11"/>
  <c r="DU22" i="11"/>
  <c r="DV22" i="11"/>
  <c r="DW22" i="11"/>
  <c r="DX22" i="11"/>
  <c r="DY22" i="11"/>
  <c r="DZ22" i="11"/>
  <c r="EA22" i="11"/>
  <c r="EB22" i="11"/>
  <c r="EC22" i="11"/>
  <c r="ED22" i="11"/>
  <c r="EE22" i="11"/>
  <c r="DU23" i="11"/>
  <c r="DV23" i="11"/>
  <c r="DW23" i="11"/>
  <c r="DX23" i="11"/>
  <c r="DY23" i="11"/>
  <c r="DZ23" i="11"/>
  <c r="EA23" i="11"/>
  <c r="EB23" i="11"/>
  <c r="EC23" i="11"/>
  <c r="ED23" i="11"/>
  <c r="EE23" i="11"/>
  <c r="DU24" i="11"/>
  <c r="DV24" i="11"/>
  <c r="DW24" i="11"/>
  <c r="DX24" i="11"/>
  <c r="DY24" i="11"/>
  <c r="DZ24" i="11"/>
  <c r="EA24" i="11"/>
  <c r="EB24" i="11"/>
  <c r="EC24" i="11"/>
  <c r="ED24" i="11"/>
  <c r="EE24" i="11"/>
  <c r="DU25" i="11"/>
  <c r="DV25" i="11"/>
  <c r="DW25" i="11"/>
  <c r="DX25" i="11"/>
  <c r="DY25" i="11"/>
  <c r="DZ25" i="11"/>
  <c r="EA25" i="11"/>
  <c r="EB25" i="11"/>
  <c r="EC25" i="11"/>
  <c r="ED25" i="11"/>
  <c r="EE25" i="11"/>
  <c r="DU26" i="11"/>
  <c r="DV26" i="11"/>
  <c r="DW26" i="11"/>
  <c r="DX26" i="11"/>
  <c r="DY26" i="11"/>
  <c r="DZ26" i="11"/>
  <c r="EA26" i="11"/>
  <c r="EB26" i="11"/>
  <c r="EC26" i="11"/>
  <c r="ED26" i="11"/>
  <c r="EE26" i="11"/>
  <c r="DU27" i="11"/>
  <c r="DV27" i="11"/>
  <c r="DW27" i="11"/>
  <c r="DX27" i="11"/>
  <c r="DY27" i="11"/>
  <c r="DZ27" i="11"/>
  <c r="EA27" i="11"/>
  <c r="EB27" i="11"/>
  <c r="EC27" i="11"/>
  <c r="ED27" i="11"/>
  <c r="EE27" i="11"/>
  <c r="DU28" i="11"/>
  <c r="DV28" i="11"/>
  <c r="DW28" i="11"/>
  <c r="DX28" i="11"/>
  <c r="DY28" i="11"/>
  <c r="DZ28" i="11"/>
  <c r="EA28" i="11"/>
  <c r="EB28" i="11"/>
  <c r="EC28" i="11"/>
  <c r="ED28" i="11"/>
  <c r="EE28" i="11"/>
  <c r="DT22" i="11"/>
  <c r="DT23" i="11"/>
  <c r="DT24" i="11"/>
  <c r="DT25" i="11"/>
  <c r="DT26" i="11"/>
  <c r="DT27" i="11"/>
  <c r="DT28" i="11"/>
  <c r="DT21" i="11"/>
  <c r="DV68" i="10"/>
  <c r="DV69" i="10"/>
  <c r="DV70" i="10"/>
  <c r="DV71" i="10"/>
  <c r="DV67" i="10"/>
  <c r="DV63" i="10"/>
  <c r="DV64" i="10"/>
  <c r="DV65" i="10"/>
  <c r="DV66" i="10"/>
  <c r="DV62" i="10"/>
  <c r="DV59" i="10"/>
  <c r="DV60" i="10"/>
  <c r="DV61" i="10"/>
  <c r="DV57" i="10"/>
  <c r="DV53" i="10"/>
  <c r="DW52" i="10" s="1"/>
  <c r="DV54" i="10"/>
  <c r="DV55" i="10"/>
  <c r="DV56" i="10"/>
  <c r="DV52" i="10"/>
  <c r="DV47" i="10"/>
  <c r="DV48" i="10"/>
  <c r="DV49" i="10"/>
  <c r="DV50" i="10"/>
  <c r="DV51" i="10"/>
  <c r="DV46" i="10"/>
  <c r="DU37" i="10"/>
  <c r="DV37" i="10"/>
  <c r="DW37" i="10"/>
  <c r="DX37" i="10"/>
  <c r="DY37" i="10"/>
  <c r="DZ37" i="10"/>
  <c r="EA37" i="10"/>
  <c r="EB37" i="10"/>
  <c r="EC37" i="10"/>
  <c r="ED37" i="10"/>
  <c r="EE37" i="10"/>
  <c r="DU38" i="10"/>
  <c r="DV38" i="10"/>
  <c r="DW38" i="10"/>
  <c r="DX38" i="10"/>
  <c r="DY38" i="10"/>
  <c r="DZ38" i="10"/>
  <c r="EA38" i="10"/>
  <c r="EB38" i="10"/>
  <c r="EC38" i="10"/>
  <c r="ED38" i="10"/>
  <c r="EE38" i="10"/>
  <c r="DU39" i="10"/>
  <c r="DV39" i="10"/>
  <c r="DW39" i="10"/>
  <c r="DX39" i="10"/>
  <c r="DY39" i="10"/>
  <c r="DZ39" i="10"/>
  <c r="EA39" i="10"/>
  <c r="EB39" i="10"/>
  <c r="EC39" i="10"/>
  <c r="ED39" i="10"/>
  <c r="EE39" i="10"/>
  <c r="DU40" i="10"/>
  <c r="DV40" i="10"/>
  <c r="DW40" i="10"/>
  <c r="DX40" i="10"/>
  <c r="DY40" i="10"/>
  <c r="DZ40" i="10"/>
  <c r="EA40" i="10"/>
  <c r="EB40" i="10"/>
  <c r="EC40" i="10"/>
  <c r="ED40" i="10"/>
  <c r="EE40" i="10"/>
  <c r="DU41" i="10"/>
  <c r="DV41" i="10"/>
  <c r="DW41" i="10"/>
  <c r="DX41" i="10"/>
  <c r="DY41" i="10"/>
  <c r="DZ41" i="10"/>
  <c r="EA41" i="10"/>
  <c r="EB41" i="10"/>
  <c r="EC41" i="10"/>
  <c r="ED41" i="10"/>
  <c r="EE41" i="10"/>
  <c r="DU42" i="10"/>
  <c r="DV42" i="10"/>
  <c r="DW42" i="10"/>
  <c r="DT38" i="10"/>
  <c r="DT39" i="10"/>
  <c r="DT40" i="10"/>
  <c r="DT41" i="10"/>
  <c r="DT42" i="10"/>
  <c r="DT37" i="10"/>
  <c r="DS26" i="10"/>
  <c r="DU13" i="10"/>
  <c r="DS24" i="10" s="1"/>
  <c r="DV13" i="10"/>
  <c r="DW13" i="10"/>
  <c r="DX13" i="10"/>
  <c r="DY13" i="10"/>
  <c r="DZ13" i="10"/>
  <c r="EA13" i="10"/>
  <c r="EB13" i="10"/>
  <c r="EC13" i="10"/>
  <c r="ED13" i="10"/>
  <c r="EE13" i="10"/>
  <c r="DU14" i="10"/>
  <c r="DV14" i="10"/>
  <c r="DW14" i="10"/>
  <c r="DX14" i="10"/>
  <c r="DY14" i="10"/>
  <c r="DZ14" i="10"/>
  <c r="EA14" i="10"/>
  <c r="EB14" i="10"/>
  <c r="EC14" i="10"/>
  <c r="ED14" i="10"/>
  <c r="EE14" i="10"/>
  <c r="DU15" i="10"/>
  <c r="DV15" i="10"/>
  <c r="DW15" i="10"/>
  <c r="DX15" i="10"/>
  <c r="DY15" i="10"/>
  <c r="DZ15" i="10"/>
  <c r="EA15" i="10"/>
  <c r="EB15" i="10"/>
  <c r="EC15" i="10"/>
  <c r="ED15" i="10"/>
  <c r="EE15" i="10"/>
  <c r="DU16" i="10"/>
  <c r="DV16" i="10"/>
  <c r="DW16" i="10"/>
  <c r="DX16" i="10"/>
  <c r="DY16" i="10"/>
  <c r="DZ16" i="10"/>
  <c r="EA16" i="10"/>
  <c r="EB16" i="10"/>
  <c r="EC16" i="10"/>
  <c r="ED16" i="10"/>
  <c r="EE16" i="10"/>
  <c r="DU17" i="10"/>
  <c r="DV17" i="10"/>
  <c r="DW17" i="10"/>
  <c r="DX17" i="10"/>
  <c r="DY17" i="10"/>
  <c r="DZ17" i="10"/>
  <c r="EA17" i="10"/>
  <c r="EB17" i="10"/>
  <c r="EC17" i="10"/>
  <c r="ED17" i="10"/>
  <c r="EE17" i="10"/>
  <c r="DU18" i="10"/>
  <c r="DV18" i="10"/>
  <c r="DW18" i="10"/>
  <c r="DX18" i="10"/>
  <c r="DY18" i="10"/>
  <c r="DZ18" i="10"/>
  <c r="EA18" i="10"/>
  <c r="EB18" i="10"/>
  <c r="EC18" i="10"/>
  <c r="ED18" i="10"/>
  <c r="EE18" i="10"/>
  <c r="DU19" i="10"/>
  <c r="DV19" i="10"/>
  <c r="DW19" i="10"/>
  <c r="DX19" i="10"/>
  <c r="DY19" i="10"/>
  <c r="DZ19" i="10"/>
  <c r="EA19" i="10"/>
  <c r="EB19" i="10"/>
  <c r="EC19" i="10"/>
  <c r="ED19" i="10"/>
  <c r="EE19" i="10"/>
  <c r="DU20" i="10"/>
  <c r="DV20" i="10"/>
  <c r="DW20" i="10"/>
  <c r="DX20" i="10"/>
  <c r="DY20" i="10"/>
  <c r="DZ20" i="10"/>
  <c r="EA20" i="10"/>
  <c r="EB20" i="10"/>
  <c r="EC20" i="10"/>
  <c r="ED20" i="10"/>
  <c r="EE20" i="10"/>
  <c r="DT14" i="10"/>
  <c r="DT15" i="10"/>
  <c r="DT16" i="10"/>
  <c r="DT17" i="10"/>
  <c r="DT18" i="10"/>
  <c r="DT19" i="10"/>
  <c r="DT20" i="10"/>
  <c r="DS28" i="10"/>
  <c r="DT13" i="10"/>
  <c r="DY11" i="10"/>
  <c r="DS27" i="10"/>
  <c r="S350" i="8" l="1"/>
  <c r="G350" i="8"/>
  <c r="H350" i="8"/>
  <c r="F350" i="8"/>
  <c r="E350" i="8"/>
  <c r="P350" i="8"/>
  <c r="J350" i="8"/>
  <c r="E339" i="8"/>
  <c r="E343" i="8"/>
  <c r="O321" i="8"/>
  <c r="O320" i="8"/>
  <c r="O325" i="8"/>
  <c r="N321" i="8"/>
  <c r="N320" i="8"/>
  <c r="N325" i="8"/>
  <c r="F348" i="8"/>
  <c r="F354" i="8"/>
  <c r="G398" i="8"/>
  <c r="G348" i="8"/>
  <c r="G354" i="8"/>
  <c r="E354" i="8"/>
  <c r="E348" i="8"/>
  <c r="P354" i="8"/>
  <c r="P348" i="8"/>
  <c r="S348" i="8"/>
  <c r="S354" i="8"/>
  <c r="H348" i="8"/>
  <c r="H354" i="8"/>
  <c r="J348" i="8"/>
  <c r="J354" i="8"/>
  <c r="G343" i="8"/>
  <c r="P398" i="8"/>
  <c r="F398" i="8"/>
  <c r="S398" i="8"/>
  <c r="E398" i="8"/>
  <c r="O400" i="8"/>
  <c r="H398" i="8"/>
  <c r="N400" i="8"/>
  <c r="J398" i="8"/>
  <c r="M24" i="4"/>
  <c r="L24" i="4"/>
  <c r="K24" i="4"/>
  <c r="G339" i="8"/>
  <c r="P343" i="8"/>
  <c r="H339" i="8"/>
  <c r="F339" i="8"/>
  <c r="J339" i="8"/>
  <c r="F343" i="8"/>
  <c r="O390" i="8"/>
  <c r="J343" i="8"/>
  <c r="N390" i="8"/>
  <c r="H343" i="8"/>
  <c r="S343" i="8"/>
  <c r="V14" i="4"/>
  <c r="U14" i="4"/>
  <c r="T14" i="4"/>
  <c r="K23" i="4"/>
  <c r="G338" i="8"/>
  <c r="O288" i="8"/>
  <c r="O350" i="8" s="1"/>
  <c r="E338" i="8"/>
  <c r="F338" i="8"/>
  <c r="O283" i="8"/>
  <c r="J338" i="8"/>
  <c r="V13" i="4"/>
  <c r="T13" i="4"/>
  <c r="U13" i="4"/>
  <c r="L272" i="8"/>
  <c r="N288" i="8"/>
  <c r="N350" i="8" s="1"/>
  <c r="N283" i="8"/>
  <c r="H338" i="8"/>
  <c r="R272" i="8"/>
  <c r="T272" i="8"/>
  <c r="T183" i="8"/>
  <c r="U272" i="8"/>
  <c r="K263" i="8"/>
  <c r="K272" i="8"/>
  <c r="R182" i="8"/>
  <c r="T181" i="8"/>
  <c r="Q272" i="8"/>
  <c r="T263" i="8"/>
  <c r="I272" i="8"/>
  <c r="R285" i="8"/>
  <c r="L266" i="8"/>
  <c r="K266" i="8"/>
  <c r="Q180" i="8"/>
  <c r="Q286" i="8"/>
  <c r="U262" i="8"/>
  <c r="Q262" i="8"/>
  <c r="I266" i="8"/>
  <c r="I262" i="8"/>
  <c r="I265" i="8"/>
  <c r="U283" i="8"/>
  <c r="I264" i="8"/>
  <c r="T179" i="8"/>
  <c r="T288" i="8"/>
  <c r="I263" i="8"/>
  <c r="Q266" i="8"/>
  <c r="K262" i="8"/>
  <c r="R183" i="8"/>
  <c r="Q265" i="8"/>
  <c r="Q264" i="8"/>
  <c r="R287" i="8"/>
  <c r="U288" i="8"/>
  <c r="K265" i="8"/>
  <c r="Q263" i="8"/>
  <c r="Q287" i="8"/>
  <c r="U183" i="8"/>
  <c r="L263" i="8"/>
  <c r="T262" i="8"/>
  <c r="K264" i="8"/>
  <c r="T266" i="8"/>
  <c r="R262" i="8"/>
  <c r="T180" i="8"/>
  <c r="T265" i="8"/>
  <c r="T264" i="8"/>
  <c r="Q178" i="8"/>
  <c r="T292" i="8"/>
  <c r="L262" i="8"/>
  <c r="U266" i="8"/>
  <c r="T178" i="8"/>
  <c r="T290" i="8"/>
  <c r="T283" i="8"/>
  <c r="R266" i="8"/>
  <c r="U265" i="8"/>
  <c r="Q182" i="8"/>
  <c r="Q283" i="8"/>
  <c r="T287" i="8"/>
  <c r="R181" i="8"/>
  <c r="Q292" i="8"/>
  <c r="T286" i="8"/>
  <c r="R265" i="8"/>
  <c r="U264" i="8"/>
  <c r="R180" i="8"/>
  <c r="Q290" i="8"/>
  <c r="T285" i="8"/>
  <c r="Q179" i="8"/>
  <c r="Q288" i="8"/>
  <c r="T284" i="8"/>
  <c r="L265" i="8"/>
  <c r="R264" i="8"/>
  <c r="U263" i="8"/>
  <c r="Q284" i="8"/>
  <c r="T182" i="8"/>
  <c r="R286" i="8"/>
  <c r="L264" i="8"/>
  <c r="R263" i="8"/>
  <c r="U181" i="8"/>
  <c r="Q285" i="8"/>
  <c r="U182" i="8"/>
  <c r="U287" i="8"/>
  <c r="K292" i="8"/>
  <c r="R292" i="8"/>
  <c r="R284" i="8"/>
  <c r="U286" i="8"/>
  <c r="Q181" i="8"/>
  <c r="Q183" i="8"/>
  <c r="U180" i="8"/>
  <c r="R290" i="8"/>
  <c r="R283" i="8"/>
  <c r="U285" i="8"/>
  <c r="R179" i="8"/>
  <c r="U179" i="8"/>
  <c r="R288" i="8"/>
  <c r="U292" i="8"/>
  <c r="U284" i="8"/>
  <c r="R178" i="8"/>
  <c r="U178" i="8"/>
  <c r="U290" i="8"/>
  <c r="L292" i="8"/>
  <c r="L291" i="8"/>
  <c r="I283" i="8"/>
  <c r="L290" i="8"/>
  <c r="I290" i="8"/>
  <c r="L284" i="8"/>
  <c r="L287" i="8"/>
  <c r="K284" i="8"/>
  <c r="I286" i="8"/>
  <c r="K291" i="8"/>
  <c r="L23" i="4"/>
  <c r="K286" i="8"/>
  <c r="L285" i="8"/>
  <c r="K290" i="8"/>
  <c r="I287" i="8"/>
  <c r="M23" i="4"/>
  <c r="I285" i="8"/>
  <c r="L286" i="8"/>
  <c r="K288" i="8"/>
  <c r="K287" i="8"/>
  <c r="I284" i="8"/>
  <c r="I181" i="8"/>
  <c r="L283" i="8"/>
  <c r="K285" i="8"/>
  <c r="I180" i="8"/>
  <c r="I292" i="8"/>
  <c r="L288" i="8"/>
  <c r="K182" i="8"/>
  <c r="I291" i="8"/>
  <c r="K283" i="8"/>
  <c r="I288" i="8"/>
  <c r="I178" i="8"/>
  <c r="I183" i="8"/>
  <c r="L180" i="8"/>
  <c r="L179" i="8"/>
  <c r="I182" i="8"/>
  <c r="K180" i="8"/>
  <c r="I179" i="8"/>
  <c r="K178" i="8"/>
  <c r="K183" i="8"/>
  <c r="K181" i="8"/>
  <c r="K179" i="8"/>
  <c r="L178" i="8"/>
  <c r="L183" i="8"/>
  <c r="L182" i="8"/>
  <c r="L181" i="8"/>
  <c r="DW67" i="10"/>
  <c r="DW62" i="10"/>
  <c r="DW57" i="10"/>
  <c r="DW46" i="10"/>
  <c r="AO40" i="7"/>
  <c r="AO41" i="7"/>
  <c r="AO42" i="7"/>
  <c r="AO43" i="7"/>
  <c r="AO44" i="7"/>
  <c r="AO39" i="7"/>
  <c r="AO33" i="7"/>
  <c r="AO34" i="7"/>
  <c r="AO35" i="7"/>
  <c r="AO36" i="7"/>
  <c r="AO37" i="7"/>
  <c r="AO32" i="7"/>
  <c r="AV9" i="7"/>
  <c r="AV16" i="7"/>
  <c r="AV4" i="7"/>
  <c r="AV5" i="7"/>
  <c r="AV6" i="7"/>
  <c r="AV7" i="7"/>
  <c r="AV8" i="7"/>
  <c r="AV3" i="7"/>
  <c r="AU4" i="7"/>
  <c r="AU5" i="7"/>
  <c r="AU6" i="7"/>
  <c r="AU7" i="7"/>
  <c r="AU8" i="7"/>
  <c r="AU3" i="7"/>
  <c r="AU11" i="7"/>
  <c r="AV11" i="7" s="1"/>
  <c r="AU12" i="7"/>
  <c r="AV12" i="7" s="1"/>
  <c r="AU13" i="7"/>
  <c r="AV13" i="7" s="1"/>
  <c r="AU14" i="7"/>
  <c r="AU15" i="7"/>
  <c r="AV15" i="7" s="1"/>
  <c r="AV10" i="7"/>
  <c r="AU10" i="7"/>
  <c r="AC20" i="7"/>
  <c r="T350" i="8" l="1"/>
  <c r="I350" i="8"/>
  <c r="K350" i="8"/>
  <c r="L350" i="8"/>
  <c r="R350" i="8"/>
  <c r="U350" i="8"/>
  <c r="Q350" i="8"/>
  <c r="N398" i="8"/>
  <c r="N354" i="8"/>
  <c r="N348" i="8"/>
  <c r="T348" i="8"/>
  <c r="T354" i="8"/>
  <c r="O398" i="8"/>
  <c r="O354" i="8"/>
  <c r="O348" i="8"/>
  <c r="K348" i="8"/>
  <c r="K354" i="8"/>
  <c r="I348" i="8"/>
  <c r="I354" i="8"/>
  <c r="R348" i="8"/>
  <c r="R354" i="8"/>
  <c r="U348" i="8"/>
  <c r="U354" i="8"/>
  <c r="L348" i="8"/>
  <c r="L354" i="8"/>
  <c r="Q348" i="8"/>
  <c r="Q354" i="8"/>
  <c r="T398" i="8"/>
  <c r="I398" i="8"/>
  <c r="R398" i="8"/>
  <c r="U398" i="8"/>
  <c r="K398" i="8"/>
  <c r="L398" i="8"/>
  <c r="O343" i="8"/>
  <c r="Q398" i="8"/>
  <c r="N343" i="8"/>
  <c r="L343" i="8"/>
  <c r="T343" i="8"/>
  <c r="O24" i="4"/>
  <c r="P24" i="4"/>
  <c r="N24" i="4"/>
  <c r="I339" i="8"/>
  <c r="K339" i="8"/>
  <c r="N339" i="8"/>
  <c r="Q24" i="4"/>
  <c r="R24" i="4"/>
  <c r="S24" i="4"/>
  <c r="L339" i="8"/>
  <c r="U343" i="8"/>
  <c r="K343" i="8"/>
  <c r="Q343" i="8"/>
  <c r="X24" i="4"/>
  <c r="Y24" i="4"/>
  <c r="W24" i="4"/>
  <c r="Z24" i="4"/>
  <c r="AA24" i="4"/>
  <c r="AB24" i="4"/>
  <c r="I343" i="8"/>
  <c r="R343" i="8"/>
  <c r="T24" i="4"/>
  <c r="O339" i="8"/>
  <c r="V24" i="4"/>
  <c r="U24" i="4"/>
  <c r="V23" i="4"/>
  <c r="O338" i="8"/>
  <c r="U23" i="4"/>
  <c r="T23" i="4"/>
  <c r="K338" i="8"/>
  <c r="I338" i="8"/>
  <c r="N338" i="8"/>
  <c r="L338" i="8"/>
  <c r="X23" i="4"/>
  <c r="Y23" i="4"/>
  <c r="W23" i="4"/>
  <c r="Z23" i="4"/>
  <c r="AA23" i="4"/>
  <c r="AB23" i="4"/>
  <c r="O23" i="4"/>
  <c r="P23" i="4"/>
  <c r="N23" i="4"/>
  <c r="S23" i="4"/>
  <c r="R23" i="4"/>
  <c r="Q23" i="4"/>
  <c r="AP40" i="7"/>
  <c r="AP39" i="7"/>
  <c r="AP43" i="7"/>
  <c r="AP42" i="7"/>
  <c r="AP44" i="7"/>
  <c r="AP41" i="7"/>
  <c r="AP34" i="7"/>
  <c r="AP37" i="7"/>
  <c r="AP32" i="7"/>
  <c r="AP36" i="7"/>
  <c r="AP35" i="7"/>
  <c r="AP33" i="7"/>
  <c r="R5" i="16"/>
  <c r="S5" i="16"/>
  <c r="R6" i="16"/>
  <c r="S6" i="16"/>
  <c r="R7" i="16"/>
  <c r="S7" i="16"/>
  <c r="R8" i="16"/>
  <c r="S8" i="16"/>
  <c r="R9" i="16"/>
  <c r="S9" i="16"/>
  <c r="Q9" i="16"/>
  <c r="Q8" i="16"/>
  <c r="Q7" i="16"/>
  <c r="Q6" i="16"/>
  <c r="Q5" i="16"/>
  <c r="Q4" i="16"/>
  <c r="T4" i="15"/>
  <c r="U4" i="15"/>
  <c r="T5" i="15"/>
  <c r="U5" i="15"/>
  <c r="T6" i="15"/>
  <c r="U6" i="15"/>
  <c r="S5" i="15"/>
  <c r="S6" i="15"/>
  <c r="S4" i="15"/>
  <c r="S3" i="15"/>
  <c r="S7" i="15"/>
  <c r="T7" i="15"/>
  <c r="U7" i="15"/>
  <c r="S8" i="15"/>
  <c r="T8" i="15"/>
  <c r="U8" i="15"/>
  <c r="S9" i="15"/>
  <c r="T9" i="15"/>
  <c r="U9" i="15"/>
  <c r="S11" i="15"/>
  <c r="T11" i="15"/>
  <c r="U11" i="15"/>
  <c r="S12" i="15"/>
  <c r="T12" i="15"/>
  <c r="U12" i="15"/>
  <c r="S13" i="15"/>
  <c r="T13" i="15"/>
  <c r="U13" i="15"/>
  <c r="AD24" i="7"/>
  <c r="AC21" i="7"/>
  <c r="AC22" i="7"/>
  <c r="AD22" i="7" s="1"/>
  <c r="AC23" i="7"/>
  <c r="AC24" i="7"/>
  <c r="AC25" i="7"/>
  <c r="AC19" i="7"/>
  <c r="AD20" i="7" s="1"/>
  <c r="S123" i="8"/>
  <c r="S124" i="8"/>
  <c r="S125" i="8"/>
  <c r="S126" i="8"/>
  <c r="S122" i="8"/>
  <c r="P123" i="8"/>
  <c r="P124" i="8"/>
  <c r="P125" i="8"/>
  <c r="P126" i="8"/>
  <c r="P122" i="8"/>
  <c r="S69" i="8"/>
  <c r="S70" i="8"/>
  <c r="S71" i="8"/>
  <c r="P69" i="8"/>
  <c r="P70" i="8"/>
  <c r="P71" i="8"/>
  <c r="S68" i="8"/>
  <c r="P68" i="8"/>
  <c r="S258" i="8"/>
  <c r="S259" i="8"/>
  <c r="S260" i="8"/>
  <c r="S261" i="8"/>
  <c r="S267" i="8"/>
  <c r="S268" i="8"/>
  <c r="S270" i="8"/>
  <c r="S271" i="8"/>
  <c r="P258" i="8"/>
  <c r="P259" i="8"/>
  <c r="P260" i="8"/>
  <c r="P261" i="8"/>
  <c r="P267" i="8"/>
  <c r="P268" i="8"/>
  <c r="P270" i="8"/>
  <c r="P271" i="8"/>
  <c r="S257" i="8"/>
  <c r="P257" i="8"/>
  <c r="CS18" i="12"/>
  <c r="CO18" i="12"/>
  <c r="CS13" i="12"/>
  <c r="CO13" i="12"/>
  <c r="CO8" i="12"/>
  <c r="CS8" i="12"/>
  <c r="CS3" i="12"/>
  <c r="CO3" i="12"/>
  <c r="J69" i="8"/>
  <c r="J70" i="8"/>
  <c r="J71" i="8"/>
  <c r="J68" i="8"/>
  <c r="J123" i="8"/>
  <c r="J124" i="8"/>
  <c r="J125" i="8"/>
  <c r="J126" i="8"/>
  <c r="J122" i="8"/>
  <c r="J258" i="8"/>
  <c r="J259" i="8"/>
  <c r="J260" i="8"/>
  <c r="J261" i="8"/>
  <c r="J267" i="8"/>
  <c r="J268" i="8"/>
  <c r="J270" i="8"/>
  <c r="J271" i="8"/>
  <c r="J257" i="8"/>
  <c r="DG72" i="11"/>
  <c r="DG71" i="11"/>
  <c r="DG70" i="11"/>
  <c r="DG69" i="11"/>
  <c r="DG68" i="11"/>
  <c r="DG67" i="11"/>
  <c r="DG66" i="11"/>
  <c r="DG65" i="11"/>
  <c r="DG64" i="11"/>
  <c r="DG63" i="11"/>
  <c r="DG62" i="11"/>
  <c r="DG61" i="11"/>
  <c r="DG60" i="11"/>
  <c r="DG59" i="11"/>
  <c r="DG58" i="11"/>
  <c r="DG57" i="11"/>
  <c r="DG56" i="11"/>
  <c r="DG55" i="11"/>
  <c r="DG54" i="11"/>
  <c r="DE46" i="11"/>
  <c r="DF46" i="11"/>
  <c r="DG46" i="11"/>
  <c r="DH46" i="11"/>
  <c r="DI46" i="11"/>
  <c r="DJ46" i="11"/>
  <c r="DK46" i="11"/>
  <c r="DL46" i="11"/>
  <c r="DM46" i="11"/>
  <c r="DN46" i="11"/>
  <c r="DE47" i="11"/>
  <c r="DF47" i="11"/>
  <c r="DG47" i="11"/>
  <c r="DH47" i="11"/>
  <c r="DI47" i="11"/>
  <c r="DJ47" i="11"/>
  <c r="DK47" i="11"/>
  <c r="DL47" i="11"/>
  <c r="DE48" i="11"/>
  <c r="DF48" i="11"/>
  <c r="DG48" i="11"/>
  <c r="DH48" i="11"/>
  <c r="DI48" i="11"/>
  <c r="DJ48" i="11"/>
  <c r="DK48" i="11"/>
  <c r="DL48" i="11"/>
  <c r="DE49" i="11"/>
  <c r="DF49" i="11"/>
  <c r="DG49" i="11"/>
  <c r="DH49" i="11"/>
  <c r="DI49" i="11"/>
  <c r="DJ49" i="11"/>
  <c r="DK49" i="11"/>
  <c r="DL49" i="11"/>
  <c r="DE50" i="11"/>
  <c r="DF50" i="11"/>
  <c r="DG50" i="11"/>
  <c r="DH50" i="11"/>
  <c r="DI50" i="11"/>
  <c r="DJ50" i="11"/>
  <c r="DK50" i="11"/>
  <c r="DL50" i="11"/>
  <c r="DE51" i="11"/>
  <c r="DF51" i="11"/>
  <c r="DG51" i="11"/>
  <c r="DH51" i="11"/>
  <c r="DI51" i="11"/>
  <c r="DJ51" i="11"/>
  <c r="DF45" i="11"/>
  <c r="DG45" i="11"/>
  <c r="DH45" i="11"/>
  <c r="DI45" i="11"/>
  <c r="DJ45" i="11"/>
  <c r="DK45" i="11"/>
  <c r="DL45" i="11"/>
  <c r="DM45" i="11"/>
  <c r="DN45" i="11"/>
  <c r="DE45" i="11"/>
  <c r="DD32" i="11"/>
  <c r="DD31" i="11"/>
  <c r="DD33" i="11"/>
  <c r="DD40" i="11"/>
  <c r="DD39" i="11"/>
  <c r="DD38" i="11"/>
  <c r="DD37" i="11"/>
  <c r="DD36" i="11"/>
  <c r="DD35" i="11"/>
  <c r="DD34" i="11"/>
  <c r="DP28" i="11"/>
  <c r="DO28" i="11"/>
  <c r="DN28" i="11"/>
  <c r="DM28" i="11"/>
  <c r="DL28" i="11"/>
  <c r="DK28" i="11"/>
  <c r="DJ28" i="11"/>
  <c r="DI28" i="11"/>
  <c r="DH28" i="11"/>
  <c r="DG28" i="11"/>
  <c r="DF28" i="11"/>
  <c r="DE28" i="11"/>
  <c r="DP27" i="11"/>
  <c r="DO27" i="11"/>
  <c r="DN27" i="11"/>
  <c r="DM27" i="11"/>
  <c r="DL27" i="11"/>
  <c r="DK27" i="11"/>
  <c r="DJ27" i="11"/>
  <c r="DI27" i="11"/>
  <c r="DH27" i="11"/>
  <c r="DG27" i="11"/>
  <c r="DF27" i="11"/>
  <c r="DE27" i="11"/>
  <c r="DP26" i="11"/>
  <c r="DO26" i="11"/>
  <c r="DN26" i="11"/>
  <c r="DM26" i="11"/>
  <c r="DL26" i="11"/>
  <c r="DK26" i="11"/>
  <c r="DJ26" i="11"/>
  <c r="DI26" i="11"/>
  <c r="DH26" i="11"/>
  <c r="DG26" i="11"/>
  <c r="DF26" i="11"/>
  <c r="DE26" i="11"/>
  <c r="DP25" i="11"/>
  <c r="DO25" i="11"/>
  <c r="DN25" i="11"/>
  <c r="DM25" i="11"/>
  <c r="DL25" i="11"/>
  <c r="DK25" i="11"/>
  <c r="DJ25" i="11"/>
  <c r="DI25" i="11"/>
  <c r="DH25" i="11"/>
  <c r="DG25" i="11"/>
  <c r="DF25" i="11"/>
  <c r="DE25" i="11"/>
  <c r="DP24" i="11"/>
  <c r="DO24" i="11"/>
  <c r="DN24" i="11"/>
  <c r="DM24" i="11"/>
  <c r="DL24" i="11"/>
  <c r="DK24" i="11"/>
  <c r="DJ24" i="11"/>
  <c r="DI24" i="11"/>
  <c r="DH24" i="11"/>
  <c r="DG24" i="11"/>
  <c r="DF24" i="11"/>
  <c r="DE24" i="11"/>
  <c r="DP23" i="11"/>
  <c r="DO23" i="11"/>
  <c r="DN23" i="11"/>
  <c r="DM23" i="11"/>
  <c r="DL23" i="11"/>
  <c r="DK23" i="11"/>
  <c r="DJ23" i="11"/>
  <c r="DI23" i="11"/>
  <c r="DH23" i="11"/>
  <c r="DG23" i="11"/>
  <c r="DF23" i="11"/>
  <c r="DE23" i="11"/>
  <c r="DP22" i="11"/>
  <c r="DO22" i="11"/>
  <c r="DN22" i="11"/>
  <c r="DM22" i="11"/>
  <c r="DL22" i="11"/>
  <c r="DK22" i="11"/>
  <c r="DJ22" i="11"/>
  <c r="DI22" i="11"/>
  <c r="DH22" i="11"/>
  <c r="DG22" i="11"/>
  <c r="DF22" i="11"/>
  <c r="DE22" i="11"/>
  <c r="DP21" i="11"/>
  <c r="DO21" i="11"/>
  <c r="DN21" i="11"/>
  <c r="DM21" i="11"/>
  <c r="DL21" i="11"/>
  <c r="DK21" i="11"/>
  <c r="DJ21" i="11"/>
  <c r="DI21" i="11"/>
  <c r="DH21" i="11"/>
  <c r="DG21" i="11"/>
  <c r="DF21" i="11"/>
  <c r="DE21" i="11"/>
  <c r="H258" i="8"/>
  <c r="H259" i="8"/>
  <c r="H260" i="8"/>
  <c r="H261" i="8"/>
  <c r="H267" i="8"/>
  <c r="H268" i="8"/>
  <c r="H270" i="8"/>
  <c r="H271" i="8"/>
  <c r="H257" i="8"/>
  <c r="H123" i="8"/>
  <c r="N123" i="8" s="1"/>
  <c r="H124" i="8"/>
  <c r="N124" i="8" s="1"/>
  <c r="H125" i="8"/>
  <c r="N125" i="8" s="1"/>
  <c r="H126" i="8"/>
  <c r="N126" i="8" s="1"/>
  <c r="H122" i="8"/>
  <c r="DD24" i="10"/>
  <c r="DD25" i="10"/>
  <c r="DD26" i="10"/>
  <c r="DD27" i="10"/>
  <c r="DD28" i="10"/>
  <c r="DH61" i="10"/>
  <c r="DH56" i="10"/>
  <c r="DH51" i="10"/>
  <c r="DH46" i="10"/>
  <c r="DG62" i="10"/>
  <c r="DG63" i="10"/>
  <c r="DG64" i="10"/>
  <c r="DG61" i="10"/>
  <c r="DG57" i="10"/>
  <c r="DG58" i="10"/>
  <c r="DG59" i="10"/>
  <c r="DG60" i="10"/>
  <c r="DG56" i="10"/>
  <c r="DG52" i="10"/>
  <c r="DG53" i="10"/>
  <c r="DG54" i="10"/>
  <c r="DG55" i="10"/>
  <c r="DG51" i="10"/>
  <c r="DG47" i="10"/>
  <c r="DG48" i="10"/>
  <c r="DG49" i="10"/>
  <c r="DG50" i="10"/>
  <c r="DG46" i="10"/>
  <c r="DF37" i="10"/>
  <c r="DG37" i="10"/>
  <c r="DH37" i="10"/>
  <c r="DI37" i="10"/>
  <c r="DJ37" i="10"/>
  <c r="DK37" i="10"/>
  <c r="DL37" i="10"/>
  <c r="DM37" i="10"/>
  <c r="DN37" i="10"/>
  <c r="DF38" i="10"/>
  <c r="DG38" i="10"/>
  <c r="DH38" i="10"/>
  <c r="DI38" i="10"/>
  <c r="DJ38" i="10"/>
  <c r="DK38" i="10"/>
  <c r="DL38" i="10"/>
  <c r="DM38" i="10"/>
  <c r="DN38" i="10"/>
  <c r="DF39" i="10"/>
  <c r="DG39" i="10"/>
  <c r="DH39" i="10"/>
  <c r="DI39" i="10"/>
  <c r="DJ39" i="10"/>
  <c r="DK39" i="10"/>
  <c r="DL39" i="10"/>
  <c r="DM39" i="10"/>
  <c r="DN39" i="10"/>
  <c r="DF40" i="10"/>
  <c r="DG40" i="10"/>
  <c r="DH40" i="10"/>
  <c r="DI40" i="10"/>
  <c r="DJ40" i="10"/>
  <c r="DK40" i="10"/>
  <c r="DL40" i="10"/>
  <c r="DM40" i="10"/>
  <c r="DN40" i="10"/>
  <c r="DF41" i="10"/>
  <c r="DG41" i="10"/>
  <c r="DH41" i="10"/>
  <c r="DI41" i="10"/>
  <c r="DJ41" i="10"/>
  <c r="DK41" i="10"/>
  <c r="DL41" i="10"/>
  <c r="DF42" i="10"/>
  <c r="DE38" i="10"/>
  <c r="DE39" i="10"/>
  <c r="DE40" i="10"/>
  <c r="DE41" i="10"/>
  <c r="DE42" i="10"/>
  <c r="DE37" i="10"/>
  <c r="DF13" i="10"/>
  <c r="DG13" i="10"/>
  <c r="DH13" i="10"/>
  <c r="DI13" i="10"/>
  <c r="DJ13" i="10"/>
  <c r="DK13" i="10"/>
  <c r="DL13" i="10"/>
  <c r="DM13" i="10"/>
  <c r="DN13" i="10"/>
  <c r="DO13" i="10"/>
  <c r="DP13" i="10"/>
  <c r="DF14" i="10"/>
  <c r="DG14" i="10"/>
  <c r="DH14" i="10"/>
  <c r="DI14" i="10"/>
  <c r="DJ14" i="10"/>
  <c r="DK14" i="10"/>
  <c r="DL14" i="10"/>
  <c r="DM14" i="10"/>
  <c r="DN14" i="10"/>
  <c r="DO14" i="10"/>
  <c r="DP14" i="10"/>
  <c r="DF15" i="10"/>
  <c r="DG15" i="10"/>
  <c r="DH15" i="10"/>
  <c r="DI15" i="10"/>
  <c r="DJ15" i="10"/>
  <c r="DK15" i="10"/>
  <c r="DL15" i="10"/>
  <c r="DM15" i="10"/>
  <c r="DN15" i="10"/>
  <c r="DO15" i="10"/>
  <c r="DP15" i="10"/>
  <c r="DF16" i="10"/>
  <c r="DG16" i="10"/>
  <c r="DH16" i="10"/>
  <c r="DI16" i="10"/>
  <c r="DJ16" i="10"/>
  <c r="DK16" i="10"/>
  <c r="DL16" i="10"/>
  <c r="DM16" i="10"/>
  <c r="DN16" i="10"/>
  <c r="DO16" i="10"/>
  <c r="DP16" i="10"/>
  <c r="DF17" i="10"/>
  <c r="DG17" i="10"/>
  <c r="DH17" i="10"/>
  <c r="DI17" i="10"/>
  <c r="DJ17" i="10"/>
  <c r="DK17" i="10"/>
  <c r="DL17" i="10"/>
  <c r="DM17" i="10"/>
  <c r="DN17" i="10"/>
  <c r="DO17" i="10"/>
  <c r="DP17" i="10"/>
  <c r="DF18" i="10"/>
  <c r="DG18" i="10"/>
  <c r="DH18" i="10"/>
  <c r="DI18" i="10"/>
  <c r="DJ18" i="10"/>
  <c r="DK18" i="10"/>
  <c r="DL18" i="10"/>
  <c r="DM18" i="10"/>
  <c r="DN18" i="10"/>
  <c r="DO18" i="10"/>
  <c r="DP18" i="10"/>
  <c r="DF19" i="10"/>
  <c r="DG19" i="10"/>
  <c r="DH19" i="10"/>
  <c r="DI19" i="10"/>
  <c r="DJ19" i="10"/>
  <c r="DK19" i="10"/>
  <c r="DL19" i="10"/>
  <c r="DM19" i="10"/>
  <c r="DN19" i="10"/>
  <c r="DO19" i="10"/>
  <c r="DP19" i="10"/>
  <c r="DF20" i="10"/>
  <c r="DG20" i="10"/>
  <c r="DH20" i="10"/>
  <c r="DI20" i="10"/>
  <c r="DJ20" i="10"/>
  <c r="DK20" i="10"/>
  <c r="DL20" i="10"/>
  <c r="DM20" i="10"/>
  <c r="DN20" i="10"/>
  <c r="DO20" i="10"/>
  <c r="DP20" i="10"/>
  <c r="DE14" i="10"/>
  <c r="DE15" i="10"/>
  <c r="DE16" i="10"/>
  <c r="DE17" i="10"/>
  <c r="DE18" i="10"/>
  <c r="DE19" i="10"/>
  <c r="DE20" i="10"/>
  <c r="DE13" i="10"/>
  <c r="DJ11" i="10"/>
  <c r="Q5" i="7"/>
  <c r="Q6" i="7"/>
  <c r="R6" i="7" s="1"/>
  <c r="G124" i="8" s="1"/>
  <c r="Q7" i="7"/>
  <c r="Q8" i="7"/>
  <c r="Q4" i="7"/>
  <c r="R4" i="7" s="1"/>
  <c r="G122" i="8" s="1"/>
  <c r="Q3" i="7"/>
  <c r="R7" i="7" s="1"/>
  <c r="G125" i="8" s="1"/>
  <c r="K25" i="7"/>
  <c r="K26" i="7"/>
  <c r="K27" i="7"/>
  <c r="K28" i="7"/>
  <c r="K24" i="7"/>
  <c r="L24" i="7" s="1"/>
  <c r="F123" i="8"/>
  <c r="O123" i="8" s="1"/>
  <c r="F124" i="8"/>
  <c r="F125" i="8"/>
  <c r="O125" i="8" s="1"/>
  <c r="F126" i="8"/>
  <c r="F122" i="8"/>
  <c r="F69" i="8"/>
  <c r="O69" i="8" s="1"/>
  <c r="F70" i="8"/>
  <c r="O70" i="8" s="1"/>
  <c r="F71" i="8"/>
  <c r="O71" i="8" s="1"/>
  <c r="F68" i="8"/>
  <c r="O68" i="8" s="1"/>
  <c r="E64" i="8"/>
  <c r="F64" i="8"/>
  <c r="E65" i="8"/>
  <c r="F65" i="8"/>
  <c r="E66" i="8"/>
  <c r="F66" i="8"/>
  <c r="E67" i="8"/>
  <c r="F67" i="8"/>
  <c r="F63" i="8"/>
  <c r="E63" i="8"/>
  <c r="M127" i="9"/>
  <c r="M130" i="9"/>
  <c r="I130" i="9"/>
  <c r="E71" i="8" s="1"/>
  <c r="M129" i="9"/>
  <c r="I129" i="9"/>
  <c r="E70" i="8" s="1"/>
  <c r="M128" i="9"/>
  <c r="I128" i="9"/>
  <c r="E69" i="8" s="1"/>
  <c r="I127" i="9"/>
  <c r="E68" i="8" s="1"/>
  <c r="M126" i="9"/>
  <c r="I126" i="9"/>
  <c r="E126" i="8" s="1"/>
  <c r="M125" i="9"/>
  <c r="I125" i="9"/>
  <c r="E125" i="8" s="1"/>
  <c r="M124" i="9"/>
  <c r="I124" i="9"/>
  <c r="E124" i="8" s="1"/>
  <c r="M123" i="9"/>
  <c r="I123" i="9"/>
  <c r="E123" i="8" s="1"/>
  <c r="M122" i="9"/>
  <c r="I122" i="9"/>
  <c r="E122" i="8" s="1"/>
  <c r="V389" i="8"/>
  <c r="W389" i="8"/>
  <c r="X389" i="8"/>
  <c r="M388" i="8"/>
  <c r="N388" i="8"/>
  <c r="O388" i="8"/>
  <c r="V388" i="8"/>
  <c r="W388" i="8"/>
  <c r="X388" i="8"/>
  <c r="S361" i="8" l="1"/>
  <c r="H361" i="8"/>
  <c r="J361" i="8"/>
  <c r="P361" i="8"/>
  <c r="H320" i="8"/>
  <c r="H325" i="8"/>
  <c r="J320" i="8"/>
  <c r="J325" i="8"/>
  <c r="P325" i="8"/>
  <c r="S331" i="8"/>
  <c r="H331" i="8"/>
  <c r="H321" i="8"/>
  <c r="J331" i="8"/>
  <c r="J321" i="8"/>
  <c r="S325" i="8"/>
  <c r="P331" i="8"/>
  <c r="E363" i="8"/>
  <c r="P363" i="8"/>
  <c r="H363" i="8"/>
  <c r="F363" i="8"/>
  <c r="J363" i="8"/>
  <c r="S363" i="8"/>
  <c r="S392" i="8"/>
  <c r="S400" i="8"/>
  <c r="H392" i="8"/>
  <c r="H400" i="8"/>
  <c r="J392" i="8"/>
  <c r="J400" i="8"/>
  <c r="P392" i="8"/>
  <c r="P400" i="8"/>
  <c r="P390" i="8"/>
  <c r="S390" i="8"/>
  <c r="I267" i="8"/>
  <c r="H390" i="8"/>
  <c r="J390" i="8"/>
  <c r="R126" i="8"/>
  <c r="O126" i="8"/>
  <c r="O122" i="8"/>
  <c r="R124" i="8"/>
  <c r="O124" i="8"/>
  <c r="N122" i="8"/>
  <c r="T125" i="8"/>
  <c r="Q258" i="8"/>
  <c r="T124" i="8"/>
  <c r="K123" i="8"/>
  <c r="K267" i="8"/>
  <c r="L125" i="8"/>
  <c r="K260" i="8"/>
  <c r="T123" i="8"/>
  <c r="L124" i="8"/>
  <c r="L69" i="8"/>
  <c r="L123" i="8"/>
  <c r="T268" i="8"/>
  <c r="T267" i="8"/>
  <c r="U69" i="8"/>
  <c r="U71" i="8"/>
  <c r="Q271" i="8"/>
  <c r="R70" i="8"/>
  <c r="L122" i="8"/>
  <c r="Q270" i="8"/>
  <c r="T260" i="8"/>
  <c r="K125" i="8"/>
  <c r="Q267" i="8"/>
  <c r="K257" i="8"/>
  <c r="R68" i="8"/>
  <c r="U68" i="8"/>
  <c r="K270" i="8"/>
  <c r="L68" i="8"/>
  <c r="T126" i="8"/>
  <c r="K271" i="8"/>
  <c r="K268" i="8"/>
  <c r="L70" i="8"/>
  <c r="Q268" i="8"/>
  <c r="Q126" i="8"/>
  <c r="K261" i="8"/>
  <c r="K259" i="8"/>
  <c r="Q260" i="8"/>
  <c r="Q125" i="8"/>
  <c r="K258" i="8"/>
  <c r="Q259" i="8"/>
  <c r="Q124" i="8"/>
  <c r="Q123" i="8"/>
  <c r="K126" i="8"/>
  <c r="T271" i="8"/>
  <c r="S388" i="8"/>
  <c r="U123" i="8"/>
  <c r="T258" i="8"/>
  <c r="P388" i="8"/>
  <c r="R123" i="8"/>
  <c r="T259" i="8"/>
  <c r="AP45" i="7"/>
  <c r="AP38" i="7"/>
  <c r="L25" i="7"/>
  <c r="AD23" i="7"/>
  <c r="AD21" i="7"/>
  <c r="R5" i="7"/>
  <c r="G123" i="8" s="1"/>
  <c r="G363" i="8" s="1"/>
  <c r="L27" i="7"/>
  <c r="G70" i="8" s="1"/>
  <c r="L26" i="7"/>
  <c r="G69" i="8" s="1"/>
  <c r="AD19" i="7"/>
  <c r="AD25" i="7"/>
  <c r="R9" i="7"/>
  <c r="R3" i="7"/>
  <c r="R71" i="8"/>
  <c r="T270" i="8"/>
  <c r="K124" i="8"/>
  <c r="T122" i="8"/>
  <c r="K122" i="8"/>
  <c r="U122" i="8"/>
  <c r="R267" i="8"/>
  <c r="R69" i="8"/>
  <c r="Q122" i="8"/>
  <c r="U126" i="8"/>
  <c r="U70" i="8"/>
  <c r="U267" i="8"/>
  <c r="R122" i="8"/>
  <c r="U125" i="8"/>
  <c r="Q261" i="8"/>
  <c r="T261" i="8"/>
  <c r="L71" i="8"/>
  <c r="Q257" i="8"/>
  <c r="R125" i="8"/>
  <c r="U124" i="8"/>
  <c r="T257" i="8"/>
  <c r="L126" i="8"/>
  <c r="L267" i="8"/>
  <c r="AD26" i="7"/>
  <c r="J388" i="8"/>
  <c r="DH69" i="11"/>
  <c r="DH64" i="11"/>
  <c r="DH59" i="11"/>
  <c r="DH54" i="11"/>
  <c r="H388" i="8"/>
  <c r="L28" i="7"/>
  <c r="G71" i="8" s="1"/>
  <c r="G68" i="8"/>
  <c r="AO26" i="7"/>
  <c r="AO27" i="7"/>
  <c r="AO28" i="7"/>
  <c r="AO29" i="7"/>
  <c r="AO30" i="7"/>
  <c r="AO25" i="7"/>
  <c r="E270" i="8"/>
  <c r="F269" i="8"/>
  <c r="E269" i="8"/>
  <c r="F268" i="8"/>
  <c r="E268" i="8"/>
  <c r="E267" i="8"/>
  <c r="F261" i="8"/>
  <c r="I261" i="8" s="1"/>
  <c r="F258" i="8"/>
  <c r="E258" i="8"/>
  <c r="F257" i="8"/>
  <c r="E257" i="8"/>
  <c r="M121" i="9"/>
  <c r="F271" i="8" s="1"/>
  <c r="U271" i="8" s="1"/>
  <c r="I121" i="9"/>
  <c r="E271" i="8" s="1"/>
  <c r="M120" i="9"/>
  <c r="F270" i="8" s="1"/>
  <c r="I270" i="8" s="1"/>
  <c r="I120" i="9"/>
  <c r="M119" i="9"/>
  <c r="I119" i="9"/>
  <c r="M118" i="9"/>
  <c r="I118" i="9"/>
  <c r="I117" i="9"/>
  <c r="M116" i="9"/>
  <c r="I116" i="9"/>
  <c r="E261" i="8" s="1"/>
  <c r="M115" i="9"/>
  <c r="F260" i="8" s="1"/>
  <c r="I115" i="9"/>
  <c r="E260" i="8" s="1"/>
  <c r="M114" i="9"/>
  <c r="F259" i="8" s="1"/>
  <c r="U259" i="8" s="1"/>
  <c r="I114" i="9"/>
  <c r="E259" i="8" s="1"/>
  <c r="M113" i="9"/>
  <c r="I113" i="9"/>
  <c r="M112" i="9"/>
  <c r="I112" i="9"/>
  <c r="F361" i="8" l="1"/>
  <c r="E361" i="8"/>
  <c r="K361" i="8"/>
  <c r="T361" i="8"/>
  <c r="Q361" i="8"/>
  <c r="Q325" i="8"/>
  <c r="K321" i="8"/>
  <c r="K331" i="8"/>
  <c r="Q331" i="8"/>
  <c r="K320" i="8"/>
  <c r="K325" i="8"/>
  <c r="T331" i="8"/>
  <c r="E325" i="8"/>
  <c r="E320" i="8"/>
  <c r="L257" i="8"/>
  <c r="F320" i="8"/>
  <c r="F325" i="8"/>
  <c r="T325" i="8"/>
  <c r="O331" i="8"/>
  <c r="F331" i="8"/>
  <c r="F321" i="8"/>
  <c r="N363" i="8"/>
  <c r="N331" i="8"/>
  <c r="E321" i="8"/>
  <c r="E331" i="8"/>
  <c r="U363" i="8"/>
  <c r="R363" i="8"/>
  <c r="I363" i="8"/>
  <c r="T363" i="8"/>
  <c r="O363" i="8"/>
  <c r="Q363" i="8"/>
  <c r="L363" i="8"/>
  <c r="K363" i="8"/>
  <c r="K17" i="4"/>
  <c r="T392" i="8"/>
  <c r="T400" i="8"/>
  <c r="M17" i="4"/>
  <c r="X17" i="4"/>
  <c r="Y17" i="4"/>
  <c r="W17" i="4"/>
  <c r="N392" i="8"/>
  <c r="V17" i="4"/>
  <c r="T17" i="4"/>
  <c r="U17" i="4"/>
  <c r="O392" i="8"/>
  <c r="Q392" i="8"/>
  <c r="Q400" i="8"/>
  <c r="E392" i="8"/>
  <c r="E400" i="8"/>
  <c r="S17" i="4"/>
  <c r="R17" i="4"/>
  <c r="Q17" i="4"/>
  <c r="F392" i="8"/>
  <c r="F400" i="8"/>
  <c r="K392" i="8"/>
  <c r="K400" i="8"/>
  <c r="Z17" i="4"/>
  <c r="P17" i="4"/>
  <c r="O17" i="4"/>
  <c r="N17" i="4"/>
  <c r="T390" i="8"/>
  <c r="Q390" i="8"/>
  <c r="E390" i="8"/>
  <c r="R268" i="8"/>
  <c r="F390" i="8"/>
  <c r="K390" i="8"/>
  <c r="AB17" i="4"/>
  <c r="AA17" i="4"/>
  <c r="K388" i="8"/>
  <c r="R259" i="8"/>
  <c r="Y259" i="8"/>
  <c r="Q388" i="8"/>
  <c r="L268" i="8"/>
  <c r="L261" i="8"/>
  <c r="I259" i="8"/>
  <c r="Y268" i="8"/>
  <c r="T388" i="8"/>
  <c r="Y258" i="8"/>
  <c r="L259" i="8"/>
  <c r="L258" i="8"/>
  <c r="I258" i="8"/>
  <c r="U258" i="8"/>
  <c r="U257" i="8"/>
  <c r="R257" i="8"/>
  <c r="I260" i="8"/>
  <c r="U260" i="8"/>
  <c r="R260" i="8"/>
  <c r="R271" i="8"/>
  <c r="U261" i="8"/>
  <c r="R261" i="8"/>
  <c r="L260" i="8"/>
  <c r="I257" i="8"/>
  <c r="Y269" i="8"/>
  <c r="U268" i="8"/>
  <c r="I268" i="8"/>
  <c r="I271" i="8"/>
  <c r="L271" i="8"/>
  <c r="L270" i="8"/>
  <c r="U270" i="8"/>
  <c r="R270" i="8"/>
  <c r="Y271" i="8"/>
  <c r="R258" i="8"/>
  <c r="L29" i="7"/>
  <c r="Y261" i="8"/>
  <c r="F388" i="8"/>
  <c r="Y270" i="8"/>
  <c r="E388" i="8"/>
  <c r="Y267" i="8"/>
  <c r="Y257" i="8"/>
  <c r="Y260" i="8"/>
  <c r="AP30" i="7"/>
  <c r="G271" i="8" s="1"/>
  <c r="AP26" i="7"/>
  <c r="G267" i="8" s="1"/>
  <c r="AP27" i="7"/>
  <c r="G268" i="8" s="1"/>
  <c r="AP29" i="7"/>
  <c r="G270" i="8" s="1"/>
  <c r="AP25" i="7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42" i="8"/>
  <c r="M232" i="8"/>
  <c r="M233" i="8"/>
  <c r="M234" i="8"/>
  <c r="M235" i="8"/>
  <c r="M236" i="8"/>
  <c r="M237" i="8"/>
  <c r="M238" i="8"/>
  <c r="M239" i="8"/>
  <c r="M240" i="8"/>
  <c r="M231" i="8"/>
  <c r="M29" i="8"/>
  <c r="M30" i="8"/>
  <c r="M31" i="8"/>
  <c r="M32" i="8"/>
  <c r="M28" i="8"/>
  <c r="CB41" i="13"/>
  <c r="CK14" i="13"/>
  <c r="CL14" i="13"/>
  <c r="CB17" i="13"/>
  <c r="CC17" i="13"/>
  <c r="CC41" i="13" s="1"/>
  <c r="CL18" i="13"/>
  <c r="CD19" i="13"/>
  <c r="CD43" i="13" s="1"/>
  <c r="CH20" i="13"/>
  <c r="CJ20" i="13"/>
  <c r="CF11" i="13"/>
  <c r="CA13" i="13" s="1"/>
  <c r="BT43" i="13"/>
  <c r="BR14" i="13"/>
  <c r="BT14" i="13"/>
  <c r="BQ16" i="13"/>
  <c r="BQ40" i="13" s="1"/>
  <c r="BR16" i="13"/>
  <c r="BR40" i="13" s="1"/>
  <c r="BN18" i="13"/>
  <c r="BN42" i="13" s="1"/>
  <c r="BO18" i="13"/>
  <c r="BO42" i="13" s="1"/>
  <c r="BQ19" i="13"/>
  <c r="BQ43" i="13" s="1"/>
  <c r="BT19" i="13"/>
  <c r="BU19" i="13"/>
  <c r="BU43" i="13" s="1"/>
  <c r="BW20" i="13"/>
  <c r="BL14" i="13"/>
  <c r="BL16" i="13"/>
  <c r="BQ11" i="13"/>
  <c r="BM14" i="13" s="1"/>
  <c r="R361" i="8" l="1"/>
  <c r="L361" i="8"/>
  <c r="I361" i="8"/>
  <c r="U361" i="8"/>
  <c r="G361" i="8"/>
  <c r="Y361" i="8"/>
  <c r="U331" i="8"/>
  <c r="I331" i="8"/>
  <c r="L331" i="8"/>
  <c r="L321" i="8"/>
  <c r="R331" i="8"/>
  <c r="G331" i="8"/>
  <c r="G321" i="8"/>
  <c r="I321" i="8"/>
  <c r="Y325" i="8"/>
  <c r="M319" i="8"/>
  <c r="M330" i="8"/>
  <c r="M328" i="8"/>
  <c r="R325" i="8"/>
  <c r="U325" i="8"/>
  <c r="M318" i="8"/>
  <c r="M323" i="8"/>
  <c r="I325" i="8"/>
  <c r="I320" i="8"/>
  <c r="L325" i="8"/>
  <c r="L320" i="8"/>
  <c r="L392" i="8"/>
  <c r="U392" i="8"/>
  <c r="R400" i="8"/>
  <c r="L400" i="8"/>
  <c r="I392" i="8"/>
  <c r="R392" i="8"/>
  <c r="G392" i="8"/>
  <c r="G400" i="8"/>
  <c r="Y400" i="8"/>
  <c r="I400" i="8"/>
  <c r="U400" i="8"/>
  <c r="Q14" i="4"/>
  <c r="I390" i="8"/>
  <c r="AA14" i="4"/>
  <c r="G390" i="8"/>
  <c r="X14" i="4"/>
  <c r="AB14" i="4"/>
  <c r="P14" i="4"/>
  <c r="S14" i="4"/>
  <c r="L390" i="8"/>
  <c r="R390" i="8"/>
  <c r="U390" i="8"/>
  <c r="Y14" i="4"/>
  <c r="M359" i="8"/>
  <c r="R14" i="4"/>
  <c r="M14" i="4"/>
  <c r="K14" i="4"/>
  <c r="L14" i="4"/>
  <c r="M391" i="8"/>
  <c r="Z14" i="4"/>
  <c r="W14" i="4"/>
  <c r="N14" i="4"/>
  <c r="O14" i="4"/>
  <c r="Q13" i="4"/>
  <c r="R13" i="4"/>
  <c r="N13" i="4"/>
  <c r="P13" i="4"/>
  <c r="O13" i="4"/>
  <c r="Z13" i="4"/>
  <c r="AA13" i="4"/>
  <c r="X13" i="4"/>
  <c r="W13" i="4"/>
  <c r="M357" i="8"/>
  <c r="L388" i="8"/>
  <c r="I388" i="8"/>
  <c r="U388" i="8"/>
  <c r="R388" i="8"/>
  <c r="M389" i="8"/>
  <c r="Y388" i="8"/>
  <c r="AP31" i="7"/>
  <c r="BN64" i="13"/>
  <c r="BO64" i="13" s="1"/>
  <c r="BW17" i="13"/>
  <c r="BN16" i="13"/>
  <c r="BN40" i="13" s="1"/>
  <c r="BP14" i="13"/>
  <c r="CG20" i="13"/>
  <c r="CK18" i="13"/>
  <c r="CJ16" i="13"/>
  <c r="CJ40" i="13" s="1"/>
  <c r="CH14" i="13"/>
  <c r="BV20" i="13"/>
  <c r="BP19" i="13"/>
  <c r="BP43" i="13" s="1"/>
  <c r="BN59" i="13" s="1"/>
  <c r="BO59" i="13" s="1"/>
  <c r="BU17" i="13"/>
  <c r="BU41" i="13" s="1"/>
  <c r="BM16" i="13"/>
  <c r="BM40" i="13" s="1"/>
  <c r="BN46" i="13" s="1"/>
  <c r="BO46" i="13" s="1"/>
  <c r="BO14" i="13"/>
  <c r="CF20" i="13"/>
  <c r="CJ18" i="13"/>
  <c r="CI16" i="13"/>
  <c r="CI40" i="13" s="1"/>
  <c r="CG14" i="13"/>
  <c r="CE20" i="13"/>
  <c r="CH18" i="13"/>
  <c r="CH16" i="13"/>
  <c r="CH40" i="13" s="1"/>
  <c r="CF14" i="13"/>
  <c r="BZ27" i="13" s="1"/>
  <c r="BW15" i="13"/>
  <c r="BR20" i="13"/>
  <c r="BV13" i="13"/>
  <c r="CA20" i="13"/>
  <c r="CB20" i="13"/>
  <c r="CF18" i="13"/>
  <c r="CF16" i="13"/>
  <c r="CF40" i="13" s="1"/>
  <c r="CD14" i="13"/>
  <c r="BQ20" i="13"/>
  <c r="BM19" i="13"/>
  <c r="BM43" i="13" s="1"/>
  <c r="BR17" i="13"/>
  <c r="BR41" i="13" s="1"/>
  <c r="BS15" i="13"/>
  <c r="BU13" i="13"/>
  <c r="CA19" i="13"/>
  <c r="CL19" i="13"/>
  <c r="CD18" i="13"/>
  <c r="CD42" i="13" s="1"/>
  <c r="CC58" i="13" s="1"/>
  <c r="CD58" i="13" s="1"/>
  <c r="CB16" i="13"/>
  <c r="CB40" i="13" s="1"/>
  <c r="CC46" i="13" s="1"/>
  <c r="CD46" i="13" s="1"/>
  <c r="CK13" i="13"/>
  <c r="BO19" i="13"/>
  <c r="BO43" i="13" s="1"/>
  <c r="BN58" i="13" s="1"/>
  <c r="BO58" i="13" s="1"/>
  <c r="BN19" i="13"/>
  <c r="BN43" i="13" s="1"/>
  <c r="BO17" i="13"/>
  <c r="BO41" i="13" s="1"/>
  <c r="CJ13" i="13"/>
  <c r="BL20" i="13"/>
  <c r="BO20" i="13"/>
  <c r="BU18" i="13"/>
  <c r="BU42" i="13" s="1"/>
  <c r="BN17" i="13"/>
  <c r="BN41" i="13" s="1"/>
  <c r="BP15" i="13"/>
  <c r="BO13" i="13"/>
  <c r="CA17" i="13"/>
  <c r="CJ19" i="13"/>
  <c r="CK17" i="13"/>
  <c r="CK41" i="13" s="1"/>
  <c r="CC55" i="13" s="1"/>
  <c r="CD55" i="13" s="1"/>
  <c r="CI15" i="13"/>
  <c r="CG13" i="13"/>
  <c r="BU20" i="13"/>
  <c r="BW13" i="13"/>
  <c r="BS17" i="13"/>
  <c r="BS41" i="13" s="1"/>
  <c r="BQ15" i="13"/>
  <c r="CL15" i="13"/>
  <c r="BL19" i="13"/>
  <c r="BN20" i="13"/>
  <c r="BT18" i="13"/>
  <c r="BT42" i="13" s="1"/>
  <c r="BN63" i="13" s="1"/>
  <c r="BO63" i="13" s="1"/>
  <c r="BM17" i="13"/>
  <c r="BM41" i="13" s="1"/>
  <c r="BM15" i="13"/>
  <c r="BK23" i="13" s="1"/>
  <c r="BN13" i="13"/>
  <c r="CA14" i="13"/>
  <c r="CI19" i="13"/>
  <c r="CJ17" i="13"/>
  <c r="CJ41" i="13" s="1"/>
  <c r="CC54" i="13" s="1"/>
  <c r="CD54" i="13" s="1"/>
  <c r="CH15" i="13"/>
  <c r="CF13" i="13"/>
  <c r="BT17" i="13"/>
  <c r="BT41" i="13" s="1"/>
  <c r="BU15" i="13"/>
  <c r="BP20" i="13"/>
  <c r="CA18" i="13"/>
  <c r="CC18" i="13"/>
  <c r="CC42" i="13" s="1"/>
  <c r="BL18" i="13"/>
  <c r="BW19" i="13"/>
  <c r="BS18" i="13"/>
  <c r="BS42" i="13" s="1"/>
  <c r="BV16" i="13"/>
  <c r="BV40" i="13" s="1"/>
  <c r="BW14" i="13"/>
  <c r="CL20" i="13"/>
  <c r="CG19" i="13"/>
  <c r="CI17" i="13"/>
  <c r="CI41" i="13" s="1"/>
  <c r="CG15" i="13"/>
  <c r="CE13" i="13"/>
  <c r="BN57" i="13"/>
  <c r="BO57" i="13" s="1"/>
  <c r="BV18" i="13"/>
  <c r="BV42" i="13" s="1"/>
  <c r="BN65" i="13" s="1"/>
  <c r="BO65" i="13" s="1"/>
  <c r="BS13" i="13"/>
  <c r="CK19" i="13"/>
  <c r="BL17" i="13"/>
  <c r="BV19" i="13"/>
  <c r="BV43" i="13" s="1"/>
  <c r="BP18" i="13"/>
  <c r="BP42" i="13" s="1"/>
  <c r="BT16" i="13"/>
  <c r="BT40" i="13" s="1"/>
  <c r="BN53" i="13" s="1"/>
  <c r="BO53" i="13" s="1"/>
  <c r="BV14" i="13"/>
  <c r="CK20" i="13"/>
  <c r="CE19" i="13"/>
  <c r="CE43" i="13" s="1"/>
  <c r="CG17" i="13"/>
  <c r="CG41" i="13" s="1"/>
  <c r="CC51" i="13" s="1"/>
  <c r="CD51" i="13" s="1"/>
  <c r="CE15" i="13"/>
  <c r="CC13" i="13"/>
  <c r="BK28" i="13"/>
  <c r="BN50" i="13"/>
  <c r="BO50" i="13" s="1"/>
  <c r="BN51" i="13"/>
  <c r="BO51" i="13" s="1"/>
  <c r="BM18" i="13"/>
  <c r="BM42" i="13" s="1"/>
  <c r="BN56" i="13" s="1"/>
  <c r="BO56" i="13" s="1"/>
  <c r="BW16" i="13"/>
  <c r="BV15" i="13"/>
  <c r="BU14" i="13"/>
  <c r="BT13" i="13"/>
  <c r="CI18" i="13"/>
  <c r="CH17" i="13"/>
  <c r="CH41" i="13" s="1"/>
  <c r="CG16" i="13"/>
  <c r="CG40" i="13" s="1"/>
  <c r="CF15" i="13"/>
  <c r="CE14" i="13"/>
  <c r="BZ26" i="13" s="1"/>
  <c r="CD13" i="13"/>
  <c r="BL15" i="13"/>
  <c r="BM20" i="13"/>
  <c r="BW18" i="13"/>
  <c r="BV17" i="13"/>
  <c r="BV41" i="13" s="1"/>
  <c r="BN55" i="13" s="1"/>
  <c r="BO55" i="13" s="1"/>
  <c r="BU16" i="13"/>
  <c r="BU40" i="13" s="1"/>
  <c r="BN54" i="13" s="1"/>
  <c r="BO54" i="13" s="1"/>
  <c r="BT15" i="13"/>
  <c r="BK30" i="13" s="1"/>
  <c r="BS14" i="13"/>
  <c r="BK29" i="13" s="1"/>
  <c r="BR13" i="13"/>
  <c r="CI20" i="13"/>
  <c r="CH19" i="13"/>
  <c r="CG18" i="13"/>
  <c r="CF17" i="13"/>
  <c r="CF41" i="13" s="1"/>
  <c r="CE16" i="13"/>
  <c r="CE40" i="13" s="1"/>
  <c r="CD15" i="13"/>
  <c r="BZ25" i="13" s="1"/>
  <c r="CC14" i="13"/>
  <c r="BZ24" i="13" s="1"/>
  <c r="CB13" i="13"/>
  <c r="BQ13" i="13"/>
  <c r="CE17" i="13"/>
  <c r="CE41" i="13" s="1"/>
  <c r="CD16" i="13"/>
  <c r="CD40" i="13" s="1"/>
  <c r="CC15" i="13"/>
  <c r="CB14" i="13"/>
  <c r="BS16" i="13"/>
  <c r="BS40" i="13" s="1"/>
  <c r="BN52" i="13" s="1"/>
  <c r="BO52" i="13" s="1"/>
  <c r="BR15" i="13"/>
  <c r="BQ14" i="13"/>
  <c r="BK27" i="13" s="1"/>
  <c r="BP13" i="13"/>
  <c r="CF19" i="13"/>
  <c r="CE18" i="13"/>
  <c r="CE42" i="13" s="1"/>
  <c r="CC59" i="13" s="1"/>
  <c r="CD59" i="13" s="1"/>
  <c r="CD17" i="13"/>
  <c r="CD41" i="13" s="1"/>
  <c r="CC48" i="13" s="1"/>
  <c r="CD48" i="13" s="1"/>
  <c r="CC16" i="13"/>
  <c r="CC40" i="13" s="1"/>
  <c r="CC47" i="13" s="1"/>
  <c r="CD47" i="13" s="1"/>
  <c r="CB15" i="13"/>
  <c r="CL13" i="13"/>
  <c r="BT20" i="13"/>
  <c r="BS19" i="13"/>
  <c r="BS43" i="13" s="1"/>
  <c r="BR18" i="13"/>
  <c r="BR42" i="13" s="1"/>
  <c r="BQ17" i="13"/>
  <c r="BQ41" i="13" s="1"/>
  <c r="BP16" i="13"/>
  <c r="BP40" i="13" s="1"/>
  <c r="BO15" i="13"/>
  <c r="BN14" i="13"/>
  <c r="BM13" i="13"/>
  <c r="CA16" i="13"/>
  <c r="CD20" i="13"/>
  <c r="CC19" i="13"/>
  <c r="CC43" i="13" s="1"/>
  <c r="CC57" i="13" s="1"/>
  <c r="CD57" i="13" s="1"/>
  <c r="CB18" i="13"/>
  <c r="CB42" i="13" s="1"/>
  <c r="CL16" i="13"/>
  <c r="CK15" i="13"/>
  <c r="CJ14" i="13"/>
  <c r="CI13" i="13"/>
  <c r="BL13" i="13"/>
  <c r="BS20" i="13"/>
  <c r="BR19" i="13"/>
  <c r="BR43" i="13" s="1"/>
  <c r="BQ18" i="13"/>
  <c r="BQ42" i="13" s="1"/>
  <c r="BN60" i="13" s="1"/>
  <c r="BO60" i="13" s="1"/>
  <c r="BP17" i="13"/>
  <c r="BP41" i="13" s="1"/>
  <c r="BO16" i="13"/>
  <c r="BO40" i="13" s="1"/>
  <c r="BN48" i="13" s="1"/>
  <c r="BO48" i="13" s="1"/>
  <c r="BN15" i="13"/>
  <c r="CA15" i="13"/>
  <c r="CC20" i="13"/>
  <c r="CB19" i="13"/>
  <c r="CB43" i="13" s="1"/>
  <c r="CC56" i="13" s="1"/>
  <c r="CD56" i="13" s="1"/>
  <c r="CL17" i="13"/>
  <c r="CK16" i="13"/>
  <c r="CK40" i="13" s="1"/>
  <c r="CJ15" i="13"/>
  <c r="CI14" i="13"/>
  <c r="BZ30" i="13" s="1"/>
  <c r="CH13" i="13"/>
  <c r="CC50" i="13"/>
  <c r="CD50" i="13" s="1"/>
  <c r="CC53" i="13"/>
  <c r="CD53" i="13" s="1"/>
  <c r="CC52" i="13"/>
  <c r="CD52" i="13" s="1"/>
  <c r="BK25" i="13" l="1"/>
  <c r="CC49" i="13"/>
  <c r="CD49" i="13" s="1"/>
  <c r="CE46" i="13" s="1"/>
  <c r="BZ29" i="13"/>
  <c r="BK24" i="13"/>
  <c r="BN62" i="13"/>
  <c r="BO62" i="13" s="1"/>
  <c r="BZ23" i="13"/>
  <c r="BP56" i="13"/>
  <c r="BZ28" i="13"/>
  <c r="BK26" i="13"/>
  <c r="BN47" i="13"/>
  <c r="BO47" i="13" s="1"/>
  <c r="BP51" i="13"/>
  <c r="BN49" i="13"/>
  <c r="BO49" i="13" s="1"/>
  <c r="BP46" i="13" s="1"/>
  <c r="BN61" i="13"/>
  <c r="BO61" i="13" s="1"/>
  <c r="BP61" i="13" s="1"/>
  <c r="CE51" i="13"/>
  <c r="CE56" i="13"/>
  <c r="AO19" i="7" l="1"/>
  <c r="AO20" i="7"/>
  <c r="AO21" i="7"/>
  <c r="AO22" i="7"/>
  <c r="AO23" i="7"/>
  <c r="AO18" i="7"/>
  <c r="AP18" i="7" s="1"/>
  <c r="V385" i="8"/>
  <c r="W385" i="8"/>
  <c r="X385" i="8"/>
  <c r="V386" i="8"/>
  <c r="W386" i="8"/>
  <c r="X386" i="8"/>
  <c r="S243" i="8"/>
  <c r="S244" i="8"/>
  <c r="S245" i="8"/>
  <c r="S246" i="8"/>
  <c r="S247" i="8"/>
  <c r="S248" i="8"/>
  <c r="S249" i="8"/>
  <c r="S250" i="8"/>
  <c r="S251" i="8"/>
  <c r="S252" i="8"/>
  <c r="P243" i="8"/>
  <c r="P244" i="8"/>
  <c r="P245" i="8"/>
  <c r="P246" i="8"/>
  <c r="P247" i="8"/>
  <c r="P248" i="8"/>
  <c r="P249" i="8"/>
  <c r="P250" i="8"/>
  <c r="P251" i="8"/>
  <c r="P252" i="8"/>
  <c r="S242" i="8"/>
  <c r="P242" i="8"/>
  <c r="CG8" i="12"/>
  <c r="CG3" i="12"/>
  <c r="CC8" i="12"/>
  <c r="CC3" i="12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42" i="8"/>
  <c r="CR66" i="11"/>
  <c r="CR67" i="11"/>
  <c r="CR65" i="11"/>
  <c r="CR60" i="11"/>
  <c r="CR61" i="11"/>
  <c r="CR62" i="11"/>
  <c r="CR63" i="11"/>
  <c r="CR64" i="11"/>
  <c r="CR59" i="11"/>
  <c r="CR55" i="11"/>
  <c r="CR56" i="11"/>
  <c r="CR57" i="11"/>
  <c r="CR58" i="11"/>
  <c r="CR54" i="11"/>
  <c r="CQ45" i="11"/>
  <c r="CR45" i="11"/>
  <c r="CS45" i="11"/>
  <c r="CT45" i="11"/>
  <c r="CU45" i="11"/>
  <c r="CV45" i="11"/>
  <c r="CW45" i="11"/>
  <c r="CX45" i="11"/>
  <c r="CY45" i="11"/>
  <c r="CQ46" i="11"/>
  <c r="CR46" i="11"/>
  <c r="CS46" i="11"/>
  <c r="CT46" i="11"/>
  <c r="CU46" i="11"/>
  <c r="CV46" i="11"/>
  <c r="CW46" i="11"/>
  <c r="CX46" i="11"/>
  <c r="CY46" i="11"/>
  <c r="CQ47" i="11"/>
  <c r="CR47" i="11"/>
  <c r="CS47" i="11"/>
  <c r="CT47" i="11"/>
  <c r="CU47" i="11"/>
  <c r="CQ48" i="11"/>
  <c r="CR48" i="11"/>
  <c r="CS48" i="11"/>
  <c r="CT48" i="11"/>
  <c r="CU48" i="11"/>
  <c r="CQ49" i="11"/>
  <c r="CR49" i="11"/>
  <c r="CS49" i="11"/>
  <c r="CT49" i="11"/>
  <c r="CU49" i="11"/>
  <c r="CQ50" i="11"/>
  <c r="CR50" i="11"/>
  <c r="CS50" i="11"/>
  <c r="CQ51" i="11"/>
  <c r="CR51" i="11"/>
  <c r="CS51" i="11"/>
  <c r="CR52" i="11"/>
  <c r="CS52" i="11"/>
  <c r="CP46" i="11"/>
  <c r="CP47" i="11"/>
  <c r="CP48" i="11"/>
  <c r="CP49" i="11"/>
  <c r="CP50" i="11"/>
  <c r="CP51" i="11"/>
  <c r="CP45" i="11"/>
  <c r="CO35" i="11"/>
  <c r="DA28" i="11"/>
  <c r="CZ28" i="11"/>
  <c r="CY28" i="11"/>
  <c r="CX28" i="11"/>
  <c r="CW28" i="11"/>
  <c r="CV28" i="11"/>
  <c r="CU28" i="11"/>
  <c r="CT28" i="11"/>
  <c r="CS28" i="11"/>
  <c r="CR28" i="11"/>
  <c r="CQ28" i="11"/>
  <c r="CP28" i="11"/>
  <c r="DA27" i="11"/>
  <c r="CZ27" i="11"/>
  <c r="CY27" i="11"/>
  <c r="CX27" i="11"/>
  <c r="CW27" i="11"/>
  <c r="CV27" i="11"/>
  <c r="CU27" i="11"/>
  <c r="CT27" i="11"/>
  <c r="CS27" i="11"/>
  <c r="CR27" i="11"/>
  <c r="CQ27" i="11"/>
  <c r="CP27" i="11"/>
  <c r="DA26" i="11"/>
  <c r="CZ26" i="11"/>
  <c r="CY26" i="11"/>
  <c r="CX26" i="11"/>
  <c r="CW26" i="11"/>
  <c r="CV26" i="11"/>
  <c r="CU26" i="11"/>
  <c r="CT26" i="11"/>
  <c r="CS26" i="11"/>
  <c r="CR26" i="11"/>
  <c r="CQ26" i="11"/>
  <c r="CP26" i="11"/>
  <c r="DA25" i="11"/>
  <c r="CZ25" i="11"/>
  <c r="CY25" i="11"/>
  <c r="CX25" i="11"/>
  <c r="CW25" i="11"/>
  <c r="CV25" i="11"/>
  <c r="CU25" i="11"/>
  <c r="CT25" i="11"/>
  <c r="CS25" i="11"/>
  <c r="CR25" i="11"/>
  <c r="CQ25" i="11"/>
  <c r="CP25" i="11"/>
  <c r="DA24" i="11"/>
  <c r="CZ24" i="11"/>
  <c r="CY24" i="11"/>
  <c r="CX24" i="11"/>
  <c r="CW24" i="11"/>
  <c r="CV24" i="11"/>
  <c r="CU24" i="11"/>
  <c r="CT24" i="11"/>
  <c r="CS24" i="11"/>
  <c r="CR24" i="11"/>
  <c r="CQ24" i="11"/>
  <c r="CP24" i="11"/>
  <c r="DA23" i="11"/>
  <c r="CZ23" i="11"/>
  <c r="CY23" i="11"/>
  <c r="CX23" i="11"/>
  <c r="CW23" i="11"/>
  <c r="CV23" i="11"/>
  <c r="CU23" i="11"/>
  <c r="CT23" i="11"/>
  <c r="CS23" i="11"/>
  <c r="CR23" i="11"/>
  <c r="CQ23" i="11"/>
  <c r="CP23" i="11"/>
  <c r="DA22" i="11"/>
  <c r="CZ22" i="11"/>
  <c r="CY22" i="11"/>
  <c r="CX22" i="11"/>
  <c r="CW22" i="11"/>
  <c r="CV22" i="11"/>
  <c r="CU22" i="11"/>
  <c r="CT22" i="11"/>
  <c r="CS22" i="11"/>
  <c r="CR22" i="11"/>
  <c r="CQ22" i="11"/>
  <c r="CP22" i="11"/>
  <c r="DA21" i="11"/>
  <c r="CZ21" i="11"/>
  <c r="CY21" i="11"/>
  <c r="CO40" i="11" s="1"/>
  <c r="CX21" i="11"/>
  <c r="CO39" i="11" s="1"/>
  <c r="CW21" i="11"/>
  <c r="CO38" i="11" s="1"/>
  <c r="CV21" i="11"/>
  <c r="CU21" i="11"/>
  <c r="CO36" i="11" s="1"/>
  <c r="CT21" i="11"/>
  <c r="CS21" i="11"/>
  <c r="CO34" i="11" s="1"/>
  <c r="CR21" i="11"/>
  <c r="CQ21" i="11"/>
  <c r="CO32" i="11" s="1"/>
  <c r="CP21" i="11"/>
  <c r="CO31" i="11" s="1"/>
  <c r="H243" i="8"/>
  <c r="N243" i="8" s="1"/>
  <c r="H244" i="8"/>
  <c r="N244" i="8" s="1"/>
  <c r="H245" i="8"/>
  <c r="H246" i="8"/>
  <c r="H247" i="8"/>
  <c r="H248" i="8"/>
  <c r="H249" i="8"/>
  <c r="N249" i="8" s="1"/>
  <c r="H250" i="8"/>
  <c r="H251" i="8"/>
  <c r="H252" i="8"/>
  <c r="N252" i="8" s="1"/>
  <c r="H253" i="8"/>
  <c r="N253" i="8" s="1"/>
  <c r="H254" i="8"/>
  <c r="H255" i="8"/>
  <c r="N255" i="8" s="1"/>
  <c r="H242" i="8"/>
  <c r="CS51" i="10"/>
  <c r="CS46" i="10"/>
  <c r="CR58" i="10"/>
  <c r="CR59" i="10"/>
  <c r="CR57" i="10"/>
  <c r="CR52" i="10"/>
  <c r="CR53" i="10"/>
  <c r="CR54" i="10"/>
  <c r="CR55" i="10"/>
  <c r="CR56" i="10"/>
  <c r="CR51" i="10"/>
  <c r="CR47" i="10"/>
  <c r="CR48" i="10"/>
  <c r="CR49" i="10"/>
  <c r="CR50" i="10"/>
  <c r="CR46" i="10"/>
  <c r="CW13" i="10"/>
  <c r="CW37" i="10" s="1"/>
  <c r="CX14" i="10"/>
  <c r="CY15" i="10"/>
  <c r="CZ16" i="10"/>
  <c r="DA17" i="10"/>
  <c r="DA18" i="10"/>
  <c r="CQ19" i="10"/>
  <c r="CY19" i="10"/>
  <c r="CR20" i="10"/>
  <c r="CZ20" i="10"/>
  <c r="CP15" i="10"/>
  <c r="CP39" i="10" s="1"/>
  <c r="CP16" i="10"/>
  <c r="CP40" i="10" s="1"/>
  <c r="CU11" i="10"/>
  <c r="CX13" i="10" s="1"/>
  <c r="E246" i="8"/>
  <c r="F246" i="8"/>
  <c r="E247" i="8"/>
  <c r="F247" i="8"/>
  <c r="E248" i="8"/>
  <c r="E252" i="8"/>
  <c r="F252" i="8"/>
  <c r="O252" i="8" s="1"/>
  <c r="E253" i="8"/>
  <c r="F253" i="8"/>
  <c r="O253" i="8" s="1"/>
  <c r="E254" i="8"/>
  <c r="M111" i="9"/>
  <c r="F256" i="8" s="1"/>
  <c r="I111" i="9"/>
  <c r="E256" i="8" s="1"/>
  <c r="M110" i="9"/>
  <c r="F255" i="8" s="1"/>
  <c r="I110" i="9"/>
  <c r="E255" i="8" s="1"/>
  <c r="M109" i="9"/>
  <c r="F254" i="8" s="1"/>
  <c r="O254" i="8" s="1"/>
  <c r="I109" i="9"/>
  <c r="M108" i="9"/>
  <c r="I108" i="9"/>
  <c r="M107" i="9"/>
  <c r="I107" i="9"/>
  <c r="M106" i="9"/>
  <c r="F251" i="8" s="1"/>
  <c r="I106" i="9"/>
  <c r="E251" i="8" s="1"/>
  <c r="M105" i="9"/>
  <c r="F250" i="8" s="1"/>
  <c r="O250" i="8" s="1"/>
  <c r="I105" i="9"/>
  <c r="E250" i="8" s="1"/>
  <c r="M104" i="9"/>
  <c r="F249" i="8" s="1"/>
  <c r="I104" i="9"/>
  <c r="E249" i="8" s="1"/>
  <c r="M103" i="9"/>
  <c r="F248" i="8" s="1"/>
  <c r="O248" i="8" s="1"/>
  <c r="I103" i="9"/>
  <c r="M102" i="9"/>
  <c r="I102" i="9"/>
  <c r="M101" i="9"/>
  <c r="I101" i="9"/>
  <c r="M100" i="9"/>
  <c r="F245" i="8" s="1"/>
  <c r="O245" i="8" s="1"/>
  <c r="I100" i="9"/>
  <c r="E245" i="8" s="1"/>
  <c r="M99" i="9"/>
  <c r="F244" i="8" s="1"/>
  <c r="I99" i="9"/>
  <c r="E244" i="8" s="1"/>
  <c r="M98" i="9"/>
  <c r="F243" i="8" s="1"/>
  <c r="I98" i="9"/>
  <c r="E243" i="8" s="1"/>
  <c r="M97" i="9"/>
  <c r="F242" i="8" s="1"/>
  <c r="I97" i="9"/>
  <c r="E242" i="8" s="1"/>
  <c r="H359" i="8" l="1"/>
  <c r="H330" i="8"/>
  <c r="H319" i="8"/>
  <c r="H328" i="8"/>
  <c r="F328" i="8"/>
  <c r="F319" i="8"/>
  <c r="F330" i="8"/>
  <c r="H318" i="8"/>
  <c r="H323" i="8"/>
  <c r="J319" i="8"/>
  <c r="J330" i="8"/>
  <c r="J328" i="8"/>
  <c r="F318" i="8"/>
  <c r="F323" i="8"/>
  <c r="E328" i="8"/>
  <c r="E330" i="8"/>
  <c r="S330" i="8"/>
  <c r="S328" i="8"/>
  <c r="P323" i="8"/>
  <c r="J323" i="8"/>
  <c r="J318" i="8"/>
  <c r="S323" i="8"/>
  <c r="P330" i="8"/>
  <c r="P328" i="8"/>
  <c r="E323" i="8"/>
  <c r="S359" i="8"/>
  <c r="F359" i="8"/>
  <c r="P359" i="8"/>
  <c r="E359" i="8"/>
  <c r="J359" i="8"/>
  <c r="H391" i="8"/>
  <c r="F391" i="8"/>
  <c r="S391" i="8"/>
  <c r="J391" i="8"/>
  <c r="P391" i="8"/>
  <c r="E391" i="8"/>
  <c r="P357" i="8"/>
  <c r="E318" i="8"/>
  <c r="E357" i="8"/>
  <c r="E319" i="8"/>
  <c r="J357" i="8"/>
  <c r="F357" i="8"/>
  <c r="H357" i="8"/>
  <c r="S357" i="8"/>
  <c r="J389" i="8"/>
  <c r="T252" i="8"/>
  <c r="P389" i="8"/>
  <c r="S389" i="8"/>
  <c r="N242" i="8"/>
  <c r="H389" i="8"/>
  <c r="E389" i="8"/>
  <c r="F389" i="8"/>
  <c r="O247" i="8"/>
  <c r="Q242" i="8"/>
  <c r="U242" i="8"/>
  <c r="U248" i="8"/>
  <c r="K247" i="8"/>
  <c r="Q243" i="8"/>
  <c r="T242" i="8"/>
  <c r="Y252" i="8"/>
  <c r="Y246" i="8"/>
  <c r="Y251" i="8"/>
  <c r="Y245" i="8"/>
  <c r="I244" i="8"/>
  <c r="L248" i="8"/>
  <c r="R252" i="8"/>
  <c r="U250" i="8"/>
  <c r="Y244" i="8"/>
  <c r="K245" i="8"/>
  <c r="Y256" i="8"/>
  <c r="K242" i="8"/>
  <c r="K244" i="8"/>
  <c r="Y250" i="8"/>
  <c r="L246" i="8"/>
  <c r="K243" i="8"/>
  <c r="T244" i="8"/>
  <c r="R250" i="8"/>
  <c r="Y247" i="8"/>
  <c r="Q244" i="8"/>
  <c r="Y254" i="8"/>
  <c r="R246" i="8"/>
  <c r="O246" i="8"/>
  <c r="I245" i="8"/>
  <c r="N245" i="8"/>
  <c r="L253" i="8"/>
  <c r="R249" i="8"/>
  <c r="U247" i="8"/>
  <c r="Y255" i="8"/>
  <c r="L255" i="8"/>
  <c r="Q251" i="8"/>
  <c r="Y253" i="8"/>
  <c r="L252" i="8"/>
  <c r="Q248" i="8"/>
  <c r="U246" i="8"/>
  <c r="U252" i="8"/>
  <c r="Q246" i="8"/>
  <c r="N246" i="8"/>
  <c r="Y242" i="8"/>
  <c r="U251" i="8"/>
  <c r="O251" i="8"/>
  <c r="L251" i="8"/>
  <c r="L250" i="8"/>
  <c r="T245" i="8"/>
  <c r="L249" i="8"/>
  <c r="O249" i="8"/>
  <c r="I251" i="8"/>
  <c r="N251" i="8"/>
  <c r="Y249" i="8"/>
  <c r="Q250" i="8"/>
  <c r="N250" i="8"/>
  <c r="Q252" i="8"/>
  <c r="T251" i="8"/>
  <c r="Y248" i="8"/>
  <c r="Q249" i="8"/>
  <c r="L254" i="8"/>
  <c r="R242" i="8"/>
  <c r="O242" i="8"/>
  <c r="I254" i="8"/>
  <c r="N254" i="8"/>
  <c r="I253" i="8"/>
  <c r="I255" i="8"/>
  <c r="O255" i="8"/>
  <c r="I243" i="8"/>
  <c r="O243" i="8"/>
  <c r="Y243" i="8"/>
  <c r="T248" i="8"/>
  <c r="N248" i="8"/>
  <c r="T247" i="8"/>
  <c r="N247" i="8"/>
  <c r="R244" i="8"/>
  <c r="U244" i="8"/>
  <c r="O244" i="8"/>
  <c r="I252" i="8"/>
  <c r="K249" i="8"/>
  <c r="Q245" i="8"/>
  <c r="AP22" i="7"/>
  <c r="G260" i="8" s="1"/>
  <c r="AP19" i="7"/>
  <c r="G257" i="8" s="1"/>
  <c r="AP20" i="7"/>
  <c r="G258" i="8" s="1"/>
  <c r="AP23" i="7"/>
  <c r="G261" i="8" s="1"/>
  <c r="AP21" i="7"/>
  <c r="G259" i="8" s="1"/>
  <c r="L245" i="8"/>
  <c r="L242" i="8"/>
  <c r="L244" i="8"/>
  <c r="R247" i="8"/>
  <c r="U245" i="8"/>
  <c r="I248" i="8"/>
  <c r="K255" i="8"/>
  <c r="I247" i="8"/>
  <c r="K254" i="8"/>
  <c r="I246" i="8"/>
  <c r="K253" i="8"/>
  <c r="L243" i="8"/>
  <c r="Q247" i="8"/>
  <c r="I249" i="8"/>
  <c r="T246" i="8"/>
  <c r="K252" i="8"/>
  <c r="I250" i="8"/>
  <c r="K251" i="8"/>
  <c r="T250" i="8"/>
  <c r="I242" i="8"/>
  <c r="K250" i="8"/>
  <c r="R251" i="8"/>
  <c r="R245" i="8"/>
  <c r="U249" i="8"/>
  <c r="U243" i="8"/>
  <c r="T249" i="8"/>
  <c r="T243" i="8"/>
  <c r="K248" i="8"/>
  <c r="K246" i="8"/>
  <c r="R243" i="8"/>
  <c r="L247" i="8"/>
  <c r="R248" i="8"/>
  <c r="CS59" i="11"/>
  <c r="CS54" i="11"/>
  <c r="CO37" i="11"/>
  <c r="CQ20" i="10"/>
  <c r="CZ17" i="10"/>
  <c r="CX15" i="10"/>
  <c r="CV13" i="10"/>
  <c r="CV37" i="10" s="1"/>
  <c r="CP14" i="10"/>
  <c r="CP38" i="10" s="1"/>
  <c r="DA19" i="10"/>
  <c r="CZ18" i="10"/>
  <c r="CY17" i="10"/>
  <c r="CX16" i="10"/>
  <c r="CW15" i="10"/>
  <c r="CW39" i="10" s="1"/>
  <c r="CV14" i="10"/>
  <c r="CV38" i="10" s="1"/>
  <c r="CU13" i="10"/>
  <c r="CU37" i="10" s="1"/>
  <c r="CY16" i="10"/>
  <c r="CW14" i="10"/>
  <c r="CW38" i="10" s="1"/>
  <c r="DA20" i="10"/>
  <c r="CZ19" i="10"/>
  <c r="CY18" i="10"/>
  <c r="CX17" i="10"/>
  <c r="CW16" i="10"/>
  <c r="CV15" i="10"/>
  <c r="CV39" i="10" s="1"/>
  <c r="CU14" i="10"/>
  <c r="CU38" i="10" s="1"/>
  <c r="CT13" i="10"/>
  <c r="CT37" i="10" s="1"/>
  <c r="CV16" i="10"/>
  <c r="CO27" i="10"/>
  <c r="CY20" i="10"/>
  <c r="CX19" i="10"/>
  <c r="CW18" i="10"/>
  <c r="CV17" i="10"/>
  <c r="CU16" i="10"/>
  <c r="CU40" i="10" s="1"/>
  <c r="CT15" i="10"/>
  <c r="CT39" i="10" s="1"/>
  <c r="CS14" i="10"/>
  <c r="CS38" i="10" s="1"/>
  <c r="CR13" i="10"/>
  <c r="CR37" i="10" s="1"/>
  <c r="CX20" i="10"/>
  <c r="CW19" i="10"/>
  <c r="CV18" i="10"/>
  <c r="CU17" i="10"/>
  <c r="CU41" i="10" s="1"/>
  <c r="CT16" i="10"/>
  <c r="CT40" i="10" s="1"/>
  <c r="CS15" i="10"/>
  <c r="CS39" i="10" s="1"/>
  <c r="CR14" i="10"/>
  <c r="CR38" i="10" s="1"/>
  <c r="CQ13" i="10"/>
  <c r="CQ37" i="10" s="1"/>
  <c r="CW17" i="10"/>
  <c r="CW20" i="10"/>
  <c r="CV19" i="10"/>
  <c r="CU18" i="10"/>
  <c r="CU42" i="10" s="1"/>
  <c r="CT17" i="10"/>
  <c r="CT41" i="10" s="1"/>
  <c r="CS16" i="10"/>
  <c r="CS40" i="10" s="1"/>
  <c r="CR15" i="10"/>
  <c r="CR39" i="10" s="1"/>
  <c r="CQ14" i="10"/>
  <c r="CQ38" i="10" s="1"/>
  <c r="CO26" i="10"/>
  <c r="CX18" i="10"/>
  <c r="CS13" i="10"/>
  <c r="CS37" i="10" s="1"/>
  <c r="CP13" i="10"/>
  <c r="CP37" i="10" s="1"/>
  <c r="CP20" i="10"/>
  <c r="CV20" i="10"/>
  <c r="CU19" i="10"/>
  <c r="CT18" i="10"/>
  <c r="CT42" i="10" s="1"/>
  <c r="CS17" i="10"/>
  <c r="CS41" i="10" s="1"/>
  <c r="CR16" i="10"/>
  <c r="CR40" i="10" s="1"/>
  <c r="CQ15" i="10"/>
  <c r="CQ39" i="10" s="1"/>
  <c r="DA13" i="10"/>
  <c r="CP19" i="10"/>
  <c r="CU20" i="10"/>
  <c r="CT19" i="10"/>
  <c r="CS18" i="10"/>
  <c r="CR17" i="10"/>
  <c r="CR41" i="10" s="1"/>
  <c r="CQ16" i="10"/>
  <c r="CQ40" i="10" s="1"/>
  <c r="DA14" i="10"/>
  <c r="CZ13" i="10"/>
  <c r="CT14" i="10"/>
  <c r="CT38" i="10" s="1"/>
  <c r="CP18" i="10"/>
  <c r="CP42" i="10" s="1"/>
  <c r="CT20" i="10"/>
  <c r="CS19" i="10"/>
  <c r="CR18" i="10"/>
  <c r="CQ17" i="10"/>
  <c r="CQ41" i="10" s="1"/>
  <c r="DA15" i="10"/>
  <c r="CZ14" i="10"/>
  <c r="CY13" i="10"/>
  <c r="CU15" i="10"/>
  <c r="CU39" i="10" s="1"/>
  <c r="CP17" i="10"/>
  <c r="CP41" i="10" s="1"/>
  <c r="CS20" i="10"/>
  <c r="CR19" i="10"/>
  <c r="CQ18" i="10"/>
  <c r="CQ42" i="10" s="1"/>
  <c r="DA16" i="10"/>
  <c r="CZ15" i="10"/>
  <c r="CY14" i="10"/>
  <c r="CO24" i="10"/>
  <c r="CO25" i="10"/>
  <c r="T323" i="8" l="1"/>
  <c r="Q330" i="8"/>
  <c r="Q328" i="8"/>
  <c r="I323" i="8"/>
  <c r="I318" i="8"/>
  <c r="L319" i="8"/>
  <c r="L330" i="8"/>
  <c r="L328" i="8"/>
  <c r="N319" i="8"/>
  <c r="N330" i="8"/>
  <c r="N328" i="8"/>
  <c r="O318" i="8"/>
  <c r="O323" i="8"/>
  <c r="N318" i="8"/>
  <c r="N323" i="8"/>
  <c r="L318" i="8"/>
  <c r="L323" i="8"/>
  <c r="K318" i="8"/>
  <c r="K323" i="8"/>
  <c r="T330" i="8"/>
  <c r="T328" i="8"/>
  <c r="K330" i="8"/>
  <c r="K319" i="8"/>
  <c r="K328" i="8"/>
  <c r="U330" i="8"/>
  <c r="U328" i="8"/>
  <c r="G320" i="8"/>
  <c r="G325" i="8"/>
  <c r="R323" i="8"/>
  <c r="I319" i="8"/>
  <c r="I330" i="8"/>
  <c r="I328" i="8"/>
  <c r="Y330" i="8"/>
  <c r="U323" i="8"/>
  <c r="Q323" i="8"/>
  <c r="R330" i="8"/>
  <c r="R328" i="8"/>
  <c r="Y323" i="8"/>
  <c r="O319" i="8"/>
  <c r="O330" i="8"/>
  <c r="O328" i="8"/>
  <c r="Q359" i="8"/>
  <c r="U359" i="8"/>
  <c r="O359" i="8"/>
  <c r="R359" i="8"/>
  <c r="N359" i="8"/>
  <c r="T359" i="8"/>
  <c r="K359" i="8"/>
  <c r="L359" i="8"/>
  <c r="I359" i="8"/>
  <c r="Y359" i="8"/>
  <c r="R391" i="8"/>
  <c r="O391" i="8"/>
  <c r="K391" i="8"/>
  <c r="Y391" i="8"/>
  <c r="Q391" i="8"/>
  <c r="U391" i="8"/>
  <c r="L391" i="8"/>
  <c r="N391" i="8"/>
  <c r="T391" i="8"/>
  <c r="I391" i="8"/>
  <c r="L357" i="8"/>
  <c r="I357" i="8"/>
  <c r="R357" i="8"/>
  <c r="K357" i="8"/>
  <c r="T357" i="8"/>
  <c r="M13" i="4"/>
  <c r="L13" i="4"/>
  <c r="K13" i="4"/>
  <c r="U357" i="8"/>
  <c r="Y357" i="8"/>
  <c r="Q357" i="8"/>
  <c r="O357" i="8"/>
  <c r="N357" i="8"/>
  <c r="Q12" i="4"/>
  <c r="Y389" i="8"/>
  <c r="G388" i="8"/>
  <c r="L389" i="8"/>
  <c r="K389" i="8"/>
  <c r="T389" i="8"/>
  <c r="O389" i="8"/>
  <c r="N389" i="8"/>
  <c r="Q389" i="8"/>
  <c r="R389" i="8"/>
  <c r="U389" i="8"/>
  <c r="I389" i="8"/>
  <c r="AA12" i="4"/>
  <c r="O381" i="8"/>
  <c r="AB11" i="4"/>
  <c r="U11" i="4"/>
  <c r="T11" i="4"/>
  <c r="W11" i="4"/>
  <c r="X11" i="4"/>
  <c r="T12" i="4"/>
  <c r="U12" i="4"/>
  <c r="V12" i="4"/>
  <c r="AP24" i="7"/>
  <c r="Y11" i="4"/>
  <c r="X12" i="4"/>
  <c r="Y12" i="4"/>
  <c r="W12" i="4"/>
  <c r="S12" i="4"/>
  <c r="R12" i="4"/>
  <c r="P11" i="4"/>
  <c r="O11" i="4"/>
  <c r="N11" i="4"/>
  <c r="AA11" i="4"/>
  <c r="Z11" i="4"/>
  <c r="Z12" i="4"/>
  <c r="P12" i="4"/>
  <c r="O12" i="4"/>
  <c r="N12" i="4"/>
  <c r="AB12" i="4"/>
  <c r="S11" i="4"/>
  <c r="R11" i="4"/>
  <c r="Q11" i="4"/>
  <c r="CO29" i="10"/>
  <c r="F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F381" i="8"/>
  <c r="H381" i="8"/>
  <c r="I381" i="8"/>
  <c r="J381" i="8"/>
  <c r="K381" i="8"/>
  <c r="L381" i="8"/>
  <c r="M381" i="8"/>
  <c r="N381" i="8"/>
  <c r="P381" i="8"/>
  <c r="Q381" i="8"/>
  <c r="R381" i="8"/>
  <c r="S381" i="8"/>
  <c r="T381" i="8"/>
  <c r="U381" i="8"/>
  <c r="V381" i="8"/>
  <c r="W381" i="8"/>
  <c r="X381" i="8"/>
  <c r="F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M383" i="8"/>
  <c r="V383" i="8"/>
  <c r="W383" i="8"/>
  <c r="X383" i="8"/>
  <c r="F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E384" i="8"/>
  <c r="E382" i="8"/>
  <c r="E381" i="8"/>
  <c r="E380" i="8"/>
  <c r="AO11" i="7"/>
  <c r="AO12" i="7"/>
  <c r="AO13" i="7"/>
  <c r="AO14" i="7"/>
  <c r="AO15" i="7"/>
  <c r="AO16" i="7"/>
  <c r="AO10" i="7"/>
  <c r="K9" i="7"/>
  <c r="J29" i="8"/>
  <c r="J30" i="8"/>
  <c r="J31" i="8"/>
  <c r="J32" i="8"/>
  <c r="J28" i="8"/>
  <c r="E32" i="8"/>
  <c r="I86" i="9"/>
  <c r="M86" i="9"/>
  <c r="S29" i="8"/>
  <c r="S30" i="8"/>
  <c r="S31" i="8"/>
  <c r="S32" i="8"/>
  <c r="S28" i="8"/>
  <c r="P29" i="8"/>
  <c r="P30" i="8"/>
  <c r="P31" i="8"/>
  <c r="P32" i="8"/>
  <c r="P28" i="8"/>
  <c r="S232" i="8"/>
  <c r="S233" i="8"/>
  <c r="S234" i="8"/>
  <c r="S235" i="8"/>
  <c r="S236" i="8"/>
  <c r="S237" i="8"/>
  <c r="S238" i="8"/>
  <c r="S239" i="8"/>
  <c r="S240" i="8"/>
  <c r="S231" i="8"/>
  <c r="P232" i="8"/>
  <c r="P233" i="8"/>
  <c r="P234" i="8"/>
  <c r="P235" i="8"/>
  <c r="P236" i="8"/>
  <c r="P237" i="8"/>
  <c r="P238" i="8"/>
  <c r="P239" i="8"/>
  <c r="P240" i="8"/>
  <c r="P231" i="8"/>
  <c r="BU3" i="12"/>
  <c r="BU8" i="12"/>
  <c r="BU13" i="12"/>
  <c r="BU18" i="12"/>
  <c r="BQ18" i="12"/>
  <c r="BQ13" i="12"/>
  <c r="BQ8" i="12"/>
  <c r="BQ3" i="12"/>
  <c r="M373" i="8"/>
  <c r="V373" i="8"/>
  <c r="W373" i="8"/>
  <c r="X373" i="8"/>
  <c r="J237" i="8"/>
  <c r="J238" i="8"/>
  <c r="J239" i="8"/>
  <c r="J240" i="8"/>
  <c r="J232" i="8"/>
  <c r="J233" i="8"/>
  <c r="J234" i="8"/>
  <c r="J235" i="8"/>
  <c r="J236" i="8"/>
  <c r="J231" i="8"/>
  <c r="CD64" i="11"/>
  <c r="CC70" i="11"/>
  <c r="CC71" i="11"/>
  <c r="CC72" i="11"/>
  <c r="CC73" i="11"/>
  <c r="CC69" i="11"/>
  <c r="CC65" i="11"/>
  <c r="CC66" i="11"/>
  <c r="CC67" i="11"/>
  <c r="CC68" i="11"/>
  <c r="CC64" i="11"/>
  <c r="CC60" i="11"/>
  <c r="CC61" i="11"/>
  <c r="CC62" i="11"/>
  <c r="CC63" i="11"/>
  <c r="CC59" i="11"/>
  <c r="CC55" i="11"/>
  <c r="CD54" i="11" s="1"/>
  <c r="CC56" i="11"/>
  <c r="CC57" i="11"/>
  <c r="CC58" i="11"/>
  <c r="CC54" i="11"/>
  <c r="CB45" i="11"/>
  <c r="CC45" i="11"/>
  <c r="CD45" i="11"/>
  <c r="CE45" i="11"/>
  <c r="CF45" i="11"/>
  <c r="CG45" i="11"/>
  <c r="CH45" i="11"/>
  <c r="CI45" i="11"/>
  <c r="CJ45" i="11"/>
  <c r="CB46" i="11"/>
  <c r="CC46" i="11"/>
  <c r="CD46" i="11"/>
  <c r="CE46" i="11"/>
  <c r="CF46" i="11"/>
  <c r="CG46" i="11"/>
  <c r="CH46" i="11"/>
  <c r="CI46" i="11"/>
  <c r="CJ46" i="11"/>
  <c r="CB47" i="11"/>
  <c r="CC47" i="11"/>
  <c r="CD47" i="11"/>
  <c r="CE47" i="11"/>
  <c r="CF47" i="11"/>
  <c r="CG47" i="11"/>
  <c r="CH47" i="11"/>
  <c r="CB48" i="11"/>
  <c r="CC48" i="11"/>
  <c r="CD48" i="11"/>
  <c r="CE48" i="11"/>
  <c r="CF48" i="11"/>
  <c r="CG48" i="11"/>
  <c r="CH48" i="11"/>
  <c r="CB49" i="11"/>
  <c r="CC49" i="11"/>
  <c r="CD49" i="11"/>
  <c r="CE49" i="11"/>
  <c r="CF49" i="11"/>
  <c r="CG49" i="11"/>
  <c r="CH49" i="11"/>
  <c r="CB50" i="11"/>
  <c r="CC50" i="11"/>
  <c r="CD50" i="11"/>
  <c r="CE50" i="11"/>
  <c r="CF50" i="11"/>
  <c r="CG50" i="11"/>
  <c r="CH50" i="11"/>
  <c r="CB51" i="11"/>
  <c r="CC51" i="11"/>
  <c r="CD51" i="11"/>
  <c r="CE51" i="11"/>
  <c r="CF51" i="11"/>
  <c r="CG51" i="11"/>
  <c r="CH51" i="11"/>
  <c r="CA46" i="11"/>
  <c r="CA47" i="11"/>
  <c r="CA48" i="11"/>
  <c r="CA49" i="11"/>
  <c r="CA50" i="11"/>
  <c r="CA51" i="11"/>
  <c r="CA45" i="11"/>
  <c r="BZ40" i="11"/>
  <c r="BZ39" i="11"/>
  <c r="BZ38" i="11"/>
  <c r="BZ37" i="11"/>
  <c r="BZ36" i="11"/>
  <c r="BZ35" i="11"/>
  <c r="BZ34" i="11"/>
  <c r="BZ33" i="11"/>
  <c r="BZ32" i="11"/>
  <c r="BZ31" i="11"/>
  <c r="CL28" i="11"/>
  <c r="CK28" i="11"/>
  <c r="CJ28" i="11"/>
  <c r="CI28" i="11"/>
  <c r="CH28" i="11"/>
  <c r="CG28" i="11"/>
  <c r="CF28" i="11"/>
  <c r="CE28" i="11"/>
  <c r="CD28" i="11"/>
  <c r="CC28" i="11"/>
  <c r="CB28" i="11"/>
  <c r="CA28" i="11"/>
  <c r="CL27" i="11"/>
  <c r="CK27" i="11"/>
  <c r="CJ27" i="11"/>
  <c r="CI27" i="11"/>
  <c r="CH27" i="11"/>
  <c r="CG27" i="11"/>
  <c r="CF27" i="11"/>
  <c r="CE27" i="11"/>
  <c r="CD27" i="11"/>
  <c r="CC27" i="11"/>
  <c r="CB27" i="11"/>
  <c r="CA27" i="11"/>
  <c r="CL26" i="11"/>
  <c r="CK26" i="11"/>
  <c r="CJ26" i="11"/>
  <c r="CI26" i="11"/>
  <c r="CH26" i="11"/>
  <c r="CG26" i="11"/>
  <c r="CF26" i="11"/>
  <c r="CE26" i="11"/>
  <c r="CD26" i="11"/>
  <c r="CC26" i="11"/>
  <c r="CB26" i="11"/>
  <c r="CA26" i="11"/>
  <c r="CL25" i="11"/>
  <c r="CK25" i="11"/>
  <c r="CJ25" i="11"/>
  <c r="CI25" i="11"/>
  <c r="CH25" i="11"/>
  <c r="CG25" i="11"/>
  <c r="CF25" i="11"/>
  <c r="CE25" i="11"/>
  <c r="CD25" i="11"/>
  <c r="CC25" i="11"/>
  <c r="CB25" i="11"/>
  <c r="CA25" i="11"/>
  <c r="CL24" i="11"/>
  <c r="CK24" i="11"/>
  <c r="CJ24" i="11"/>
  <c r="CI24" i="11"/>
  <c r="CH24" i="11"/>
  <c r="CG24" i="11"/>
  <c r="CF24" i="11"/>
  <c r="CE24" i="11"/>
  <c r="CD24" i="11"/>
  <c r="CC24" i="11"/>
  <c r="CB24" i="11"/>
  <c r="CA24" i="11"/>
  <c r="CL23" i="11"/>
  <c r="CK23" i="11"/>
  <c r="CJ23" i="11"/>
  <c r="CI23" i="11"/>
  <c r="CH23" i="11"/>
  <c r="CG23" i="11"/>
  <c r="CF23" i="11"/>
  <c r="CE23" i="11"/>
  <c r="CD23" i="11"/>
  <c r="CC23" i="11"/>
  <c r="CB23" i="11"/>
  <c r="CA23" i="11"/>
  <c r="CL22" i="11"/>
  <c r="CK22" i="11"/>
  <c r="CJ22" i="11"/>
  <c r="CI22" i="11"/>
  <c r="CH22" i="11"/>
  <c r="CG22" i="11"/>
  <c r="CF22" i="11"/>
  <c r="CE22" i="11"/>
  <c r="CD22" i="11"/>
  <c r="CC22" i="11"/>
  <c r="CB22" i="11"/>
  <c r="CA22" i="11"/>
  <c r="CL21" i="11"/>
  <c r="CK21" i="11"/>
  <c r="CJ21" i="11"/>
  <c r="CI21" i="11"/>
  <c r="CH21" i="11"/>
  <c r="CG21" i="11"/>
  <c r="CF21" i="11"/>
  <c r="CE21" i="11"/>
  <c r="CD21" i="11"/>
  <c r="CC21" i="11"/>
  <c r="CB21" i="11"/>
  <c r="CA21" i="11"/>
  <c r="E233" i="8"/>
  <c r="F233" i="8"/>
  <c r="O233" i="8" s="1"/>
  <c r="E239" i="8"/>
  <c r="M96" i="9"/>
  <c r="F240" i="8" s="1"/>
  <c r="O240" i="8" s="1"/>
  <c r="I96" i="9"/>
  <c r="E240" i="8" s="1"/>
  <c r="M85" i="9"/>
  <c r="I85" i="9"/>
  <c r="M84" i="9"/>
  <c r="I84" i="9"/>
  <c r="M83" i="9"/>
  <c r="I83" i="9"/>
  <c r="M82" i="9"/>
  <c r="I82" i="9"/>
  <c r="M81" i="9"/>
  <c r="F32" i="8" s="1"/>
  <c r="O32" i="8" s="1"/>
  <c r="I81" i="9"/>
  <c r="M80" i="9"/>
  <c r="F31" i="8" s="1"/>
  <c r="O31" i="8" s="1"/>
  <c r="I80" i="9"/>
  <c r="E31" i="8" s="1"/>
  <c r="M79" i="9"/>
  <c r="I79" i="9"/>
  <c r="E30" i="8" s="1"/>
  <c r="M78" i="9"/>
  <c r="F29" i="8" s="1"/>
  <c r="O29" i="8" s="1"/>
  <c r="I78" i="9"/>
  <c r="E29" i="8" s="1"/>
  <c r="M77" i="9"/>
  <c r="F28" i="8" s="1"/>
  <c r="I77" i="9"/>
  <c r="E28" i="8" s="1"/>
  <c r="M95" i="9"/>
  <c r="F239" i="8" s="1"/>
  <c r="O239" i="8" s="1"/>
  <c r="I95" i="9"/>
  <c r="M94" i="9"/>
  <c r="F238" i="8" s="1"/>
  <c r="O238" i="8" s="1"/>
  <c r="I94" i="9"/>
  <c r="E238" i="8" s="1"/>
  <c r="M93" i="9"/>
  <c r="F237" i="8" s="1"/>
  <c r="O237" i="8" s="1"/>
  <c r="I93" i="9"/>
  <c r="E237" i="8" s="1"/>
  <c r="M92" i="9"/>
  <c r="F236" i="8" s="1"/>
  <c r="O236" i="8" s="1"/>
  <c r="I92" i="9"/>
  <c r="E236" i="8" s="1"/>
  <c r="M91" i="9"/>
  <c r="F235" i="8" s="1"/>
  <c r="O235" i="8" s="1"/>
  <c r="I91" i="9"/>
  <c r="E235" i="8" s="1"/>
  <c r="M90" i="9"/>
  <c r="F234" i="8" s="1"/>
  <c r="I90" i="9"/>
  <c r="E234" i="8" s="1"/>
  <c r="M89" i="9"/>
  <c r="I89" i="9"/>
  <c r="M88" i="9"/>
  <c r="F232" i="8" s="1"/>
  <c r="O232" i="8" s="1"/>
  <c r="I88" i="9"/>
  <c r="E232" i="8" s="1"/>
  <c r="M87" i="9"/>
  <c r="F231" i="8" s="1"/>
  <c r="O231" i="8" s="1"/>
  <c r="I87" i="9"/>
  <c r="E231" i="8" s="1"/>
  <c r="CF11" i="10"/>
  <c r="CK13" i="10" s="1"/>
  <c r="AP14" i="7" l="1"/>
  <c r="G250" i="8" s="1"/>
  <c r="AP13" i="7"/>
  <c r="G249" i="8" s="1"/>
  <c r="AP16" i="7"/>
  <c r="G252" i="8" s="1"/>
  <c r="AP15" i="7"/>
  <c r="G251" i="8" s="1"/>
  <c r="AP11" i="7"/>
  <c r="G247" i="8" s="1"/>
  <c r="AP10" i="7"/>
  <c r="AP12" i="7"/>
  <c r="G248" i="8" s="1"/>
  <c r="Y233" i="8"/>
  <c r="Y231" i="8"/>
  <c r="Y237" i="8"/>
  <c r="Y240" i="8"/>
  <c r="Y232" i="8"/>
  <c r="Y238" i="8"/>
  <c r="Y235" i="8"/>
  <c r="Y236" i="8"/>
  <c r="T10" i="4"/>
  <c r="U10" i="4"/>
  <c r="Y234" i="8"/>
  <c r="O373" i="8"/>
  <c r="O383" i="8"/>
  <c r="R28" i="8"/>
  <c r="O28" i="8"/>
  <c r="R234" i="8"/>
  <c r="O234" i="8"/>
  <c r="U9" i="4" s="1"/>
  <c r="Y239" i="8"/>
  <c r="F373" i="8"/>
  <c r="R231" i="8"/>
  <c r="CE16" i="10"/>
  <c r="CE40" i="10" s="1"/>
  <c r="CH20" i="10"/>
  <c r="CA18" i="10"/>
  <c r="CE20" i="10"/>
  <c r="CD19" i="10"/>
  <c r="CC18" i="10"/>
  <c r="CB17" i="10"/>
  <c r="CB41" i="10" s="1"/>
  <c r="CL15" i="10"/>
  <c r="CK14" i="10"/>
  <c r="CJ13" i="10"/>
  <c r="CJ37" i="10" s="1"/>
  <c r="CA17" i="10"/>
  <c r="CA41" i="10" s="1"/>
  <c r="CD20" i="10"/>
  <c r="CC19" i="10"/>
  <c r="CB18" i="10"/>
  <c r="CB42" i="10" s="1"/>
  <c r="CL16" i="10"/>
  <c r="CK15" i="10"/>
  <c r="CJ14" i="10"/>
  <c r="CJ38" i="10" s="1"/>
  <c r="CI13" i="10"/>
  <c r="CI37" i="10" s="1"/>
  <c r="CF17" i="10"/>
  <c r="CF41" i="10" s="1"/>
  <c r="CD16" i="10"/>
  <c r="CD40" i="10" s="1"/>
  <c r="CB19" i="10"/>
  <c r="CJ15" i="10"/>
  <c r="CJ39" i="10" s="1"/>
  <c r="CH13" i="10"/>
  <c r="CH37" i="10" s="1"/>
  <c r="CA15" i="10"/>
  <c r="CA39" i="10" s="1"/>
  <c r="CL18" i="10"/>
  <c r="CI15" i="10"/>
  <c r="CI39" i="10" s="1"/>
  <c r="CG13" i="10"/>
  <c r="CG37" i="10" s="1"/>
  <c r="CA14" i="10"/>
  <c r="CL19" i="10"/>
  <c r="CK18" i="10"/>
  <c r="CJ17" i="10"/>
  <c r="CJ41" i="10" s="1"/>
  <c r="CI16" i="10"/>
  <c r="CI40" i="10" s="1"/>
  <c r="CC64" i="10" s="1"/>
  <c r="H239" i="8" s="1"/>
  <c r="CH15" i="10"/>
  <c r="CH39" i="10" s="1"/>
  <c r="CG14" i="10"/>
  <c r="CG38" i="10" s="1"/>
  <c r="CF13" i="10"/>
  <c r="CF37" i="10" s="1"/>
  <c r="CH19" i="10"/>
  <c r="CB14" i="10"/>
  <c r="CB38" i="10" s="1"/>
  <c r="CC14" i="10"/>
  <c r="CC38" i="10" s="1"/>
  <c r="CA13" i="10"/>
  <c r="CC15" i="10"/>
  <c r="CC39" i="10" s="1"/>
  <c r="CA16" i="10"/>
  <c r="CL17" i="10"/>
  <c r="CI14" i="10"/>
  <c r="CI38" i="10" s="1"/>
  <c r="CC62" i="10" s="1"/>
  <c r="H237" i="8" s="1"/>
  <c r="K237" i="8" s="1"/>
  <c r="CB20" i="10"/>
  <c r="CJ16" i="10"/>
  <c r="CJ40" i="10" s="1"/>
  <c r="CH14" i="10"/>
  <c r="CH38" i="10" s="1"/>
  <c r="CL20" i="10"/>
  <c r="CJ18" i="10"/>
  <c r="CI17" i="10"/>
  <c r="CI41" i="10" s="1"/>
  <c r="CG15" i="10"/>
  <c r="CG39" i="10" s="1"/>
  <c r="CC58" i="10" s="1"/>
  <c r="H233" i="8" s="1"/>
  <c r="I233" i="8" s="1"/>
  <c r="CF14" i="10"/>
  <c r="CF38" i="10" s="1"/>
  <c r="CK20" i="10"/>
  <c r="CJ19" i="10"/>
  <c r="CI18" i="10"/>
  <c r="CH17" i="10"/>
  <c r="CH41" i="10" s="1"/>
  <c r="CG16" i="10"/>
  <c r="CG40" i="10" s="1"/>
  <c r="CC59" i="10" s="1"/>
  <c r="H234" i="8" s="1"/>
  <c r="CF15" i="10"/>
  <c r="CF39" i="10" s="1"/>
  <c r="CE14" i="10"/>
  <c r="CE38" i="10" s="1"/>
  <c r="CC52" i="10" s="1"/>
  <c r="CD13" i="10"/>
  <c r="CD37" i="10" s="1"/>
  <c r="CD15" i="10"/>
  <c r="CD39" i="10" s="1"/>
  <c r="CF18" i="10"/>
  <c r="CC20" i="10"/>
  <c r="CK16" i="10"/>
  <c r="CK17" i="10"/>
  <c r="CK19" i="10"/>
  <c r="CH16" i="10"/>
  <c r="CH40" i="10" s="1"/>
  <c r="CE13" i="10"/>
  <c r="CE37" i="10" s="1"/>
  <c r="CJ20" i="10"/>
  <c r="CI19" i="10"/>
  <c r="CH18" i="10"/>
  <c r="CG17" i="10"/>
  <c r="CG41" i="10" s="1"/>
  <c r="CC60" i="10" s="1"/>
  <c r="H235" i="8" s="1"/>
  <c r="CF16" i="10"/>
  <c r="CF40" i="10" s="1"/>
  <c r="CE15" i="10"/>
  <c r="CE39" i="10" s="1"/>
  <c r="CD14" i="10"/>
  <c r="CD38" i="10" s="1"/>
  <c r="CC13" i="10"/>
  <c r="CC37" i="10" s="1"/>
  <c r="CI20" i="10"/>
  <c r="CG18" i="10"/>
  <c r="CG19" i="10"/>
  <c r="CF19" i="10"/>
  <c r="CB13" i="10"/>
  <c r="CB37" i="10" s="1"/>
  <c r="CE17" i="10"/>
  <c r="CE41" i="10" s="1"/>
  <c r="CC55" i="10" s="1"/>
  <c r="CA20" i="10"/>
  <c r="CG20" i="10"/>
  <c r="CE18" i="10"/>
  <c r="CD17" i="10"/>
  <c r="CD41" i="10" s="1"/>
  <c r="CC16" i="10"/>
  <c r="CC40" i="10" s="1"/>
  <c r="CC49" i="10" s="1"/>
  <c r="H31" i="8" s="1"/>
  <c r="CB15" i="10"/>
  <c r="CB39" i="10" s="1"/>
  <c r="CL13" i="10"/>
  <c r="CA19" i="10"/>
  <c r="CF20" i="10"/>
  <c r="CE19" i="10"/>
  <c r="CD18" i="10"/>
  <c r="CC17" i="10"/>
  <c r="CC41" i="10" s="1"/>
  <c r="CC50" i="10" s="1"/>
  <c r="H32" i="8" s="1"/>
  <c r="CB16" i="10"/>
  <c r="CB40" i="10" s="1"/>
  <c r="CL14" i="10"/>
  <c r="U239" i="8"/>
  <c r="R232" i="8"/>
  <c r="J383" i="8"/>
  <c r="U233" i="8"/>
  <c r="P373" i="8"/>
  <c r="L235" i="8"/>
  <c r="U235" i="8"/>
  <c r="S383" i="8"/>
  <c r="P383" i="8"/>
  <c r="L32" i="8"/>
  <c r="L238" i="8"/>
  <c r="R239" i="8"/>
  <c r="S373" i="8"/>
  <c r="R29" i="8"/>
  <c r="L29" i="8"/>
  <c r="R240" i="8"/>
  <c r="U240" i="8"/>
  <c r="L31" i="8"/>
  <c r="F383" i="8"/>
  <c r="E373" i="8"/>
  <c r="U231" i="8"/>
  <c r="R31" i="8"/>
  <c r="E383" i="8"/>
  <c r="R32" i="8"/>
  <c r="L231" i="8"/>
  <c r="R238" i="8"/>
  <c r="R237" i="8"/>
  <c r="R235" i="8"/>
  <c r="L236" i="8"/>
  <c r="U236" i="8"/>
  <c r="U28" i="8"/>
  <c r="R233" i="8"/>
  <c r="U232" i="8"/>
  <c r="U29" i="8"/>
  <c r="U237" i="8"/>
  <c r="U32" i="8"/>
  <c r="L232" i="8"/>
  <c r="L28" i="8"/>
  <c r="U238" i="8"/>
  <c r="J373" i="8"/>
  <c r="R236" i="8"/>
  <c r="U31" i="8"/>
  <c r="U234" i="8"/>
  <c r="L233" i="8"/>
  <c r="L234" i="8"/>
  <c r="L240" i="8"/>
  <c r="L239" i="8"/>
  <c r="L237" i="8"/>
  <c r="CD59" i="11"/>
  <c r="CD69" i="11"/>
  <c r="G319" i="8" l="1"/>
  <c r="G330" i="8"/>
  <c r="G328" i="8"/>
  <c r="G359" i="8"/>
  <c r="G391" i="8"/>
  <c r="K12" i="4"/>
  <c r="G381" i="8"/>
  <c r="L12" i="4"/>
  <c r="M12" i="4"/>
  <c r="G380" i="8"/>
  <c r="G382" i="8"/>
  <c r="T9" i="4"/>
  <c r="Q233" i="8"/>
  <c r="T237" i="8"/>
  <c r="Q32" i="8"/>
  <c r="N32" i="8"/>
  <c r="I234" i="8"/>
  <c r="N234" i="8"/>
  <c r="T239" i="8"/>
  <c r="N239" i="8"/>
  <c r="I237" i="8"/>
  <c r="N237" i="8"/>
  <c r="I235" i="8"/>
  <c r="N235" i="8"/>
  <c r="I31" i="8"/>
  <c r="N31" i="8"/>
  <c r="T233" i="8"/>
  <c r="N233" i="8"/>
  <c r="Y383" i="8"/>
  <c r="R10" i="4"/>
  <c r="K31" i="8"/>
  <c r="Q237" i="8"/>
  <c r="I239" i="8"/>
  <c r="I32" i="8"/>
  <c r="Q234" i="8"/>
  <c r="K235" i="8"/>
  <c r="T32" i="8"/>
  <c r="K32" i="8"/>
  <c r="CC57" i="10"/>
  <c r="H232" i="8" s="1"/>
  <c r="N232" i="8" s="1"/>
  <c r="K234" i="8"/>
  <c r="T235" i="8"/>
  <c r="T234" i="8"/>
  <c r="CC54" i="10"/>
  <c r="Q31" i="8"/>
  <c r="Q239" i="8"/>
  <c r="CC61" i="10"/>
  <c r="Q235" i="8"/>
  <c r="T31" i="8"/>
  <c r="BZ27" i="10"/>
  <c r="CA40" i="10"/>
  <c r="CC48" i="10"/>
  <c r="H30" i="8" s="1"/>
  <c r="N30" i="8" s="1"/>
  <c r="BZ25" i="10"/>
  <c r="CA38" i="10"/>
  <c r="CC46" i="10"/>
  <c r="CA37" i="10"/>
  <c r="BZ24" i="10"/>
  <c r="CC56" i="10"/>
  <c r="CC47" i="10"/>
  <c r="H29" i="8" s="1"/>
  <c r="N29" i="8" s="1"/>
  <c r="CC63" i="10"/>
  <c r="H238" i="8" s="1"/>
  <c r="N238" i="8" s="1"/>
  <c r="K233" i="8"/>
  <c r="K239" i="8"/>
  <c r="CC53" i="10"/>
  <c r="CD51" i="10" s="1"/>
  <c r="CC65" i="10"/>
  <c r="H240" i="8" s="1"/>
  <c r="N240" i="8" s="1"/>
  <c r="CA42" i="10"/>
  <c r="BZ29" i="10"/>
  <c r="R373" i="8"/>
  <c r="R9" i="4"/>
  <c r="AA10" i="4"/>
  <c r="Q9" i="4"/>
  <c r="Q10" i="4"/>
  <c r="X9" i="4"/>
  <c r="Z9" i="4"/>
  <c r="U383" i="8"/>
  <c r="W9" i="4"/>
  <c r="L383" i="8"/>
  <c r="U373" i="8"/>
  <c r="R383" i="8"/>
  <c r="X10" i="4"/>
  <c r="W10" i="4"/>
  <c r="Z10" i="4"/>
  <c r="AA9" i="4"/>
  <c r="L373" i="8"/>
  <c r="K238" i="8" l="1"/>
  <c r="I238" i="8"/>
  <c r="Q238" i="8"/>
  <c r="T238" i="8"/>
  <c r="I240" i="8"/>
  <c r="T240" i="8"/>
  <c r="Q240" i="8"/>
  <c r="K240" i="8"/>
  <c r="T29" i="8"/>
  <c r="I29" i="8"/>
  <c r="K29" i="8"/>
  <c r="Q29" i="8"/>
  <c r="H231" i="8"/>
  <c r="Q30" i="8"/>
  <c r="T30" i="8"/>
  <c r="K30" i="8"/>
  <c r="H28" i="8"/>
  <c r="N28" i="8" s="1"/>
  <c r="CD46" i="10"/>
  <c r="I232" i="8"/>
  <c r="Q232" i="8"/>
  <c r="K232" i="8"/>
  <c r="T232" i="8"/>
  <c r="H236" i="8"/>
  <c r="CD61" i="10"/>
  <c r="F378" i="8"/>
  <c r="J378" i="8"/>
  <c r="L378" i="8"/>
  <c r="M378" i="8"/>
  <c r="O378" i="8"/>
  <c r="P378" i="8"/>
  <c r="R378" i="8"/>
  <c r="S378" i="8"/>
  <c r="U378" i="8"/>
  <c r="V378" i="8"/>
  <c r="W378" i="8"/>
  <c r="X378" i="8"/>
  <c r="Y378" i="8"/>
  <c r="E378" i="8"/>
  <c r="AO4" i="7"/>
  <c r="AO5" i="7"/>
  <c r="AO6" i="7"/>
  <c r="AO7" i="7"/>
  <c r="AO8" i="7"/>
  <c r="AO3" i="7"/>
  <c r="AP17" i="7"/>
  <c r="F376" i="8"/>
  <c r="J376" i="8"/>
  <c r="L376" i="8"/>
  <c r="M376" i="8"/>
  <c r="O376" i="8"/>
  <c r="P376" i="8"/>
  <c r="R376" i="8"/>
  <c r="S376" i="8"/>
  <c r="U376" i="8"/>
  <c r="V376" i="8"/>
  <c r="W376" i="8"/>
  <c r="X376" i="8"/>
  <c r="E376" i="8"/>
  <c r="F372" i="8"/>
  <c r="J372" i="8"/>
  <c r="L372" i="8"/>
  <c r="M372" i="8"/>
  <c r="O372" i="8"/>
  <c r="P372" i="8"/>
  <c r="R372" i="8"/>
  <c r="S372" i="8"/>
  <c r="U372" i="8"/>
  <c r="V372" i="8"/>
  <c r="W372" i="8"/>
  <c r="X372" i="8"/>
  <c r="E372" i="8"/>
  <c r="V371" i="8"/>
  <c r="W371" i="8"/>
  <c r="X371" i="8"/>
  <c r="V370" i="8"/>
  <c r="W370" i="8"/>
  <c r="X370" i="8"/>
  <c r="AI11" i="7"/>
  <c r="AI12" i="7"/>
  <c r="AI13" i="7"/>
  <c r="AI14" i="7"/>
  <c r="AI15" i="7"/>
  <c r="AI10" i="7"/>
  <c r="AJ10" i="7" s="1"/>
  <c r="AP3" i="7" l="1"/>
  <c r="AJ15" i="7"/>
  <c r="G240" i="8" s="1"/>
  <c r="AJ13" i="7"/>
  <c r="G238" i="8" s="1"/>
  <c r="AJ11" i="7"/>
  <c r="G236" i="8" s="1"/>
  <c r="AP5" i="7"/>
  <c r="G243" i="8" s="1"/>
  <c r="AJ14" i="7"/>
  <c r="G239" i="8" s="1"/>
  <c r="AJ12" i="7"/>
  <c r="G237" i="8" s="1"/>
  <c r="AP6" i="7"/>
  <c r="G244" i="8" s="1"/>
  <c r="AP4" i="7"/>
  <c r="G242" i="8" s="1"/>
  <c r="AP8" i="7"/>
  <c r="G246" i="8" s="1"/>
  <c r="AP7" i="7"/>
  <c r="G245" i="8" s="1"/>
  <c r="H376" i="8"/>
  <c r="N236" i="8"/>
  <c r="H378" i="8"/>
  <c r="N231" i="8"/>
  <c r="N378" i="8" s="1"/>
  <c r="K28" i="8"/>
  <c r="I28" i="8"/>
  <c r="Q28" i="8"/>
  <c r="T28" i="8"/>
  <c r="H373" i="8"/>
  <c r="Q236" i="8"/>
  <c r="I236" i="8"/>
  <c r="H383" i="8"/>
  <c r="K236" i="8"/>
  <c r="T236" i="8"/>
  <c r="H372" i="8"/>
  <c r="Q231" i="8"/>
  <c r="I231" i="8"/>
  <c r="K231" i="8"/>
  <c r="T231" i="8"/>
  <c r="G323" i="8" l="1"/>
  <c r="G318" i="8"/>
  <c r="G357" i="8"/>
  <c r="G372" i="8"/>
  <c r="K10" i="4"/>
  <c r="M10" i="4"/>
  <c r="L10" i="4"/>
  <c r="G376" i="8"/>
  <c r="G383" i="8"/>
  <c r="K11" i="4"/>
  <c r="G373" i="8"/>
  <c r="AJ16" i="7"/>
  <c r="G389" i="8"/>
  <c r="G384" i="8"/>
  <c r="L11" i="4"/>
  <c r="AP9" i="7"/>
  <c r="N373" i="8"/>
  <c r="N383" i="8"/>
  <c r="N376" i="8"/>
  <c r="N372" i="8"/>
  <c r="T373" i="8"/>
  <c r="T383" i="8"/>
  <c r="T372" i="8"/>
  <c r="T376" i="8"/>
  <c r="K373" i="8"/>
  <c r="K383" i="8"/>
  <c r="K372" i="8"/>
  <c r="K376" i="8"/>
  <c r="K378" i="8"/>
  <c r="N9" i="4"/>
  <c r="O9" i="4"/>
  <c r="I378" i="8"/>
  <c r="Q378" i="8"/>
  <c r="N10" i="4"/>
  <c r="I373" i="8"/>
  <c r="O10" i="4"/>
  <c r="I383" i="8"/>
  <c r="I372" i="8"/>
  <c r="I376" i="8"/>
  <c r="Q373" i="8"/>
  <c r="Q383" i="8"/>
  <c r="Q376" i="8"/>
  <c r="Q372" i="8"/>
  <c r="T378" i="8"/>
  <c r="L9" i="7"/>
  <c r="K10" i="7"/>
  <c r="K11" i="7"/>
  <c r="L11" i="7" s="1"/>
  <c r="K12" i="7"/>
  <c r="L12" i="7" s="1"/>
  <c r="K13" i="7"/>
  <c r="K14" i="7"/>
  <c r="L14" i="7" s="1"/>
  <c r="F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E375" i="8"/>
  <c r="S168" i="8"/>
  <c r="S169" i="8"/>
  <c r="S170" i="8"/>
  <c r="P168" i="8"/>
  <c r="P169" i="8"/>
  <c r="P170" i="8"/>
  <c r="S156" i="8"/>
  <c r="S157" i="8"/>
  <c r="S158" i="8"/>
  <c r="S159" i="8"/>
  <c r="P156" i="8"/>
  <c r="P157" i="8"/>
  <c r="P158" i="8"/>
  <c r="P159" i="8"/>
  <c r="S167" i="8"/>
  <c r="P167" i="8"/>
  <c r="P155" i="8"/>
  <c r="S155" i="8"/>
  <c r="BH7" i="12"/>
  <c r="BH3" i="12"/>
  <c r="BD7" i="12"/>
  <c r="BD3" i="12"/>
  <c r="BB17" i="13"/>
  <c r="BB41" i="13" s="1"/>
  <c r="BC18" i="13"/>
  <c r="BC42" i="13" s="1"/>
  <c r="BD18" i="13"/>
  <c r="BD42" i="13" s="1"/>
  <c r="BE19" i="13"/>
  <c r="BE43" i="13" s="1"/>
  <c r="BF19" i="13"/>
  <c r="BF43" i="13" s="1"/>
  <c r="BB11" i="13"/>
  <c r="AY15" i="13" s="1"/>
  <c r="F156" i="8"/>
  <c r="F159" i="8"/>
  <c r="M71" i="9"/>
  <c r="I71" i="9"/>
  <c r="E159" i="8" s="1"/>
  <c r="M70" i="9"/>
  <c r="F158" i="8" s="1"/>
  <c r="I70" i="9"/>
  <c r="E158" i="8" s="1"/>
  <c r="M69" i="9"/>
  <c r="F157" i="8" s="1"/>
  <c r="I69" i="9"/>
  <c r="E157" i="8" s="1"/>
  <c r="M68" i="9"/>
  <c r="I68" i="9"/>
  <c r="E156" i="8" s="1"/>
  <c r="M67" i="9"/>
  <c r="F155" i="8" s="1"/>
  <c r="I67" i="9"/>
  <c r="E155" i="8" s="1"/>
  <c r="I63" i="9"/>
  <c r="E168" i="8" s="1"/>
  <c r="I64" i="9"/>
  <c r="E169" i="8" s="1"/>
  <c r="I65" i="9"/>
  <c r="E170" i="8" s="1"/>
  <c r="M65" i="9"/>
  <c r="F170" i="8" s="1"/>
  <c r="M64" i="9"/>
  <c r="F169" i="8" s="1"/>
  <c r="M63" i="9"/>
  <c r="F168" i="8" s="1"/>
  <c r="M62" i="9"/>
  <c r="F167" i="8" s="1"/>
  <c r="I62" i="9"/>
  <c r="E167" i="8" s="1"/>
  <c r="BK33" i="11"/>
  <c r="BK32" i="11"/>
  <c r="BK31" i="11"/>
  <c r="BM50" i="11"/>
  <c r="BN50" i="11"/>
  <c r="BN61" i="11" s="1"/>
  <c r="J158" i="8" s="1"/>
  <c r="BO50" i="11"/>
  <c r="BM21" i="11"/>
  <c r="BN21" i="11"/>
  <c r="BO21" i="11"/>
  <c r="BK34" i="11" s="1"/>
  <c r="BP21" i="11"/>
  <c r="BK35" i="11" s="1"/>
  <c r="BQ21" i="11"/>
  <c r="BK36" i="11" s="1"/>
  <c r="BR21" i="11"/>
  <c r="BK37" i="11" s="1"/>
  <c r="BS21" i="11"/>
  <c r="BK38" i="11" s="1"/>
  <c r="BT21" i="11"/>
  <c r="BK39" i="11" s="1"/>
  <c r="BU21" i="11"/>
  <c r="BK40" i="11" s="1"/>
  <c r="BV21" i="11"/>
  <c r="BW21" i="11"/>
  <c r="BM22" i="11"/>
  <c r="BN22" i="11"/>
  <c r="BO22" i="11"/>
  <c r="BP22" i="11"/>
  <c r="BQ22" i="11"/>
  <c r="BR22" i="11"/>
  <c r="BS22" i="11"/>
  <c r="BT22" i="11"/>
  <c r="BU22" i="11"/>
  <c r="BV22" i="11"/>
  <c r="BW22" i="11"/>
  <c r="BM23" i="11"/>
  <c r="BM47" i="11" s="1"/>
  <c r="BN23" i="11"/>
  <c r="BN47" i="11" s="1"/>
  <c r="BO23" i="11"/>
  <c r="BO47" i="11" s="1"/>
  <c r="BP23" i="11"/>
  <c r="BQ23" i="11"/>
  <c r="BR23" i="11"/>
  <c r="BS23" i="11"/>
  <c r="BT23" i="11"/>
  <c r="BU23" i="11"/>
  <c r="BV23" i="11"/>
  <c r="BW23" i="11"/>
  <c r="BM24" i="11"/>
  <c r="BM48" i="11" s="1"/>
  <c r="BN24" i="11"/>
  <c r="BN48" i="11" s="1"/>
  <c r="BO24" i="11"/>
  <c r="BO48" i="11" s="1"/>
  <c r="BP24" i="11"/>
  <c r="BQ24" i="11"/>
  <c r="BR24" i="11"/>
  <c r="BS24" i="11"/>
  <c r="BT24" i="11"/>
  <c r="BU24" i="11"/>
  <c r="BV24" i="11"/>
  <c r="BW24" i="11"/>
  <c r="BM25" i="11"/>
  <c r="BM49" i="11" s="1"/>
  <c r="BN25" i="11"/>
  <c r="BN49" i="11" s="1"/>
  <c r="BO25" i="11"/>
  <c r="BO49" i="11" s="1"/>
  <c r="BP25" i="11"/>
  <c r="BQ25" i="11"/>
  <c r="BR25" i="11"/>
  <c r="BS25" i="11"/>
  <c r="BT25" i="11"/>
  <c r="BU25" i="11"/>
  <c r="BV25" i="11"/>
  <c r="BW25" i="11"/>
  <c r="BM26" i="11"/>
  <c r="BN26" i="11"/>
  <c r="BO26" i="11"/>
  <c r="BP26" i="11"/>
  <c r="BQ26" i="11"/>
  <c r="BR26" i="11"/>
  <c r="BS26" i="11"/>
  <c r="BT26" i="11"/>
  <c r="BU26" i="11"/>
  <c r="BV26" i="11"/>
  <c r="BW26" i="11"/>
  <c r="BM27" i="11"/>
  <c r="BN27" i="11"/>
  <c r="BN51" i="11" s="1"/>
  <c r="BN62" i="11" s="1"/>
  <c r="J159" i="8" s="1"/>
  <c r="BO27" i="11"/>
  <c r="BO51" i="11" s="1"/>
  <c r="BP27" i="11"/>
  <c r="BQ27" i="11"/>
  <c r="BR27" i="11"/>
  <c r="BS27" i="11"/>
  <c r="BT27" i="11"/>
  <c r="BU27" i="11"/>
  <c r="BV27" i="11"/>
  <c r="BW27" i="11"/>
  <c r="BM28" i="11"/>
  <c r="BN28" i="11"/>
  <c r="BO28" i="11"/>
  <c r="BP28" i="11"/>
  <c r="BQ28" i="11"/>
  <c r="BR28" i="11"/>
  <c r="BS28" i="11"/>
  <c r="BT28" i="11"/>
  <c r="BU28" i="11"/>
  <c r="BV28" i="11"/>
  <c r="BW28" i="11"/>
  <c r="BL22" i="11"/>
  <c r="BL23" i="11"/>
  <c r="BL47" i="11" s="1"/>
  <c r="BL24" i="11"/>
  <c r="BL48" i="11" s="1"/>
  <c r="BN55" i="11" s="1"/>
  <c r="J168" i="8" s="1"/>
  <c r="BL25" i="11"/>
  <c r="BL49" i="11" s="1"/>
  <c r="BN56" i="11" s="1"/>
  <c r="J169" i="8" s="1"/>
  <c r="BL26" i="11"/>
  <c r="BL50" i="11" s="1"/>
  <c r="BN57" i="11" s="1"/>
  <c r="J170" i="8" s="1"/>
  <c r="BL27" i="11"/>
  <c r="BL28" i="11"/>
  <c r="BL21" i="11"/>
  <c r="BL44" i="10"/>
  <c r="BM44" i="10"/>
  <c r="BN39" i="10"/>
  <c r="BL39" i="10"/>
  <c r="BL40" i="10"/>
  <c r="BN13" i="10"/>
  <c r="BN37" i="10" s="1"/>
  <c r="BO13" i="10"/>
  <c r="BO37" i="10" s="1"/>
  <c r="BP13" i="10"/>
  <c r="BP37" i="10" s="1"/>
  <c r="BR13" i="10"/>
  <c r="BS13" i="10"/>
  <c r="BM14" i="10"/>
  <c r="BM38" i="10" s="1"/>
  <c r="BO14" i="10"/>
  <c r="BO38" i="10" s="1"/>
  <c r="BP14" i="10"/>
  <c r="BP38" i="10" s="1"/>
  <c r="BQ14" i="10"/>
  <c r="BQ38" i="10" s="1"/>
  <c r="BS14" i="10"/>
  <c r="BT14" i="10"/>
  <c r="BN15" i="10"/>
  <c r="BP15" i="10"/>
  <c r="BP39" i="10" s="1"/>
  <c r="BQ15" i="10"/>
  <c r="BQ39" i="10" s="1"/>
  <c r="BR15" i="10"/>
  <c r="BT15" i="10"/>
  <c r="BU15" i="10"/>
  <c r="BO16" i="10"/>
  <c r="BO40" i="10" s="1"/>
  <c r="BQ16" i="10"/>
  <c r="BQ40" i="10" s="1"/>
  <c r="BR16" i="10"/>
  <c r="BS16" i="10"/>
  <c r="BU16" i="10"/>
  <c r="BV16" i="10"/>
  <c r="BP17" i="10"/>
  <c r="BP41" i="10" s="1"/>
  <c r="BR17" i="10"/>
  <c r="BS17" i="10"/>
  <c r="BT17" i="10"/>
  <c r="BV17" i="10"/>
  <c r="BW17" i="10"/>
  <c r="BQ18" i="10"/>
  <c r="BS18" i="10"/>
  <c r="BT18" i="10"/>
  <c r="BU18" i="10"/>
  <c r="BW18" i="10"/>
  <c r="BM19" i="10"/>
  <c r="BM43" i="10" s="1"/>
  <c r="BR19" i="10"/>
  <c r="BT19" i="10"/>
  <c r="BU19" i="10"/>
  <c r="BV19" i="10"/>
  <c r="BM20" i="10"/>
  <c r="BN20" i="10"/>
  <c r="BS20" i="10"/>
  <c r="BU20" i="10"/>
  <c r="BV20" i="10"/>
  <c r="BW20" i="10"/>
  <c r="BL15" i="10"/>
  <c r="BL16" i="10"/>
  <c r="BL20" i="10"/>
  <c r="BL13" i="10"/>
  <c r="BL37" i="10" s="1"/>
  <c r="BQ11" i="10"/>
  <c r="BQ13" i="10" s="1"/>
  <c r="BQ37" i="10" s="1"/>
  <c r="V369" i="8"/>
  <c r="W369" i="8"/>
  <c r="X369" i="8"/>
  <c r="V368" i="8"/>
  <c r="W368" i="8"/>
  <c r="X368" i="8"/>
  <c r="AI4" i="7"/>
  <c r="AI5" i="7"/>
  <c r="AI6" i="7"/>
  <c r="AI7" i="7"/>
  <c r="AI8" i="7"/>
  <c r="AI3" i="7"/>
  <c r="AJ3" i="7" s="1"/>
  <c r="S145" i="8"/>
  <c r="S146" i="8"/>
  <c r="S147" i="8"/>
  <c r="S148" i="8"/>
  <c r="S57" i="8"/>
  <c r="S18" i="8"/>
  <c r="S19" i="8"/>
  <c r="S20" i="8"/>
  <c r="S21" i="8"/>
  <c r="S144" i="8"/>
  <c r="S56" i="8"/>
  <c r="S17" i="8"/>
  <c r="P145" i="8"/>
  <c r="P146" i="8"/>
  <c r="P147" i="8"/>
  <c r="P148" i="8"/>
  <c r="P144" i="8"/>
  <c r="P57" i="8"/>
  <c r="P56" i="8"/>
  <c r="P18" i="8"/>
  <c r="P19" i="8"/>
  <c r="P20" i="8"/>
  <c r="P21" i="8"/>
  <c r="P17" i="8"/>
  <c r="AJ7" i="7" l="1"/>
  <c r="G234" i="8" s="1"/>
  <c r="AJ5" i="7"/>
  <c r="G232" i="8" s="1"/>
  <c r="AJ4" i="7"/>
  <c r="AJ8" i="7"/>
  <c r="G235" i="8" s="1"/>
  <c r="AJ6" i="7"/>
  <c r="G233" i="8" s="1"/>
  <c r="L169" i="8"/>
  <c r="BA17" i="13"/>
  <c r="BA41" i="13" s="1"/>
  <c r="AZ16" i="13"/>
  <c r="AZ40" i="13" s="1"/>
  <c r="AY16" i="13"/>
  <c r="AY40" i="13" s="1"/>
  <c r="AX15" i="13"/>
  <c r="BG14" i="13"/>
  <c r="BD19" i="13"/>
  <c r="BD43" i="13" s="1"/>
  <c r="AY62" i="13" s="1"/>
  <c r="AZ62" i="13" s="1"/>
  <c r="M156" i="8" s="1"/>
  <c r="O156" i="8" s="1"/>
  <c r="BB18" i="13"/>
  <c r="BB42" i="13" s="1"/>
  <c r="AY60" i="13" s="1"/>
  <c r="AZ60" i="13" s="1"/>
  <c r="M170" i="8" s="1"/>
  <c r="O170" i="8" s="1"/>
  <c r="AZ17" i="13"/>
  <c r="AZ41" i="13" s="1"/>
  <c r="AY48" i="13" s="1"/>
  <c r="AZ48" i="13" s="1"/>
  <c r="M20" i="8" s="1"/>
  <c r="AX16" i="13"/>
  <c r="AX40" i="13" s="1"/>
  <c r="BF14" i="13"/>
  <c r="AV31" i="13" s="1"/>
  <c r="BC19" i="13"/>
  <c r="BC43" i="13" s="1"/>
  <c r="AY61" i="13" s="1"/>
  <c r="AZ61" i="13" s="1"/>
  <c r="BA18" i="13"/>
  <c r="BA42" i="13" s="1"/>
  <c r="AY59" i="13" s="1"/>
  <c r="AZ59" i="13" s="1"/>
  <c r="M169" i="8" s="1"/>
  <c r="O169" i="8" s="1"/>
  <c r="AY17" i="13"/>
  <c r="AY41" i="13" s="1"/>
  <c r="BG15" i="13"/>
  <c r="BE14" i="13"/>
  <c r="BB19" i="13"/>
  <c r="BB43" i="13" s="1"/>
  <c r="AZ18" i="13"/>
  <c r="AZ42" i="13" s="1"/>
  <c r="AX17" i="13"/>
  <c r="AX41" i="13" s="1"/>
  <c r="BF15" i="13"/>
  <c r="BD14" i="13"/>
  <c r="AV29" i="13" s="1"/>
  <c r="BA19" i="13"/>
  <c r="BA43" i="13" s="1"/>
  <c r="AY18" i="13"/>
  <c r="AY42" i="13" s="1"/>
  <c r="AY57" i="13" s="1"/>
  <c r="AZ57" i="13" s="1"/>
  <c r="BG16" i="13"/>
  <c r="BG40" i="13" s="1"/>
  <c r="BE15" i="13"/>
  <c r="BC14" i="13"/>
  <c r="AZ19" i="13"/>
  <c r="AZ43" i="13" s="1"/>
  <c r="AX18" i="13"/>
  <c r="AX42" i="13" s="1"/>
  <c r="BF16" i="13"/>
  <c r="BF40" i="13" s="1"/>
  <c r="BD15" i="13"/>
  <c r="BB14" i="13"/>
  <c r="AY19" i="13"/>
  <c r="AY43" i="13" s="1"/>
  <c r="BG17" i="13"/>
  <c r="BG41" i="13" s="1"/>
  <c r="BE16" i="13"/>
  <c r="BE40" i="13" s="1"/>
  <c r="AY53" i="13" s="1"/>
  <c r="AZ53" i="13" s="1"/>
  <c r="M145" i="8" s="1"/>
  <c r="BC15" i="13"/>
  <c r="BA14" i="13"/>
  <c r="AX19" i="13"/>
  <c r="AX43" i="13" s="1"/>
  <c r="BF17" i="13"/>
  <c r="BF41" i="13" s="1"/>
  <c r="BD16" i="13"/>
  <c r="BD40" i="13" s="1"/>
  <c r="BB15" i="13"/>
  <c r="AZ14" i="13"/>
  <c r="BG18" i="13"/>
  <c r="BG42" i="13" s="1"/>
  <c r="AY65" i="13" s="1"/>
  <c r="AZ65" i="13" s="1"/>
  <c r="M159" i="8" s="1"/>
  <c r="O159" i="8" s="1"/>
  <c r="BE17" i="13"/>
  <c r="BE41" i="13" s="1"/>
  <c r="BC16" i="13"/>
  <c r="BC40" i="13" s="1"/>
  <c r="AY51" i="13" s="1"/>
  <c r="AZ51" i="13" s="1"/>
  <c r="M57" i="8" s="1"/>
  <c r="BA15" i="13"/>
  <c r="AY14" i="13"/>
  <c r="AV24" i="13" s="1"/>
  <c r="BF18" i="13"/>
  <c r="BF42" i="13" s="1"/>
  <c r="AY64" i="13" s="1"/>
  <c r="AZ64" i="13" s="1"/>
  <c r="M158" i="8" s="1"/>
  <c r="O158" i="8" s="1"/>
  <c r="BD17" i="13"/>
  <c r="BD41" i="13" s="1"/>
  <c r="BB16" i="13"/>
  <c r="BB40" i="13" s="1"/>
  <c r="AY50" i="13" s="1"/>
  <c r="AZ50" i="13" s="1"/>
  <c r="AZ15" i="13"/>
  <c r="AX14" i="13"/>
  <c r="AV23" i="13" s="1"/>
  <c r="BG19" i="13"/>
  <c r="BG43" i="13" s="1"/>
  <c r="BE18" i="13"/>
  <c r="BE42" i="13" s="1"/>
  <c r="AY63" i="13" s="1"/>
  <c r="AZ63" i="13" s="1"/>
  <c r="M157" i="8" s="1"/>
  <c r="O157" i="8" s="1"/>
  <c r="BC17" i="13"/>
  <c r="BC41" i="13" s="1"/>
  <c r="BA16" i="13"/>
  <c r="BA40" i="13" s="1"/>
  <c r="AY49" i="13" s="1"/>
  <c r="AZ49" i="13" s="1"/>
  <c r="M21" i="8" s="1"/>
  <c r="BK26" i="10"/>
  <c r="BN51" i="10"/>
  <c r="H156" i="8" s="1"/>
  <c r="T156" i="8" s="1"/>
  <c r="BN50" i="10"/>
  <c r="H155" i="8" s="1"/>
  <c r="I155" i="8" s="1"/>
  <c r="BN52" i="10"/>
  <c r="H157" i="8" s="1"/>
  <c r="BN46" i="10"/>
  <c r="H167" i="8" s="1"/>
  <c r="Q167" i="8" s="1"/>
  <c r="BT20" i="10"/>
  <c r="BS19" i="10"/>
  <c r="BR18" i="10"/>
  <c r="BQ17" i="10"/>
  <c r="BQ41" i="10" s="1"/>
  <c r="BN54" i="10" s="1"/>
  <c r="H159" i="8" s="1"/>
  <c r="BP16" i="10"/>
  <c r="BP40" i="10" s="1"/>
  <c r="BN53" i="10" s="1"/>
  <c r="H158" i="8" s="1"/>
  <c r="T158" i="8" s="1"/>
  <c r="BO15" i="10"/>
  <c r="BO39" i="10" s="1"/>
  <c r="BN48" i="10" s="1"/>
  <c r="H169" i="8" s="1"/>
  <c r="BN14" i="10"/>
  <c r="BN38" i="10" s="1"/>
  <c r="BN47" i="10" s="1"/>
  <c r="H168" i="8" s="1"/>
  <c r="I168" i="8" s="1"/>
  <c r="BM13" i="10"/>
  <c r="BM37" i="10" s="1"/>
  <c r="BO17" i="10"/>
  <c r="BN16" i="10"/>
  <c r="BN40" i="10" s="1"/>
  <c r="BN49" i="10" s="1"/>
  <c r="H170" i="8" s="1"/>
  <c r="I170" i="8" s="1"/>
  <c r="BM15" i="10"/>
  <c r="BM39" i="10" s="1"/>
  <c r="BW13" i="10"/>
  <c r="BP18" i="10"/>
  <c r="BL19" i="10"/>
  <c r="BL43" i="10" s="1"/>
  <c r="BQ20" i="10"/>
  <c r="BP19" i="10"/>
  <c r="BO18" i="10"/>
  <c r="BN17" i="10"/>
  <c r="BM16" i="10"/>
  <c r="BM40" i="10" s="1"/>
  <c r="BW14" i="10"/>
  <c r="BV13" i="10"/>
  <c r="BQ19" i="10"/>
  <c r="BL18" i="10"/>
  <c r="BP20" i="10"/>
  <c r="BO19" i="10"/>
  <c r="BN18" i="10"/>
  <c r="BM17" i="10"/>
  <c r="BM41" i="10" s="1"/>
  <c r="BW15" i="10"/>
  <c r="BV14" i="10"/>
  <c r="BU13" i="10"/>
  <c r="BR20" i="10"/>
  <c r="BL17" i="10"/>
  <c r="BO20" i="10"/>
  <c r="BN19" i="10"/>
  <c r="BM18" i="10"/>
  <c r="BM42" i="10" s="1"/>
  <c r="BW16" i="10"/>
  <c r="BV15" i="10"/>
  <c r="BU14" i="10"/>
  <c r="BT13" i="10"/>
  <c r="BL14" i="10"/>
  <c r="BW19" i="10"/>
  <c r="BV18" i="10"/>
  <c r="BU17" i="10"/>
  <c r="BT16" i="10"/>
  <c r="BS15" i="10"/>
  <c r="BR14" i="10"/>
  <c r="BN60" i="11"/>
  <c r="J157" i="8" s="1"/>
  <c r="L157" i="8" s="1"/>
  <c r="BN59" i="11"/>
  <c r="J156" i="8" s="1"/>
  <c r="BN54" i="11"/>
  <c r="BN58" i="11"/>
  <c r="U170" i="8"/>
  <c r="R167" i="8"/>
  <c r="R157" i="8"/>
  <c r="R156" i="8"/>
  <c r="R155" i="8"/>
  <c r="U158" i="8"/>
  <c r="U157" i="8"/>
  <c r="L168" i="8"/>
  <c r="U156" i="8"/>
  <c r="U169" i="8"/>
  <c r="U155" i="8"/>
  <c r="R170" i="8"/>
  <c r="U168" i="8"/>
  <c r="L159" i="8"/>
  <c r="R159" i="8"/>
  <c r="R169" i="8"/>
  <c r="U167" i="8"/>
  <c r="L158" i="8"/>
  <c r="L170" i="8"/>
  <c r="U159" i="8"/>
  <c r="R158" i="8"/>
  <c r="R168" i="8"/>
  <c r="G231" i="8"/>
  <c r="AV10" i="12"/>
  <c r="AR10" i="12"/>
  <c r="AV8" i="12"/>
  <c r="AR8" i="12"/>
  <c r="AV3" i="12"/>
  <c r="AR3" i="12"/>
  <c r="N157" i="8" l="1"/>
  <c r="G378" i="8"/>
  <c r="AJ9" i="7"/>
  <c r="Q157" i="8"/>
  <c r="I167" i="8"/>
  <c r="T167" i="8"/>
  <c r="K170" i="8"/>
  <c r="Q170" i="8"/>
  <c r="T170" i="8"/>
  <c r="AY55" i="13"/>
  <c r="AZ55" i="13" s="1"/>
  <c r="M147" i="8" s="1"/>
  <c r="AY46" i="13"/>
  <c r="AZ46" i="13" s="1"/>
  <c r="AY58" i="13"/>
  <c r="AZ58" i="13" s="1"/>
  <c r="M168" i="8" s="1"/>
  <c r="O168" i="8" s="1"/>
  <c r="AV28" i="13"/>
  <c r="AY47" i="13"/>
  <c r="AZ47" i="13" s="1"/>
  <c r="M19" i="8" s="1"/>
  <c r="BA61" i="13"/>
  <c r="M155" i="8"/>
  <c r="BA57" i="13"/>
  <c r="M167" i="8"/>
  <c r="O167" i="8" s="1"/>
  <c r="BA46" i="13"/>
  <c r="M17" i="8"/>
  <c r="AV26" i="13"/>
  <c r="AV25" i="13"/>
  <c r="AY54" i="13"/>
  <c r="AZ54" i="13" s="1"/>
  <c r="M146" i="8" s="1"/>
  <c r="BA50" i="13"/>
  <c r="M56" i="8"/>
  <c r="AY56" i="13"/>
  <c r="AZ56" i="13" s="1"/>
  <c r="M148" i="8" s="1"/>
  <c r="AV30" i="13"/>
  <c r="AY52" i="13"/>
  <c r="AZ52" i="13" s="1"/>
  <c r="I157" i="8"/>
  <c r="T157" i="8"/>
  <c r="Q158" i="8"/>
  <c r="N159" i="8"/>
  <c r="T159" i="8"/>
  <c r="Q159" i="8"/>
  <c r="I159" i="8"/>
  <c r="K159" i="8"/>
  <c r="T169" i="8"/>
  <c r="Q169" i="8"/>
  <c r="I169" i="8"/>
  <c r="K169" i="8"/>
  <c r="N169" i="8"/>
  <c r="BO46" i="10"/>
  <c r="Q156" i="8"/>
  <c r="N158" i="8"/>
  <c r="Q155" i="8"/>
  <c r="K168" i="8"/>
  <c r="K158" i="8"/>
  <c r="Q168" i="8"/>
  <c r="T155" i="8"/>
  <c r="N170" i="8"/>
  <c r="I156" i="8"/>
  <c r="K156" i="8"/>
  <c r="BL42" i="10"/>
  <c r="BK29" i="10"/>
  <c r="T168" i="8"/>
  <c r="BO50" i="10"/>
  <c r="I158" i="8"/>
  <c r="BK25" i="10"/>
  <c r="BL38" i="10"/>
  <c r="N156" i="8"/>
  <c r="BL41" i="10"/>
  <c r="BK28" i="10"/>
  <c r="BK24" i="10"/>
  <c r="K157" i="8"/>
  <c r="L156" i="8"/>
  <c r="J167" i="8"/>
  <c r="BO54" i="11"/>
  <c r="J155" i="8"/>
  <c r="BO58" i="11"/>
  <c r="M9" i="4"/>
  <c r="L9" i="4"/>
  <c r="K9" i="4"/>
  <c r="G375" i="8"/>
  <c r="Y5" i="8"/>
  <c r="Y6" i="8"/>
  <c r="Y8" i="8"/>
  <c r="Y9" i="8"/>
  <c r="Y10" i="8"/>
  <c r="Y78" i="8"/>
  <c r="Y79" i="8"/>
  <c r="Y80" i="8"/>
  <c r="Y81" i="8"/>
  <c r="Y82" i="8"/>
  <c r="Y83" i="8"/>
  <c r="Y84" i="8"/>
  <c r="Y85" i="8"/>
  <c r="Y86" i="8"/>
  <c r="Y87" i="8"/>
  <c r="Y88" i="8"/>
  <c r="Y89" i="8"/>
  <c r="Y90" i="8"/>
  <c r="Y91" i="8"/>
  <c r="Y92" i="8"/>
  <c r="Y93" i="8"/>
  <c r="Y102" i="8"/>
  <c r="Y103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22" i="8"/>
  <c r="Y132" i="8"/>
  <c r="Y133" i="8"/>
  <c r="Y134" i="8"/>
  <c r="Y135" i="8"/>
  <c r="Y136" i="8"/>
  <c r="Y137" i="8"/>
  <c r="Y184" i="8"/>
  <c r="Y185" i="8"/>
  <c r="Y186" i="8"/>
  <c r="Y187" i="8"/>
  <c r="Y188" i="8"/>
  <c r="Y189" i="8"/>
  <c r="Y190" i="8"/>
  <c r="Y191" i="8"/>
  <c r="Y192" i="8"/>
  <c r="Y193" i="8"/>
  <c r="Y194" i="8"/>
  <c r="Y195" i="8"/>
  <c r="Y196" i="8"/>
  <c r="Y197" i="8"/>
  <c r="Y198" i="8"/>
  <c r="Y199" i="8"/>
  <c r="Y200" i="8"/>
  <c r="Y201" i="8"/>
  <c r="Y202" i="8"/>
  <c r="Y203" i="8"/>
  <c r="Y209" i="8"/>
  <c r="Y210" i="8"/>
  <c r="Y211" i="8"/>
  <c r="Y212" i="8"/>
  <c r="Y213" i="8"/>
  <c r="Y214" i="8"/>
  <c r="Y215" i="8"/>
  <c r="Y216" i="8"/>
  <c r="Y217" i="8"/>
  <c r="Y218" i="8"/>
  <c r="Y219" i="8"/>
  <c r="Y220" i="8"/>
  <c r="Y221" i="8"/>
  <c r="Y222" i="8"/>
  <c r="Y3" i="8"/>
  <c r="F145" i="8"/>
  <c r="O145" i="8" s="1"/>
  <c r="F148" i="8"/>
  <c r="E57" i="8"/>
  <c r="E56" i="8"/>
  <c r="I57" i="9"/>
  <c r="E144" i="8" s="1"/>
  <c r="I58" i="9"/>
  <c r="E145" i="8" s="1"/>
  <c r="I59" i="9"/>
  <c r="E146" i="8" s="1"/>
  <c r="I60" i="9"/>
  <c r="E147" i="8" s="1"/>
  <c r="I61" i="9"/>
  <c r="E148" i="8" s="1"/>
  <c r="M61" i="9"/>
  <c r="M60" i="9"/>
  <c r="F147" i="8" s="1"/>
  <c r="M59" i="9"/>
  <c r="F146" i="8" s="1"/>
  <c r="M58" i="9"/>
  <c r="M57" i="9"/>
  <c r="F144" i="8" s="1"/>
  <c r="I51" i="9"/>
  <c r="E18" i="8" s="1"/>
  <c r="I52" i="9"/>
  <c r="E19" i="8" s="1"/>
  <c r="I53" i="9"/>
  <c r="E20" i="8" s="1"/>
  <c r="I54" i="9"/>
  <c r="E21" i="8" s="1"/>
  <c r="I55" i="9"/>
  <c r="I56" i="9"/>
  <c r="M56" i="9"/>
  <c r="F57" i="8" s="1"/>
  <c r="O57" i="8" s="1"/>
  <c r="M55" i="9"/>
  <c r="F56" i="8" s="1"/>
  <c r="M54" i="9"/>
  <c r="F21" i="8" s="1"/>
  <c r="O21" i="8" s="1"/>
  <c r="M53" i="9"/>
  <c r="F20" i="8" s="1"/>
  <c r="O20" i="8" s="1"/>
  <c r="M52" i="9"/>
  <c r="F19" i="8" s="1"/>
  <c r="M51" i="9"/>
  <c r="F18" i="8" s="1"/>
  <c r="M50" i="9"/>
  <c r="F17" i="8" s="1"/>
  <c r="O17" i="8" s="1"/>
  <c r="I50" i="9"/>
  <c r="E17" i="8" s="1"/>
  <c r="AX45" i="11"/>
  <c r="AZ45" i="11"/>
  <c r="BD45" i="11"/>
  <c r="BF45" i="11"/>
  <c r="AZ46" i="11"/>
  <c r="AX47" i="11"/>
  <c r="AZ47" i="11"/>
  <c r="AX48" i="11"/>
  <c r="AY48" i="11"/>
  <c r="AX51" i="11"/>
  <c r="AY58" i="11" s="1"/>
  <c r="J21" i="8" s="1"/>
  <c r="BB51" i="11"/>
  <c r="AW47" i="11"/>
  <c r="AY54" i="11" s="1"/>
  <c r="AW51" i="11"/>
  <c r="AV31" i="11"/>
  <c r="AV34" i="11"/>
  <c r="AV40" i="11"/>
  <c r="AV39" i="11"/>
  <c r="BH28" i="11"/>
  <c r="BG28" i="11"/>
  <c r="BF28" i="11"/>
  <c r="BE28" i="11"/>
  <c r="BD28" i="11"/>
  <c r="BC28" i="11"/>
  <c r="BB28" i="11"/>
  <c r="BA28" i="11"/>
  <c r="AZ28" i="11"/>
  <c r="AY28" i="11"/>
  <c r="AX28" i="11"/>
  <c r="AW28" i="11"/>
  <c r="BH27" i="11"/>
  <c r="BG27" i="11"/>
  <c r="BF27" i="11"/>
  <c r="BE27" i="11"/>
  <c r="BD27" i="11"/>
  <c r="BC27" i="11"/>
  <c r="BB27" i="11"/>
  <c r="BA27" i="11"/>
  <c r="BA51" i="11" s="1"/>
  <c r="AY65" i="11" s="1"/>
  <c r="J148" i="8" s="1"/>
  <c r="AZ27" i="11"/>
  <c r="AY27" i="11"/>
  <c r="AX27" i="11"/>
  <c r="AW27" i="11"/>
  <c r="BH26" i="11"/>
  <c r="BG26" i="11"/>
  <c r="BF26" i="11"/>
  <c r="BE26" i="11"/>
  <c r="BD26" i="11"/>
  <c r="BC26" i="11"/>
  <c r="BB26" i="11"/>
  <c r="BB50" i="11" s="1"/>
  <c r="BA26" i="11"/>
  <c r="BA50" i="11" s="1"/>
  <c r="AZ26" i="11"/>
  <c r="AY26" i="11"/>
  <c r="AX26" i="11"/>
  <c r="AX50" i="11" s="1"/>
  <c r="AW26" i="11"/>
  <c r="AW50" i="11" s="1"/>
  <c r="BH25" i="11"/>
  <c r="BG25" i="11"/>
  <c r="BF25" i="11"/>
  <c r="BE25" i="11"/>
  <c r="BD25" i="11"/>
  <c r="BC25" i="11"/>
  <c r="BB25" i="11"/>
  <c r="BB49" i="11" s="1"/>
  <c r="BA25" i="11"/>
  <c r="BA49" i="11" s="1"/>
  <c r="AY63" i="11" s="1"/>
  <c r="J146" i="8" s="1"/>
  <c r="AZ25" i="11"/>
  <c r="AY25" i="11"/>
  <c r="AX25" i="11"/>
  <c r="AX49" i="11" s="1"/>
  <c r="AW25" i="11"/>
  <c r="AW49" i="11" s="1"/>
  <c r="BH24" i="11"/>
  <c r="BG24" i="11"/>
  <c r="BF24" i="11"/>
  <c r="BE24" i="11"/>
  <c r="BD24" i="11"/>
  <c r="BC24" i="11"/>
  <c r="BB24" i="11"/>
  <c r="BB48" i="11" s="1"/>
  <c r="BA24" i="11"/>
  <c r="BA48" i="11" s="1"/>
  <c r="AY62" i="11" s="1"/>
  <c r="J145" i="8" s="1"/>
  <c r="AZ24" i="11"/>
  <c r="AZ48" i="11" s="1"/>
  <c r="AY24" i="11"/>
  <c r="AX24" i="11"/>
  <c r="AW24" i="11"/>
  <c r="AW48" i="11" s="1"/>
  <c r="AY55" i="11" s="1"/>
  <c r="J18" i="8" s="1"/>
  <c r="BH23" i="11"/>
  <c r="BG23" i="11"/>
  <c r="BF23" i="11"/>
  <c r="BE23" i="11"/>
  <c r="BD23" i="11"/>
  <c r="BC23" i="11"/>
  <c r="BB23" i="11"/>
  <c r="BB47" i="11" s="1"/>
  <c r="BA23" i="11"/>
  <c r="BA47" i="11" s="1"/>
  <c r="AY61" i="11" s="1"/>
  <c r="AZ23" i="11"/>
  <c r="AY23" i="11"/>
  <c r="AY47" i="11" s="1"/>
  <c r="AY59" i="11" s="1"/>
  <c r="AX23" i="11"/>
  <c r="AW23" i="11"/>
  <c r="BH22" i="11"/>
  <c r="BG22" i="11"/>
  <c r="BF22" i="11"/>
  <c r="BF46" i="11" s="1"/>
  <c r="BE22" i="11"/>
  <c r="BE46" i="11" s="1"/>
  <c r="BD22" i="11"/>
  <c r="BD46" i="11" s="1"/>
  <c r="BC22" i="11"/>
  <c r="BC46" i="11" s="1"/>
  <c r="BB22" i="11"/>
  <c r="BB46" i="11" s="1"/>
  <c r="BA22" i="11"/>
  <c r="BA46" i="11" s="1"/>
  <c r="AZ22" i="11"/>
  <c r="AY22" i="11"/>
  <c r="AY46" i="11" s="1"/>
  <c r="AX22" i="11"/>
  <c r="AX46" i="11" s="1"/>
  <c r="AW22" i="11"/>
  <c r="AW46" i="11" s="1"/>
  <c r="BH21" i="11"/>
  <c r="BG21" i="11"/>
  <c r="BF21" i="11"/>
  <c r="BE21" i="11"/>
  <c r="BE45" i="11" s="1"/>
  <c r="BD21" i="11"/>
  <c r="AV38" i="11" s="1"/>
  <c r="BC21" i="11"/>
  <c r="AV37" i="11" s="1"/>
  <c r="BB21" i="11"/>
  <c r="AV36" i="11" s="1"/>
  <c r="BA21" i="11"/>
  <c r="BA45" i="11" s="1"/>
  <c r="AZ21" i="11"/>
  <c r="AY21" i="11"/>
  <c r="AY45" i="11" s="1"/>
  <c r="AX21" i="11"/>
  <c r="AV32" i="11" s="1"/>
  <c r="AW21" i="11"/>
  <c r="AW45" i="11" s="1"/>
  <c r="BB11" i="10"/>
  <c r="BH17" i="10" s="1"/>
  <c r="W31" i="7"/>
  <c r="W32" i="7"/>
  <c r="W33" i="7"/>
  <c r="W34" i="7"/>
  <c r="W30" i="7"/>
  <c r="X30" i="7" s="1"/>
  <c r="P58" i="8"/>
  <c r="S58" i="8"/>
  <c r="P59" i="8"/>
  <c r="S59" i="8"/>
  <c r="P60" i="8"/>
  <c r="S60" i="8"/>
  <c r="P61" i="8"/>
  <c r="S61" i="8"/>
  <c r="P62" i="8"/>
  <c r="S62" i="8"/>
  <c r="W24" i="7"/>
  <c r="W25" i="7"/>
  <c r="W26" i="7"/>
  <c r="W27" i="7"/>
  <c r="W28" i="7"/>
  <c r="W23" i="7"/>
  <c r="X23" i="7" s="1"/>
  <c r="Y352" i="8" l="1"/>
  <c r="Y351" i="8"/>
  <c r="Y341" i="8"/>
  <c r="Y331" i="8"/>
  <c r="Y328" i="8"/>
  <c r="P393" i="8"/>
  <c r="P326" i="8"/>
  <c r="P329" i="8"/>
  <c r="P327" i="8"/>
  <c r="Y321" i="8"/>
  <c r="Y320" i="8"/>
  <c r="Y318" i="8"/>
  <c r="Y319" i="8"/>
  <c r="Y332" i="8"/>
  <c r="Y334" i="8"/>
  <c r="S393" i="8"/>
  <c r="S326" i="8"/>
  <c r="S329" i="8"/>
  <c r="S327" i="8"/>
  <c r="Y354" i="8"/>
  <c r="Y399" i="8"/>
  <c r="Y355" i="8"/>
  <c r="Y362" i="8"/>
  <c r="Y363" i="8"/>
  <c r="Y396" i="8"/>
  <c r="Y348" i="8"/>
  <c r="Y392" i="8"/>
  <c r="Y339" i="8"/>
  <c r="Y390" i="8"/>
  <c r="O148" i="8"/>
  <c r="Y338" i="8"/>
  <c r="O147" i="8"/>
  <c r="X24" i="7"/>
  <c r="X27" i="7"/>
  <c r="X26" i="7"/>
  <c r="X34" i="7"/>
  <c r="G170" i="8" s="1"/>
  <c r="X31" i="7"/>
  <c r="G167" i="8" s="1"/>
  <c r="X33" i="7"/>
  <c r="G169" i="8" s="1"/>
  <c r="X32" i="7"/>
  <c r="G168" i="8" s="1"/>
  <c r="X28" i="7"/>
  <c r="X25" i="7"/>
  <c r="G144" i="8" s="1" a="1"/>
  <c r="G144" i="8" s="1"/>
  <c r="O19" i="8"/>
  <c r="N167" i="8"/>
  <c r="N168" i="8"/>
  <c r="O56" i="8"/>
  <c r="O146" i="8"/>
  <c r="BA52" i="13"/>
  <c r="M144" i="8"/>
  <c r="O144" i="8" s="1"/>
  <c r="N155" i="8"/>
  <c r="O155" i="8"/>
  <c r="S386" i="8"/>
  <c r="P386" i="8"/>
  <c r="BC16" i="10"/>
  <c r="BC40" i="10" s="1"/>
  <c r="AY14" i="10"/>
  <c r="AY38" i="10" s="1"/>
  <c r="AW17" i="10"/>
  <c r="AW41" i="10" s="1"/>
  <c r="BG18" i="10"/>
  <c r="Y381" i="8"/>
  <c r="Y380" i="8"/>
  <c r="Y382" i="8"/>
  <c r="Y373" i="8"/>
  <c r="P371" i="8"/>
  <c r="AY64" i="11"/>
  <c r="J147" i="8" s="1"/>
  <c r="L147" i="8" s="1"/>
  <c r="J144" i="8"/>
  <c r="L144" i="8" s="1"/>
  <c r="AY60" i="11"/>
  <c r="J57" i="8" s="1"/>
  <c r="L57" i="8" s="1"/>
  <c r="J17" i="8"/>
  <c r="L17" i="8" s="1"/>
  <c r="AY56" i="11"/>
  <c r="J19" i="8" s="1"/>
  <c r="L19" i="8" s="1"/>
  <c r="AY57" i="11"/>
  <c r="J20" i="8" s="1"/>
  <c r="L20" i="8" s="1"/>
  <c r="J56" i="8"/>
  <c r="L56" i="8" s="1"/>
  <c r="AZ59" i="11"/>
  <c r="BC45" i="11"/>
  <c r="BB45" i="11"/>
  <c r="AV35" i="11"/>
  <c r="L155" i="8"/>
  <c r="K155" i="8"/>
  <c r="L167" i="8"/>
  <c r="K167" i="8"/>
  <c r="Y375" i="8"/>
  <c r="Y376" i="8"/>
  <c r="S371" i="8"/>
  <c r="Y372" i="8"/>
  <c r="Y144" i="8"/>
  <c r="Y56" i="8"/>
  <c r="L146" i="8"/>
  <c r="AW15" i="10"/>
  <c r="AW39" i="10" s="1"/>
  <c r="BE18" i="10"/>
  <c r="BA16" i="10"/>
  <c r="BG13" i="10"/>
  <c r="BG20" i="10"/>
  <c r="BC18" i="10"/>
  <c r="BC42" i="10" s="1"/>
  <c r="AY16" i="10"/>
  <c r="AY40" i="10" s="1"/>
  <c r="BE13" i="10"/>
  <c r="BF20" i="10"/>
  <c r="BB18" i="10"/>
  <c r="AX16" i="10"/>
  <c r="AX40" i="10" s="1"/>
  <c r="BD13" i="10"/>
  <c r="BD37" i="10" s="1"/>
  <c r="AY53" i="10" s="1"/>
  <c r="BC13" i="10"/>
  <c r="BC37" i="10" s="1"/>
  <c r="AZ20" i="10"/>
  <c r="BF17" i="10"/>
  <c r="BB15" i="10"/>
  <c r="AX13" i="10"/>
  <c r="AX37" i="10" s="1"/>
  <c r="AY20" i="10"/>
  <c r="BE17" i="10"/>
  <c r="BA15" i="10"/>
  <c r="BH20" i="10"/>
  <c r="BG19" i="10"/>
  <c r="BC17" i="10"/>
  <c r="BC41" i="10" s="1"/>
  <c r="AY15" i="10"/>
  <c r="AY39" i="10" s="1"/>
  <c r="BH18" i="10"/>
  <c r="BE20" i="10"/>
  <c r="BE19" i="10"/>
  <c r="BA17" i="10"/>
  <c r="BG14" i="10"/>
  <c r="BH16" i="10"/>
  <c r="BG15" i="10"/>
  <c r="BD19" i="10"/>
  <c r="AZ17" i="10"/>
  <c r="AZ41" i="10" s="1"/>
  <c r="BF14" i="10"/>
  <c r="BH15" i="10"/>
  <c r="BC19" i="10"/>
  <c r="AY17" i="10"/>
  <c r="AY41" i="10" s="1"/>
  <c r="BE14" i="10"/>
  <c r="BH14" i="10"/>
  <c r="BA18" i="10"/>
  <c r="AW18" i="10"/>
  <c r="AW42" i="10" s="1"/>
  <c r="AX19" i="10"/>
  <c r="BD16" i="10"/>
  <c r="BD40" i="10" s="1"/>
  <c r="AY56" i="10" s="1"/>
  <c r="H147" i="8" s="1"/>
  <c r="N147" i="8" s="1"/>
  <c r="AZ14" i="10"/>
  <c r="AZ38" i="10" s="1"/>
  <c r="AY47" i="10" s="1"/>
  <c r="H18" i="8" s="1"/>
  <c r="I18" i="8" s="1"/>
  <c r="BD20" i="10"/>
  <c r="BB19" i="10"/>
  <c r="AZ18" i="10"/>
  <c r="AZ42" i="10" s="1"/>
  <c r="AX17" i="10"/>
  <c r="AX41" i="10" s="1"/>
  <c r="BF15" i="10"/>
  <c r="BD14" i="10"/>
  <c r="BD38" i="10" s="1"/>
  <c r="BB13" i="10"/>
  <c r="BB37" i="10" s="1"/>
  <c r="BH13" i="10"/>
  <c r="AW13" i="10"/>
  <c r="BC20" i="10"/>
  <c r="BA19" i="10"/>
  <c r="AY18" i="10"/>
  <c r="AY42" i="10" s="1"/>
  <c r="BG16" i="10"/>
  <c r="BE15" i="10"/>
  <c r="BC14" i="10"/>
  <c r="BC38" i="10" s="1"/>
  <c r="BA13" i="10"/>
  <c r="BA37" i="10" s="1"/>
  <c r="AW20" i="10"/>
  <c r="BB20" i="10"/>
  <c r="AZ19" i="10"/>
  <c r="AX18" i="10"/>
  <c r="AX42" i="10" s="1"/>
  <c r="BF16" i="10"/>
  <c r="BD15" i="10"/>
  <c r="BD39" i="10" s="1"/>
  <c r="BB14" i="10"/>
  <c r="BB38" i="10" s="1"/>
  <c r="AZ13" i="10"/>
  <c r="AZ37" i="10" s="1"/>
  <c r="AW19" i="10"/>
  <c r="BA20" i="10"/>
  <c r="AY19" i="10"/>
  <c r="BG17" i="10"/>
  <c r="BE16" i="10"/>
  <c r="BC15" i="10"/>
  <c r="BC39" i="10" s="1"/>
  <c r="BA14" i="10"/>
  <c r="BA38" i="10" s="1"/>
  <c r="AY13" i="10"/>
  <c r="AY37" i="10" s="1"/>
  <c r="AW16" i="10"/>
  <c r="AX20" i="10"/>
  <c r="BF18" i="10"/>
  <c r="BD17" i="10"/>
  <c r="BD41" i="10" s="1"/>
  <c r="BB16" i="10"/>
  <c r="AZ15" i="10"/>
  <c r="AZ39" i="10" s="1"/>
  <c r="AX14" i="10"/>
  <c r="AX38" i="10" s="1"/>
  <c r="BH19" i="10"/>
  <c r="AW14" i="10"/>
  <c r="BF19" i="10"/>
  <c r="BD18" i="10"/>
  <c r="BD42" i="10" s="1"/>
  <c r="BB17" i="10"/>
  <c r="AZ16" i="10"/>
  <c r="AZ40" i="10" s="1"/>
  <c r="AY49" i="10" s="1"/>
  <c r="H20" i="8" s="1"/>
  <c r="N20" i="8" s="1"/>
  <c r="AX15" i="10"/>
  <c r="AX39" i="10" s="1"/>
  <c r="BF13" i="10"/>
  <c r="L148" i="8"/>
  <c r="Y17" i="8"/>
  <c r="Y57" i="8"/>
  <c r="L145" i="8"/>
  <c r="Y145" i="8"/>
  <c r="Y21" i="8"/>
  <c r="Y20" i="8"/>
  <c r="Y148" i="8"/>
  <c r="Y19" i="8"/>
  <c r="Y147" i="8"/>
  <c r="Y18" i="8"/>
  <c r="Y146" i="8"/>
  <c r="L18" i="8"/>
  <c r="U145" i="8"/>
  <c r="R145" i="8"/>
  <c r="R57" i="8"/>
  <c r="U57" i="8"/>
  <c r="U17" i="8"/>
  <c r="R17" i="8"/>
  <c r="U21" i="8"/>
  <c r="R21" i="8"/>
  <c r="R20" i="8"/>
  <c r="U20" i="8"/>
  <c r="U148" i="8"/>
  <c r="R148" i="8"/>
  <c r="R56" i="8"/>
  <c r="U56" i="8"/>
  <c r="L21" i="8"/>
  <c r="U144" i="8"/>
  <c r="R144" i="8"/>
  <c r="R147" i="8"/>
  <c r="U147" i="8"/>
  <c r="R19" i="8"/>
  <c r="U19" i="8"/>
  <c r="R18" i="8"/>
  <c r="U18" i="8"/>
  <c r="R146" i="8"/>
  <c r="U146" i="8"/>
  <c r="X35" i="7"/>
  <c r="X29" i="7" l="1"/>
  <c r="AV28" i="10"/>
  <c r="AZ54" i="11"/>
  <c r="AZ61" i="11"/>
  <c r="T20" i="8"/>
  <c r="K20" i="8"/>
  <c r="K147" i="8"/>
  <c r="T147" i="8"/>
  <c r="Q147" i="8"/>
  <c r="AY52" i="10"/>
  <c r="H57" i="8" s="1"/>
  <c r="T57" i="8" s="1"/>
  <c r="AY55" i="10"/>
  <c r="H146" i="8" s="1"/>
  <c r="AY48" i="10"/>
  <c r="H19" i="8" s="1"/>
  <c r="Q18" i="8"/>
  <c r="T18" i="8"/>
  <c r="K18" i="8"/>
  <c r="AY57" i="10"/>
  <c r="H148" i="8" s="1"/>
  <c r="AV26" i="10"/>
  <c r="AY50" i="10"/>
  <c r="H21" i="8" s="1"/>
  <c r="N21" i="8" s="1"/>
  <c r="AY54" i="10"/>
  <c r="H145" i="8" s="1"/>
  <c r="N145" i="8" s="1"/>
  <c r="I20" i="8"/>
  <c r="AV25" i="10"/>
  <c r="AW38" i="10"/>
  <c r="AY51" i="10"/>
  <c r="Q20" i="8"/>
  <c r="I147" i="8"/>
  <c r="H144" i="8"/>
  <c r="N144" i="8" s="1"/>
  <c r="AV27" i="10"/>
  <c r="AW40" i="10"/>
  <c r="AW37" i="10"/>
  <c r="AV24" i="10"/>
  <c r="AY46" i="10"/>
  <c r="E24" i="7"/>
  <c r="E25" i="7"/>
  <c r="E26" i="7"/>
  <c r="E27" i="7"/>
  <c r="E28" i="7"/>
  <c r="E23" i="7"/>
  <c r="F23" i="7" s="1"/>
  <c r="F24" i="7" l="1"/>
  <c r="F25" i="7"/>
  <c r="I57" i="8"/>
  <c r="Q57" i="8"/>
  <c r="N57" i="8"/>
  <c r="T19" i="8"/>
  <c r="N19" i="8"/>
  <c r="K146" i="8"/>
  <c r="N146" i="8"/>
  <c r="K57" i="8"/>
  <c r="Q146" i="8"/>
  <c r="K148" i="8"/>
  <c r="N148" i="8"/>
  <c r="F28" i="7"/>
  <c r="F27" i="7"/>
  <c r="F26" i="7"/>
  <c r="G17" i="8" s="1" a="1"/>
  <c r="G17" i="8" s="1"/>
  <c r="Q148" i="8"/>
  <c r="I19" i="8"/>
  <c r="T148" i="8"/>
  <c r="I148" i="8"/>
  <c r="I146" i="8"/>
  <c r="T146" i="8"/>
  <c r="Q19" i="8"/>
  <c r="K19" i="8"/>
  <c r="K21" i="8"/>
  <c r="T21" i="8"/>
  <c r="I21" i="8"/>
  <c r="Q21" i="8"/>
  <c r="Q145" i="8"/>
  <c r="K145" i="8"/>
  <c r="T145" i="8"/>
  <c r="I145" i="8"/>
  <c r="H56" i="8"/>
  <c r="N56" i="8" s="1"/>
  <c r="AZ51" i="10"/>
  <c r="AZ53" i="10"/>
  <c r="I144" i="8"/>
  <c r="T144" i="8"/>
  <c r="Q144" i="8"/>
  <c r="K144" i="8"/>
  <c r="AZ46" i="10"/>
  <c r="H17" i="8"/>
  <c r="N17" i="8" s="1"/>
  <c r="E10" i="7"/>
  <c r="E11" i="7"/>
  <c r="E12" i="7"/>
  <c r="E13" i="7"/>
  <c r="E14" i="7"/>
  <c r="E9" i="7"/>
  <c r="F9" i="7" s="1"/>
  <c r="AM11" i="13"/>
  <c r="AK14" i="13" s="1"/>
  <c r="AK38" i="13" s="1"/>
  <c r="V14" i="13"/>
  <c r="V38" i="13" s="1"/>
  <c r="W15" i="13"/>
  <c r="W39" i="13" s="1"/>
  <c r="X15" i="13"/>
  <c r="X39" i="13" s="1"/>
  <c r="Y15" i="13"/>
  <c r="Y39" i="13" s="1"/>
  <c r="Z16" i="13"/>
  <c r="Z40" i="13" s="1"/>
  <c r="AD18" i="13"/>
  <c r="AC19" i="13"/>
  <c r="AD19" i="13"/>
  <c r="T20" i="13"/>
  <c r="AD20" i="13"/>
  <c r="X11" i="13"/>
  <c r="V13" i="13" s="1"/>
  <c r="F12" i="7" l="1"/>
  <c r="G55" i="8" s="1"/>
  <c r="AI16" i="13"/>
  <c r="AI40" i="13" s="1"/>
  <c r="AM18" i="13"/>
  <c r="AM42" i="13" s="1"/>
  <c r="AR17" i="13"/>
  <c r="AC18" i="13"/>
  <c r="AJ15" i="13"/>
  <c r="AJ39" i="13" s="1"/>
  <c r="AB18" i="13"/>
  <c r="AI15" i="13"/>
  <c r="AI39" i="13" s="1"/>
  <c r="AJ16" i="13"/>
  <c r="AJ40" i="13" s="1"/>
  <c r="AK18" i="13"/>
  <c r="AK42" i="13" s="1"/>
  <c r="AJ57" i="13" s="1"/>
  <c r="AK57" i="13" s="1"/>
  <c r="M141" i="8" s="1"/>
  <c r="U14" i="13"/>
  <c r="U38" i="13" s="1"/>
  <c r="AC17" i="13"/>
  <c r="AC41" i="13" s="1"/>
  <c r="AR14" i="13"/>
  <c r="AK19" i="13"/>
  <c r="AK43" i="13" s="1"/>
  <c r="AO17" i="13"/>
  <c r="AO41" i="13" s="1"/>
  <c r="AN17" i="13"/>
  <c r="AN41" i="13" s="1"/>
  <c r="AB17" i="13"/>
  <c r="AB41" i="13" s="1"/>
  <c r="T13" i="13"/>
  <c r="AM17" i="13"/>
  <c r="AM41" i="13" s="1"/>
  <c r="AQ14" i="13"/>
  <c r="AQ38" i="13" s="1"/>
  <c r="AJ14" i="13"/>
  <c r="AJ38" i="13" s="1"/>
  <c r="AK16" i="13"/>
  <c r="AK40" i="13" s="1"/>
  <c r="AR15" i="13"/>
  <c r="T14" i="13"/>
  <c r="T38" i="13" s="1"/>
  <c r="U13" i="13"/>
  <c r="AA17" i="13"/>
  <c r="AA41" i="13" s="1"/>
  <c r="AP16" i="13"/>
  <c r="AP40" i="13" s="1"/>
  <c r="AL16" i="13"/>
  <c r="AL40" i="13" s="1"/>
  <c r="AL18" i="13"/>
  <c r="AL42" i="13" s="1"/>
  <c r="AP14" i="13"/>
  <c r="AP38" i="13" s="1"/>
  <c r="S15" i="13"/>
  <c r="AB16" i="13"/>
  <c r="AB40" i="13" s="1"/>
  <c r="U54" i="13" s="1"/>
  <c r="V54" i="13" s="1"/>
  <c r="M25" i="8" s="1"/>
  <c r="AM19" i="13"/>
  <c r="AM43" i="13" s="1"/>
  <c r="AN16" i="13"/>
  <c r="AN40" i="13" s="1"/>
  <c r="AJ51" i="13" s="1"/>
  <c r="AK51" i="13" s="1"/>
  <c r="M154" i="8" s="1"/>
  <c r="AO14" i="13"/>
  <c r="AO38" i="13" s="1"/>
  <c r="AP17" i="13"/>
  <c r="AP41" i="13" s="1"/>
  <c r="S14" i="13"/>
  <c r="AA16" i="13"/>
  <c r="AA40" i="13" s="1"/>
  <c r="U53" i="13" s="1"/>
  <c r="V53" i="13" s="1"/>
  <c r="M24" i="8" s="1"/>
  <c r="AL19" i="13"/>
  <c r="AL43" i="13" s="1"/>
  <c r="AM16" i="13"/>
  <c r="AM40" i="13" s="1"/>
  <c r="AL14" i="13"/>
  <c r="AL38" i="13" s="1"/>
  <c r="Z17" i="13"/>
  <c r="Z41" i="13" s="1"/>
  <c r="U52" i="13" s="1"/>
  <c r="V52" i="13" s="1"/>
  <c r="M23" i="8" s="1"/>
  <c r="X16" i="13"/>
  <c r="X40" i="13" s="1"/>
  <c r="AB19" i="13"/>
  <c r="U15" i="13"/>
  <c r="U39" i="13" s="1"/>
  <c r="X17" i="13"/>
  <c r="X41" i="13" s="1"/>
  <c r="S13" i="13"/>
  <c r="W17" i="13"/>
  <c r="W41" i="13" s="1"/>
  <c r="AD14" i="13"/>
  <c r="AA13" i="13"/>
  <c r="AC20" i="13"/>
  <c r="AB20" i="13"/>
  <c r="Y18" i="13"/>
  <c r="Y42" i="13" s="1"/>
  <c r="U61" i="13" s="1"/>
  <c r="V61" i="13" s="1"/>
  <c r="M15" i="8" s="1"/>
  <c r="Z20" i="13"/>
  <c r="X19" i="13"/>
  <c r="X43" i="13" s="1"/>
  <c r="Y16" i="13"/>
  <c r="Y40" i="13" s="1"/>
  <c r="Y17" i="13"/>
  <c r="Y41" i="13" s="1"/>
  <c r="Z19" i="13"/>
  <c r="Z43" i="13" s="1"/>
  <c r="W16" i="13"/>
  <c r="W40" i="13" s="1"/>
  <c r="X18" i="13"/>
  <c r="X42" i="13" s="1"/>
  <c r="S20" i="13"/>
  <c r="V17" i="13"/>
  <c r="V41" i="13" s="1"/>
  <c r="Z13" i="13"/>
  <c r="W19" i="13"/>
  <c r="W43" i="13" s="1"/>
  <c r="T16" i="13"/>
  <c r="T40" i="13" s="1"/>
  <c r="U46" i="13" s="1"/>
  <c r="V46" i="13" s="1"/>
  <c r="Z14" i="13"/>
  <c r="Y13" i="13"/>
  <c r="AL17" i="13"/>
  <c r="AL41" i="13" s="1"/>
  <c r="AJ49" i="13" s="1"/>
  <c r="AK49" i="13" s="1"/>
  <c r="M152" i="8" s="1"/>
  <c r="AQ15" i="13"/>
  <c r="AQ39" i="13" s="1"/>
  <c r="AI14" i="13"/>
  <c r="AI38" i="13" s="1"/>
  <c r="V15" i="13"/>
  <c r="V39" i="13" s="1"/>
  <c r="Z18" i="13"/>
  <c r="Z42" i="13" s="1"/>
  <c r="AB13" i="13"/>
  <c r="Y19" i="13"/>
  <c r="Y43" i="13" s="1"/>
  <c r="U16" i="13"/>
  <c r="U40" i="13" s="1"/>
  <c r="AD15" i="13"/>
  <c r="AA18" i="13"/>
  <c r="AC13" i="13"/>
  <c r="AA20" i="13"/>
  <c r="T15" i="13"/>
  <c r="T39" i="13" s="1"/>
  <c r="S19" i="13"/>
  <c r="V18" i="13"/>
  <c r="V42" i="13" s="1"/>
  <c r="S18" i="13"/>
  <c r="V19" i="13"/>
  <c r="V43" i="13" s="1"/>
  <c r="T17" i="13"/>
  <c r="T41" i="13" s="1"/>
  <c r="Y14" i="13"/>
  <c r="Y38" i="13" s="1"/>
  <c r="U19" i="13"/>
  <c r="U43" i="13" s="1"/>
  <c r="T18" i="13"/>
  <c r="T42" i="13" s="1"/>
  <c r="AD16" i="13"/>
  <c r="AA15" i="13"/>
  <c r="AA39" i="13" s="1"/>
  <c r="X14" i="13"/>
  <c r="X38" i="13" s="1"/>
  <c r="W13" i="13"/>
  <c r="AJ19" i="13"/>
  <c r="AJ43" i="13" s="1"/>
  <c r="AJ17" i="13"/>
  <c r="AJ41" i="13" s="1"/>
  <c r="AJ47" i="13" s="1"/>
  <c r="AK47" i="13" s="1"/>
  <c r="M150" i="8" s="1"/>
  <c r="AL15" i="13"/>
  <c r="AL39" i="13" s="1"/>
  <c r="AD13" i="13"/>
  <c r="AA19" i="13"/>
  <c r="V16" i="13"/>
  <c r="V40" i="13" s="1"/>
  <c r="U48" i="13" s="1"/>
  <c r="V48" i="13" s="1"/>
  <c r="M60" i="8" s="1"/>
  <c r="Y20" i="13"/>
  <c r="W18" i="13"/>
  <c r="W42" i="13" s="1"/>
  <c r="U59" i="13" s="1"/>
  <c r="V59" i="13" s="1"/>
  <c r="M13" i="8" s="1"/>
  <c r="AA14" i="13"/>
  <c r="AA38" i="13" s="1"/>
  <c r="X20" i="13"/>
  <c r="U17" i="13"/>
  <c r="U41" i="13" s="1"/>
  <c r="W20" i="13"/>
  <c r="U18" i="13"/>
  <c r="U42" i="13" s="1"/>
  <c r="U57" i="13" s="1"/>
  <c r="V57" i="13" s="1"/>
  <c r="X13" i="13"/>
  <c r="AK17" i="13"/>
  <c r="AK41" i="13" s="1"/>
  <c r="AJ48" i="13" s="1"/>
  <c r="AK48" i="13" s="1"/>
  <c r="M151" i="8" s="1"/>
  <c r="AN15" i="13"/>
  <c r="AN39" i="13" s="1"/>
  <c r="S17" i="13"/>
  <c r="V20" i="13"/>
  <c r="S16" i="13"/>
  <c r="U20" i="13"/>
  <c r="T19" i="13"/>
  <c r="T43" i="13" s="1"/>
  <c r="AD17" i="13"/>
  <c r="AC16" i="13"/>
  <c r="AC40" i="13" s="1"/>
  <c r="U55" i="13" s="1"/>
  <c r="V55" i="13" s="1"/>
  <c r="M26" i="8" s="1"/>
  <c r="Z15" i="13"/>
  <c r="Z39" i="13" s="1"/>
  <c r="W14" i="13"/>
  <c r="AI19" i="13"/>
  <c r="AI43" i="13" s="1"/>
  <c r="AI17" i="13"/>
  <c r="AI41" i="13" s="1"/>
  <c r="AJ46" i="13" s="1"/>
  <c r="AK46" i="13" s="1"/>
  <c r="AK15" i="13"/>
  <c r="AK39" i="13" s="1"/>
  <c r="K56" i="8"/>
  <c r="Q56" i="8"/>
  <c r="T56" i="8"/>
  <c r="I56" i="8"/>
  <c r="K17" i="8"/>
  <c r="I17" i="8"/>
  <c r="T17" i="8"/>
  <c r="Q17" i="8"/>
  <c r="F11" i="7"/>
  <c r="F14" i="7"/>
  <c r="G57" i="8" s="1"/>
  <c r="F13" i="7"/>
  <c r="G56" i="8" s="1"/>
  <c r="F10" i="7"/>
  <c r="AJ18" i="13"/>
  <c r="AJ42" i="13" s="1"/>
  <c r="AR16" i="13"/>
  <c r="AP15" i="13"/>
  <c r="AP39" i="13" s="1"/>
  <c r="AN14" i="13"/>
  <c r="AN38" i="13" s="1"/>
  <c r="AI18" i="13"/>
  <c r="AI42" i="13" s="1"/>
  <c r="AQ16" i="13"/>
  <c r="AQ40" i="13" s="1"/>
  <c r="AO15" i="13"/>
  <c r="AO39" i="13" s="1"/>
  <c r="AM14" i="13"/>
  <c r="AM38" i="13" s="1"/>
  <c r="AQ17" i="13"/>
  <c r="AQ41" i="13" s="1"/>
  <c r="AO16" i="13"/>
  <c r="AO40" i="13" s="1"/>
  <c r="AJ52" i="13" s="1"/>
  <c r="AK52" i="13" s="1"/>
  <c r="AM15" i="13"/>
  <c r="AM39" i="13" s="1"/>
  <c r="R28" i="13"/>
  <c r="U58" i="13" l="1"/>
  <c r="V58" i="13" s="1"/>
  <c r="M12" i="8" s="1"/>
  <c r="AG26" i="13"/>
  <c r="R25" i="13"/>
  <c r="AJ55" i="13"/>
  <c r="AK55" i="13" s="1"/>
  <c r="U56" i="13"/>
  <c r="V56" i="13" s="1"/>
  <c r="M27" i="8" s="1"/>
  <c r="AJ58" i="13"/>
  <c r="AK58" i="13" s="1"/>
  <c r="M142" i="8" s="1"/>
  <c r="AG25" i="13"/>
  <c r="AJ50" i="13"/>
  <c r="AK50" i="13" s="1"/>
  <c r="M153" i="8" s="1"/>
  <c r="AJ53" i="13"/>
  <c r="AK53" i="13" s="1"/>
  <c r="AJ59" i="13"/>
  <c r="AK59" i="13" s="1"/>
  <c r="M143" i="8" s="1"/>
  <c r="M149" i="8"/>
  <c r="AL46" i="13"/>
  <c r="U50" i="13"/>
  <c r="V50" i="13" s="1"/>
  <c r="M62" i="8" s="1"/>
  <c r="M11" i="8"/>
  <c r="R29" i="13"/>
  <c r="Z38" i="13"/>
  <c r="M58" i="8"/>
  <c r="R26" i="13"/>
  <c r="W38" i="13"/>
  <c r="AJ54" i="13"/>
  <c r="AK54" i="13" s="1"/>
  <c r="U47" i="13"/>
  <c r="V47" i="13" s="1"/>
  <c r="M59" i="8" s="1"/>
  <c r="U51" i="13"/>
  <c r="V51" i="13" s="1"/>
  <c r="M139" i="8"/>
  <c r="U62" i="13"/>
  <c r="V62" i="13" s="1"/>
  <c r="M16" i="8" s="1"/>
  <c r="U60" i="13"/>
  <c r="V60" i="13" s="1"/>
  <c r="M14" i="8" s="1"/>
  <c r="R30" i="13"/>
  <c r="AG30" i="13"/>
  <c r="AG29" i="13"/>
  <c r="AJ56" i="13"/>
  <c r="AK56" i="13" s="1"/>
  <c r="M140" i="8" s="1"/>
  <c r="U49" i="13"/>
  <c r="V49" i="13" s="1"/>
  <c r="M61" i="8" s="1"/>
  <c r="AG31" i="13"/>
  <c r="AG28" i="13"/>
  <c r="M329" i="8" l="1"/>
  <c r="M327" i="8"/>
  <c r="M317" i="8"/>
  <c r="M326" i="8"/>
  <c r="M393" i="8"/>
  <c r="M344" i="8"/>
  <c r="M336" i="8"/>
  <c r="AL52" i="13"/>
  <c r="M371" i="8"/>
  <c r="M386" i="8"/>
  <c r="W46" i="13"/>
  <c r="M22" i="8"/>
  <c r="W51" i="13"/>
  <c r="M368" i="8"/>
  <c r="AL55" i="13"/>
  <c r="W57" i="13"/>
  <c r="S140" i="8"/>
  <c r="S141" i="8"/>
  <c r="S142" i="8"/>
  <c r="S143" i="8"/>
  <c r="P140" i="8"/>
  <c r="P141" i="8"/>
  <c r="P142" i="8"/>
  <c r="P143" i="8"/>
  <c r="S139" i="8"/>
  <c r="P139" i="8"/>
  <c r="AJ6" i="12"/>
  <c r="AJ3" i="12"/>
  <c r="AF6" i="12"/>
  <c r="AF3" i="12"/>
  <c r="AJ54" i="11"/>
  <c r="AL45" i="11"/>
  <c r="AM45" i="11"/>
  <c r="AI46" i="11"/>
  <c r="AJ46" i="11"/>
  <c r="AK46" i="11"/>
  <c r="AI47" i="11"/>
  <c r="AK47" i="11"/>
  <c r="AI48" i="11"/>
  <c r="AJ48" i="11"/>
  <c r="AJ58" i="11" s="1"/>
  <c r="J140" i="8" s="1"/>
  <c r="AK48" i="11"/>
  <c r="AK50" i="11"/>
  <c r="AH46" i="11"/>
  <c r="AH47" i="11"/>
  <c r="AH48" i="11"/>
  <c r="AJ55" i="11" s="1"/>
  <c r="AH49" i="11"/>
  <c r="AH45" i="11"/>
  <c r="AG37" i="11"/>
  <c r="AG36" i="11"/>
  <c r="AG32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S27" i="11"/>
  <c r="AR27" i="11"/>
  <c r="AQ27" i="11"/>
  <c r="AP27" i="11"/>
  <c r="AO27" i="11"/>
  <c r="AN27" i="11"/>
  <c r="AM27" i="11"/>
  <c r="AL27" i="11"/>
  <c r="AK27" i="11"/>
  <c r="AK51" i="11" s="1"/>
  <c r="AJ27" i="11"/>
  <c r="AJ51" i="11" s="1"/>
  <c r="AJ61" i="11" s="1"/>
  <c r="J143" i="8" s="1"/>
  <c r="AI27" i="11"/>
  <c r="AH27" i="11"/>
  <c r="AS26" i="11"/>
  <c r="AR26" i="11"/>
  <c r="AQ26" i="11"/>
  <c r="AP26" i="11"/>
  <c r="AO26" i="11"/>
  <c r="AN26" i="11"/>
  <c r="AM26" i="11"/>
  <c r="AL26" i="11"/>
  <c r="AK26" i="11"/>
  <c r="AJ26" i="11"/>
  <c r="AJ50" i="11" s="1"/>
  <c r="AJ60" i="11" s="1"/>
  <c r="J142" i="8" s="1"/>
  <c r="AI26" i="11"/>
  <c r="AH26" i="11"/>
  <c r="AS25" i="11"/>
  <c r="AR25" i="11"/>
  <c r="AQ25" i="11"/>
  <c r="AP25" i="11"/>
  <c r="AO25" i="11"/>
  <c r="AN25" i="11"/>
  <c r="AM25" i="11"/>
  <c r="AL25" i="11"/>
  <c r="AK25" i="11"/>
  <c r="AK49" i="11" s="1"/>
  <c r="AJ25" i="11"/>
  <c r="AJ49" i="11" s="1"/>
  <c r="AJ59" i="11" s="1"/>
  <c r="J141" i="8" s="1"/>
  <c r="AI25" i="11"/>
  <c r="AI49" i="11" s="1"/>
  <c r="AH25" i="11"/>
  <c r="AS24" i="11"/>
  <c r="AR24" i="11"/>
  <c r="AQ24" i="11"/>
  <c r="AP24" i="11"/>
  <c r="AO24" i="11"/>
  <c r="AN24" i="11"/>
  <c r="AM24" i="11"/>
  <c r="AL24" i="11"/>
  <c r="AK24" i="11"/>
  <c r="AJ24" i="11"/>
  <c r="AI24" i="11"/>
  <c r="AH24" i="11"/>
  <c r="AS23" i="11"/>
  <c r="AR23" i="11"/>
  <c r="AQ23" i="11"/>
  <c r="AP23" i="11"/>
  <c r="AO23" i="11"/>
  <c r="AN23" i="11"/>
  <c r="AM23" i="11"/>
  <c r="AL23" i="11"/>
  <c r="AK23" i="11"/>
  <c r="AJ23" i="11"/>
  <c r="AJ47" i="11" s="1"/>
  <c r="AJ57" i="11" s="1"/>
  <c r="J139" i="8" s="1"/>
  <c r="AI23" i="11"/>
  <c r="AH23" i="11"/>
  <c r="AS22" i="11"/>
  <c r="AR22" i="11"/>
  <c r="AQ22" i="11"/>
  <c r="AQ46" i="11" s="1"/>
  <c r="AP22" i="11"/>
  <c r="AP46" i="11" s="1"/>
  <c r="AO22" i="11"/>
  <c r="AO46" i="11" s="1"/>
  <c r="AN22" i="11"/>
  <c r="AN46" i="11" s="1"/>
  <c r="AM22" i="11"/>
  <c r="AM46" i="11" s="1"/>
  <c r="AL22" i="11"/>
  <c r="AL46" i="11" s="1"/>
  <c r="AK22" i="11"/>
  <c r="AJ22" i="11"/>
  <c r="AI22" i="11"/>
  <c r="AH22" i="11"/>
  <c r="AS21" i="11"/>
  <c r="AR21" i="11"/>
  <c r="AQ21" i="11"/>
  <c r="AG40" i="11" s="1"/>
  <c r="AP21" i="11"/>
  <c r="AG39" i="11" s="1"/>
  <c r="AO21" i="11"/>
  <c r="AO45" i="11" s="1"/>
  <c r="AN21" i="11"/>
  <c r="AN45" i="11" s="1"/>
  <c r="AM21" i="11"/>
  <c r="AL21" i="11"/>
  <c r="AG35" i="11" s="1"/>
  <c r="AK21" i="11"/>
  <c r="AK45" i="11" s="1"/>
  <c r="AJ21" i="11"/>
  <c r="AG33" i="11" s="1"/>
  <c r="AI21" i="11"/>
  <c r="AI45" i="11" s="1"/>
  <c r="AH21" i="11"/>
  <c r="M49" i="9"/>
  <c r="M48" i="9"/>
  <c r="M47" i="9"/>
  <c r="M46" i="9"/>
  <c r="M45" i="9"/>
  <c r="M44" i="9"/>
  <c r="AM11" i="10"/>
  <c r="AR13" i="10" s="1"/>
  <c r="S150" i="8"/>
  <c r="S151" i="8"/>
  <c r="S152" i="8"/>
  <c r="S153" i="8"/>
  <c r="S154" i="8"/>
  <c r="P150" i="8"/>
  <c r="P151" i="8"/>
  <c r="P152" i="8"/>
  <c r="P153" i="8"/>
  <c r="P154" i="8"/>
  <c r="S149" i="8"/>
  <c r="P149" i="8"/>
  <c r="S23" i="8"/>
  <c r="S24" i="8"/>
  <c r="S25" i="8"/>
  <c r="S26" i="8"/>
  <c r="S27" i="8"/>
  <c r="S22" i="8"/>
  <c r="S12" i="8"/>
  <c r="S13" i="8"/>
  <c r="S14" i="8"/>
  <c r="S15" i="8"/>
  <c r="S16" i="8"/>
  <c r="S11" i="8"/>
  <c r="P23" i="8"/>
  <c r="P24" i="8"/>
  <c r="P25" i="8"/>
  <c r="P26" i="8"/>
  <c r="P27" i="8"/>
  <c r="P22" i="8"/>
  <c r="P12" i="8"/>
  <c r="P13" i="8"/>
  <c r="P14" i="8"/>
  <c r="P15" i="8"/>
  <c r="P16" i="8"/>
  <c r="P11" i="8"/>
  <c r="X3" i="12"/>
  <c r="X20" i="12"/>
  <c r="X14" i="12"/>
  <c r="X8" i="12"/>
  <c r="T20" i="12"/>
  <c r="T14" i="12"/>
  <c r="T8" i="12"/>
  <c r="T3" i="12"/>
  <c r="P324" i="8" l="1"/>
  <c r="P322" i="8"/>
  <c r="M322" i="8"/>
  <c r="M316" i="8"/>
  <c r="M324" i="8"/>
  <c r="S324" i="8"/>
  <c r="S322" i="8"/>
  <c r="S356" i="8"/>
  <c r="P344" i="8"/>
  <c r="S344" i="8"/>
  <c r="P356" i="8"/>
  <c r="M356" i="8"/>
  <c r="M369" i="8"/>
  <c r="AL20" i="10"/>
  <c r="AH18" i="10"/>
  <c r="AH42" i="10" s="1"/>
  <c r="AS20" i="10"/>
  <c r="AI17" i="10"/>
  <c r="AI41" i="10" s="1"/>
  <c r="AH15" i="10"/>
  <c r="AH39" i="10" s="1"/>
  <c r="AK19" i="10"/>
  <c r="AJ18" i="10"/>
  <c r="AS15" i="10"/>
  <c r="AJ56" i="11"/>
  <c r="AK54" i="11" s="1"/>
  <c r="AQ45" i="11"/>
  <c r="AP45" i="11"/>
  <c r="AJ45" i="11"/>
  <c r="S369" i="8"/>
  <c r="P369" i="8"/>
  <c r="P368" i="8"/>
  <c r="S368" i="8"/>
  <c r="AR14" i="10"/>
  <c r="AQ13" i="10"/>
  <c r="AH17" i="10"/>
  <c r="AK20" i="10"/>
  <c r="AJ19" i="10"/>
  <c r="AI18" i="10"/>
  <c r="AI42" i="10" s="1"/>
  <c r="AS16" i="10"/>
  <c r="AR15" i="10"/>
  <c r="AQ14" i="10"/>
  <c r="AP13" i="10"/>
  <c r="AH16" i="10"/>
  <c r="AJ20" i="10"/>
  <c r="AI19" i="10"/>
  <c r="AS17" i="10"/>
  <c r="AR16" i="10"/>
  <c r="AQ15" i="10"/>
  <c r="AP14" i="10"/>
  <c r="AO13" i="10"/>
  <c r="AI20" i="10"/>
  <c r="AS18" i="10"/>
  <c r="AR17" i="10"/>
  <c r="AQ16" i="10"/>
  <c r="AP15" i="10"/>
  <c r="AO14" i="10"/>
  <c r="AN13" i="10"/>
  <c r="AH14" i="10"/>
  <c r="AS19" i="10"/>
  <c r="AR18" i="10"/>
  <c r="AQ17" i="10"/>
  <c r="AP16" i="10"/>
  <c r="AO15" i="10"/>
  <c r="AN14" i="10"/>
  <c r="AM13" i="10"/>
  <c r="AM37" i="10" s="1"/>
  <c r="AQ18" i="10"/>
  <c r="AO16" i="10"/>
  <c r="AL13" i="10"/>
  <c r="AL37" i="10" s="1"/>
  <c r="AO17" i="10"/>
  <c r="AM14" i="10"/>
  <c r="AM38" i="10" s="1"/>
  <c r="AR20" i="10"/>
  <c r="AQ19" i="10"/>
  <c r="AP18" i="10"/>
  <c r="AN16" i="10"/>
  <c r="AM15" i="10"/>
  <c r="AM39" i="10" s="1"/>
  <c r="AL14" i="10"/>
  <c r="AL38" i="10" s="1"/>
  <c r="AJ50" i="10" s="1"/>
  <c r="H140" i="8" s="1"/>
  <c r="N140" i="8" s="1"/>
  <c r="AK13" i="10"/>
  <c r="AK37" i="10" s="1"/>
  <c r="AQ20" i="10"/>
  <c r="AP19" i="10"/>
  <c r="AO18" i="10"/>
  <c r="AN17" i="10"/>
  <c r="AM16" i="10"/>
  <c r="AM40" i="10" s="1"/>
  <c r="AL15" i="10"/>
  <c r="AL39" i="10" s="1"/>
  <c r="AK14" i="10"/>
  <c r="AK38" i="10" s="1"/>
  <c r="AJ13" i="10"/>
  <c r="AJ37" i="10" s="1"/>
  <c r="AO19" i="10"/>
  <c r="AM17" i="10"/>
  <c r="AM41" i="10" s="1"/>
  <c r="AL16" i="10"/>
  <c r="AL40" i="10" s="1"/>
  <c r="AJ14" i="10"/>
  <c r="AJ38" i="10" s="1"/>
  <c r="AI13" i="10"/>
  <c r="AI37" i="10" s="1"/>
  <c r="AH20" i="10"/>
  <c r="AN20" i="10"/>
  <c r="AM19" i="10"/>
  <c r="AL18" i="10"/>
  <c r="AK17" i="10"/>
  <c r="AJ16" i="10"/>
  <c r="AI15" i="10"/>
  <c r="AI39" i="10" s="1"/>
  <c r="AS13" i="10"/>
  <c r="AR19" i="10"/>
  <c r="AP17" i="10"/>
  <c r="AN15" i="10"/>
  <c r="AP20" i="10"/>
  <c r="AN18" i="10"/>
  <c r="AK15" i="10"/>
  <c r="AK39" i="10" s="1"/>
  <c r="AH13" i="10"/>
  <c r="AO20" i="10"/>
  <c r="AN19" i="10"/>
  <c r="AM18" i="10"/>
  <c r="AL17" i="10"/>
  <c r="AL41" i="10" s="1"/>
  <c r="AK16" i="10"/>
  <c r="AJ15" i="10"/>
  <c r="AJ39" i="10" s="1"/>
  <c r="AJ48" i="10" s="1"/>
  <c r="AI14" i="10"/>
  <c r="AI38" i="10" s="1"/>
  <c r="AH19" i="10"/>
  <c r="AM20" i="10"/>
  <c r="AL19" i="10"/>
  <c r="AK18" i="10"/>
  <c r="AJ17" i="10"/>
  <c r="AI16" i="10"/>
  <c r="AI40" i="10" s="1"/>
  <c r="AS14" i="10"/>
  <c r="AK57" i="11"/>
  <c r="F139" i="8"/>
  <c r="F140" i="8"/>
  <c r="O140" i="8" s="1"/>
  <c r="F141" i="8"/>
  <c r="F142" i="8"/>
  <c r="F143" i="8"/>
  <c r="O143" i="8" s="1"/>
  <c r="E24" i="8"/>
  <c r="E26" i="8"/>
  <c r="F138" i="8"/>
  <c r="I45" i="9"/>
  <c r="E139" i="8" s="1"/>
  <c r="I46" i="9"/>
  <c r="E140" i="8" s="1"/>
  <c r="I47" i="9"/>
  <c r="E141" i="8" s="1"/>
  <c r="I48" i="9"/>
  <c r="E142" i="8" s="1"/>
  <c r="I49" i="9"/>
  <c r="E143" i="8" s="1"/>
  <c r="I44" i="9"/>
  <c r="E138" i="8" s="1"/>
  <c r="M41" i="9"/>
  <c r="M42" i="9"/>
  <c r="M43" i="9"/>
  <c r="I41" i="9"/>
  <c r="I42" i="9"/>
  <c r="I43" i="9"/>
  <c r="M27" i="9"/>
  <c r="F26" i="8" s="1"/>
  <c r="I27" i="9"/>
  <c r="I32" i="9"/>
  <c r="E14" i="8" s="1"/>
  <c r="I33" i="9"/>
  <c r="E15" i="8" s="1"/>
  <c r="M32" i="9"/>
  <c r="F14" i="8" s="1"/>
  <c r="O14" i="8" s="1"/>
  <c r="M33" i="9"/>
  <c r="F15" i="8" s="1"/>
  <c r="O15" i="8" s="1"/>
  <c r="M37" i="9"/>
  <c r="F151" i="8" s="1"/>
  <c r="O151" i="8" s="1"/>
  <c r="M38" i="9"/>
  <c r="F152" i="8" s="1"/>
  <c r="I37" i="9"/>
  <c r="E151" i="8" s="1"/>
  <c r="I38" i="9"/>
  <c r="E152" i="8" s="1"/>
  <c r="M40" i="9"/>
  <c r="F154" i="8" s="1"/>
  <c r="O154" i="8" s="1"/>
  <c r="I40" i="9"/>
  <c r="E154" i="8" s="1"/>
  <c r="M39" i="9"/>
  <c r="F153" i="8" s="1"/>
  <c r="O153" i="8" s="1"/>
  <c r="I39" i="9"/>
  <c r="E153" i="8" s="1"/>
  <c r="M36" i="9"/>
  <c r="F150" i="8" s="1"/>
  <c r="O150" i="8" s="1"/>
  <c r="I36" i="9"/>
  <c r="E150" i="8" s="1"/>
  <c r="M35" i="9"/>
  <c r="F149" i="8" s="1"/>
  <c r="I35" i="9"/>
  <c r="E149" i="8" s="1"/>
  <c r="M34" i="9"/>
  <c r="F16" i="8" s="1"/>
  <c r="O16" i="8" s="1"/>
  <c r="I34" i="9"/>
  <c r="E16" i="8" s="1"/>
  <c r="M31" i="9"/>
  <c r="F13" i="8" s="1"/>
  <c r="O13" i="8" s="1"/>
  <c r="I31" i="9"/>
  <c r="E13" i="8" s="1"/>
  <c r="M30" i="9"/>
  <c r="F12" i="8" s="1"/>
  <c r="I30" i="9"/>
  <c r="E12" i="8" s="1"/>
  <c r="M29" i="9"/>
  <c r="F11" i="8" s="1"/>
  <c r="I29" i="9"/>
  <c r="E11" i="8" s="1"/>
  <c r="M28" i="9"/>
  <c r="F27" i="8" s="1"/>
  <c r="O27" i="8" s="1"/>
  <c r="I28" i="9"/>
  <c r="E27" i="8" s="1"/>
  <c r="M26" i="9"/>
  <c r="F25" i="8" s="1"/>
  <c r="O25" i="8" s="1"/>
  <c r="I26" i="9"/>
  <c r="E25" i="8" s="1"/>
  <c r="M25" i="9"/>
  <c r="F24" i="8" s="1"/>
  <c r="O24" i="8" s="1"/>
  <c r="I25" i="9"/>
  <c r="M24" i="9"/>
  <c r="F23" i="8" s="1"/>
  <c r="I24" i="9"/>
  <c r="E23" i="8" s="1"/>
  <c r="M23" i="9"/>
  <c r="F22" i="8" s="1"/>
  <c r="I23" i="9"/>
  <c r="E22" i="8" s="1"/>
  <c r="M22" i="9"/>
  <c r="F62" i="8" s="1"/>
  <c r="I22" i="9"/>
  <c r="E62" i="8" s="1"/>
  <c r="M21" i="9"/>
  <c r="F61" i="8" s="1"/>
  <c r="I21" i="9"/>
  <c r="E61" i="8" s="1"/>
  <c r="M20" i="9"/>
  <c r="F60" i="8" s="1"/>
  <c r="I20" i="9"/>
  <c r="E60" i="8" s="1"/>
  <c r="M19" i="9"/>
  <c r="F59" i="8" s="1"/>
  <c r="I19" i="9"/>
  <c r="E59" i="8" s="1"/>
  <c r="M18" i="9"/>
  <c r="F58" i="8" s="1"/>
  <c r="I18" i="9"/>
  <c r="E58" i="8" s="1"/>
  <c r="U45" i="11"/>
  <c r="W45" i="11"/>
  <c r="Z45" i="11"/>
  <c r="X46" i="11"/>
  <c r="T48" i="11"/>
  <c r="Y48" i="11"/>
  <c r="T49" i="11"/>
  <c r="Y49" i="11"/>
  <c r="U73" i="11" s="1"/>
  <c r="J151" i="8" s="1"/>
  <c r="W51" i="11"/>
  <c r="W52" i="11"/>
  <c r="T21" i="11"/>
  <c r="T45" i="11" s="1"/>
  <c r="U21" i="11"/>
  <c r="V21" i="11"/>
  <c r="V45" i="11" s="1"/>
  <c r="W21" i="11"/>
  <c r="X21" i="11"/>
  <c r="X45" i="11" s="1"/>
  <c r="Y21" i="11"/>
  <c r="R37" i="11" s="1"/>
  <c r="Z21" i="11"/>
  <c r="R38" i="11" s="1"/>
  <c r="AA21" i="11"/>
  <c r="AB21" i="11"/>
  <c r="AB45" i="11" s="1"/>
  <c r="AC21" i="11"/>
  <c r="AD21" i="11"/>
  <c r="T22" i="11"/>
  <c r="T46" i="11" s="1"/>
  <c r="U22" i="11"/>
  <c r="U46" i="11" s="1"/>
  <c r="V22" i="11"/>
  <c r="V46" i="11" s="1"/>
  <c r="W22" i="11"/>
  <c r="W46" i="11" s="1"/>
  <c r="X22" i="11"/>
  <c r="Y22" i="11"/>
  <c r="Y46" i="11" s="1"/>
  <c r="Z22" i="11"/>
  <c r="Z46" i="11" s="1"/>
  <c r="AA22" i="11"/>
  <c r="AA46" i="11" s="1"/>
  <c r="AB22" i="11"/>
  <c r="AB46" i="11" s="1"/>
  <c r="AC22" i="11"/>
  <c r="AD22" i="11"/>
  <c r="T23" i="11"/>
  <c r="T47" i="11" s="1"/>
  <c r="U23" i="11"/>
  <c r="U47" i="11" s="1"/>
  <c r="V23" i="11"/>
  <c r="V47" i="11" s="1"/>
  <c r="W23" i="11"/>
  <c r="W47" i="11" s="1"/>
  <c r="X23" i="11"/>
  <c r="X47" i="11" s="1"/>
  <c r="Y23" i="11"/>
  <c r="Y47" i="11" s="1"/>
  <c r="Z23" i="11"/>
  <c r="Z47" i="11" s="1"/>
  <c r="AA23" i="11"/>
  <c r="AB23" i="11"/>
  <c r="AC23" i="11"/>
  <c r="AD23" i="11"/>
  <c r="T24" i="11"/>
  <c r="U24" i="11"/>
  <c r="U48" i="11" s="1"/>
  <c r="V24" i="11"/>
  <c r="V48" i="11" s="1"/>
  <c r="W24" i="11"/>
  <c r="W48" i="11" s="1"/>
  <c r="U66" i="11" s="1"/>
  <c r="J12" i="8" s="1"/>
  <c r="X24" i="11"/>
  <c r="X48" i="11" s="1"/>
  <c r="Y24" i="11"/>
  <c r="Z24" i="11"/>
  <c r="Z48" i="11" s="1"/>
  <c r="AA24" i="11"/>
  <c r="AB24" i="11"/>
  <c r="AC24" i="11"/>
  <c r="AD24" i="11"/>
  <c r="T25" i="11"/>
  <c r="U25" i="11"/>
  <c r="U49" i="11" s="1"/>
  <c r="V25" i="11"/>
  <c r="V49" i="11" s="1"/>
  <c r="W25" i="11"/>
  <c r="W49" i="11" s="1"/>
  <c r="X25" i="11"/>
  <c r="X49" i="11" s="1"/>
  <c r="Y25" i="11"/>
  <c r="Z25" i="11"/>
  <c r="Z49" i="11" s="1"/>
  <c r="AA25" i="11"/>
  <c r="AB25" i="11"/>
  <c r="AC25" i="11"/>
  <c r="AD25" i="11"/>
  <c r="T26" i="11"/>
  <c r="T50" i="11" s="1"/>
  <c r="U26" i="11"/>
  <c r="U50" i="11" s="1"/>
  <c r="V26" i="11"/>
  <c r="V50" i="11" s="1"/>
  <c r="W26" i="11"/>
  <c r="W50" i="11" s="1"/>
  <c r="X26" i="11"/>
  <c r="X50" i="11" s="1"/>
  <c r="Y26" i="11"/>
  <c r="Y50" i="11" s="1"/>
  <c r="U74" i="11" s="1"/>
  <c r="J152" i="8" s="1"/>
  <c r="Z26" i="11"/>
  <c r="Z50" i="11" s="1"/>
  <c r="AA26" i="11"/>
  <c r="AB26" i="11"/>
  <c r="AC26" i="11"/>
  <c r="AD26" i="11"/>
  <c r="T27" i="11"/>
  <c r="T51" i="11" s="1"/>
  <c r="U27" i="11"/>
  <c r="U51" i="11" s="1"/>
  <c r="V27" i="11"/>
  <c r="V51" i="11" s="1"/>
  <c r="W27" i="11"/>
  <c r="X27" i="11"/>
  <c r="X51" i="11" s="1"/>
  <c r="Y27" i="11"/>
  <c r="Y51" i="11" s="1"/>
  <c r="Z27" i="11"/>
  <c r="Z51" i="11" s="1"/>
  <c r="AA27" i="11"/>
  <c r="AB27" i="11"/>
  <c r="AC27" i="11"/>
  <c r="AD27" i="11"/>
  <c r="T28" i="11"/>
  <c r="U28" i="11"/>
  <c r="U52" i="11" s="1"/>
  <c r="V28" i="11"/>
  <c r="V52" i="11" s="1"/>
  <c r="W28" i="11"/>
  <c r="X28" i="11"/>
  <c r="X52" i="11" s="1"/>
  <c r="Y28" i="11"/>
  <c r="Y52" i="11" s="1"/>
  <c r="Z28" i="11"/>
  <c r="Z52" i="11" s="1"/>
  <c r="AA28" i="11"/>
  <c r="AB28" i="11"/>
  <c r="AC28" i="11"/>
  <c r="AD28" i="11"/>
  <c r="S22" i="11"/>
  <c r="S46" i="11" s="1"/>
  <c r="S23" i="11"/>
  <c r="S47" i="11" s="1"/>
  <c r="S24" i="11"/>
  <c r="S48" i="11" s="1"/>
  <c r="U55" i="11" s="1"/>
  <c r="J59" i="8" s="1"/>
  <c r="S25" i="11"/>
  <c r="S49" i="11" s="1"/>
  <c r="U56" i="11" s="1"/>
  <c r="J60" i="8" s="1"/>
  <c r="S26" i="11"/>
  <c r="S50" i="11" s="1"/>
  <c r="S27" i="11"/>
  <c r="S51" i="11" s="1"/>
  <c r="S28" i="11"/>
  <c r="S21" i="11"/>
  <c r="S45" i="11" s="1"/>
  <c r="R35" i="11"/>
  <c r="X11" i="10"/>
  <c r="T13" i="10" s="1"/>
  <c r="T37" i="10" s="1"/>
  <c r="E322" i="8" l="1"/>
  <c r="F316" i="8"/>
  <c r="F322" i="8"/>
  <c r="F324" i="8"/>
  <c r="E317" i="8"/>
  <c r="E329" i="8"/>
  <c r="F329" i="8"/>
  <c r="F327" i="8"/>
  <c r="F317" i="8"/>
  <c r="F326" i="8"/>
  <c r="F393" i="8"/>
  <c r="E393" i="8"/>
  <c r="E327" i="8"/>
  <c r="E326" i="8"/>
  <c r="R58" i="8"/>
  <c r="E356" i="8"/>
  <c r="E316" i="8"/>
  <c r="E324" i="8"/>
  <c r="E336" i="8"/>
  <c r="E344" i="8"/>
  <c r="F356" i="8"/>
  <c r="F336" i="8"/>
  <c r="F344" i="8"/>
  <c r="Y61" i="8"/>
  <c r="L59" i="8"/>
  <c r="Y62" i="8"/>
  <c r="E386" i="8"/>
  <c r="F386" i="8"/>
  <c r="AJ47" i="10"/>
  <c r="AJ52" i="10"/>
  <c r="H142" i="8" s="1"/>
  <c r="K142" i="8" s="1"/>
  <c r="O62" i="8"/>
  <c r="U62" i="8"/>
  <c r="R62" i="8"/>
  <c r="L60" i="8"/>
  <c r="Y154" i="8"/>
  <c r="O60" i="8"/>
  <c r="R60" i="8"/>
  <c r="U60" i="8"/>
  <c r="Y58" i="8"/>
  <c r="E371" i="8"/>
  <c r="Y59" i="8"/>
  <c r="U58" i="8"/>
  <c r="F371" i="8"/>
  <c r="O58" i="8"/>
  <c r="R59" i="8"/>
  <c r="O59" i="8"/>
  <c r="U59" i="8"/>
  <c r="U61" i="8"/>
  <c r="O61" i="8"/>
  <c r="R61" i="8"/>
  <c r="Y60" i="8"/>
  <c r="Y27" i="8"/>
  <c r="Y150" i="8"/>
  <c r="R36" i="11"/>
  <c r="U72" i="11"/>
  <c r="J150" i="8" s="1"/>
  <c r="L150" i="8" s="1"/>
  <c r="U69" i="11"/>
  <c r="J15" i="8" s="1"/>
  <c r="L15" i="8" s="1"/>
  <c r="U58" i="11"/>
  <c r="J62" i="8" s="1"/>
  <c r="L62" i="8" s="1"/>
  <c r="U62" i="11"/>
  <c r="J25" i="8" s="1"/>
  <c r="L25" i="8" s="1"/>
  <c r="R39" i="11"/>
  <c r="U70" i="11"/>
  <c r="J16" i="8" s="1"/>
  <c r="L16" i="8" s="1"/>
  <c r="AA45" i="11"/>
  <c r="E369" i="8"/>
  <c r="F369" i="8"/>
  <c r="F368" i="8"/>
  <c r="E368" i="8"/>
  <c r="T140" i="8"/>
  <c r="K140" i="8"/>
  <c r="W17" i="10"/>
  <c r="W41" i="10" s="1"/>
  <c r="AA13" i="10"/>
  <c r="AA37" i="10" s="1"/>
  <c r="S17" i="10"/>
  <c r="S41" i="10" s="1"/>
  <c r="U16" i="10"/>
  <c r="U40" i="10" s="1"/>
  <c r="AJ53" i="10"/>
  <c r="H143" i="8" s="1"/>
  <c r="AJ46" i="10"/>
  <c r="AH40" i="10"/>
  <c r="AG27" i="10"/>
  <c r="V16" i="10"/>
  <c r="V40" i="10" s="1"/>
  <c r="U49" i="10" s="1"/>
  <c r="H61" i="8" s="1"/>
  <c r="Y20" i="10"/>
  <c r="V20" i="10"/>
  <c r="AC15" i="10"/>
  <c r="S20" i="10"/>
  <c r="Y19" i="10"/>
  <c r="U15" i="10"/>
  <c r="U39" i="10" s="1"/>
  <c r="AJ51" i="10"/>
  <c r="H141" i="8" s="1"/>
  <c r="I141" i="8" s="1"/>
  <c r="Z20" i="10"/>
  <c r="T15" i="10"/>
  <c r="T39" i="10" s="1"/>
  <c r="Q140" i="8"/>
  <c r="AH41" i="10"/>
  <c r="AG28" i="10"/>
  <c r="S13" i="10"/>
  <c r="R24" i="10" s="1"/>
  <c r="V17" i="10"/>
  <c r="V41" i="10" s="1"/>
  <c r="X19" i="10"/>
  <c r="U19" i="10"/>
  <c r="AB14" i="10"/>
  <c r="AB38" i="10" s="1"/>
  <c r="AG24" i="10"/>
  <c r="AH37" i="10"/>
  <c r="AG25" i="10"/>
  <c r="AH38" i="10"/>
  <c r="T18" i="10"/>
  <c r="T42" i="10" s="1"/>
  <c r="AD16" i="10"/>
  <c r="X18" i="10"/>
  <c r="X42" i="10" s="1"/>
  <c r="T14" i="10"/>
  <c r="T38" i="10" s="1"/>
  <c r="W18" i="10"/>
  <c r="W42" i="10" s="1"/>
  <c r="AD13" i="10"/>
  <c r="AJ49" i="10"/>
  <c r="AG26" i="10"/>
  <c r="Y26" i="8"/>
  <c r="Y139" i="8"/>
  <c r="Y140" i="8"/>
  <c r="Y16" i="8"/>
  <c r="Y14" i="8"/>
  <c r="Y25" i="8"/>
  <c r="Y143" i="8"/>
  <c r="Y15" i="8"/>
  <c r="Y142" i="8"/>
  <c r="Y24" i="8"/>
  <c r="Y141" i="8"/>
  <c r="Y23" i="8"/>
  <c r="Y138" i="8"/>
  <c r="O11" i="8"/>
  <c r="Y22" i="8"/>
  <c r="Y12" i="8"/>
  <c r="Y11" i="8"/>
  <c r="Y153" i="8"/>
  <c r="Y13" i="8"/>
  <c r="Y149" i="8"/>
  <c r="Y152" i="8"/>
  <c r="O22" i="8"/>
  <c r="Y151" i="8"/>
  <c r="O149" i="8"/>
  <c r="R23" i="8"/>
  <c r="O23" i="8"/>
  <c r="U139" i="8"/>
  <c r="O139" i="8"/>
  <c r="R12" i="8"/>
  <c r="O12" i="8"/>
  <c r="U152" i="8"/>
  <c r="O152" i="8"/>
  <c r="L142" i="8"/>
  <c r="O142" i="8"/>
  <c r="R26" i="8"/>
  <c r="O26" i="8"/>
  <c r="O141" i="8"/>
  <c r="R149" i="8"/>
  <c r="U142" i="8"/>
  <c r="U12" i="8"/>
  <c r="U26" i="8"/>
  <c r="U149" i="8"/>
  <c r="R139" i="8"/>
  <c r="L139" i="8"/>
  <c r="I140" i="8"/>
  <c r="U140" i="8"/>
  <c r="R140" i="8"/>
  <c r="R143" i="8"/>
  <c r="L143" i="8"/>
  <c r="U143" i="8"/>
  <c r="U141" i="8"/>
  <c r="R142" i="8"/>
  <c r="R152" i="8"/>
  <c r="L141" i="8"/>
  <c r="L140" i="8"/>
  <c r="R141" i="8"/>
  <c r="U16" i="8"/>
  <c r="R16" i="8"/>
  <c r="U76" i="11"/>
  <c r="J154" i="8" s="1"/>
  <c r="U68" i="11"/>
  <c r="J14" i="8" s="1"/>
  <c r="U60" i="11"/>
  <c r="J23" i="8" s="1"/>
  <c r="U57" i="11"/>
  <c r="J61" i="8" s="1"/>
  <c r="L61" i="8" s="1"/>
  <c r="U15" i="8"/>
  <c r="R15" i="8"/>
  <c r="R24" i="8"/>
  <c r="U24" i="8"/>
  <c r="U151" i="8"/>
  <c r="R151" i="8"/>
  <c r="R25" i="8"/>
  <c r="U25" i="8"/>
  <c r="U14" i="8"/>
  <c r="R14" i="8"/>
  <c r="U75" i="11"/>
  <c r="J153" i="8" s="1"/>
  <c r="R150" i="8"/>
  <c r="U150" i="8"/>
  <c r="L152" i="8"/>
  <c r="U63" i="11"/>
  <c r="J26" i="8" s="1"/>
  <c r="U11" i="8"/>
  <c r="R11" i="8"/>
  <c r="U153" i="8"/>
  <c r="R153" i="8"/>
  <c r="U67" i="11"/>
  <c r="J13" i="8" s="1"/>
  <c r="L151" i="8"/>
  <c r="L12" i="8"/>
  <c r="R27" i="8"/>
  <c r="U27" i="8"/>
  <c r="U54" i="11"/>
  <c r="J58" i="8" s="1"/>
  <c r="U71" i="11"/>
  <c r="J149" i="8" s="1"/>
  <c r="U61" i="11"/>
  <c r="J24" i="8" s="1"/>
  <c r="U22" i="8"/>
  <c r="R22" i="8"/>
  <c r="U59" i="11"/>
  <c r="J22" i="8" s="1"/>
  <c r="U64" i="11"/>
  <c r="J27" i="8" s="1"/>
  <c r="U65" i="11"/>
  <c r="J11" i="8" s="1"/>
  <c r="R13" i="8"/>
  <c r="U13" i="8"/>
  <c r="S19" i="10"/>
  <c r="X20" i="10"/>
  <c r="W19" i="10"/>
  <c r="V18" i="10"/>
  <c r="V42" i="10" s="1"/>
  <c r="U17" i="10"/>
  <c r="U41" i="10" s="1"/>
  <c r="T16" i="10"/>
  <c r="T40" i="10" s="1"/>
  <c r="AD14" i="10"/>
  <c r="AC13" i="10"/>
  <c r="Y45" i="11"/>
  <c r="U23" i="8"/>
  <c r="R32" i="11"/>
  <c r="S18" i="10"/>
  <c r="W20" i="10"/>
  <c r="V19" i="10"/>
  <c r="U18" i="10"/>
  <c r="U42" i="10" s="1"/>
  <c r="T17" i="10"/>
  <c r="T41" i="10" s="1"/>
  <c r="AD15" i="10"/>
  <c r="AC14" i="10"/>
  <c r="AB13" i="10"/>
  <c r="AB37" i="10" s="1"/>
  <c r="R154" i="8"/>
  <c r="U154" i="8"/>
  <c r="S16" i="10"/>
  <c r="U20" i="10"/>
  <c r="T19" i="10"/>
  <c r="AD17" i="10"/>
  <c r="AC16" i="10"/>
  <c r="AB15" i="10"/>
  <c r="AB39" i="10" s="1"/>
  <c r="AA14" i="10"/>
  <c r="AA38" i="10" s="1"/>
  <c r="Z13" i="10"/>
  <c r="Z37" i="10" s="1"/>
  <c r="AD18" i="10"/>
  <c r="AA15" i="10"/>
  <c r="AA39" i="10" s="1"/>
  <c r="T20" i="10"/>
  <c r="AB16" i="10"/>
  <c r="AB40" i="10" s="1"/>
  <c r="Y13" i="10"/>
  <c r="Y37" i="10" s="1"/>
  <c r="S14" i="10"/>
  <c r="AD19" i="10"/>
  <c r="AC18" i="10"/>
  <c r="AB17" i="10"/>
  <c r="AB41" i="10" s="1"/>
  <c r="AA16" i="10"/>
  <c r="AA40" i="10" s="1"/>
  <c r="Z15" i="10"/>
  <c r="Z39" i="10" s="1"/>
  <c r="Y14" i="10"/>
  <c r="Y38" i="10" s="1"/>
  <c r="X13" i="10"/>
  <c r="X37" i="10" s="1"/>
  <c r="S15" i="10"/>
  <c r="AC17" i="10"/>
  <c r="Z14" i="10"/>
  <c r="Z38" i="10" s="1"/>
  <c r="AD20" i="10"/>
  <c r="AC19" i="10"/>
  <c r="AB18" i="10"/>
  <c r="AB42" i="10" s="1"/>
  <c r="AA17" i="10"/>
  <c r="AA41" i="10" s="1"/>
  <c r="Z16" i="10"/>
  <c r="Z40" i="10" s="1"/>
  <c r="Y15" i="10"/>
  <c r="Y39" i="10" s="1"/>
  <c r="U59" i="10" s="1"/>
  <c r="H13" i="8" s="1"/>
  <c r="N13" i="8" s="1"/>
  <c r="X14" i="10"/>
  <c r="X38" i="10" s="1"/>
  <c r="W13" i="10"/>
  <c r="W37" i="10" s="1"/>
  <c r="AC20" i="10"/>
  <c r="AA18" i="10"/>
  <c r="AA42" i="10" s="1"/>
  <c r="Y16" i="10"/>
  <c r="Y40" i="10" s="1"/>
  <c r="W14" i="10"/>
  <c r="W38" i="10" s="1"/>
  <c r="AB19" i="10"/>
  <c r="Z17" i="10"/>
  <c r="Z41" i="10" s="1"/>
  <c r="X15" i="10"/>
  <c r="X39" i="10" s="1"/>
  <c r="V13" i="10"/>
  <c r="V37" i="10" s="1"/>
  <c r="AB20" i="10"/>
  <c r="AA19" i="10"/>
  <c r="Z18" i="10"/>
  <c r="Z42" i="10" s="1"/>
  <c r="Y17" i="10"/>
  <c r="Y41" i="10" s="1"/>
  <c r="X16" i="10"/>
  <c r="X40" i="10" s="1"/>
  <c r="W15" i="10"/>
  <c r="W39" i="10" s="1"/>
  <c r="V14" i="10"/>
  <c r="V38" i="10" s="1"/>
  <c r="U13" i="10"/>
  <c r="U37" i="10" s="1"/>
  <c r="AA20" i="10"/>
  <c r="Z19" i="10"/>
  <c r="Y18" i="10"/>
  <c r="Y42" i="10" s="1"/>
  <c r="X17" i="10"/>
  <c r="X41" i="10" s="1"/>
  <c r="U55" i="10" s="1"/>
  <c r="H26" i="8" s="1"/>
  <c r="N26" i="8" s="1"/>
  <c r="W16" i="10"/>
  <c r="W40" i="10" s="1"/>
  <c r="V15" i="10"/>
  <c r="V39" i="10" s="1"/>
  <c r="U48" i="10" s="1"/>
  <c r="H60" i="8" s="1"/>
  <c r="U14" i="10"/>
  <c r="U38" i="10" s="1"/>
  <c r="R40" i="11"/>
  <c r="W16" i="7"/>
  <c r="W17" i="7"/>
  <c r="W18" i="7"/>
  <c r="W19" i="7"/>
  <c r="W20" i="7"/>
  <c r="W21" i="7"/>
  <c r="W15" i="7"/>
  <c r="O327" i="8" l="1"/>
  <c r="O329" i="8"/>
  <c r="O317" i="8"/>
  <c r="O326" i="8"/>
  <c r="U326" i="8"/>
  <c r="U329" i="8"/>
  <c r="U327" i="8"/>
  <c r="O322" i="8"/>
  <c r="O316" i="8"/>
  <c r="O324" i="8"/>
  <c r="J316" i="8"/>
  <c r="J324" i="8"/>
  <c r="J322" i="8"/>
  <c r="R322" i="8"/>
  <c r="R324" i="8"/>
  <c r="Y329" i="8"/>
  <c r="Y327" i="8"/>
  <c r="Y326" i="8"/>
  <c r="Y333" i="8"/>
  <c r="Y317" i="8"/>
  <c r="R329" i="8"/>
  <c r="R327" i="8"/>
  <c r="R326" i="8"/>
  <c r="J317" i="8"/>
  <c r="J326" i="8"/>
  <c r="J329" i="8"/>
  <c r="J327" i="8"/>
  <c r="Y322" i="8"/>
  <c r="Y324" i="8"/>
  <c r="Y316" i="8"/>
  <c r="U322" i="8"/>
  <c r="U324" i="8"/>
  <c r="N142" i="8"/>
  <c r="R393" i="8"/>
  <c r="O393" i="8"/>
  <c r="U393" i="8"/>
  <c r="Y393" i="8"/>
  <c r="J393" i="8"/>
  <c r="U8" i="4"/>
  <c r="T8" i="4"/>
  <c r="Y8" i="4"/>
  <c r="W8" i="4"/>
  <c r="X8" i="4"/>
  <c r="AA8" i="4"/>
  <c r="AB8" i="4"/>
  <c r="Z8" i="4"/>
  <c r="U356" i="8"/>
  <c r="U344" i="8"/>
  <c r="Y356" i="8"/>
  <c r="J356" i="8"/>
  <c r="Y344" i="8"/>
  <c r="Y336" i="8"/>
  <c r="J336" i="8"/>
  <c r="J344" i="8"/>
  <c r="R356" i="8"/>
  <c r="R344" i="8"/>
  <c r="O356" i="8"/>
  <c r="O336" i="8"/>
  <c r="O344" i="8"/>
  <c r="T142" i="8"/>
  <c r="Q142" i="8"/>
  <c r="J386" i="8"/>
  <c r="U5" i="4"/>
  <c r="T5" i="4"/>
  <c r="U7" i="4"/>
  <c r="T7" i="4"/>
  <c r="Y386" i="8"/>
  <c r="R386" i="8"/>
  <c r="O386" i="8"/>
  <c r="U386" i="8"/>
  <c r="I142" i="8"/>
  <c r="U63" i="10"/>
  <c r="H149" i="8" s="1"/>
  <c r="AK46" i="10"/>
  <c r="U61" i="10"/>
  <c r="H15" i="8" s="1"/>
  <c r="N15" i="8" s="1"/>
  <c r="U50" i="10"/>
  <c r="H62" i="8" s="1"/>
  <c r="I62" i="8" s="1"/>
  <c r="J368" i="8"/>
  <c r="R371" i="8"/>
  <c r="O371" i="8"/>
  <c r="U371" i="8"/>
  <c r="Y371" i="8"/>
  <c r="W7" i="4"/>
  <c r="X7" i="4"/>
  <c r="AA7" i="4"/>
  <c r="Z7" i="4"/>
  <c r="L58" i="8"/>
  <c r="J371" i="8"/>
  <c r="O369" i="8"/>
  <c r="Y368" i="8"/>
  <c r="Y369" i="8"/>
  <c r="J369" i="8"/>
  <c r="U369" i="8"/>
  <c r="O368" i="8"/>
  <c r="R368" i="8"/>
  <c r="U368" i="8"/>
  <c r="R369" i="8"/>
  <c r="U68" i="10"/>
  <c r="H154" i="8" s="1"/>
  <c r="N154" i="8" s="1"/>
  <c r="U65" i="10"/>
  <c r="H151" i="8" s="1"/>
  <c r="N151" i="8" s="1"/>
  <c r="U56" i="10"/>
  <c r="H27" i="8" s="1"/>
  <c r="N27" i="8" s="1"/>
  <c r="U64" i="10"/>
  <c r="H150" i="8" s="1"/>
  <c r="I150" i="8" s="1"/>
  <c r="S37" i="10"/>
  <c r="R28" i="10"/>
  <c r="U58" i="10"/>
  <c r="H12" i="8" s="1"/>
  <c r="Q12" i="8" s="1"/>
  <c r="U47" i="10"/>
  <c r="H59" i="8" s="1"/>
  <c r="Q141" i="8"/>
  <c r="N141" i="8"/>
  <c r="T141" i="8"/>
  <c r="K141" i="8"/>
  <c r="N143" i="8"/>
  <c r="K143" i="8"/>
  <c r="T143" i="8"/>
  <c r="Q143" i="8"/>
  <c r="U54" i="10"/>
  <c r="H25" i="8" s="1"/>
  <c r="N25" i="8" s="1"/>
  <c r="H139" i="8"/>
  <c r="AK49" i="10"/>
  <c r="U62" i="10"/>
  <c r="H16" i="8" s="1"/>
  <c r="N16" i="8" s="1"/>
  <c r="I143" i="8"/>
  <c r="Q60" i="8"/>
  <c r="N60" i="8"/>
  <c r="K60" i="8"/>
  <c r="I60" i="8"/>
  <c r="T60" i="8"/>
  <c r="U66" i="10"/>
  <c r="H152" i="8" s="1"/>
  <c r="Q152" i="8" s="1"/>
  <c r="Q61" i="8"/>
  <c r="N61" i="8"/>
  <c r="I61" i="8"/>
  <c r="K61" i="8"/>
  <c r="T61" i="8"/>
  <c r="T21" i="4"/>
  <c r="AA19" i="4"/>
  <c r="Z19" i="4"/>
  <c r="S19" i="4"/>
  <c r="R19" i="4"/>
  <c r="Q19" i="4"/>
  <c r="X19" i="4"/>
  <c r="W19" i="4"/>
  <c r="X5" i="4"/>
  <c r="W5" i="4"/>
  <c r="AA5" i="4"/>
  <c r="Z5" i="4"/>
  <c r="U21" i="4"/>
  <c r="T19" i="4"/>
  <c r="U19" i="4"/>
  <c r="Z21" i="4"/>
  <c r="AA21" i="4"/>
  <c r="X21" i="4"/>
  <c r="U51" i="10"/>
  <c r="S40" i="10"/>
  <c r="R27" i="10"/>
  <c r="W21" i="4"/>
  <c r="S39" i="10"/>
  <c r="R26" i="10"/>
  <c r="Q13" i="8"/>
  <c r="T13" i="8"/>
  <c r="I13" i="8"/>
  <c r="U67" i="10"/>
  <c r="H153" i="8" s="1"/>
  <c r="L154" i="8"/>
  <c r="L11" i="8"/>
  <c r="L27" i="8"/>
  <c r="K26" i="8"/>
  <c r="L26" i="8"/>
  <c r="S42" i="10"/>
  <c r="R29" i="10"/>
  <c r="L22" i="8"/>
  <c r="V54" i="11"/>
  <c r="U46" i="10"/>
  <c r="H58" i="8" s="1"/>
  <c r="S38" i="10"/>
  <c r="R25" i="10"/>
  <c r="T26" i="8"/>
  <c r="Q26" i="8"/>
  <c r="I26" i="8"/>
  <c r="L23" i="8"/>
  <c r="V59" i="11"/>
  <c r="U57" i="10"/>
  <c r="L24" i="8"/>
  <c r="L153" i="8"/>
  <c r="L14" i="8"/>
  <c r="V65" i="11"/>
  <c r="U53" i="10"/>
  <c r="H24" i="8" s="1"/>
  <c r="N24" i="8" s="1"/>
  <c r="U52" i="10"/>
  <c r="H23" i="8" s="1"/>
  <c r="L149" i="8"/>
  <c r="K13" i="8"/>
  <c r="L13" i="8"/>
  <c r="V71" i="11"/>
  <c r="U60" i="10"/>
  <c r="H14" i="8" s="1"/>
  <c r="X20" i="7"/>
  <c r="G142" i="8" s="1"/>
  <c r="X19" i="7"/>
  <c r="G141" i="8" s="1"/>
  <c r="X18" i="7"/>
  <c r="G140" i="8" s="1"/>
  <c r="X17" i="7"/>
  <c r="G139" i="8" s="1"/>
  <c r="X16" i="7"/>
  <c r="G138" i="8" s="1"/>
  <c r="X15" i="7"/>
  <c r="X21" i="7"/>
  <c r="G143" i="8" s="1"/>
  <c r="AC12" i="7"/>
  <c r="AC13" i="7"/>
  <c r="AC14" i="7"/>
  <c r="AC15" i="7"/>
  <c r="AC16" i="7"/>
  <c r="AC17" i="7"/>
  <c r="AC11" i="7"/>
  <c r="AD11" i="7" s="1"/>
  <c r="L393" i="8" l="1"/>
  <c r="L327" i="8"/>
  <c r="L317" i="8"/>
  <c r="L326" i="8"/>
  <c r="L329" i="8"/>
  <c r="H317" i="8"/>
  <c r="H326" i="8"/>
  <c r="H329" i="8"/>
  <c r="H327" i="8"/>
  <c r="L322" i="8"/>
  <c r="L316" i="8"/>
  <c r="L324" i="8"/>
  <c r="H393" i="8"/>
  <c r="S8" i="4"/>
  <c r="R8" i="4"/>
  <c r="Q8" i="4"/>
  <c r="L386" i="8"/>
  <c r="L336" i="8"/>
  <c r="L356" i="8"/>
  <c r="L344" i="8"/>
  <c r="H336" i="8"/>
  <c r="H344" i="8"/>
  <c r="N62" i="8"/>
  <c r="Q62" i="8"/>
  <c r="T152" i="8"/>
  <c r="K62" i="8"/>
  <c r="T62" i="8"/>
  <c r="Q150" i="8"/>
  <c r="K150" i="8"/>
  <c r="I15" i="8"/>
  <c r="K15" i="8"/>
  <c r="H371" i="8"/>
  <c r="H386" i="8"/>
  <c r="Q15" i="8"/>
  <c r="K25" i="8"/>
  <c r="K16" i="8"/>
  <c r="T15" i="8"/>
  <c r="I16" i="8"/>
  <c r="Q154" i="8"/>
  <c r="Q16" i="8"/>
  <c r="K154" i="8"/>
  <c r="K151" i="8"/>
  <c r="N150" i="8"/>
  <c r="I25" i="8"/>
  <c r="Q151" i="8"/>
  <c r="T150" i="8"/>
  <c r="I154" i="8"/>
  <c r="K12" i="8"/>
  <c r="N12" i="8"/>
  <c r="L371" i="8"/>
  <c r="I151" i="8"/>
  <c r="I152" i="8"/>
  <c r="T151" i="8"/>
  <c r="T154" i="8"/>
  <c r="K27" i="8"/>
  <c r="I27" i="8"/>
  <c r="L369" i="8"/>
  <c r="T27" i="8"/>
  <c r="L368" i="8"/>
  <c r="Q27" i="8"/>
  <c r="T25" i="8"/>
  <c r="N152" i="8"/>
  <c r="K152" i="8"/>
  <c r="I12" i="8"/>
  <c r="Q25" i="8"/>
  <c r="T12" i="8"/>
  <c r="Q139" i="8"/>
  <c r="K139" i="8"/>
  <c r="N139" i="8"/>
  <c r="T139" i="8"/>
  <c r="I139" i="8"/>
  <c r="N59" i="8"/>
  <c r="K59" i="8"/>
  <c r="I59" i="8"/>
  <c r="T59" i="8"/>
  <c r="Q59" i="8"/>
  <c r="Q58" i="8"/>
  <c r="K58" i="8"/>
  <c r="I58" i="8"/>
  <c r="T58" i="8"/>
  <c r="N58" i="8"/>
  <c r="V63" i="10"/>
  <c r="T16" i="8"/>
  <c r="S5" i="4"/>
  <c r="R5" i="4"/>
  <c r="Q5" i="4"/>
  <c r="S7" i="4"/>
  <c r="R7" i="4"/>
  <c r="Q7" i="4"/>
  <c r="R21" i="4"/>
  <c r="Q21" i="4"/>
  <c r="M19" i="4"/>
  <c r="L19" i="4"/>
  <c r="K19" i="4"/>
  <c r="N149" i="8"/>
  <c r="K23" i="8"/>
  <c r="N23" i="8"/>
  <c r="K153" i="8"/>
  <c r="N153" i="8"/>
  <c r="K14" i="8"/>
  <c r="N14" i="8"/>
  <c r="AD14" i="7"/>
  <c r="G151" i="8" s="1"/>
  <c r="AD16" i="7"/>
  <c r="G153" i="8" s="1"/>
  <c r="AD15" i="7"/>
  <c r="G152" i="8" s="1"/>
  <c r="AD17" i="7"/>
  <c r="G154" i="8" s="1"/>
  <c r="K149" i="8"/>
  <c r="AD13" i="7"/>
  <c r="G150" i="8" s="1"/>
  <c r="AD12" i="7"/>
  <c r="V46" i="10"/>
  <c r="I24" i="8"/>
  <c r="T24" i="8"/>
  <c r="Q24" i="8"/>
  <c r="Q149" i="8"/>
  <c r="T149" i="8"/>
  <c r="I149" i="8"/>
  <c r="K24" i="8"/>
  <c r="H11" i="8"/>
  <c r="H368" i="8" s="1"/>
  <c r="V57" i="10"/>
  <c r="T23" i="8"/>
  <c r="I23" i="8"/>
  <c r="Q23" i="8"/>
  <c r="H22" i="8"/>
  <c r="V51" i="10"/>
  <c r="Q14" i="8"/>
  <c r="I14" i="8"/>
  <c r="T14" i="8"/>
  <c r="T153" i="8"/>
  <c r="Q153" i="8"/>
  <c r="I153" i="8"/>
  <c r="X22" i="7"/>
  <c r="E17" i="7"/>
  <c r="E18" i="7"/>
  <c r="E19" i="7"/>
  <c r="E20" i="7"/>
  <c r="E21" i="7"/>
  <c r="F21" i="7" s="1"/>
  <c r="G15" i="8" s="1"/>
  <c r="E22" i="7"/>
  <c r="E16" i="7"/>
  <c r="K327" i="8" l="1"/>
  <c r="K317" i="8"/>
  <c r="K326" i="8"/>
  <c r="K329" i="8"/>
  <c r="Q326" i="8"/>
  <c r="Q329" i="8"/>
  <c r="Q327" i="8"/>
  <c r="N329" i="8"/>
  <c r="N327" i="8"/>
  <c r="N317" i="8"/>
  <c r="N326" i="8"/>
  <c r="T393" i="8"/>
  <c r="T326" i="8"/>
  <c r="T329" i="8"/>
  <c r="T327" i="8"/>
  <c r="H316" i="8"/>
  <c r="H324" i="8"/>
  <c r="H322" i="8"/>
  <c r="I393" i="8"/>
  <c r="I317" i="8"/>
  <c r="I326" i="8"/>
  <c r="I329" i="8"/>
  <c r="I327" i="8"/>
  <c r="N393" i="8"/>
  <c r="K393" i="8"/>
  <c r="Q393" i="8"/>
  <c r="O8" i="4"/>
  <c r="N8" i="4"/>
  <c r="P8" i="4"/>
  <c r="K336" i="8"/>
  <c r="K344" i="8"/>
  <c r="I336" i="8"/>
  <c r="I344" i="8"/>
  <c r="T344" i="8"/>
  <c r="Q344" i="8"/>
  <c r="H369" i="8"/>
  <c r="H356" i="8"/>
  <c r="N336" i="8"/>
  <c r="N344" i="8"/>
  <c r="F20" i="7"/>
  <c r="G14" i="8" s="1"/>
  <c r="K386" i="8"/>
  <c r="T386" i="8"/>
  <c r="I386" i="8"/>
  <c r="Q386" i="8"/>
  <c r="N386" i="8"/>
  <c r="T371" i="8"/>
  <c r="Q371" i="8"/>
  <c r="K371" i="8"/>
  <c r="I371" i="8"/>
  <c r="N371" i="8"/>
  <c r="P19" i="4"/>
  <c r="O19" i="4"/>
  <c r="N19" i="4"/>
  <c r="S21" i="4"/>
  <c r="P21" i="4"/>
  <c r="O21" i="4"/>
  <c r="N21" i="4"/>
  <c r="F16" i="7"/>
  <c r="N11" i="8"/>
  <c r="N368" i="8" s="1"/>
  <c r="N22" i="8"/>
  <c r="F22" i="7"/>
  <c r="G16" i="8" s="1"/>
  <c r="F19" i="7"/>
  <c r="G13" i="8" s="1"/>
  <c r="F18" i="7"/>
  <c r="G12" i="8" s="1"/>
  <c r="F17" i="7"/>
  <c r="T11" i="8"/>
  <c r="T368" i="8" s="1"/>
  <c r="Q11" i="8"/>
  <c r="I11" i="8"/>
  <c r="I368" i="8" s="1"/>
  <c r="K11" i="8"/>
  <c r="K368" i="8" s="1"/>
  <c r="Q22" i="8"/>
  <c r="I22" i="8"/>
  <c r="T22" i="8"/>
  <c r="K22" i="8"/>
  <c r="AD18" i="7"/>
  <c r="G149" i="8"/>
  <c r="K17" i="7"/>
  <c r="K18" i="7"/>
  <c r="K19" i="7"/>
  <c r="K20" i="7"/>
  <c r="K21" i="7"/>
  <c r="K22" i="7"/>
  <c r="K16" i="7"/>
  <c r="T324" i="8" l="1"/>
  <c r="T322" i="8"/>
  <c r="Q324" i="8"/>
  <c r="Q322" i="8"/>
  <c r="I316" i="8"/>
  <c r="I322" i="8"/>
  <c r="I324" i="8"/>
  <c r="N324" i="8"/>
  <c r="N316" i="8"/>
  <c r="N322" i="8"/>
  <c r="K316" i="8"/>
  <c r="K324" i="8"/>
  <c r="K322" i="8"/>
  <c r="I369" i="8"/>
  <c r="G336" i="8"/>
  <c r="G344" i="8"/>
  <c r="Q356" i="8"/>
  <c r="I356" i="8"/>
  <c r="K369" i="8"/>
  <c r="K356" i="8"/>
  <c r="T356" i="8"/>
  <c r="N369" i="8"/>
  <c r="N356" i="8"/>
  <c r="L22" i="7"/>
  <c r="G27" i="8" s="1"/>
  <c r="F29" i="7"/>
  <c r="Q368" i="8"/>
  <c r="L21" i="7"/>
  <c r="G26" i="8" s="1"/>
  <c r="G11" i="8"/>
  <c r="G368" i="8" s="1"/>
  <c r="Q369" i="8"/>
  <c r="T369" i="8"/>
  <c r="M21" i="4"/>
  <c r="L21" i="4"/>
  <c r="K21" i="4"/>
  <c r="P5" i="4"/>
  <c r="O5" i="4"/>
  <c r="N5" i="4"/>
  <c r="P7" i="4"/>
  <c r="O7" i="4"/>
  <c r="N7" i="4"/>
  <c r="L20" i="7"/>
  <c r="G25" i="8" s="1"/>
  <c r="L19" i="7"/>
  <c r="G24" i="8" s="1"/>
  <c r="L17" i="7"/>
  <c r="G22" i="8" s="1"/>
  <c r="L16" i="7"/>
  <c r="L18" i="7"/>
  <c r="G23" i="8" s="1"/>
  <c r="I11" i="13"/>
  <c r="O13" i="13" s="1"/>
  <c r="G316" i="8" l="1"/>
  <c r="G324" i="8"/>
  <c r="G356" i="8"/>
  <c r="K5" i="4"/>
  <c r="H13" i="13"/>
  <c r="L19" i="13"/>
  <c r="J17" i="13"/>
  <c r="J41" i="13" s="1"/>
  <c r="H15" i="13"/>
  <c r="H39" i="13" s="1"/>
  <c r="F13" i="13"/>
  <c r="N19" i="13"/>
  <c r="F17" i="13"/>
  <c r="F41" i="13" s="1"/>
  <c r="E17" i="13"/>
  <c r="E41" i="13" s="1"/>
  <c r="O16" i="13"/>
  <c r="M14" i="13"/>
  <c r="D19" i="13"/>
  <c r="D18" i="13"/>
  <c r="D17" i="13"/>
  <c r="N18" i="13"/>
  <c r="J14" i="13"/>
  <c r="O20" i="13"/>
  <c r="I16" i="13"/>
  <c r="I40" i="13" s="1"/>
  <c r="G14" i="13"/>
  <c r="G38" i="13" s="1"/>
  <c r="L17" i="13"/>
  <c r="L41" i="13" s="1"/>
  <c r="H19" i="13"/>
  <c r="H43" i="13" s="1"/>
  <c r="G19" i="13"/>
  <c r="G43" i="13" s="1"/>
  <c r="F19" i="13"/>
  <c r="F43" i="13" s="1"/>
  <c r="N13" i="13"/>
  <c r="J15" i="13"/>
  <c r="J39" i="13" s="1"/>
  <c r="O14" i="13"/>
  <c r="N14" i="13"/>
  <c r="D14" i="13"/>
  <c r="L16" i="13"/>
  <c r="L40" i="13" s="1"/>
  <c r="M18" i="13"/>
  <c r="K16" i="13"/>
  <c r="K40" i="13" s="1"/>
  <c r="I14" i="13"/>
  <c r="I38" i="13" s="1"/>
  <c r="M20" i="13"/>
  <c r="K18" i="13"/>
  <c r="I20" i="13"/>
  <c r="G18" i="13"/>
  <c r="G42" i="13" s="1"/>
  <c r="E16" i="13"/>
  <c r="E40" i="13" s="1"/>
  <c r="F46" i="13" s="1"/>
  <c r="H20" i="13"/>
  <c r="F18" i="13"/>
  <c r="F42" i="13" s="1"/>
  <c r="O15" i="13"/>
  <c r="M13" i="13"/>
  <c r="G20" i="13"/>
  <c r="E18" i="13"/>
  <c r="E42" i="13" s="1"/>
  <c r="N15" i="13"/>
  <c r="L13" i="13"/>
  <c r="O19" i="13"/>
  <c r="M17" i="13"/>
  <c r="M41" i="13" s="1"/>
  <c r="K15" i="13"/>
  <c r="K39" i="13" s="1"/>
  <c r="I13" i="13"/>
  <c r="G369" i="8"/>
  <c r="L5" i="4"/>
  <c r="M7" i="4"/>
  <c r="L7" i="4"/>
  <c r="K7" i="4"/>
  <c r="F57" i="13"/>
  <c r="G57" i="13" s="1"/>
  <c r="F54" i="13"/>
  <c r="F20" i="13"/>
  <c r="E19" i="13"/>
  <c r="E43" i="13" s="1"/>
  <c r="O17" i="13"/>
  <c r="N16" i="13"/>
  <c r="N40" i="13" s="1"/>
  <c r="M15" i="13"/>
  <c r="L14" i="13"/>
  <c r="K13" i="13"/>
  <c r="D16" i="13"/>
  <c r="D15" i="13"/>
  <c r="E20" i="13"/>
  <c r="O18" i="13"/>
  <c r="N17" i="13"/>
  <c r="N41" i="13" s="1"/>
  <c r="M16" i="13"/>
  <c r="M40" i="13" s="1"/>
  <c r="L15" i="13"/>
  <c r="L39" i="13" s="1"/>
  <c r="K14" i="13"/>
  <c r="J13" i="13"/>
  <c r="N20" i="13"/>
  <c r="M19" i="13"/>
  <c r="L18" i="13"/>
  <c r="K17" i="13"/>
  <c r="K41" i="13" s="1"/>
  <c r="J16" i="13"/>
  <c r="J40" i="13" s="1"/>
  <c r="F51" i="13" s="1"/>
  <c r="I15" i="13"/>
  <c r="I39" i="13" s="1"/>
  <c r="H14" i="13"/>
  <c r="G13" i="13"/>
  <c r="L20" i="13"/>
  <c r="K19" i="13"/>
  <c r="J18" i="13"/>
  <c r="I17" i="13"/>
  <c r="I41" i="13" s="1"/>
  <c r="F50" i="13" s="1"/>
  <c r="H16" i="13"/>
  <c r="H40" i="13" s="1"/>
  <c r="G15" i="13"/>
  <c r="G39" i="13" s="1"/>
  <c r="F14" i="13"/>
  <c r="E13" i="13"/>
  <c r="D13" i="13"/>
  <c r="K20" i="13"/>
  <c r="J19" i="13"/>
  <c r="I18" i="13"/>
  <c r="I42" i="13" s="1"/>
  <c r="H17" i="13"/>
  <c r="H41" i="13" s="1"/>
  <c r="G16" i="13"/>
  <c r="G40" i="13" s="1"/>
  <c r="F15" i="13"/>
  <c r="F39" i="13" s="1"/>
  <c r="E14" i="13"/>
  <c r="E38" i="13" s="1"/>
  <c r="D20" i="13"/>
  <c r="J20" i="13"/>
  <c r="I19" i="13"/>
  <c r="I43" i="13" s="1"/>
  <c r="H18" i="13"/>
  <c r="H42" i="13" s="1"/>
  <c r="G17" i="13"/>
  <c r="G41" i="13" s="1"/>
  <c r="F16" i="13"/>
  <c r="F40" i="13" s="1"/>
  <c r="F47" i="13" s="1"/>
  <c r="G47" i="13" s="1"/>
  <c r="E15" i="13"/>
  <c r="E39" i="13" s="1"/>
  <c r="K4" i="7"/>
  <c r="K5" i="7"/>
  <c r="K6" i="7"/>
  <c r="K7" i="7"/>
  <c r="K8" i="7"/>
  <c r="K3" i="7"/>
  <c r="F55" i="13" l="1"/>
  <c r="F60" i="13"/>
  <c r="F53" i="13"/>
  <c r="G46" i="13"/>
  <c r="H46" i="13" s="1"/>
  <c r="M161" i="8" s="1"/>
  <c r="G53" i="13"/>
  <c r="M163" i="8" s="1"/>
  <c r="G54" i="13"/>
  <c r="M164" i="8" s="1"/>
  <c r="G50" i="13"/>
  <c r="M51" i="8" s="1"/>
  <c r="G55" i="13"/>
  <c r="F58" i="13"/>
  <c r="M52" i="8"/>
  <c r="G51" i="13"/>
  <c r="F52" i="13"/>
  <c r="G52" i="13" s="1"/>
  <c r="M162" i="8" s="1"/>
  <c r="J38" i="13"/>
  <c r="C28" i="13"/>
  <c r="G60" i="13"/>
  <c r="M177" i="8" s="1"/>
  <c r="F59" i="13"/>
  <c r="F48" i="13"/>
  <c r="F56" i="13"/>
  <c r="M48" i="8"/>
  <c r="C25" i="13"/>
  <c r="C29" i="13"/>
  <c r="K38" i="13"/>
  <c r="F38" i="13"/>
  <c r="C24" i="13"/>
  <c r="C26" i="13"/>
  <c r="H38" i="13"/>
  <c r="M172" i="8"/>
  <c r="F49" i="13"/>
  <c r="C30" i="13"/>
  <c r="L38" i="13"/>
  <c r="S177" i="8"/>
  <c r="S176" i="8"/>
  <c r="S173" i="8"/>
  <c r="S172" i="8"/>
  <c r="S349" i="8" s="1"/>
  <c r="S163" i="8"/>
  <c r="S164" i="8"/>
  <c r="S165" i="8"/>
  <c r="S166" i="8"/>
  <c r="S162" i="8"/>
  <c r="S161" i="8"/>
  <c r="S49" i="8"/>
  <c r="S50" i="8"/>
  <c r="S51" i="8"/>
  <c r="S52" i="8"/>
  <c r="S48" i="8"/>
  <c r="P177" i="8"/>
  <c r="P176" i="8"/>
  <c r="P173" i="8"/>
  <c r="P172" i="8"/>
  <c r="P163" i="8"/>
  <c r="P164" i="8"/>
  <c r="P165" i="8"/>
  <c r="P166" i="8"/>
  <c r="P162" i="8"/>
  <c r="P161" i="8"/>
  <c r="P49" i="8"/>
  <c r="P50" i="8"/>
  <c r="P51" i="8"/>
  <c r="P52" i="8"/>
  <c r="P48" i="8"/>
  <c r="L14" i="12"/>
  <c r="H14" i="12"/>
  <c r="L3" i="12"/>
  <c r="H3" i="12"/>
  <c r="L9" i="12"/>
  <c r="L4" i="12"/>
  <c r="H9" i="12"/>
  <c r="H4" i="12"/>
  <c r="G45" i="11"/>
  <c r="K45" i="11"/>
  <c r="H47" i="11"/>
  <c r="F65" i="11" s="1"/>
  <c r="E48" i="11"/>
  <c r="E50" i="11"/>
  <c r="D49" i="11"/>
  <c r="F56" i="11" s="1"/>
  <c r="J49" i="8" s="1"/>
  <c r="D51" i="11"/>
  <c r="E21" i="11"/>
  <c r="E45" i="11" s="1"/>
  <c r="F21" i="11"/>
  <c r="F45" i="11" s="1"/>
  <c r="G21" i="11"/>
  <c r="H21" i="11"/>
  <c r="C35" i="11" s="1"/>
  <c r="I21" i="11"/>
  <c r="I45" i="11" s="1"/>
  <c r="J21" i="11"/>
  <c r="J45" i="11" s="1"/>
  <c r="K21" i="11"/>
  <c r="L21" i="11"/>
  <c r="L45" i="11" s="1"/>
  <c r="M21" i="11"/>
  <c r="M45" i="11" s="1"/>
  <c r="N21" i="11"/>
  <c r="O21" i="11"/>
  <c r="E22" i="11"/>
  <c r="E46" i="11" s="1"/>
  <c r="F22" i="11"/>
  <c r="F46" i="11" s="1"/>
  <c r="G22" i="11"/>
  <c r="C34" i="11" s="1"/>
  <c r="H22" i="11"/>
  <c r="H46" i="11" s="1"/>
  <c r="I22" i="11"/>
  <c r="I46" i="11" s="1"/>
  <c r="J22" i="11"/>
  <c r="J46" i="11" s="1"/>
  <c r="K22" i="11"/>
  <c r="K46" i="11" s="1"/>
  <c r="L22" i="11"/>
  <c r="L46" i="11" s="1"/>
  <c r="M22" i="11"/>
  <c r="M46" i="11" s="1"/>
  <c r="N22" i="11"/>
  <c r="O22" i="11"/>
  <c r="E23" i="11"/>
  <c r="E47" i="11" s="1"/>
  <c r="F23" i="11"/>
  <c r="F47" i="11" s="1"/>
  <c r="F60" i="11" s="1"/>
  <c r="G23" i="11"/>
  <c r="G47" i="11" s="1"/>
  <c r="H23" i="11"/>
  <c r="I23" i="11"/>
  <c r="I47" i="11" s="1"/>
  <c r="J23" i="11"/>
  <c r="K23" i="11"/>
  <c r="L23" i="11"/>
  <c r="M23" i="11"/>
  <c r="N23" i="11"/>
  <c r="O23" i="11"/>
  <c r="E24" i="11"/>
  <c r="F24" i="11"/>
  <c r="F48" i="11" s="1"/>
  <c r="G24" i="11"/>
  <c r="G48" i="11" s="1"/>
  <c r="H24" i="11"/>
  <c r="H48" i="11" s="1"/>
  <c r="I24" i="11"/>
  <c r="I48" i="11" s="1"/>
  <c r="J24" i="11"/>
  <c r="K24" i="11"/>
  <c r="L24" i="11"/>
  <c r="M24" i="11"/>
  <c r="N24" i="11"/>
  <c r="O24" i="11"/>
  <c r="E25" i="11"/>
  <c r="E49" i="11" s="1"/>
  <c r="F25" i="11"/>
  <c r="F49" i="11" s="1"/>
  <c r="G25" i="11"/>
  <c r="G49" i="11" s="1"/>
  <c r="H25" i="11"/>
  <c r="H49" i="11" s="1"/>
  <c r="I25" i="11"/>
  <c r="I49" i="11" s="1"/>
  <c r="J25" i="11"/>
  <c r="K25" i="11"/>
  <c r="L25" i="11"/>
  <c r="M25" i="11"/>
  <c r="N25" i="11"/>
  <c r="O25" i="11"/>
  <c r="E26" i="11"/>
  <c r="F26" i="11"/>
  <c r="F50" i="11" s="1"/>
  <c r="G26" i="11"/>
  <c r="G50" i="11" s="1"/>
  <c r="H26" i="11"/>
  <c r="H50" i="11" s="1"/>
  <c r="I26" i="11"/>
  <c r="I50" i="11" s="1"/>
  <c r="J26" i="11"/>
  <c r="K26" i="11"/>
  <c r="L26" i="11"/>
  <c r="M26" i="11"/>
  <c r="N26" i="11"/>
  <c r="O26" i="11"/>
  <c r="E27" i="11"/>
  <c r="E51" i="11" s="1"/>
  <c r="F27" i="11"/>
  <c r="F51" i="11" s="1"/>
  <c r="G27" i="11"/>
  <c r="G51" i="11" s="1"/>
  <c r="H27" i="11"/>
  <c r="I27" i="11"/>
  <c r="J27" i="11"/>
  <c r="K27" i="11"/>
  <c r="L27" i="11"/>
  <c r="M27" i="11"/>
  <c r="N27" i="11"/>
  <c r="O27" i="11"/>
  <c r="E28" i="11"/>
  <c r="E52" i="11" s="1"/>
  <c r="F28" i="11"/>
  <c r="G28" i="11"/>
  <c r="H28" i="11"/>
  <c r="I28" i="11"/>
  <c r="J28" i="11"/>
  <c r="K28" i="11"/>
  <c r="L28" i="11"/>
  <c r="M28" i="11"/>
  <c r="N28" i="11"/>
  <c r="O28" i="11"/>
  <c r="D22" i="11"/>
  <c r="D46" i="11" s="1"/>
  <c r="D23" i="11"/>
  <c r="D47" i="11" s="1"/>
  <c r="D24" i="11"/>
  <c r="D48" i="11" s="1"/>
  <c r="F55" i="11" s="1"/>
  <c r="D25" i="11"/>
  <c r="D26" i="11"/>
  <c r="D50" i="11" s="1"/>
  <c r="F57" i="11" s="1"/>
  <c r="J50" i="8" s="1"/>
  <c r="D27" i="11"/>
  <c r="D28" i="11"/>
  <c r="D52" i="11" s="1"/>
  <c r="D21" i="11"/>
  <c r="I11" i="10"/>
  <c r="E14" i="10" s="1"/>
  <c r="E38" i="10" s="1"/>
  <c r="AC4" i="7"/>
  <c r="AC5" i="7"/>
  <c r="AC6" i="7"/>
  <c r="AC7" i="7"/>
  <c r="AC8" i="7"/>
  <c r="AC9" i="7"/>
  <c r="AC3" i="7"/>
  <c r="AD3" i="7" s="1"/>
  <c r="W9" i="7"/>
  <c r="W10" i="7"/>
  <c r="W11" i="7"/>
  <c r="W12" i="7"/>
  <c r="W13" i="7"/>
  <c r="W8" i="7"/>
  <c r="X8" i="7" s="1"/>
  <c r="P349" i="8" l="1"/>
  <c r="S347" i="8"/>
  <c r="S353" i="8"/>
  <c r="P347" i="8"/>
  <c r="P353" i="8"/>
  <c r="P358" i="8"/>
  <c r="S346" i="8"/>
  <c r="S397" i="8"/>
  <c r="P397" i="8"/>
  <c r="P346" i="8"/>
  <c r="S342" i="8"/>
  <c r="S358" i="8"/>
  <c r="P342" i="8"/>
  <c r="G49" i="13"/>
  <c r="M50" i="8" s="1"/>
  <c r="M165" i="8"/>
  <c r="G56" i="13"/>
  <c r="H52" i="13" s="1"/>
  <c r="G58" i="13"/>
  <c r="G59" i="13"/>
  <c r="M176" i="8" s="1"/>
  <c r="G48" i="13"/>
  <c r="M49" i="8" s="1"/>
  <c r="P385" i="8"/>
  <c r="S385" i="8"/>
  <c r="P370" i="8"/>
  <c r="F66" i="11"/>
  <c r="J173" i="8" s="1"/>
  <c r="H45" i="11"/>
  <c r="F63" i="11"/>
  <c r="J165" i="8" s="1"/>
  <c r="F58" i="11"/>
  <c r="J51" i="8" s="1"/>
  <c r="F54" i="11"/>
  <c r="G54" i="11" s="1"/>
  <c r="J161" i="8" s="1"/>
  <c r="C31" i="11"/>
  <c r="F62" i="11"/>
  <c r="J164" i="8" s="1"/>
  <c r="F67" i="11"/>
  <c r="J176" i="8" s="1"/>
  <c r="C33" i="11"/>
  <c r="S370" i="8"/>
  <c r="G19" i="10"/>
  <c r="M20" i="10"/>
  <c r="F16" i="10"/>
  <c r="F40" i="10" s="1"/>
  <c r="N17" i="10"/>
  <c r="K14" i="10"/>
  <c r="K38" i="10" s="1"/>
  <c r="J20" i="10"/>
  <c r="F19" i="10"/>
  <c r="M17" i="10"/>
  <c r="E16" i="10"/>
  <c r="E40" i="10" s="1"/>
  <c r="J14" i="10"/>
  <c r="J38" i="10" s="1"/>
  <c r="F58" i="10" s="1"/>
  <c r="H173" i="8" s="1"/>
  <c r="O13" i="10"/>
  <c r="D19" i="10"/>
  <c r="E19" i="10"/>
  <c r="G14" i="10"/>
  <c r="G38" i="10" s="1"/>
  <c r="L15" i="10"/>
  <c r="F20" i="10"/>
  <c r="K18" i="10"/>
  <c r="O16" i="10"/>
  <c r="J15" i="10"/>
  <c r="J39" i="10" s="1"/>
  <c r="L13" i="10"/>
  <c r="L17" i="10"/>
  <c r="H20" i="10"/>
  <c r="G20" i="10"/>
  <c r="K15" i="10"/>
  <c r="K39" i="10" s="1"/>
  <c r="D17" i="10"/>
  <c r="D41" i="10" s="1"/>
  <c r="H15" i="10"/>
  <c r="H39" i="10" s="1"/>
  <c r="K13" i="10"/>
  <c r="K37" i="10" s="1"/>
  <c r="F57" i="10" s="1"/>
  <c r="H172" i="8" s="1"/>
  <c r="I20" i="10"/>
  <c r="O18" i="10"/>
  <c r="G17" i="10"/>
  <c r="G41" i="10" s="1"/>
  <c r="N16" i="10"/>
  <c r="D16" i="10"/>
  <c r="N19" i="10"/>
  <c r="G18" i="10"/>
  <c r="G42" i="10" s="1"/>
  <c r="M16" i="10"/>
  <c r="E15" i="10"/>
  <c r="E39" i="10" s="1"/>
  <c r="J13" i="10"/>
  <c r="J37" i="10" s="1"/>
  <c r="N15" i="10"/>
  <c r="M15" i="10"/>
  <c r="D20" i="10"/>
  <c r="M18" i="10"/>
  <c r="D18" i="10"/>
  <c r="D42" i="10" s="1"/>
  <c r="D15" i="10"/>
  <c r="D39" i="10" s="1"/>
  <c r="L19" i="10"/>
  <c r="F18" i="10"/>
  <c r="F42" i="10" s="1"/>
  <c r="L16" i="10"/>
  <c r="O14" i="10"/>
  <c r="I13" i="10"/>
  <c r="I37" i="10" s="1"/>
  <c r="F52" i="10" s="1"/>
  <c r="H162" i="8" s="1"/>
  <c r="N18" i="10"/>
  <c r="N13" i="10"/>
  <c r="H18" i="10"/>
  <c r="D14" i="10"/>
  <c r="D38" i="10" s="1"/>
  <c r="I19" i="10"/>
  <c r="E18" i="10"/>
  <c r="E42" i="10" s="1"/>
  <c r="K16" i="10"/>
  <c r="K40" i="10" s="1"/>
  <c r="M14" i="10"/>
  <c r="H13" i="10"/>
  <c r="H37" i="10" s="1"/>
  <c r="I14" i="10"/>
  <c r="I38" i="10" s="1"/>
  <c r="J17" i="10"/>
  <c r="F17" i="10"/>
  <c r="F41" i="10" s="1"/>
  <c r="F50" i="10" s="1"/>
  <c r="H51" i="8" s="1"/>
  <c r="N51" i="8" s="1"/>
  <c r="E20" i="10"/>
  <c r="O19" i="10"/>
  <c r="O20" i="10"/>
  <c r="H19" i="10"/>
  <c r="O17" i="10"/>
  <c r="I16" i="10"/>
  <c r="I40" i="10" s="1"/>
  <c r="L14" i="10"/>
  <c r="F13" i="10"/>
  <c r="F37" i="10" s="1"/>
  <c r="AD7" i="7"/>
  <c r="X11" i="7"/>
  <c r="G164" i="8" s="1"/>
  <c r="X9" i="7"/>
  <c r="G162" i="8" s="1"/>
  <c r="AD9" i="7"/>
  <c r="G177" i="8" s="1"/>
  <c r="AD8" i="7"/>
  <c r="G176" i="8" s="1"/>
  <c r="F64" i="11"/>
  <c r="J166" i="8" s="1"/>
  <c r="J48" i="8"/>
  <c r="J172" i="8"/>
  <c r="J162" i="8"/>
  <c r="F59" i="11"/>
  <c r="J52" i="8" s="1"/>
  <c r="F68" i="11"/>
  <c r="J177" i="8" s="1"/>
  <c r="F61" i="11"/>
  <c r="J163" i="8" s="1"/>
  <c r="E17" i="10"/>
  <c r="O15" i="10"/>
  <c r="N14" i="10"/>
  <c r="M13" i="10"/>
  <c r="D45" i="11"/>
  <c r="G46" i="11"/>
  <c r="C40" i="11"/>
  <c r="C37" i="11"/>
  <c r="X13" i="7"/>
  <c r="G166" i="8" s="1"/>
  <c r="X12" i="7"/>
  <c r="G165" i="8" s="1"/>
  <c r="N20" i="10"/>
  <c r="M19" i="10"/>
  <c r="L18" i="10"/>
  <c r="K17" i="10"/>
  <c r="J16" i="10"/>
  <c r="J40" i="10" s="1"/>
  <c r="F60" i="10" s="1"/>
  <c r="H177" i="8" s="1"/>
  <c r="N177" i="8" s="1"/>
  <c r="I15" i="10"/>
  <c r="I39" i="10" s="1"/>
  <c r="H14" i="10"/>
  <c r="H38" i="10" s="1"/>
  <c r="G13" i="10"/>
  <c r="G37" i="10" s="1"/>
  <c r="C39" i="11"/>
  <c r="L20" i="10"/>
  <c r="K19" i="10"/>
  <c r="J18" i="10"/>
  <c r="I17" i="10"/>
  <c r="I41" i="10" s="1"/>
  <c r="H16" i="10"/>
  <c r="H40" i="10" s="1"/>
  <c r="F55" i="10" s="1"/>
  <c r="H165" i="8" s="1"/>
  <c r="G15" i="10"/>
  <c r="G39" i="10" s="1"/>
  <c r="F14" i="10"/>
  <c r="F38" i="10" s="1"/>
  <c r="F47" i="10" s="1"/>
  <c r="H48" i="8" s="1"/>
  <c r="E13" i="10"/>
  <c r="E37" i="10" s="1"/>
  <c r="D13" i="10"/>
  <c r="K20" i="10"/>
  <c r="J19" i="10"/>
  <c r="I18" i="10"/>
  <c r="H17" i="10"/>
  <c r="H41" i="10" s="1"/>
  <c r="G16" i="10"/>
  <c r="G40" i="10" s="1"/>
  <c r="F49" i="10" s="1"/>
  <c r="F15" i="10"/>
  <c r="F39" i="10" s="1"/>
  <c r="C36" i="11"/>
  <c r="X10" i="7"/>
  <c r="G163" i="8" s="1"/>
  <c r="AD6" i="7"/>
  <c r="AD5" i="7"/>
  <c r="G173" i="8" s="1"/>
  <c r="AD4" i="7"/>
  <c r="M4" i="9"/>
  <c r="F48" i="8" s="1"/>
  <c r="M5" i="9"/>
  <c r="F49" i="8" s="1"/>
  <c r="R49" i="8" s="1"/>
  <c r="M6" i="9"/>
  <c r="F50" i="8" s="1"/>
  <c r="M7" i="9"/>
  <c r="F51" i="8" s="1"/>
  <c r="O51" i="8" s="1"/>
  <c r="M8" i="9"/>
  <c r="F52" i="8" s="1"/>
  <c r="O52" i="8" s="1"/>
  <c r="M9" i="9"/>
  <c r="F162" i="8" s="1"/>
  <c r="O162" i="8" s="1"/>
  <c r="M10" i="9"/>
  <c r="F163" i="8" s="1"/>
  <c r="O163" i="8" s="1"/>
  <c r="M11" i="9"/>
  <c r="F164" i="8" s="1"/>
  <c r="O164" i="8" s="1"/>
  <c r="M12" i="9"/>
  <c r="F165" i="8" s="1"/>
  <c r="M13" i="9"/>
  <c r="F166" i="8" s="1"/>
  <c r="M14" i="9"/>
  <c r="F172" i="8" s="1"/>
  <c r="M15" i="9"/>
  <c r="F173" i="8" s="1"/>
  <c r="M16" i="9"/>
  <c r="F176" i="8" s="1"/>
  <c r="M17" i="9"/>
  <c r="F177" i="8" s="1"/>
  <c r="M3" i="9"/>
  <c r="F161" i="8" s="1"/>
  <c r="I4" i="9"/>
  <c r="E48" i="8" s="1"/>
  <c r="I5" i="9"/>
  <c r="E49" i="8" s="1"/>
  <c r="I6" i="9"/>
  <c r="E50" i="8" s="1"/>
  <c r="I7" i="9"/>
  <c r="E51" i="8" s="1"/>
  <c r="I8" i="9"/>
  <c r="E52" i="8" s="1"/>
  <c r="I9" i="9"/>
  <c r="E162" i="8" s="1"/>
  <c r="I10" i="9"/>
  <c r="E163" i="8" s="1"/>
  <c r="I11" i="9"/>
  <c r="E164" i="8" s="1"/>
  <c r="I12" i="9"/>
  <c r="E165" i="8" s="1"/>
  <c r="I13" i="9"/>
  <c r="E166" i="8" s="1"/>
  <c r="I14" i="9"/>
  <c r="E172" i="8" s="1"/>
  <c r="I15" i="9"/>
  <c r="E173" i="8" s="1"/>
  <c r="I16" i="9"/>
  <c r="E176" i="8" s="1"/>
  <c r="I17" i="9"/>
  <c r="E177" i="8" s="1"/>
  <c r="I3" i="9"/>
  <c r="E161" i="8" s="1"/>
  <c r="F349" i="8" l="1"/>
  <c r="J349" i="8"/>
  <c r="E349" i="8"/>
  <c r="E337" i="8"/>
  <c r="E342" i="8"/>
  <c r="J353" i="8"/>
  <c r="J347" i="8"/>
  <c r="E353" i="8"/>
  <c r="E347" i="8"/>
  <c r="F347" i="8"/>
  <c r="F353" i="8"/>
  <c r="F397" i="8"/>
  <c r="J397" i="8"/>
  <c r="E397" i="8"/>
  <c r="F346" i="8"/>
  <c r="J346" i="8"/>
  <c r="E346" i="8"/>
  <c r="J358" i="8"/>
  <c r="F337" i="8"/>
  <c r="F342" i="8"/>
  <c r="E358" i="8"/>
  <c r="J337" i="8"/>
  <c r="J342" i="8"/>
  <c r="T172" i="8"/>
  <c r="F358" i="8"/>
  <c r="O165" i="8"/>
  <c r="Y50" i="8"/>
  <c r="J385" i="8"/>
  <c r="N165" i="8"/>
  <c r="H57" i="13"/>
  <c r="M173" i="8"/>
  <c r="M349" i="8" s="1"/>
  <c r="M166" i="8"/>
  <c r="M358" i="8" s="1"/>
  <c r="O50" i="8"/>
  <c r="O176" i="8"/>
  <c r="M370" i="8"/>
  <c r="M385" i="8"/>
  <c r="H47" i="13"/>
  <c r="E385" i="8"/>
  <c r="F385" i="8"/>
  <c r="Y177" i="8"/>
  <c r="Y49" i="8"/>
  <c r="K173" i="8"/>
  <c r="J370" i="8"/>
  <c r="E370" i="8"/>
  <c r="T48" i="8"/>
  <c r="F370" i="8"/>
  <c r="T162" i="8"/>
  <c r="Q162" i="8"/>
  <c r="T51" i="8"/>
  <c r="Q173" i="8"/>
  <c r="F46" i="10"/>
  <c r="H161" i="8" s="1"/>
  <c r="T173" i="8"/>
  <c r="C25" i="10"/>
  <c r="Q172" i="8"/>
  <c r="C26" i="10"/>
  <c r="F48" i="10"/>
  <c r="H49" i="8" s="1"/>
  <c r="N49" i="8" s="1"/>
  <c r="F56" i="10"/>
  <c r="H166" i="8" s="1"/>
  <c r="F51" i="10"/>
  <c r="H52" i="8" s="1"/>
  <c r="I52" i="8" s="1"/>
  <c r="N172" i="8"/>
  <c r="D40" i="10"/>
  <c r="C27" i="10"/>
  <c r="F53" i="10"/>
  <c r="H163" i="8" s="1"/>
  <c r="N163" i="8" s="1"/>
  <c r="F59" i="10"/>
  <c r="H176" i="8" s="1"/>
  <c r="H337" i="8" s="1"/>
  <c r="Q51" i="8"/>
  <c r="F54" i="10"/>
  <c r="H164" i="8" s="1"/>
  <c r="N164" i="8" s="1"/>
  <c r="K51" i="8"/>
  <c r="Y162" i="8"/>
  <c r="Y176" i="8"/>
  <c r="T177" i="8"/>
  <c r="Y166" i="8"/>
  <c r="Y52" i="8"/>
  <c r="Y51" i="8"/>
  <c r="Y48" i="8"/>
  <c r="Y173" i="8"/>
  <c r="Y161" i="8"/>
  <c r="Y172" i="8"/>
  <c r="Q177" i="8"/>
  <c r="Q48" i="8"/>
  <c r="Y165" i="8"/>
  <c r="Q165" i="8"/>
  <c r="Y164" i="8"/>
  <c r="Y163" i="8"/>
  <c r="N162" i="8"/>
  <c r="X14" i="7"/>
  <c r="N48" i="8"/>
  <c r="U161" i="8"/>
  <c r="O48" i="8"/>
  <c r="I172" i="8"/>
  <c r="K162" i="8"/>
  <c r="T165" i="8"/>
  <c r="L177" i="8"/>
  <c r="H50" i="8"/>
  <c r="I50" i="8" s="1"/>
  <c r="K177" i="8"/>
  <c r="G60" i="11"/>
  <c r="K165" i="8"/>
  <c r="C28" i="10"/>
  <c r="E41" i="10"/>
  <c r="R52" i="8"/>
  <c r="G65" i="11"/>
  <c r="K172" i="8"/>
  <c r="G55" i="11"/>
  <c r="K48" i="8"/>
  <c r="C24" i="10"/>
  <c r="D37" i="10"/>
  <c r="R164" i="8"/>
  <c r="R162" i="8"/>
  <c r="L52" i="8"/>
  <c r="U166" i="8"/>
  <c r="I162" i="8"/>
  <c r="U162" i="8"/>
  <c r="L172" i="8"/>
  <c r="U173" i="8"/>
  <c r="U172" i="8"/>
  <c r="U164" i="8"/>
  <c r="L163" i="8"/>
  <c r="U165" i="8"/>
  <c r="I177" i="8"/>
  <c r="L165" i="8"/>
  <c r="I48" i="8"/>
  <c r="U52" i="8"/>
  <c r="R165" i="8"/>
  <c r="U163" i="8"/>
  <c r="U176" i="8"/>
  <c r="R166" i="8"/>
  <c r="L161" i="8"/>
  <c r="R50" i="8"/>
  <c r="O177" i="8"/>
  <c r="R177" i="8"/>
  <c r="U177" i="8"/>
  <c r="O172" i="8"/>
  <c r="I51" i="8"/>
  <c r="R176" i="8"/>
  <c r="U48" i="8"/>
  <c r="R173" i="8"/>
  <c r="I165" i="8"/>
  <c r="L164" i="8"/>
  <c r="U50" i="8"/>
  <c r="R161" i="8"/>
  <c r="R48" i="8"/>
  <c r="O161" i="8"/>
  <c r="L173" i="8"/>
  <c r="R51" i="8"/>
  <c r="L48" i="8"/>
  <c r="R172" i="8"/>
  <c r="O49" i="8"/>
  <c r="L49" i="8"/>
  <c r="L176" i="8"/>
  <c r="L51" i="8"/>
  <c r="U51" i="8"/>
  <c r="I173" i="8"/>
  <c r="L50" i="8"/>
  <c r="L166" i="8"/>
  <c r="U49" i="8"/>
  <c r="R163" i="8"/>
  <c r="L162" i="8"/>
  <c r="AD10" i="7"/>
  <c r="G172" i="8"/>
  <c r="G349" i="8" s="1"/>
  <c r="E4" i="7"/>
  <c r="E5" i="7"/>
  <c r="E6" i="7"/>
  <c r="E7" i="7"/>
  <c r="E8" i="7"/>
  <c r="E3" i="7"/>
  <c r="W4" i="7"/>
  <c r="W5" i="7"/>
  <c r="W6" i="7"/>
  <c r="W3" i="7"/>
  <c r="X3" i="7" s="1"/>
  <c r="Y349" i="8" l="1"/>
  <c r="U349" i="8"/>
  <c r="R349" i="8"/>
  <c r="L349" i="8"/>
  <c r="H349" i="8"/>
  <c r="R347" i="8"/>
  <c r="R353" i="8"/>
  <c r="M347" i="8"/>
  <c r="M353" i="8"/>
  <c r="G347" i="8"/>
  <c r="G353" i="8"/>
  <c r="H353" i="8"/>
  <c r="H347" i="8"/>
  <c r="Y353" i="8"/>
  <c r="Y347" i="8"/>
  <c r="U353" i="8"/>
  <c r="U347" i="8"/>
  <c r="L353" i="8"/>
  <c r="L347" i="8"/>
  <c r="Y397" i="8"/>
  <c r="G346" i="8"/>
  <c r="G397" i="8"/>
  <c r="L397" i="8"/>
  <c r="M346" i="8"/>
  <c r="M397" i="8"/>
  <c r="R397" i="8"/>
  <c r="H397" i="8"/>
  <c r="U346" i="8"/>
  <c r="U397" i="8"/>
  <c r="L346" i="8"/>
  <c r="Y346" i="8"/>
  <c r="R346" i="8"/>
  <c r="H346" i="8"/>
  <c r="U358" i="8"/>
  <c r="R342" i="8"/>
  <c r="Y358" i="8"/>
  <c r="H342" i="8"/>
  <c r="H358" i="8"/>
  <c r="G337" i="8"/>
  <c r="G342" i="8"/>
  <c r="R358" i="8"/>
  <c r="U342" i="8"/>
  <c r="Y337" i="8"/>
  <c r="Y342" i="8"/>
  <c r="L358" i="8"/>
  <c r="L337" i="8"/>
  <c r="L342" i="8"/>
  <c r="O173" i="8"/>
  <c r="U22" i="4" s="1"/>
  <c r="M337" i="8"/>
  <c r="M342" i="8"/>
  <c r="X22" i="4"/>
  <c r="Y22" i="4"/>
  <c r="W22" i="4"/>
  <c r="Z22" i="4"/>
  <c r="AA22" i="4"/>
  <c r="AB22" i="4"/>
  <c r="N173" i="8"/>
  <c r="H385" i="8"/>
  <c r="O385" i="8"/>
  <c r="U6" i="4"/>
  <c r="T6" i="4"/>
  <c r="N166" i="8"/>
  <c r="O166" i="8"/>
  <c r="T20" i="4" s="1"/>
  <c r="R385" i="8"/>
  <c r="U385" i="8"/>
  <c r="L385" i="8"/>
  <c r="Y385" i="8"/>
  <c r="Q49" i="8"/>
  <c r="G46" i="10"/>
  <c r="U370" i="8"/>
  <c r="I176" i="8"/>
  <c r="I337" i="8" s="1"/>
  <c r="W6" i="4"/>
  <c r="O370" i="8"/>
  <c r="Y370" i="8"/>
  <c r="L370" i="8"/>
  <c r="R370" i="8"/>
  <c r="H370" i="8"/>
  <c r="K49" i="8"/>
  <c r="G47" i="10"/>
  <c r="I166" i="8"/>
  <c r="K166" i="8"/>
  <c r="T166" i="8"/>
  <c r="K52" i="8"/>
  <c r="Q166" i="8"/>
  <c r="I49" i="8"/>
  <c r="I164" i="8"/>
  <c r="T164" i="8"/>
  <c r="Q164" i="8"/>
  <c r="K164" i="8"/>
  <c r="T49" i="8"/>
  <c r="G57" i="10"/>
  <c r="Q163" i="8"/>
  <c r="T163" i="8"/>
  <c r="I163" i="8"/>
  <c r="N52" i="8"/>
  <c r="T52" i="8"/>
  <c r="Q52" i="8"/>
  <c r="K163" i="8"/>
  <c r="G52" i="10"/>
  <c r="N176" i="8"/>
  <c r="T176" i="8"/>
  <c r="K176" i="8"/>
  <c r="K347" i="8" s="1"/>
  <c r="Q176" i="8"/>
  <c r="AB6" i="4"/>
  <c r="AA6" i="4"/>
  <c r="Z6" i="4"/>
  <c r="R22" i="4"/>
  <c r="Q22" i="4"/>
  <c r="S22" i="4"/>
  <c r="Q6" i="4"/>
  <c r="S6" i="4"/>
  <c r="R6" i="4"/>
  <c r="Y6" i="4"/>
  <c r="X6" i="4"/>
  <c r="M22" i="4"/>
  <c r="L22" i="4"/>
  <c r="K22" i="4"/>
  <c r="R20" i="4"/>
  <c r="Q20" i="4"/>
  <c r="S20" i="4"/>
  <c r="I161" i="8"/>
  <c r="T50" i="8"/>
  <c r="N50" i="8"/>
  <c r="Q50" i="8"/>
  <c r="K50" i="8"/>
  <c r="N161" i="8"/>
  <c r="T161" i="8"/>
  <c r="Q161" i="8"/>
  <c r="K161" i="8"/>
  <c r="Z20" i="4"/>
  <c r="W20" i="4"/>
  <c r="AA20" i="4"/>
  <c r="X20" i="4"/>
  <c r="Y20" i="4"/>
  <c r="AB20" i="4"/>
  <c r="F7" i="7"/>
  <c r="G51" i="8" s="1"/>
  <c r="L7" i="7"/>
  <c r="G61" i="8" s="1"/>
  <c r="L8" i="7"/>
  <c r="G62" i="8" s="1"/>
  <c r="L6" i="7"/>
  <c r="G60" i="8" s="1"/>
  <c r="L4" i="7"/>
  <c r="L5" i="7"/>
  <c r="G59" i="8" s="1"/>
  <c r="L3" i="7"/>
  <c r="F8" i="7"/>
  <c r="G52" i="8" s="1"/>
  <c r="F6" i="7"/>
  <c r="G50" i="8" s="1"/>
  <c r="F5" i="7"/>
  <c r="G49" i="8" s="1"/>
  <c r="F4" i="7"/>
  <c r="F3" i="7"/>
  <c r="X4" i="7"/>
  <c r="X6" i="7"/>
  <c r="G161" i="8" s="1"/>
  <c r="X5" i="7"/>
  <c r="N349" i="8" l="1"/>
  <c r="T358" i="8"/>
  <c r="I349" i="8"/>
  <c r="K349" i="8"/>
  <c r="T349" i="8"/>
  <c r="Q349" i="8"/>
  <c r="O349" i="8"/>
  <c r="N353" i="8"/>
  <c r="O347" i="8"/>
  <c r="O353" i="8"/>
  <c r="I353" i="8"/>
  <c r="T347" i="8"/>
  <c r="Q353" i="8"/>
  <c r="T353" i="8"/>
  <c r="Q347" i="8"/>
  <c r="K353" i="8"/>
  <c r="N347" i="8"/>
  <c r="I347" i="8"/>
  <c r="N397" i="8"/>
  <c r="O397" i="8"/>
  <c r="I397" i="8"/>
  <c r="T397" i="8"/>
  <c r="Q346" i="8"/>
  <c r="Q397" i="8"/>
  <c r="K397" i="8"/>
  <c r="N346" i="8"/>
  <c r="O346" i="8"/>
  <c r="I346" i="8"/>
  <c r="T346" i="8"/>
  <c r="K346" i="8"/>
  <c r="Q342" i="8"/>
  <c r="K342" i="8"/>
  <c r="K337" i="8"/>
  <c r="O22" i="4"/>
  <c r="Q358" i="8"/>
  <c r="K358" i="8"/>
  <c r="I342" i="8"/>
  <c r="T342" i="8"/>
  <c r="V22" i="4"/>
  <c r="I358" i="8"/>
  <c r="T22" i="4"/>
  <c r="N358" i="8"/>
  <c r="O342" i="8"/>
  <c r="N337" i="8"/>
  <c r="O337" i="8"/>
  <c r="O358" i="8"/>
  <c r="N342" i="8"/>
  <c r="U20" i="4"/>
  <c r="G58" i="8"/>
  <c r="L15" i="7"/>
  <c r="N22" i="4"/>
  <c r="T385" i="8"/>
  <c r="N385" i="8"/>
  <c r="K385" i="8"/>
  <c r="Q385" i="8"/>
  <c r="I385" i="8"/>
  <c r="N370" i="8"/>
  <c r="Q370" i="8"/>
  <c r="T370" i="8"/>
  <c r="P22" i="4"/>
  <c r="K370" i="8"/>
  <c r="I370" i="8"/>
  <c r="N6" i="4"/>
  <c r="O6" i="4"/>
  <c r="P20" i="4"/>
  <c r="P6" i="4"/>
  <c r="O20" i="4"/>
  <c r="N20" i="4"/>
  <c r="G48" i="8"/>
  <c r="F15" i="7"/>
  <c r="L23" i="7"/>
  <c r="X7" i="7"/>
  <c r="G160" i="8"/>
  <c r="G393" i="8" l="1"/>
  <c r="G317" i="8"/>
  <c r="G326" i="8"/>
  <c r="G329" i="8"/>
  <c r="G327" i="8"/>
  <c r="G322" i="8"/>
  <c r="L17" i="4"/>
  <c r="G358" i="8"/>
  <c r="L8" i="4"/>
  <c r="K8" i="4"/>
  <c r="M8" i="4"/>
  <c r="G371" i="8"/>
  <c r="G386" i="8"/>
  <c r="G370" i="8"/>
  <c r="G385" i="8"/>
  <c r="L20" i="4"/>
  <c r="K20" i="4"/>
  <c r="M6" i="4"/>
  <c r="L6" i="4"/>
  <c r="K6" i="4"/>
  <c r="M2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<sst xmlns="http://schemas.openxmlformats.org/spreadsheetml/2006/main" count="14782" uniqueCount="742">
  <si>
    <t>Dynamic Compression Experiment</t>
  </si>
  <si>
    <t>1. Experiment List</t>
  </si>
  <si>
    <t>2. Data Summary</t>
  </si>
  <si>
    <t>3. Data Statistics</t>
  </si>
  <si>
    <t>4. Viability</t>
  </si>
  <si>
    <t>5. Biochem</t>
  </si>
  <si>
    <t>Experiment Name</t>
  </si>
  <si>
    <t>Date</t>
  </si>
  <si>
    <t>Group</t>
  </si>
  <si>
    <t>Output 1</t>
  </si>
  <si>
    <t>Output 2</t>
  </si>
  <si>
    <t>DC1</t>
  </si>
  <si>
    <t>DC2</t>
  </si>
  <si>
    <t>DC3</t>
  </si>
  <si>
    <t>8/15-8/22</t>
  </si>
  <si>
    <t>8/25-9/1</t>
  </si>
  <si>
    <t>9/5-9/12</t>
  </si>
  <si>
    <t>4m 5%</t>
  </si>
  <si>
    <t>24m 5%</t>
  </si>
  <si>
    <t>N/A</t>
  </si>
  <si>
    <t>Age</t>
  </si>
  <si>
    <t>Sex</t>
  </si>
  <si>
    <t>Time</t>
  </si>
  <si>
    <t>Strain</t>
  </si>
  <si>
    <t>4m</t>
  </si>
  <si>
    <t>Male</t>
  </si>
  <si>
    <t>D1</t>
  </si>
  <si>
    <t>D7</t>
  </si>
  <si>
    <t>24m</t>
  </si>
  <si>
    <t>% Live</t>
  </si>
  <si>
    <t>Alamar Blue</t>
  </si>
  <si>
    <t>Picogreen</t>
  </si>
  <si>
    <t>DMMB</t>
  </si>
  <si>
    <t>OHP - Collagen</t>
  </si>
  <si>
    <t>Proline Incorporation</t>
  </si>
  <si>
    <t>S35 Incorporation</t>
  </si>
  <si>
    <t>Thymidine Incorporation</t>
  </si>
  <si>
    <t>Raw</t>
  </si>
  <si>
    <t>Picogreen (DW)</t>
  </si>
  <si>
    <t>DNA</t>
  </si>
  <si>
    <t>DW</t>
  </si>
  <si>
    <t>Raw (ug)</t>
  </si>
  <si>
    <t>DW (ug/mg)</t>
  </si>
  <si>
    <t>Rx - 5</t>
  </si>
  <si>
    <t>A</t>
  </si>
  <si>
    <t>B</t>
  </si>
  <si>
    <t>C</t>
  </si>
  <si>
    <t>D</t>
  </si>
  <si>
    <t>E</t>
  </si>
  <si>
    <t>F</t>
  </si>
  <si>
    <t>G</t>
  </si>
  <si>
    <t>H</t>
  </si>
  <si>
    <t>4m Male</t>
  </si>
  <si>
    <t>Experiment</t>
  </si>
  <si>
    <t>Sample</t>
  </si>
  <si>
    <t>Δ</t>
  </si>
  <si>
    <t>Timepoint</t>
  </si>
  <si>
    <t>Ctrl</t>
  </si>
  <si>
    <t>Average</t>
  </si>
  <si>
    <t>DC3 - D7 5%</t>
  </si>
  <si>
    <t>DC2 -D7 5%</t>
  </si>
  <si>
    <t>24m Male</t>
  </si>
  <si>
    <t>Viability</t>
  </si>
  <si>
    <t>Biochem</t>
  </si>
  <si>
    <t>Thymidine</t>
  </si>
  <si>
    <t>Dual Rx</t>
  </si>
  <si>
    <t>Histology</t>
  </si>
  <si>
    <t>PCR</t>
  </si>
  <si>
    <t>Sample Size</t>
  </si>
  <si>
    <t>Rx - 1?</t>
  </si>
  <si>
    <t>DC4</t>
  </si>
  <si>
    <t>9/19-9/26</t>
  </si>
  <si>
    <t>Tendon</t>
  </si>
  <si>
    <t>Wet Weights</t>
  </si>
  <si>
    <t>Dry Weights</t>
  </si>
  <si>
    <t>W1</t>
  </si>
  <si>
    <t>W2</t>
  </si>
  <si>
    <t>W3</t>
  </si>
  <si>
    <t>DC5</t>
  </si>
  <si>
    <t>X2</t>
  </si>
  <si>
    <t>X1</t>
  </si>
  <si>
    <t>X3</t>
  </si>
  <si>
    <t>X4</t>
  </si>
  <si>
    <t>X5</t>
  </si>
  <si>
    <t>DC4 -D7 5%</t>
  </si>
  <si>
    <t>DC5 - D7 15%</t>
  </si>
  <si>
    <t>4m 15%</t>
  </si>
  <si>
    <t>24m 15%</t>
  </si>
  <si>
    <t>Wet weight</t>
  </si>
  <si>
    <t>Dry Weight</t>
  </si>
  <si>
    <t>OHP</t>
  </si>
  <si>
    <t>24m 5% D7</t>
  </si>
  <si>
    <t>4m 5% D7</t>
  </si>
  <si>
    <t>24m 15% D7</t>
  </si>
  <si>
    <t>X6</t>
  </si>
  <si>
    <t>Age + Sex</t>
  </si>
  <si>
    <t>% Live - By Sample</t>
  </si>
  <si>
    <t>% Live - By Image</t>
  </si>
  <si>
    <t>AB</t>
  </si>
  <si>
    <t>DMMB (DW)</t>
  </si>
  <si>
    <t>OHP(DW)</t>
  </si>
  <si>
    <t>Proline</t>
  </si>
  <si>
    <t>Proline(DW)</t>
  </si>
  <si>
    <t>S35</t>
  </si>
  <si>
    <t>S35(DW)</t>
  </si>
  <si>
    <t>Thymidine(DW)</t>
  </si>
  <si>
    <t>Mean</t>
  </si>
  <si>
    <t>St Dev</t>
  </si>
  <si>
    <t>Count</t>
  </si>
  <si>
    <t>4m-male</t>
  </si>
  <si>
    <t>D7-unload</t>
  </si>
  <si>
    <t>24m-male</t>
  </si>
  <si>
    <t>D7-Unload</t>
  </si>
  <si>
    <t>DC2 DC3 DC4 DC5</t>
  </si>
  <si>
    <t>Raw Values</t>
  </si>
  <si>
    <t>Background Average</t>
  </si>
  <si>
    <t>Minus Background</t>
  </si>
  <si>
    <t>Standard Curve</t>
  </si>
  <si>
    <t>m</t>
  </si>
  <si>
    <t>b</t>
  </si>
  <si>
    <t>Standardize to Curve</t>
  </si>
  <si>
    <t>Values</t>
  </si>
  <si>
    <t>Results</t>
  </si>
  <si>
    <t>Raw 540</t>
  </si>
  <si>
    <t>Raw 595</t>
  </si>
  <si>
    <t>Subtract High From Low</t>
  </si>
  <si>
    <t>Raw H3</t>
  </si>
  <si>
    <t>%Incorp H3</t>
  </si>
  <si>
    <t>Rate Incorp H3</t>
  </si>
  <si>
    <t>Avg Rate</t>
  </si>
  <si>
    <t>Raw S35</t>
  </si>
  <si>
    <t>%Incorp S35</t>
  </si>
  <si>
    <t>Rate Incorp S35</t>
  </si>
  <si>
    <t>4m D7 NC</t>
  </si>
  <si>
    <t>AI14</t>
  </si>
  <si>
    <t>AI25</t>
  </si>
  <si>
    <t>PX1</t>
  </si>
  <si>
    <t>PX2</t>
  </si>
  <si>
    <t>PX3</t>
  </si>
  <si>
    <t>PX4</t>
  </si>
  <si>
    <t>PX5</t>
  </si>
  <si>
    <t>TX1</t>
  </si>
  <si>
    <t>TX3</t>
  </si>
  <si>
    <t>TX4</t>
  </si>
  <si>
    <t>TX5</t>
  </si>
  <si>
    <t>AI30</t>
  </si>
  <si>
    <t>24m D7 NC</t>
  </si>
  <si>
    <t>AI19</t>
  </si>
  <si>
    <t>AI24</t>
  </si>
  <si>
    <t>TX2</t>
  </si>
  <si>
    <t>T-test Matrix</t>
  </si>
  <si>
    <t>Young</t>
  </si>
  <si>
    <t>D1 15% vs D7 15%</t>
  </si>
  <si>
    <t>D7 15% vs D7 NC</t>
  </si>
  <si>
    <t>D1 15%</t>
  </si>
  <si>
    <t>Young v Aged</t>
  </si>
  <si>
    <t>D7 15%</t>
  </si>
  <si>
    <t>Aged</t>
  </si>
  <si>
    <t>AI16</t>
  </si>
  <si>
    <t>AI23</t>
  </si>
  <si>
    <t>AI9</t>
  </si>
  <si>
    <t>AI22</t>
  </si>
  <si>
    <t>4m D7 AI</t>
  </si>
  <si>
    <t>24m D7 AI</t>
  </si>
  <si>
    <t>D7 15% vs AI</t>
  </si>
  <si>
    <t>D7 NC vs AI</t>
  </si>
  <si>
    <t>AI</t>
  </si>
  <si>
    <t>NC</t>
  </si>
  <si>
    <t>DC7 - D7 15%</t>
  </si>
  <si>
    <t>DC7</t>
  </si>
  <si>
    <t>4m 15% D7</t>
  </si>
  <si>
    <t>OVRFLW</t>
  </si>
  <si>
    <t>Standardized to curve</t>
  </si>
  <si>
    <t>Values (ug/ml)</t>
  </si>
  <si>
    <t>Values (ug)</t>
  </si>
  <si>
    <t>DC8</t>
  </si>
  <si>
    <t>4m 15% D1</t>
  </si>
  <si>
    <t>DC8 - D1 15%</t>
  </si>
  <si>
    <t>DC9 - D1 5%</t>
  </si>
  <si>
    <t>DC9</t>
  </si>
  <si>
    <t>DC10 - D1 15%</t>
  </si>
  <si>
    <t>DC10</t>
  </si>
  <si>
    <t>4m 5% D1</t>
  </si>
  <si>
    <t>DC11 - D1 5%</t>
  </si>
  <si>
    <t>DC11</t>
  </si>
  <si>
    <t>20m 5% D1</t>
  </si>
  <si>
    <t>DC10 D1</t>
  </si>
  <si>
    <t>24m 15% D1</t>
  </si>
  <si>
    <t>DC10 D7</t>
  </si>
  <si>
    <t>15% D1</t>
  </si>
  <si>
    <t>15% D7</t>
  </si>
  <si>
    <t>5% D1</t>
  </si>
  <si>
    <t>DC7 DC8 DC9 DC10</t>
  </si>
  <si>
    <t>DC10 DC11</t>
  </si>
  <si>
    <t>24m 5% D1</t>
  </si>
  <si>
    <t>D0</t>
  </si>
  <si>
    <t>s</t>
  </si>
  <si>
    <t>4m D0</t>
  </si>
  <si>
    <t>AI8</t>
  </si>
  <si>
    <t>24m D0</t>
  </si>
  <si>
    <t>AI12</t>
  </si>
  <si>
    <t>D0 vs D1 15%</t>
  </si>
  <si>
    <t>D0 vs D7 15%</t>
  </si>
  <si>
    <t>DC7 DC8 DC9</t>
  </si>
  <si>
    <t>DC12 - D1 5%</t>
  </si>
  <si>
    <t>DC12 - D7 5%</t>
  </si>
  <si>
    <t>DC12</t>
  </si>
  <si>
    <t>DC13 - D1 5%</t>
  </si>
  <si>
    <t>DC13</t>
  </si>
  <si>
    <t>X7</t>
  </si>
  <si>
    <t>X8</t>
  </si>
  <si>
    <t>X9</t>
  </si>
  <si>
    <t>X10</t>
  </si>
  <si>
    <t>DC13 - D7 5%</t>
  </si>
  <si>
    <t>DC12 DC13</t>
  </si>
  <si>
    <t>5% D7</t>
  </si>
  <si>
    <t>Wet/Dry</t>
  </si>
  <si>
    <t>DC16 - D1 30%</t>
  </si>
  <si>
    <t>DC16</t>
  </si>
  <si>
    <t>4m D1 30%</t>
  </si>
  <si>
    <t>D1 5% vs 30%</t>
  </si>
  <si>
    <t>D1 15% vs 30 %</t>
  </si>
  <si>
    <t>D7 5% vs 30%</t>
  </si>
  <si>
    <t>D7 15% vs 30%</t>
  </si>
  <si>
    <t>D7 NC vs 30%</t>
  </si>
  <si>
    <t>DC14</t>
  </si>
  <si>
    <t>DC13 DC14</t>
  </si>
  <si>
    <t>DC15</t>
  </si>
  <si>
    <t>D0 vs D1 30%</t>
  </si>
  <si>
    <t>D0 vs D7 30%</t>
  </si>
  <si>
    <t>DC15 - D7 15%</t>
  </si>
  <si>
    <t>DC16 - D7 30%</t>
  </si>
  <si>
    <t>4m D7 30%</t>
  </si>
  <si>
    <t>4m 30%</t>
  </si>
  <si>
    <t>4m 50%</t>
  </si>
  <si>
    <t>DC17</t>
  </si>
  <si>
    <t>D1 30% vs D1 50%</t>
  </si>
  <si>
    <t>30% D1</t>
  </si>
  <si>
    <t>30% D7</t>
  </si>
  <si>
    <t>4m D1 50%</t>
  </si>
  <si>
    <t>4m D7 50%</t>
  </si>
  <si>
    <t>D7 AI vs 30%</t>
  </si>
  <si>
    <t>Rate Incorp H3 (pmol/hr)</t>
  </si>
  <si>
    <t>Rate Incorp S35 (pmol/hr)</t>
  </si>
  <si>
    <t>DC17 - D1 50%</t>
  </si>
  <si>
    <t>DC18 - D7 50%</t>
  </si>
  <si>
    <t>DC18</t>
  </si>
  <si>
    <t>D7 NC vs D7 50%</t>
  </si>
  <si>
    <t>D7 AI vs D7 50%</t>
  </si>
  <si>
    <t>D7 30% vs D7 50%</t>
  </si>
  <si>
    <t>D0 vs D7 50%</t>
  </si>
  <si>
    <t>D1 50% vs D7 50%</t>
  </si>
  <si>
    <t>50% D1</t>
  </si>
  <si>
    <t>50% D7</t>
  </si>
  <si>
    <t>4m 50 % D1</t>
  </si>
  <si>
    <t>4m 50% D7</t>
  </si>
  <si>
    <t>Standard</t>
  </si>
  <si>
    <t>D7 5% vs D7 50%</t>
  </si>
  <si>
    <t>D7 15% vs D7 50%</t>
  </si>
  <si>
    <t>DC19 - 50% 1hr D1</t>
  </si>
  <si>
    <t>DC19</t>
  </si>
  <si>
    <t>D1-1hr</t>
  </si>
  <si>
    <t>Table of Contents</t>
  </si>
  <si>
    <r>
      <rPr>
        <sz val="11"/>
        <color theme="0"/>
        <rFont val="Calibri"/>
        <family val="2"/>
        <scheme val="minor"/>
      </rPr>
      <t xml:space="preserve">          </t>
    </r>
    <r>
      <rPr>
        <u/>
        <sz val="11"/>
        <color theme="0"/>
        <rFont val="Calibri"/>
        <family val="2"/>
        <scheme val="minor"/>
      </rPr>
      <t>5.1 - Alamar Blue Raw</t>
    </r>
  </si>
  <si>
    <r>
      <rPr>
        <sz val="11"/>
        <color theme="0"/>
        <rFont val="Calibri"/>
        <family val="2"/>
        <scheme val="minor"/>
      </rPr>
      <t xml:space="preserve">         </t>
    </r>
    <r>
      <rPr>
        <u/>
        <sz val="11"/>
        <color theme="0"/>
        <rFont val="Calibri"/>
        <family val="2"/>
        <scheme val="minor"/>
      </rPr>
      <t xml:space="preserve"> 5.2 - Alamar Blue Analysis</t>
    </r>
  </si>
  <si>
    <r>
      <rPr>
        <sz val="11"/>
        <color theme="0"/>
        <rFont val="Calibri"/>
        <family val="2"/>
        <scheme val="minor"/>
      </rPr>
      <t xml:space="preserve">          </t>
    </r>
    <r>
      <rPr>
        <u/>
        <sz val="11"/>
        <color theme="0"/>
        <rFont val="Calibri"/>
        <family val="2"/>
        <scheme val="minor"/>
      </rPr>
      <t>5.3 - PicoGreen</t>
    </r>
  </si>
  <si>
    <r>
      <rPr>
        <sz val="11"/>
        <color theme="0"/>
        <rFont val="Calibri"/>
        <family val="2"/>
        <scheme val="minor"/>
      </rPr>
      <t xml:space="preserve">          </t>
    </r>
    <r>
      <rPr>
        <u/>
        <sz val="11"/>
        <color theme="0"/>
        <rFont val="Calibri"/>
        <family val="2"/>
        <scheme val="minor"/>
      </rPr>
      <t>5.4 - DMMB</t>
    </r>
  </si>
  <si>
    <r>
      <rPr>
        <sz val="11"/>
        <color theme="0"/>
        <rFont val="Calibri"/>
        <family val="2"/>
        <scheme val="minor"/>
      </rPr>
      <t xml:space="preserve">          </t>
    </r>
    <r>
      <rPr>
        <u/>
        <sz val="11"/>
        <color theme="0"/>
        <rFont val="Calibri"/>
        <family val="2"/>
        <scheme val="minor"/>
      </rPr>
      <t>5.5 - OHP</t>
    </r>
  </si>
  <si>
    <r>
      <rPr>
        <sz val="11"/>
        <color theme="0"/>
        <rFont val="Calibri"/>
        <family val="2"/>
        <scheme val="minor"/>
      </rPr>
      <t xml:space="preserve">         </t>
    </r>
    <r>
      <rPr>
        <u/>
        <sz val="11"/>
        <color theme="0"/>
        <rFont val="Calibri"/>
        <family val="2"/>
        <scheme val="minor"/>
      </rPr>
      <t xml:space="preserve"> 5.6 - Weights</t>
    </r>
  </si>
  <si>
    <r>
      <rPr>
        <sz val="11"/>
        <color theme="0"/>
        <rFont val="Calibri"/>
        <family val="2"/>
        <scheme val="minor"/>
      </rPr>
      <t xml:space="preserve">         </t>
    </r>
    <r>
      <rPr>
        <u/>
        <sz val="11"/>
        <color theme="0"/>
        <rFont val="Calibri"/>
        <family val="2"/>
        <scheme val="minor"/>
      </rPr>
      <t>5.7 - Rx</t>
    </r>
  </si>
  <si>
    <t>50% 1 hr D7</t>
  </si>
  <si>
    <t>4m D7 50% 1 hr</t>
  </si>
  <si>
    <t>DC19 - 50% 1hr D7</t>
  </si>
  <si>
    <t>D7-1hr</t>
  </si>
  <si>
    <t>4m D1 50% 1 hr</t>
  </si>
  <si>
    <t>50%-1hr</t>
  </si>
  <si>
    <t xml:space="preserve">D1 AI vs 1hr </t>
  </si>
  <si>
    <t>D1 1hr vs 50%</t>
  </si>
  <si>
    <t>D7 AI vs 1hr</t>
  </si>
  <si>
    <t>D7 1hr vs 50%</t>
  </si>
  <si>
    <t>4m D1</t>
  </si>
  <si>
    <t>AI11</t>
  </si>
  <si>
    <t>AI21</t>
  </si>
  <si>
    <t>D7 1hr vs NC</t>
  </si>
  <si>
    <t>DC20</t>
  </si>
  <si>
    <t>4m NC</t>
  </si>
  <si>
    <t>4m 50% 1hr D1</t>
  </si>
  <si>
    <t>4m 50% 1hr D7</t>
  </si>
  <si>
    <t>DC21 - D7 15%</t>
  </si>
  <si>
    <t>DC21</t>
  </si>
  <si>
    <t>Biochem Date</t>
  </si>
  <si>
    <t>Pico</t>
  </si>
  <si>
    <t>24m 50%</t>
  </si>
  <si>
    <t>DC22</t>
  </si>
  <si>
    <t>DC22 D1 50%</t>
  </si>
  <si>
    <t>DC22 D7 50 %</t>
  </si>
  <si>
    <t>DC23 D1 50% 1 hr</t>
  </si>
  <si>
    <t>DC23 D7 50% 1 hr</t>
  </si>
  <si>
    <t>DC23</t>
  </si>
  <si>
    <t>DC24</t>
  </si>
  <si>
    <t>24m 50% D7</t>
  </si>
  <si>
    <t>4m 50% 1 hr D1</t>
  </si>
  <si>
    <t>4m 50% 1 hr D7</t>
  </si>
  <si>
    <t>24m D7 50%</t>
  </si>
  <si>
    <t>24m 50% D1</t>
  </si>
  <si>
    <t>50% 1 hr D1</t>
  </si>
  <si>
    <t>24m D1 50%</t>
  </si>
  <si>
    <t>D1 50%</t>
  </si>
  <si>
    <t>D7 50%</t>
  </si>
  <si>
    <t>D0 vs D1 50%</t>
  </si>
  <si>
    <t>D1 15% vs D1 50%</t>
  </si>
  <si>
    <t>D7 50% vs D7 NC</t>
  </si>
  <si>
    <t>D7 50% vs AI</t>
  </si>
  <si>
    <t>NC1</t>
  </si>
  <si>
    <t>NC2</t>
  </si>
  <si>
    <t>NC3</t>
  </si>
  <si>
    <t>NC4</t>
  </si>
  <si>
    <t>NC5</t>
  </si>
  <si>
    <t>C1</t>
  </si>
  <si>
    <t>C2</t>
  </si>
  <si>
    <t>C3</t>
  </si>
  <si>
    <t>C4</t>
  </si>
  <si>
    <t>4m D7 15%</t>
  </si>
  <si>
    <t>24m D7 15%</t>
  </si>
  <si>
    <t>DC26</t>
  </si>
  <si>
    <t>D7 - 1hr</t>
  </si>
  <si>
    <t>I</t>
  </si>
  <si>
    <t>J</t>
  </si>
  <si>
    <t>DC27</t>
  </si>
  <si>
    <t>DC27 D7 50%</t>
  </si>
  <si>
    <t>4m 50% 1hr</t>
  </si>
  <si>
    <t>D7 1hr vs 15%</t>
  </si>
  <si>
    <t>DC31 D7 50%-1hr</t>
  </si>
  <si>
    <t>DC31</t>
  </si>
  <si>
    <t>24m D7 50% 1 hr</t>
  </si>
  <si>
    <t>24m 50% 1hr</t>
  </si>
  <si>
    <t>DC32</t>
  </si>
  <si>
    <t>50% 1 hr</t>
  </si>
  <si>
    <t>D7 50% 1hr vs NC</t>
  </si>
  <si>
    <t>D7 50% 1hr vs 15</t>
  </si>
  <si>
    <t>D7 50% 1hr vs 50</t>
  </si>
  <si>
    <t>D7 50% 1hr vs AI</t>
  </si>
  <si>
    <t>YvA</t>
  </si>
  <si>
    <t>AI42</t>
  </si>
  <si>
    <t>D1 50% 1hr</t>
  </si>
  <si>
    <t>D7 50% 1hr</t>
  </si>
  <si>
    <t>D0 vs</t>
  </si>
  <si>
    <t>D0 vs D1 50% 1hr</t>
  </si>
  <si>
    <t>D0 vs D7 50% 1hr</t>
  </si>
  <si>
    <t>D1 vs</t>
  </si>
  <si>
    <t>D1 vs D7 50% 1hr</t>
  </si>
  <si>
    <t>D7 15% vs D7 50% 1hr</t>
  </si>
  <si>
    <t>D7 50% vs D7 50% 1hr</t>
  </si>
  <si>
    <t>D7 50% 1hr vs D7 NC</t>
  </si>
  <si>
    <t>D7 vs</t>
  </si>
  <si>
    <t>AI43</t>
  </si>
  <si>
    <t>Plate</t>
  </si>
  <si>
    <t>Standerdize to curve</t>
  </si>
  <si>
    <t>Value 5Fam</t>
  </si>
  <si>
    <t>Avg</t>
  </si>
  <si>
    <t>Value RFU</t>
  </si>
  <si>
    <t>Load</t>
  </si>
  <si>
    <t>Value</t>
  </si>
  <si>
    <t>50% 1hr</t>
  </si>
  <si>
    <t>Averages</t>
  </si>
  <si>
    <t>5Fam</t>
  </si>
  <si>
    <t>RFU</t>
  </si>
  <si>
    <t>5 vs 15</t>
  </si>
  <si>
    <t>5 vs 30</t>
  </si>
  <si>
    <t>5 vs 50</t>
  </si>
  <si>
    <t>5 vs 501hr</t>
  </si>
  <si>
    <t>15 v 30</t>
  </si>
  <si>
    <t>15 vs 50</t>
  </si>
  <si>
    <t>15 vs 501hr</t>
  </si>
  <si>
    <t>30 v 50</t>
  </si>
  <si>
    <t>30 v 501hr</t>
  </si>
  <si>
    <t>50 v 501hr</t>
  </si>
  <si>
    <t>5 v 50</t>
  </si>
  <si>
    <t>5 v 15</t>
  </si>
  <si>
    <t>15 v 50</t>
  </si>
  <si>
    <t>4 v 24</t>
  </si>
  <si>
    <t>Std</t>
  </si>
  <si>
    <t>Stats - RFU</t>
  </si>
  <si>
    <t>T-tests</t>
  </si>
  <si>
    <t>NC vs 15%</t>
  </si>
  <si>
    <t>NC v 50%</t>
  </si>
  <si>
    <t>NC v 50-1hr</t>
  </si>
  <si>
    <t>NC v AI</t>
  </si>
  <si>
    <t>15 v 50-1hr</t>
  </si>
  <si>
    <t>15 v AI</t>
  </si>
  <si>
    <t>50 v 50-1hr</t>
  </si>
  <si>
    <t>50 v AI</t>
  </si>
  <si>
    <t>50-1hr v AI</t>
  </si>
  <si>
    <t>4m v 24m</t>
  </si>
  <si>
    <t>50-1hr</t>
  </si>
  <si>
    <t xml:space="preserve">Experiment </t>
  </si>
  <si>
    <t>#</t>
  </si>
  <si>
    <t>260/280</t>
  </si>
  <si>
    <t>ng/µL</t>
  </si>
  <si>
    <t>Remaining Volume</t>
  </si>
  <si>
    <t>Yield (ng)</t>
  </si>
  <si>
    <t>Volume Sample</t>
  </si>
  <si>
    <t>Volume Water</t>
  </si>
  <si>
    <t>Total Volume</t>
  </si>
  <si>
    <t>DC25</t>
  </si>
  <si>
    <t>P1</t>
  </si>
  <si>
    <t>P2</t>
  </si>
  <si>
    <t>P3</t>
  </si>
  <si>
    <t>P4</t>
  </si>
  <si>
    <t>P5</t>
  </si>
  <si>
    <t>DC28</t>
  </si>
  <si>
    <t>P6</t>
  </si>
  <si>
    <t>DC29</t>
  </si>
  <si>
    <t>P7</t>
  </si>
  <si>
    <t>P8</t>
  </si>
  <si>
    <t>DC30</t>
  </si>
  <si>
    <t xml:space="preserve">1: Triangle: Compressive Displacement = 8 um/3600 cycles/1 Hz @ 20 Samples/cycle </t>
  </si>
  <si>
    <t>NaN</t>
  </si>
  <si>
    <t xml:space="preserve">2: Sine: Compressive Displacement = 8 um/3600 cycles/1 Hz @ 96 Samples/cycle </t>
  </si>
  <si>
    <t xml:space="preserve">3: Sine: Compressive Displacement = 8 um/3600 cycles/1 Hz @ 96 Samples/cycle </t>
  </si>
  <si>
    <t xml:space="preserve">4: Sine: Compressive Displacement = 8 um/3600 cycles/1 Hz @ 96 Samples/cycle </t>
  </si>
  <si>
    <t xml:space="preserve">5: Sine: Compressive Displacement = 8 um/3600 cycles/1 Hz @ 96 Samples/cycle </t>
  </si>
  <si>
    <t xml:space="preserve">6: Sine: Compressive Displacement = 8 um/3600 cycles/1 Hz @ 96 Samples/cycle </t>
  </si>
  <si>
    <t xml:space="preserve">7: Sine: Compressive Displacement = 8 um/3600 cycles/1 Hz @ 96 Samples/cycle </t>
  </si>
  <si>
    <t xml:space="preserve">8: Sine: Compressive Displacement = 8 um/3600 cycles/1 Hz @ 96 Samples/cycle </t>
  </si>
  <si>
    <t xml:space="preserve">9: Sine: Compressive Displacement = 8 um/3600 cycles/1 Hz @ 96 Samples/cycle </t>
  </si>
  <si>
    <t xml:space="preserve">10: Sine: Compressive Displacement = 8 um/3600 cycles/1 Hz @ 96 Samples/cycle </t>
  </si>
  <si>
    <t xml:space="preserve">11: Sine: Compressive Displacement = 8 um/3600 cycles/1 Hz @ 96 Samples/cycle </t>
  </si>
  <si>
    <t xml:space="preserve">12: Sine: Compressive Displacement = 8 um/3600 cycles/1 Hz @ 96 Samples/cycle </t>
  </si>
  <si>
    <t xml:space="preserve">13: Sine: Compressive Displacement = 8 um/3600 cycles/1 Hz @ 96 Samples/cycle </t>
  </si>
  <si>
    <t xml:space="preserve">14: Sine: Compressive Displacement = 8 um/3600 cycles/1 Hz @ 96 Samples/cycle </t>
  </si>
  <si>
    <t xml:space="preserve">15: Sine: Compressive Displacement = 8 um/3600 cycles/1 Hz @ 96 Samples/cycle </t>
  </si>
  <si>
    <t xml:space="preserve">16: Sine: Compressive Displacement = 8 um/3600 cycles/1 Hz @ 96 Samples/cycle </t>
  </si>
  <si>
    <t xml:space="preserve">17: Sine: Compressive Displacement = 8 um/3600 cycles/1 Hz @ 96 Samples/cycle </t>
  </si>
  <si>
    <t xml:space="preserve">18: Sine: Compressive Displacement = 8 um/3600 cycles/1 Hz @ 96 Samples/cycle </t>
  </si>
  <si>
    <t xml:space="preserve">19: Sine: Compressive Displacement = 8 um/3600 cycles/1 Hz @ 96 Samples/cycle </t>
  </si>
  <si>
    <t xml:space="preserve">20: Sine: Compressive Displacement = 8 um/3600 cycles/1 Hz @ 96 Samples/cycle </t>
  </si>
  <si>
    <t xml:space="preserve">21: Sine: Compressive Displacement = 8 um/3600 cycles/1 Hz @ 96 Samples/cycle </t>
  </si>
  <si>
    <t xml:space="preserve">22: Sine: Compressive Displacement = 8 um/3600 cycles/1 Hz @ 96 Samples/cycle </t>
  </si>
  <si>
    <t xml:space="preserve">23: Sine: Compressive Displacement = 8 um/3600 cycles/1 Hz @ 96 Samples/cycle </t>
  </si>
  <si>
    <t xml:space="preserve">24: Sine: Compressive Displacement = 8 um/3600 cycles/1 Hz @ 96 Samples/cycle </t>
  </si>
  <si>
    <t xml:space="preserve">25: Sine: Compressive Displacement = 8 um/3600 cycles/1 Hz @ 96 Samples/cycle </t>
  </si>
  <si>
    <t>Step</t>
  </si>
  <si>
    <t>DS</t>
  </si>
  <si>
    <t>PA</t>
  </si>
  <si>
    <t>Min disp</t>
  </si>
  <si>
    <t>max disp</t>
  </si>
  <si>
    <t>min load</t>
  </si>
  <si>
    <t>max load</t>
  </si>
  <si>
    <t>avg disp</t>
  </si>
  <si>
    <t>avg load</t>
  </si>
  <si>
    <t>hold creep</t>
  </si>
  <si>
    <t>Bact</t>
  </si>
  <si>
    <t>NT</t>
  </si>
  <si>
    <t>Col1</t>
  </si>
  <si>
    <t>Col2</t>
  </si>
  <si>
    <t>dcn</t>
  </si>
  <si>
    <t>Agr</t>
  </si>
  <si>
    <t>Fmod</t>
  </si>
  <si>
    <t>Mmp3</t>
  </si>
  <si>
    <t>Mmp13</t>
  </si>
  <si>
    <t>Mmp8</t>
  </si>
  <si>
    <t>Mmp9</t>
  </si>
  <si>
    <t>Sox9</t>
  </si>
  <si>
    <t>Bgn</t>
  </si>
  <si>
    <t>IL6</t>
  </si>
  <si>
    <t>IL1B</t>
  </si>
  <si>
    <t>Tnfa</t>
  </si>
  <si>
    <t>Casp3</t>
  </si>
  <si>
    <t>tgfb</t>
  </si>
  <si>
    <t>Mmp1</t>
  </si>
  <si>
    <t>Target</t>
  </si>
  <si>
    <t>Sample Name</t>
  </si>
  <si>
    <t>Cт</t>
  </si>
  <si>
    <t>Conc</t>
  </si>
  <si>
    <t>ΔCTE</t>
  </si>
  <si>
    <t>Log Relative</t>
  </si>
  <si>
    <t>Sample #</t>
  </si>
  <si>
    <t>AVG</t>
  </si>
  <si>
    <t>Upp</t>
  </si>
  <si>
    <t>low</t>
  </si>
  <si>
    <t>Dcn</t>
  </si>
  <si>
    <t>MMP3</t>
  </si>
  <si>
    <t>MMP13</t>
  </si>
  <si>
    <t>MMP8</t>
  </si>
  <si>
    <t>MMP9</t>
  </si>
  <si>
    <t>TgfB</t>
  </si>
  <si>
    <t>Image</t>
  </si>
  <si>
    <t>Fiber orientation</t>
  </si>
  <si>
    <t>Fiber Straightness</t>
  </si>
  <si>
    <t>Fiber Length</t>
  </si>
  <si>
    <t>MRL</t>
  </si>
  <si>
    <t>Entropy</t>
  </si>
  <si>
    <t>H1</t>
  </si>
  <si>
    <t>DC33</t>
  </si>
  <si>
    <t>DC35</t>
  </si>
  <si>
    <t>DC34</t>
  </si>
  <si>
    <t>H4</t>
  </si>
  <si>
    <t>H5</t>
  </si>
  <si>
    <t>H6</t>
  </si>
  <si>
    <t>H3</t>
  </si>
  <si>
    <t>H7</t>
  </si>
  <si>
    <t>H2</t>
  </si>
  <si>
    <t>H8</t>
  </si>
  <si>
    <t>Entopy</t>
  </si>
  <si>
    <t>4m vs 24m</t>
  </si>
  <si>
    <t>Mean Orientation (deg)</t>
  </si>
  <si>
    <t>Standard Deviation (deg)</t>
  </si>
  <si>
    <t>Alignment Index</t>
  </si>
  <si>
    <t>Goodness of Fit (R^2)</t>
  </si>
  <si>
    <t>Standard Deviation</t>
  </si>
  <si>
    <t>Goodness of fit</t>
  </si>
  <si>
    <t xml:space="preserve"> </t>
  </si>
  <si>
    <t>NC vs 50%</t>
  </si>
  <si>
    <t>15 vs 50%</t>
  </si>
  <si>
    <t>Ttests</t>
  </si>
  <si>
    <t xml:space="preserve">24m </t>
  </si>
  <si>
    <t>Data</t>
  </si>
  <si>
    <t>Acan</t>
  </si>
  <si>
    <t>SD</t>
  </si>
  <si>
    <t>D0 vs 15%</t>
  </si>
  <si>
    <t>D0 vs 50%</t>
  </si>
  <si>
    <t>Slide #</t>
  </si>
  <si>
    <t>H9</t>
  </si>
  <si>
    <t>AI32</t>
  </si>
  <si>
    <t>H1 S5</t>
  </si>
  <si>
    <t>H3 S2</t>
  </si>
  <si>
    <t>H2 S4</t>
  </si>
  <si>
    <t>H4 S5</t>
  </si>
  <si>
    <t>AI26</t>
  </si>
  <si>
    <t>H3 S4</t>
  </si>
  <si>
    <t>H3 S5</t>
  </si>
  <si>
    <t>H4 S3</t>
  </si>
  <si>
    <t>15% v 50%</t>
  </si>
  <si>
    <t>DC36</t>
  </si>
  <si>
    <t>Cell Count</t>
  </si>
  <si>
    <t>Cell Density (cells/um^2)</t>
  </si>
  <si>
    <t>Avg AR</t>
  </si>
  <si>
    <t>Slide</t>
  </si>
  <si>
    <t>Anova: Single Factor</t>
  </si>
  <si>
    <t>SUMMARY</t>
  </si>
  <si>
    <t>Groups</t>
  </si>
  <si>
    <t>Sum</t>
  </si>
  <si>
    <t>Variance</t>
  </si>
  <si>
    <t>Column 1</t>
  </si>
  <si>
    <t>Column 2</t>
  </si>
  <si>
    <t>Column 3</t>
  </si>
  <si>
    <t>ANOVA</t>
  </si>
  <si>
    <t>Source of Variation</t>
  </si>
  <si>
    <t>SS</t>
  </si>
  <si>
    <t>df</t>
  </si>
  <si>
    <t>MS</t>
  </si>
  <si>
    <t>P-value</t>
  </si>
  <si>
    <t>F crit</t>
  </si>
  <si>
    <t>Between Groups</t>
  </si>
  <si>
    <t>Within Groups</t>
  </si>
  <si>
    <t>Total</t>
  </si>
  <si>
    <t>Score blue</t>
  </si>
  <si>
    <t>Score purple</t>
  </si>
  <si>
    <t>DC40</t>
  </si>
  <si>
    <t>DC41</t>
  </si>
  <si>
    <t>24m NC</t>
  </si>
  <si>
    <t>NC v 15</t>
  </si>
  <si>
    <t>NC v 50</t>
  </si>
  <si>
    <t>SJM_DC_Inflamatory_Data_P1: Experiment Data Table</t>
  </si>
  <si>
    <t>Plate Name</t>
  </si>
  <si>
    <t>Assay</t>
  </si>
  <si>
    <t>Well</t>
  </si>
  <si>
    <t>Spot</t>
  </si>
  <si>
    <t>Dilution</t>
  </si>
  <si>
    <t>Concentration</t>
  </si>
  <si>
    <t>Signal</t>
  </si>
  <si>
    <t>Adjusted Signal</t>
  </si>
  <si>
    <t>Adj. Sig. Mean</t>
  </si>
  <si>
    <t>CV</t>
  </si>
  <si>
    <t>% Recovery</t>
  </si>
  <si>
    <t>% Recovery Mean</t>
  </si>
  <si>
    <t>Calc. Concentration</t>
  </si>
  <si>
    <t>Calc. Conc. Mean</t>
  </si>
  <si>
    <t>Calc. Conc. CV</t>
  </si>
  <si>
    <t>Plate_2BP1HAPC39</t>
  </si>
  <si>
    <t>B001</t>
  </si>
  <si>
    <t>IFN-γ</t>
  </si>
  <si>
    <t>B12</t>
  </si>
  <si>
    <t>E10</t>
  </si>
  <si>
    <t>H09</t>
  </si>
  <si>
    <t>F12</t>
  </si>
  <si>
    <t>D12</t>
  </si>
  <si>
    <t>G10</t>
  </si>
  <si>
    <t>E09</t>
  </si>
  <si>
    <t>H12</t>
  </si>
  <si>
    <t>F09</t>
  </si>
  <si>
    <t>G09</t>
  </si>
  <si>
    <t>A12</t>
  </si>
  <si>
    <t>F10</t>
  </si>
  <si>
    <t>C12</t>
  </si>
  <si>
    <t>G12</t>
  </si>
  <si>
    <t>H11</t>
  </si>
  <si>
    <t>E12</t>
  </si>
  <si>
    <t>H10</t>
  </si>
  <si>
    <t>C11</t>
  </si>
  <si>
    <t>B11</t>
  </si>
  <si>
    <t>A11</t>
  </si>
  <si>
    <t>D11</t>
  </si>
  <si>
    <t>E11</t>
  </si>
  <si>
    <t>G11</t>
  </si>
  <si>
    <t>F11</t>
  </si>
  <si>
    <t>IL-10</t>
  </si>
  <si>
    <t>IL-15</t>
  </si>
  <si>
    <t>IL-1β</t>
  </si>
  <si>
    <t>IL-4</t>
  </si>
  <si>
    <t>IL-6</t>
  </si>
  <si>
    <t>KC/GRO</t>
  </si>
  <si>
    <t>MCP-1</t>
  </si>
  <si>
    <t>TNF-α</t>
  </si>
  <si>
    <t>DC15-1</t>
  </si>
  <si>
    <t>A04</t>
  </si>
  <si>
    <t>A03</t>
  </si>
  <si>
    <t>DC15-2</t>
  </si>
  <si>
    <t>B03</t>
  </si>
  <si>
    <t>B04</t>
  </si>
  <si>
    <t>DC15-3</t>
  </si>
  <si>
    <t>C04</t>
  </si>
  <si>
    <t>C03</t>
  </si>
  <si>
    <t>DC15-4</t>
  </si>
  <si>
    <t>D03</t>
  </si>
  <si>
    <t>D04</t>
  </si>
  <si>
    <t>DC15-5</t>
  </si>
  <si>
    <t>E04</t>
  </si>
  <si>
    <t>E03</t>
  </si>
  <si>
    <t>DC17-1</t>
  </si>
  <si>
    <t>F04</t>
  </si>
  <si>
    <t>F03</t>
  </si>
  <si>
    <t>DC17-2</t>
  </si>
  <si>
    <t>G03</t>
  </si>
  <si>
    <t>G04</t>
  </si>
  <si>
    <t>DC17-3</t>
  </si>
  <si>
    <t>H04</t>
  </si>
  <si>
    <t>H03</t>
  </si>
  <si>
    <t>DC17-4</t>
  </si>
  <si>
    <t>A05</t>
  </si>
  <si>
    <t>A06</t>
  </si>
  <si>
    <t>DC21-1</t>
  </si>
  <si>
    <t>H06</t>
  </si>
  <si>
    <t>H05</t>
  </si>
  <si>
    <t>DC21-2</t>
  </si>
  <si>
    <t>A07</t>
  </si>
  <si>
    <t>A08</t>
  </si>
  <si>
    <t>DC21-3</t>
  </si>
  <si>
    <t>B07</t>
  </si>
  <si>
    <t>B08</t>
  </si>
  <si>
    <t>DC21-4</t>
  </si>
  <si>
    <t>C07</t>
  </si>
  <si>
    <t>C08</t>
  </si>
  <si>
    <t>DC21-5</t>
  </si>
  <si>
    <t>D07</t>
  </si>
  <si>
    <t>D08</t>
  </si>
  <si>
    <t>DC22-1</t>
  </si>
  <si>
    <t>E07</t>
  </si>
  <si>
    <t>E08</t>
  </si>
  <si>
    <t>DC22-2</t>
  </si>
  <si>
    <t>F07</t>
  </si>
  <si>
    <t>F08</t>
  </si>
  <si>
    <t>DC22-3</t>
  </si>
  <si>
    <t>G08</t>
  </si>
  <si>
    <t>G07</t>
  </si>
  <si>
    <t>DC22-4</t>
  </si>
  <si>
    <t>H08</t>
  </si>
  <si>
    <t>H07</t>
  </si>
  <si>
    <t>DC40-1</t>
  </si>
  <si>
    <t>A10</t>
  </si>
  <si>
    <t>A09</t>
  </si>
  <si>
    <t>DC40-2</t>
  </si>
  <si>
    <t>B09</t>
  </si>
  <si>
    <t>B10</t>
  </si>
  <si>
    <t>DC40-3</t>
  </si>
  <si>
    <t>C10</t>
  </si>
  <si>
    <t>C09</t>
  </si>
  <si>
    <t>DC40-4</t>
  </si>
  <si>
    <t>D09</t>
  </si>
  <si>
    <t>D10</t>
  </si>
  <si>
    <t>DC41-1</t>
  </si>
  <si>
    <t>B05</t>
  </si>
  <si>
    <t>B06</t>
  </si>
  <si>
    <t>DC41-2</t>
  </si>
  <si>
    <t>C06</t>
  </si>
  <si>
    <t>C05</t>
  </si>
  <si>
    <t>DC41-3</t>
  </si>
  <si>
    <t>D05</t>
  </si>
  <si>
    <t>D06</t>
  </si>
  <si>
    <t>DC41-4</t>
  </si>
  <si>
    <t>E06</t>
  </si>
  <si>
    <t>E05</t>
  </si>
  <si>
    <t>DC41-5</t>
  </si>
  <si>
    <t>F05</t>
  </si>
  <si>
    <t>F06</t>
  </si>
  <si>
    <t>DC41-6</t>
  </si>
  <si>
    <t>G06</t>
  </si>
  <si>
    <t>G05</t>
  </si>
  <si>
    <t>S001</t>
  </si>
  <si>
    <t>A02</t>
  </si>
  <si>
    <t>A01</t>
  </si>
  <si>
    <t>S002</t>
  </si>
  <si>
    <t>B02</t>
  </si>
  <si>
    <t>B01</t>
  </si>
  <si>
    <t>S003</t>
  </si>
  <si>
    <t>C02</t>
  </si>
  <si>
    <t>C01</t>
  </si>
  <si>
    <t>S004</t>
  </si>
  <si>
    <t>D01</t>
  </si>
  <si>
    <t>D02</t>
  </si>
  <si>
    <t>S005</t>
  </si>
  <si>
    <t>E01</t>
  </si>
  <si>
    <t>E02</t>
  </si>
  <si>
    <t>S006</t>
  </si>
  <si>
    <t>F01</t>
  </si>
  <si>
    <t>F02</t>
  </si>
  <si>
    <t>S007</t>
  </si>
  <si>
    <t>G01</t>
  </si>
  <si>
    <t>G02</t>
  </si>
  <si>
    <t>S008</t>
  </si>
  <si>
    <t>H01</t>
  </si>
  <si>
    <t>H02</t>
  </si>
  <si>
    <t>Sample ID</t>
  </si>
  <si>
    <t>stdev</t>
  </si>
  <si>
    <t>Stats</t>
  </si>
  <si>
    <t>NC v 15%</t>
  </si>
  <si>
    <t>15 v 50%</t>
  </si>
  <si>
    <t>Upper</t>
  </si>
  <si>
    <t>Lower</t>
  </si>
  <si>
    <t>Outliers</t>
  </si>
  <si>
    <t>Experiment_2026-03-10-100814: Experiment Data Table</t>
  </si>
  <si>
    <t>Plate_2BP2OA4H08</t>
  </si>
  <si>
    <t>MMP-3</t>
  </si>
  <si>
    <t>MMP-9</t>
  </si>
  <si>
    <t>Emma D6 control</t>
  </si>
  <si>
    <t>avg</t>
  </si>
  <si>
    <t>PG</t>
  </si>
  <si>
    <t>4m15%</t>
  </si>
  <si>
    <t>Sheet6!A1</t>
  </si>
  <si>
    <t>4mNC</t>
  </si>
  <si>
    <t>BLANKS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</si>
</sst>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0"/>
    <numFmt numFmtId="165" formatCode="0.000000"/>
    <numFmt numFmtId="166" formatCode="0.00000"/>
    <numFmt numFmtId="167" formatCode="0.0000"/>
    <numFmt numFmtId="168" formatCode="0.0000000"/>
    <numFmt numFmtId="169" formatCode="0.00000000"/>
    <numFmt numFmtId="170" formatCode="0.0000000000"/>
  </numFmts>
  <fonts count="15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43" fontId="14" fillId="0" borderId="0" applyFont="0" applyFill="0" applyBorder="0" applyAlignment="0" applyProtection="0"/>
  </cellStyleXfs>
  <cellXfs count="840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/>
    <xf numFmtId="2" fontId="0" fillId="0" borderId="7" xfId="0" applyNumberFormat="1" applyBorder="1"/>
    <xf numFmtId="2" fontId="0" fillId="0" borderId="9" xfId="0" applyNumberFormat="1" applyBorder="1"/>
    <xf numFmtId="0" fontId="0" fillId="0" borderId="9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0" fillId="0" borderId="25" xfId="0" applyBorder="1"/>
    <xf numFmtId="0" fontId="0" fillId="9" borderId="26" xfId="0" applyFill="1" applyBorder="1"/>
    <xf numFmtId="0" fontId="0" fillId="0" borderId="26" xfId="0" applyBorder="1"/>
    <xf numFmtId="0" fontId="0" fillId="0" borderId="2" xfId="0" applyBorder="1"/>
    <xf numFmtId="0" fontId="0" fillId="9" borderId="10" xfId="0" applyFill="1" applyBorder="1"/>
    <xf numFmtId="0" fontId="0" fillId="0" borderId="10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2" fillId="10" borderId="22" xfId="0" applyFont="1" applyFill="1" applyBorder="1" applyAlignment="1">
      <alignment horizontal="center" vertical="center" wrapText="1"/>
    </xf>
    <xf numFmtId="0" fontId="2" fillId="11" borderId="22" xfId="0" applyFont="1" applyFill="1" applyBorder="1" applyAlignment="1">
      <alignment horizontal="center" vertical="center" wrapText="1"/>
    </xf>
    <xf numFmtId="0" fontId="2" fillId="12" borderId="22" xfId="0" applyFont="1" applyFill="1" applyBorder="1" applyAlignment="1">
      <alignment horizontal="center" vertical="center" wrapText="1"/>
    </xf>
    <xf numFmtId="0" fontId="2" fillId="13" borderId="22" xfId="0" applyFont="1" applyFill="1" applyBorder="1" applyAlignment="1">
      <alignment horizontal="center" vertical="center" wrapText="1"/>
    </xf>
    <xf numFmtId="0" fontId="2" fillId="14" borderId="22" xfId="0" applyFont="1" applyFill="1" applyBorder="1" applyAlignment="1">
      <alignment horizontal="center" vertical="center" wrapText="1"/>
    </xf>
    <xf numFmtId="0" fontId="2" fillId="5" borderId="31" xfId="0" applyFont="1" applyFill="1" applyBorder="1" applyAlignment="1">
      <alignment horizontal="center" vertical="center" wrapText="1"/>
    </xf>
    <xf numFmtId="0" fontId="2" fillId="5" borderId="32" xfId="0" applyFont="1" applyFill="1" applyBorder="1" applyAlignment="1">
      <alignment horizontal="center" vertical="center" wrapText="1"/>
    </xf>
    <xf numFmtId="0" fontId="2" fillId="5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0" fillId="3" borderId="36" xfId="0" applyFill="1" applyBorder="1" applyAlignment="1">
      <alignment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11" xfId="0" applyBorder="1"/>
    <xf numFmtId="0" fontId="0" fillId="0" borderId="8" xfId="0" applyBorder="1"/>
    <xf numFmtId="0" fontId="0" fillId="0" borderId="24" xfId="0" applyBorder="1"/>
    <xf numFmtId="0" fontId="0" fillId="0" borderId="13" xfId="0" applyBorder="1"/>
    <xf numFmtId="0" fontId="0" fillId="0" borderId="12" xfId="0" applyBorder="1"/>
    <xf numFmtId="0" fontId="0" fillId="0" borderId="30" xfId="0" applyBorder="1"/>
    <xf numFmtId="0" fontId="0" fillId="0" borderId="43" xfId="0" applyBorder="1"/>
    <xf numFmtId="0" fontId="0" fillId="0" borderId="19" xfId="0" applyBorder="1"/>
    <xf numFmtId="0" fontId="0" fillId="0" borderId="21" xfId="0" applyBorder="1"/>
    <xf numFmtId="0" fontId="0" fillId="0" borderId="44" xfId="0" applyBorder="1"/>
    <xf numFmtId="0" fontId="0" fillId="0" borderId="20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23" xfId="0" applyBorder="1"/>
    <xf numFmtId="0" fontId="0" fillId="0" borderId="42" xfId="0" applyBorder="1"/>
    <xf numFmtId="0" fontId="0" fillId="0" borderId="14" xfId="0" applyBorder="1"/>
    <xf numFmtId="0" fontId="0" fillId="0" borderId="53" xfId="0" applyBorder="1"/>
    <xf numFmtId="0" fontId="0" fillId="0" borderId="44" xfId="0" applyBorder="1" applyAlignment="1">
      <alignment horizontal="center" vertical="center"/>
    </xf>
    <xf numFmtId="9" fontId="0" fillId="0" borderId="44" xfId="0" applyNumberFormat="1" applyBorder="1" applyAlignment="1">
      <alignment horizontal="center" vertical="center"/>
    </xf>
    <xf numFmtId="164" fontId="0" fillId="0" borderId="54" xfId="0" applyNumberFormat="1" applyBorder="1"/>
    <xf numFmtId="164" fontId="0" fillId="0" borderId="51" xfId="0" applyNumberFormat="1" applyBorder="1"/>
    <xf numFmtId="164" fontId="0" fillId="0" borderId="55" xfId="0" applyNumberFormat="1" applyBorder="1"/>
    <xf numFmtId="164" fontId="0" fillId="0" borderId="53" xfId="0" applyNumberFormat="1" applyBorder="1"/>
    <xf numFmtId="0" fontId="1" fillId="3" borderId="22" xfId="0" applyFont="1" applyFill="1" applyBorder="1" applyAlignment="1">
      <alignment horizontal="center" vertical="center" wrapText="1"/>
    </xf>
    <xf numFmtId="0" fontId="2" fillId="15" borderId="22" xfId="0" applyFont="1" applyFill="1" applyBorder="1" applyAlignment="1">
      <alignment horizontal="center" vertical="center" wrapText="1"/>
    </xf>
    <xf numFmtId="0" fontId="2" fillId="16" borderId="22" xfId="0" applyFont="1" applyFill="1" applyBorder="1" applyAlignment="1">
      <alignment horizontal="center" vertical="center" wrapText="1"/>
    </xf>
    <xf numFmtId="0" fontId="0" fillId="0" borderId="57" xfId="0" applyBorder="1"/>
    <xf numFmtId="0" fontId="3" fillId="0" borderId="30" xfId="0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5" xfId="0" applyBorder="1"/>
    <xf numFmtId="2" fontId="0" fillId="0" borderId="0" xfId="0" applyNumberFormat="1"/>
    <xf numFmtId="2" fontId="0" fillId="0" borderId="10" xfId="0" applyNumberFormat="1" applyBorder="1"/>
    <xf numFmtId="0" fontId="4" fillId="2" borderId="24" xfId="0" applyFont="1" applyFill="1" applyBorder="1"/>
    <xf numFmtId="0" fontId="4" fillId="2" borderId="2" xfId="0" applyFont="1" applyFill="1" applyBorder="1"/>
    <xf numFmtId="0" fontId="0" fillId="2" borderId="10" xfId="0" applyFill="1" applyBorder="1"/>
    <xf numFmtId="0" fontId="0" fillId="2" borderId="26" xfId="0" applyFill="1" applyBorder="1"/>
    <xf numFmtId="0" fontId="0" fillId="2" borderId="24" xfId="0" applyFill="1" applyBorder="1"/>
    <xf numFmtId="0" fontId="0" fillId="2" borderId="2" xfId="0" applyFill="1" applyBorder="1"/>
    <xf numFmtId="0" fontId="0" fillId="2" borderId="25" xfId="0" applyFill="1" applyBorder="1"/>
    <xf numFmtId="0" fontId="0" fillId="0" borderId="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2" fontId="0" fillId="0" borderId="67" xfId="0" applyNumberFormat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1" fontId="0" fillId="0" borderId="69" xfId="0" applyNumberFormat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1" fontId="0" fillId="0" borderId="48" xfId="0" applyNumberFormat="1" applyBorder="1" applyAlignment="1">
      <alignment horizontal="center" vertical="center"/>
    </xf>
    <xf numFmtId="1" fontId="0" fillId="0" borderId="47" xfId="0" applyNumberFormat="1" applyBorder="1" applyAlignment="1">
      <alignment horizontal="center" vertical="center"/>
    </xf>
    <xf numFmtId="167" fontId="0" fillId="0" borderId="49" xfId="0" applyNumberFormat="1" applyBorder="1" applyAlignment="1">
      <alignment horizontal="center" vertical="center"/>
    </xf>
    <xf numFmtId="167" fontId="0" fillId="0" borderId="47" xfId="0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1" fontId="0" fillId="0" borderId="68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166" fontId="0" fillId="0" borderId="67" xfId="0" applyNumberFormat="1" applyBorder="1" applyAlignment="1">
      <alignment horizontal="center" vertical="center"/>
    </xf>
    <xf numFmtId="166" fontId="0" fillId="0" borderId="68" xfId="0" applyNumberFormat="1" applyBorder="1" applyAlignment="1">
      <alignment horizontal="center" vertical="center"/>
    </xf>
    <xf numFmtId="167" fontId="0" fillId="0" borderId="67" xfId="0" applyNumberFormat="1" applyBorder="1" applyAlignment="1">
      <alignment horizontal="center" vertical="center"/>
    </xf>
    <xf numFmtId="167" fontId="0" fillId="0" borderId="68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" fillId="18" borderId="22" xfId="0" applyFont="1" applyFill="1" applyBorder="1" applyAlignment="1">
      <alignment horizontal="center" vertical="center" wrapText="1"/>
    </xf>
    <xf numFmtId="0" fontId="2" fillId="19" borderId="22" xfId="0" applyFont="1" applyFill="1" applyBorder="1" applyAlignment="1">
      <alignment horizontal="center" vertical="center" wrapText="1"/>
    </xf>
    <xf numFmtId="0" fontId="1" fillId="3" borderId="76" xfId="0" applyFont="1" applyFill="1" applyBorder="1" applyAlignment="1">
      <alignment horizontal="center" vertical="center" wrapText="1"/>
    </xf>
    <xf numFmtId="0" fontId="1" fillId="3" borderId="77" xfId="0" applyFont="1" applyFill="1" applyBorder="1" applyAlignment="1">
      <alignment horizontal="center" vertical="center" wrapText="1"/>
    </xf>
    <xf numFmtId="0" fontId="0" fillId="3" borderId="78" xfId="0" applyFill="1" applyBorder="1" applyAlignment="1">
      <alignment vertical="center" wrapText="1"/>
    </xf>
    <xf numFmtId="167" fontId="0" fillId="0" borderId="74" xfId="0" applyNumberFormat="1" applyBorder="1"/>
    <xf numFmtId="0" fontId="0" fillId="0" borderId="80" xfId="0" applyBorder="1"/>
    <xf numFmtId="167" fontId="0" fillId="0" borderId="0" xfId="0" applyNumberFormat="1"/>
    <xf numFmtId="167" fontId="0" fillId="0" borderId="47" xfId="0" applyNumberFormat="1" applyBorder="1"/>
    <xf numFmtId="0" fontId="0" fillId="0" borderId="74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3" borderId="81" xfId="0" applyFill="1" applyBorder="1" applyAlignment="1">
      <alignment vertical="center" wrapText="1"/>
    </xf>
    <xf numFmtId="0" fontId="1" fillId="3" borderId="82" xfId="0" applyFont="1" applyFill="1" applyBorder="1" applyAlignment="1">
      <alignment horizontal="center" vertical="center" wrapText="1"/>
    </xf>
    <xf numFmtId="0" fontId="1" fillId="3" borderId="83" xfId="0" applyFont="1" applyFill="1" applyBorder="1" applyAlignment="1">
      <alignment horizontal="center" vertical="center" wrapText="1"/>
    </xf>
    <xf numFmtId="167" fontId="2" fillId="5" borderId="22" xfId="0" applyNumberFormat="1" applyFont="1" applyFill="1" applyBorder="1" applyAlignment="1">
      <alignment horizontal="center" vertical="center" wrapText="1"/>
    </xf>
    <xf numFmtId="167" fontId="2" fillId="5" borderId="31" xfId="0" applyNumberFormat="1" applyFont="1" applyFill="1" applyBorder="1" applyAlignment="1">
      <alignment horizontal="center" vertical="center" wrapText="1"/>
    </xf>
    <xf numFmtId="167" fontId="2" fillId="5" borderId="32" xfId="0" applyNumberFormat="1" applyFont="1" applyFill="1" applyBorder="1" applyAlignment="1">
      <alignment horizontal="center" vertical="center" wrapText="1"/>
    </xf>
    <xf numFmtId="167" fontId="2" fillId="5" borderId="33" xfId="0" applyNumberFormat="1" applyFont="1" applyFill="1" applyBorder="1" applyAlignment="1">
      <alignment horizontal="center" vertical="center" wrapText="1"/>
    </xf>
    <xf numFmtId="166" fontId="2" fillId="5" borderId="22" xfId="0" applyNumberFormat="1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7" fontId="2" fillId="0" borderId="60" xfId="0" applyNumberFormat="1" applyFont="1" applyBorder="1" applyAlignment="1">
      <alignment horizontal="center" vertical="center" wrapText="1"/>
    </xf>
    <xf numFmtId="0" fontId="0" fillId="0" borderId="64" xfId="0" applyBorder="1"/>
    <xf numFmtId="0" fontId="0" fillId="0" borderId="84" xfId="0" applyBorder="1"/>
    <xf numFmtId="0" fontId="0" fillId="0" borderId="61" xfId="0" applyBorder="1"/>
    <xf numFmtId="167" fontId="2" fillId="0" borderId="62" xfId="0" applyNumberFormat="1" applyFont="1" applyBorder="1" applyAlignment="1">
      <alignment horizontal="center" vertical="center" wrapText="1"/>
    </xf>
    <xf numFmtId="167" fontId="0" fillId="0" borderId="64" xfId="0" applyNumberFormat="1" applyBorder="1"/>
    <xf numFmtId="167" fontId="0" fillId="0" borderId="84" xfId="0" applyNumberFormat="1" applyBorder="1"/>
    <xf numFmtId="167" fontId="0" fillId="0" borderId="46" xfId="0" applyNumberFormat="1" applyBorder="1"/>
    <xf numFmtId="0" fontId="0" fillId="0" borderId="45" xfId="0" applyBorder="1"/>
    <xf numFmtId="0" fontId="0" fillId="3" borderId="88" xfId="0" applyFill="1" applyBorder="1" applyAlignment="1">
      <alignment vertical="center" wrapText="1"/>
    </xf>
    <xf numFmtId="0" fontId="2" fillId="14" borderId="32" xfId="0" applyFont="1" applyFill="1" applyBorder="1" applyAlignment="1">
      <alignment horizontal="center" vertical="center" wrapText="1"/>
    </xf>
    <xf numFmtId="0" fontId="2" fillId="7" borderId="32" xfId="0" applyFont="1" applyFill="1" applyBorder="1" applyAlignment="1">
      <alignment horizontal="center" vertical="center" wrapText="1"/>
    </xf>
    <xf numFmtId="0" fontId="2" fillId="12" borderId="32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89" xfId="0" applyBorder="1"/>
    <xf numFmtId="0" fontId="0" fillId="0" borderId="75" xfId="0" applyBorder="1"/>
    <xf numFmtId="11" fontId="0" fillId="0" borderId="0" xfId="0" applyNumberFormat="1"/>
    <xf numFmtId="11" fontId="0" fillId="0" borderId="1" xfId="0" applyNumberFormat="1" applyBorder="1"/>
    <xf numFmtId="0" fontId="0" fillId="0" borderId="74" xfId="0" applyBorder="1"/>
    <xf numFmtId="11" fontId="0" fillId="0" borderId="74" xfId="0" applyNumberFormat="1" applyBorder="1"/>
    <xf numFmtId="0" fontId="0" fillId="0" borderId="51" xfId="0" applyBorder="1"/>
    <xf numFmtId="0" fontId="0" fillId="0" borderId="73" xfId="0" applyBorder="1"/>
    <xf numFmtId="0" fontId="0" fillId="0" borderId="40" xfId="0" applyBorder="1"/>
    <xf numFmtId="0" fontId="0" fillId="0" borderId="72" xfId="0" applyBorder="1"/>
    <xf numFmtId="0" fontId="0" fillId="0" borderId="41" xfId="0" applyBorder="1"/>
    <xf numFmtId="0" fontId="0" fillId="0" borderId="26" xfId="0" applyBorder="1" applyAlignment="1">
      <alignment horizontal="center" vertical="center"/>
    </xf>
    <xf numFmtId="0" fontId="0" fillId="0" borderId="93" xfId="0" applyBorder="1"/>
    <xf numFmtId="0" fontId="0" fillId="0" borderId="59" xfId="0" applyBorder="1"/>
    <xf numFmtId="0" fontId="0" fillId="0" borderId="56" xfId="0" applyBorder="1"/>
    <xf numFmtId="0" fontId="0" fillId="0" borderId="90" xfId="0" applyBorder="1"/>
    <xf numFmtId="0" fontId="0" fillId="0" borderId="26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69" xfId="0" applyBorder="1" applyAlignment="1">
      <alignment horizontal="center"/>
    </xf>
    <xf numFmtId="2" fontId="0" fillId="0" borderId="2" xfId="0" applyNumberFormat="1" applyBorder="1"/>
    <xf numFmtId="0" fontId="0" fillId="17" borderId="24" xfId="0" applyFill="1" applyBorder="1"/>
    <xf numFmtId="0" fontId="0" fillId="17" borderId="0" xfId="0" applyFill="1"/>
    <xf numFmtId="0" fontId="0" fillId="17" borderId="10" xfId="0" applyFill="1" applyBorder="1"/>
    <xf numFmtId="0" fontId="0" fillId="17" borderId="26" xfId="0" applyFill="1" applyBorder="1"/>
    <xf numFmtId="2" fontId="0" fillId="0" borderId="65" xfId="0" applyNumberFormat="1" applyBorder="1"/>
    <xf numFmtId="0" fontId="0" fillId="17" borderId="47" xfId="0" applyFill="1" applyBorder="1"/>
    <xf numFmtId="0" fontId="0" fillId="17" borderId="65" xfId="0" applyFill="1" applyBorder="1"/>
    <xf numFmtId="0" fontId="0" fillId="17" borderId="48" xfId="0" applyFill="1" applyBorder="1"/>
    <xf numFmtId="2" fontId="0" fillId="17" borderId="10" xfId="0" applyNumberFormat="1" applyFill="1" applyBorder="1"/>
    <xf numFmtId="2" fontId="0" fillId="2" borderId="10" xfId="0" applyNumberFormat="1" applyFill="1" applyBorder="1"/>
    <xf numFmtId="2" fontId="0" fillId="0" borderId="47" xfId="0" applyNumberFormat="1" applyBorder="1"/>
    <xf numFmtId="0" fontId="0" fillId="17" borderId="25" xfId="0" applyFill="1" applyBorder="1"/>
    <xf numFmtId="0" fontId="0" fillId="2" borderId="1" xfId="0" applyFill="1" applyBorder="1"/>
    <xf numFmtId="0" fontId="0" fillId="2" borderId="7" xfId="0" applyFill="1" applyBorder="1"/>
    <xf numFmtId="2" fontId="0" fillId="0" borderId="24" xfId="0" applyNumberFormat="1" applyBorder="1"/>
    <xf numFmtId="0" fontId="0" fillId="17" borderId="7" xfId="0" applyFill="1" applyBorder="1"/>
    <xf numFmtId="0" fontId="0" fillId="17" borderId="1" xfId="0" applyFill="1" applyBorder="1"/>
    <xf numFmtId="0" fontId="0" fillId="17" borderId="9" xfId="0" applyFill="1" applyBorder="1"/>
    <xf numFmtId="0" fontId="2" fillId="21" borderId="22" xfId="0" applyFont="1" applyFill="1" applyBorder="1" applyAlignment="1">
      <alignment horizontal="center" vertical="center" wrapText="1"/>
    </xf>
    <xf numFmtId="0" fontId="0" fillId="3" borderId="82" xfId="0" applyFill="1" applyBorder="1" applyAlignment="1">
      <alignment vertical="center" wrapText="1"/>
    </xf>
    <xf numFmtId="0" fontId="1" fillId="3" borderId="32" xfId="0" applyFont="1" applyFill="1" applyBorder="1" applyAlignment="1">
      <alignment horizontal="center" vertical="center" wrapText="1"/>
    </xf>
    <xf numFmtId="2" fontId="0" fillId="0" borderId="50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2" fillId="18" borderId="3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2" fontId="0" fillId="0" borderId="26" xfId="0" applyNumberFormat="1" applyBorder="1"/>
    <xf numFmtId="0" fontId="0" fillId="0" borderId="2" xfId="0" applyBorder="1" applyAlignment="1">
      <alignment horizontal="center"/>
    </xf>
    <xf numFmtId="2" fontId="0" fillId="0" borderId="25" xfId="0" applyNumberFormat="1" applyBorder="1"/>
    <xf numFmtId="167" fontId="0" fillId="0" borderId="73" xfId="0" applyNumberFormat="1" applyBorder="1"/>
    <xf numFmtId="0" fontId="0" fillId="3" borderId="22" xfId="0" applyFill="1" applyBorder="1" applyAlignment="1">
      <alignment vertical="center" wrapText="1"/>
    </xf>
    <xf numFmtId="0" fontId="0" fillId="0" borderId="49" xfId="0" applyBorder="1"/>
    <xf numFmtId="0" fontId="0" fillId="0" borderId="49" xfId="0" applyBorder="1" applyAlignment="1">
      <alignment horizontal="center"/>
    </xf>
    <xf numFmtId="167" fontId="5" fillId="0" borderId="73" xfId="0" applyNumberFormat="1" applyFont="1" applyBorder="1"/>
    <xf numFmtId="0" fontId="0" fillId="0" borderId="54" xfId="0" applyBorder="1"/>
    <xf numFmtId="0" fontId="0" fillId="0" borderId="55" xfId="0" applyBorder="1"/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0" fillId="0" borderId="24" xfId="0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2" fontId="0" fillId="0" borderId="0" xfId="0" applyNumberFormat="1" applyAlignment="1">
      <alignment horizontal="right" vertical="center"/>
    </xf>
    <xf numFmtId="2" fontId="0" fillId="0" borderId="24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2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0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70" xfId="0" applyBorder="1"/>
    <xf numFmtId="0" fontId="1" fillId="0" borderId="13" xfId="0" applyFont="1" applyBorder="1" applyAlignment="1">
      <alignment horizontal="center" vertical="center" wrapText="1"/>
    </xf>
    <xf numFmtId="167" fontId="2" fillId="0" borderId="79" xfId="0" applyNumberFormat="1" applyFont="1" applyBorder="1" applyAlignment="1">
      <alignment horizontal="center" vertical="center" wrapText="1"/>
    </xf>
    <xf numFmtId="167" fontId="2" fillId="0" borderId="56" xfId="0" applyNumberFormat="1" applyFont="1" applyBorder="1" applyAlignment="1">
      <alignment horizontal="center" vertical="center" wrapText="1"/>
    </xf>
    <xf numFmtId="11" fontId="0" fillId="0" borderId="47" xfId="0" applyNumberFormat="1" applyBorder="1"/>
    <xf numFmtId="167" fontId="0" fillId="0" borderId="24" xfId="0" applyNumberFormat="1" applyBorder="1"/>
    <xf numFmtId="167" fontId="0" fillId="0" borderId="1" xfId="0" applyNumberFormat="1" applyBorder="1"/>
    <xf numFmtId="166" fontId="0" fillId="0" borderId="24" xfId="0" applyNumberFormat="1" applyBorder="1"/>
    <xf numFmtId="166" fontId="0" fillId="0" borderId="0" xfId="0" applyNumberFormat="1"/>
    <xf numFmtId="166" fontId="0" fillId="0" borderId="1" xfId="0" applyNumberFormat="1" applyBorder="1"/>
    <xf numFmtId="167" fontId="0" fillId="0" borderId="2" xfId="0" applyNumberFormat="1" applyBorder="1"/>
    <xf numFmtId="167" fontId="0" fillId="0" borderId="10" xfId="0" applyNumberFormat="1" applyBorder="1"/>
    <xf numFmtId="167" fontId="0" fillId="0" borderId="7" xfId="0" applyNumberFormat="1" applyBorder="1"/>
    <xf numFmtId="1" fontId="0" fillId="0" borderId="5" xfId="0" applyNumberForma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3" borderId="34" xfId="0" applyFill="1" applyBorder="1" applyAlignment="1">
      <alignment vertical="center" wrapText="1"/>
    </xf>
    <xf numFmtId="0" fontId="1" fillId="3" borderId="97" xfId="0" applyFont="1" applyFill="1" applyBorder="1" applyAlignment="1">
      <alignment horizontal="center" vertical="center" wrapText="1"/>
    </xf>
    <xf numFmtId="0" fontId="2" fillId="5" borderId="97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1" fontId="0" fillId="0" borderId="24" xfId="0" applyNumberFormat="1" applyBorder="1"/>
    <xf numFmtId="167" fontId="2" fillId="0" borderId="30" xfId="0" applyNumberFormat="1" applyFont="1" applyBorder="1" applyAlignment="1">
      <alignment horizontal="center" vertical="center" wrapText="1"/>
    </xf>
    <xf numFmtId="167" fontId="2" fillId="0" borderId="43" xfId="0" applyNumberFormat="1" applyFont="1" applyBorder="1" applyAlignment="1">
      <alignment horizontal="center" vertical="center" wrapText="1"/>
    </xf>
    <xf numFmtId="0" fontId="0" fillId="0" borderId="50" xfId="0" applyBorder="1"/>
    <xf numFmtId="0" fontId="0" fillId="0" borderId="98" xfId="0" applyBorder="1" applyAlignment="1">
      <alignment horizontal="center" vertical="center"/>
    </xf>
    <xf numFmtId="2" fontId="0" fillId="17" borderId="50" xfId="0" applyNumberFormat="1" applyFill="1" applyBorder="1" applyAlignment="1">
      <alignment horizontal="center" vertical="center"/>
    </xf>
    <xf numFmtId="2" fontId="0" fillId="17" borderId="5" xfId="0" applyNumberFormat="1" applyFill="1" applyBorder="1" applyAlignment="1">
      <alignment horizontal="center" vertical="center"/>
    </xf>
    <xf numFmtId="2" fontId="0" fillId="17" borderId="6" xfId="0" applyNumberFormat="1" applyFill="1" applyBorder="1" applyAlignment="1">
      <alignment horizontal="center" vertical="center"/>
    </xf>
    <xf numFmtId="169" fontId="0" fillId="0" borderId="50" xfId="0" applyNumberFormat="1" applyBorder="1" applyAlignment="1">
      <alignment horizontal="center" vertical="center"/>
    </xf>
    <xf numFmtId="169" fontId="0" fillId="0" borderId="5" xfId="0" applyNumberFormat="1" applyBorder="1" applyAlignment="1">
      <alignment horizontal="center" vertical="center"/>
    </xf>
    <xf numFmtId="166" fontId="0" fillId="0" borderId="50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7" fontId="0" fillId="0" borderId="50" xfId="0" applyNumberForma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65" xfId="0" applyBorder="1" applyAlignment="1">
      <alignment horizontal="center"/>
    </xf>
    <xf numFmtId="0" fontId="0" fillId="17" borderId="24" xfId="0" applyFill="1" applyBorder="1" applyAlignment="1">
      <alignment horizontal="center"/>
    </xf>
    <xf numFmtId="2" fontId="0" fillId="17" borderId="24" xfId="0" applyNumberFormat="1" applyFill="1" applyBorder="1"/>
    <xf numFmtId="2" fontId="0" fillId="17" borderId="2" xfId="0" applyNumberFormat="1" applyFill="1" applyBorder="1"/>
    <xf numFmtId="2" fontId="0" fillId="17" borderId="25" xfId="0" applyNumberFormat="1" applyFill="1" applyBorder="1"/>
    <xf numFmtId="0" fontId="0" fillId="17" borderId="0" xfId="0" applyFill="1" applyAlignment="1">
      <alignment horizontal="center"/>
    </xf>
    <xf numFmtId="2" fontId="0" fillId="17" borderId="0" xfId="0" applyNumberFormat="1" applyFill="1"/>
    <xf numFmtId="2" fontId="0" fillId="17" borderId="26" xfId="0" applyNumberFormat="1" applyFill="1" applyBorder="1"/>
    <xf numFmtId="0" fontId="0" fillId="17" borderId="47" xfId="0" applyFill="1" applyBorder="1" applyAlignment="1">
      <alignment horizontal="center"/>
    </xf>
    <xf numFmtId="2" fontId="0" fillId="17" borderId="47" xfId="0" applyNumberFormat="1" applyFill="1" applyBorder="1"/>
    <xf numFmtId="2" fontId="0" fillId="17" borderId="65" xfId="0" applyNumberFormat="1" applyFill="1" applyBorder="1"/>
    <xf numFmtId="2" fontId="0" fillId="17" borderId="48" xfId="0" applyNumberFormat="1" applyFill="1" applyBorder="1"/>
    <xf numFmtId="0" fontId="0" fillId="17" borderId="2" xfId="0" applyFill="1" applyBorder="1"/>
    <xf numFmtId="164" fontId="0" fillId="0" borderId="2" xfId="0" applyNumberFormat="1" applyBorder="1"/>
    <xf numFmtId="164" fontId="0" fillId="0" borderId="10" xfId="0" applyNumberFormat="1" applyBorder="1"/>
    <xf numFmtId="0" fontId="2" fillId="22" borderId="22" xfId="0" applyFont="1" applyFill="1" applyBorder="1" applyAlignment="1">
      <alignment horizontal="center" vertical="center" wrapText="1"/>
    </xf>
    <xf numFmtId="0" fontId="0" fillId="0" borderId="96" xfId="0" applyBorder="1"/>
    <xf numFmtId="167" fontId="2" fillId="0" borderId="64" xfId="0" applyNumberFormat="1" applyFont="1" applyBorder="1" applyAlignment="1">
      <alignment horizontal="center" vertical="center" wrapText="1"/>
    </xf>
    <xf numFmtId="167" fontId="2" fillId="0" borderId="45" xfId="0" applyNumberFormat="1" applyFont="1" applyBorder="1" applyAlignment="1">
      <alignment horizontal="center" vertical="center" wrapText="1"/>
    </xf>
    <xf numFmtId="167" fontId="2" fillId="0" borderId="46" xfId="0" applyNumberFormat="1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67" xfId="0" applyBorder="1" applyAlignment="1">
      <alignment horizontal="center" vertical="center"/>
    </xf>
    <xf numFmtId="0" fontId="0" fillId="0" borderId="10" xfId="0" applyBorder="1" applyAlignment="1">
      <alignment horizontal="right"/>
    </xf>
    <xf numFmtId="0" fontId="0" fillId="23" borderId="26" xfId="0" applyFill="1" applyBorder="1"/>
    <xf numFmtId="0" fontId="2" fillId="5" borderId="99" xfId="0" applyFont="1" applyFill="1" applyBorder="1" applyAlignment="1">
      <alignment horizontal="center" vertical="center" wrapText="1"/>
    </xf>
    <xf numFmtId="0" fontId="1" fillId="3" borderId="100" xfId="0" applyFont="1" applyFill="1" applyBorder="1" applyAlignment="1">
      <alignment horizontal="center" vertical="center" wrapText="1"/>
    </xf>
    <xf numFmtId="2" fontId="0" fillId="0" borderId="47" xfId="0" applyNumberFormat="1" applyBorder="1" applyAlignment="1">
      <alignment horizontal="right" vertical="center"/>
    </xf>
    <xf numFmtId="0" fontId="0" fillId="0" borderId="65" xfId="0" applyBorder="1" applyAlignment="1">
      <alignment horizontal="right" vertical="center"/>
    </xf>
    <xf numFmtId="164" fontId="0" fillId="0" borderId="65" xfId="0" applyNumberFormat="1" applyBorder="1"/>
    <xf numFmtId="167" fontId="0" fillId="0" borderId="65" xfId="0" applyNumberFormat="1" applyBorder="1"/>
    <xf numFmtId="2" fontId="0" fillId="0" borderId="48" xfId="0" applyNumberFormat="1" applyBorder="1"/>
    <xf numFmtId="2" fontId="0" fillId="0" borderId="65" xfId="0" applyNumberFormat="1" applyBorder="1" applyAlignment="1">
      <alignment horizontal="right" vertical="center"/>
    </xf>
    <xf numFmtId="166" fontId="0" fillId="0" borderId="47" xfId="0" applyNumberFormat="1" applyBorder="1"/>
    <xf numFmtId="2" fontId="0" fillId="0" borderId="24" xfId="0" applyNumberFormat="1" applyBorder="1" applyAlignment="1">
      <alignment horizontal="right"/>
    </xf>
    <xf numFmtId="2" fontId="0" fillId="0" borderId="47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2" fontId="0" fillId="2" borderId="0" xfId="0" applyNumberFormat="1" applyFill="1" applyAlignment="1">
      <alignment horizontal="right"/>
    </xf>
    <xf numFmtId="0" fontId="6" fillId="9" borderId="9" xfId="0" applyFont="1" applyFill="1" applyBorder="1"/>
    <xf numFmtId="0" fontId="1" fillId="3" borderId="101" xfId="0" applyFont="1" applyFill="1" applyBorder="1" applyAlignment="1">
      <alignment horizontal="center" vertical="center" wrapText="1"/>
    </xf>
    <xf numFmtId="167" fontId="0" fillId="0" borderId="42" xfId="0" applyNumberFormat="1" applyBorder="1"/>
    <xf numFmtId="167" fontId="0" fillId="0" borderId="49" xfId="0" applyNumberFormat="1" applyBorder="1"/>
    <xf numFmtId="0" fontId="0" fillId="0" borderId="73" xfId="0" applyBorder="1" applyAlignment="1">
      <alignment horizontal="center"/>
    </xf>
    <xf numFmtId="167" fontId="2" fillId="0" borderId="5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7" fontId="2" fillId="0" borderId="4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right" wrapText="1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5" fillId="0" borderId="47" xfId="0" applyFont="1" applyBorder="1" applyAlignment="1">
      <alignment horizontal="right" wrapText="1"/>
    </xf>
    <xf numFmtId="0" fontId="5" fillId="0" borderId="47" xfId="0" applyFont="1" applyBorder="1" applyAlignment="1">
      <alignment wrapText="1"/>
    </xf>
    <xf numFmtId="0" fontId="5" fillId="0" borderId="23" xfId="0" applyFont="1" applyBorder="1" applyAlignment="1">
      <alignment horizontal="right" wrapText="1"/>
    </xf>
    <xf numFmtId="0" fontId="5" fillId="0" borderId="42" xfId="0" applyFont="1" applyBorder="1" applyAlignment="1">
      <alignment horizontal="right" wrapText="1"/>
    </xf>
    <xf numFmtId="0" fontId="5" fillId="0" borderId="42" xfId="0" applyFont="1" applyBorder="1" applyAlignment="1">
      <alignment wrapText="1"/>
    </xf>
    <xf numFmtId="0" fontId="5" fillId="0" borderId="49" xfId="0" applyFont="1" applyBorder="1" applyAlignment="1">
      <alignment horizontal="right" wrapText="1"/>
    </xf>
    <xf numFmtId="0" fontId="5" fillId="0" borderId="14" xfId="0" applyFont="1" applyBorder="1" applyAlignment="1">
      <alignment horizontal="right" wrapText="1"/>
    </xf>
    <xf numFmtId="0" fontId="0" fillId="0" borderId="92" xfId="0" applyBorder="1"/>
    <xf numFmtId="0" fontId="0" fillId="0" borderId="39" xfId="0" applyBorder="1"/>
    <xf numFmtId="165" fontId="0" fillId="0" borderId="80" xfId="0" applyNumberFormat="1" applyBorder="1"/>
    <xf numFmtId="165" fontId="0" fillId="0" borderId="10" xfId="0" applyNumberFormat="1" applyBorder="1"/>
    <xf numFmtId="0" fontId="8" fillId="0" borderId="42" xfId="0" applyFont="1" applyBorder="1"/>
    <xf numFmtId="0" fontId="8" fillId="0" borderId="49" xfId="0" applyFont="1" applyBorder="1"/>
    <xf numFmtId="0" fontId="8" fillId="0" borderId="14" xfId="0" applyFont="1" applyBorder="1"/>
    <xf numFmtId="0" fontId="8" fillId="0" borderId="0" xfId="0" applyFont="1"/>
    <xf numFmtId="0" fontId="8" fillId="0" borderId="9" xfId="0" applyFont="1" applyBorder="1"/>
    <xf numFmtId="0" fontId="2" fillId="18" borderId="31" xfId="0" applyFont="1" applyFill="1" applyBorder="1" applyAlignment="1">
      <alignment horizontal="center" vertical="center" wrapText="1"/>
    </xf>
    <xf numFmtId="0" fontId="0" fillId="2" borderId="42" xfId="0" applyFill="1" applyBorder="1"/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wrapText="1"/>
    </xf>
    <xf numFmtId="0" fontId="0" fillId="2" borderId="51" xfId="0" applyFill="1" applyBorder="1"/>
    <xf numFmtId="0" fontId="0" fillId="2" borderId="14" xfId="0" applyFill="1" applyBorder="1"/>
    <xf numFmtId="0" fontId="0" fillId="2" borderId="55" xfId="0" applyFill="1" applyBorder="1"/>
    <xf numFmtId="167" fontId="2" fillId="0" borderId="18" xfId="0" applyNumberFormat="1" applyFont="1" applyBorder="1" applyAlignment="1">
      <alignment horizontal="center" vertical="center" wrapText="1"/>
    </xf>
    <xf numFmtId="0" fontId="1" fillId="0" borderId="102" xfId="0" applyFont="1" applyBorder="1" applyAlignment="1">
      <alignment horizontal="center" vertical="center" wrapText="1"/>
    </xf>
    <xf numFmtId="2" fontId="0" fillId="0" borderId="73" xfId="0" applyNumberFormat="1" applyBorder="1" applyAlignment="1">
      <alignment horizontal="center" vertical="center"/>
    </xf>
    <xf numFmtId="2" fontId="0" fillId="0" borderId="74" xfId="0" applyNumberFormat="1" applyBorder="1" applyAlignment="1">
      <alignment horizontal="center" vertical="center"/>
    </xf>
    <xf numFmtId="1" fontId="0" fillId="0" borderId="74" xfId="0" applyNumberFormat="1" applyBorder="1" applyAlignment="1">
      <alignment horizontal="center" vertical="center"/>
    </xf>
    <xf numFmtId="167" fontId="0" fillId="0" borderId="73" xfId="0" applyNumberFormat="1" applyBorder="1" applyAlignment="1">
      <alignment horizontal="center" vertical="center"/>
    </xf>
    <xf numFmtId="167" fontId="0" fillId="0" borderId="74" xfId="0" applyNumberFormat="1" applyBorder="1" applyAlignment="1">
      <alignment horizontal="center" vertical="center"/>
    </xf>
    <xf numFmtId="1" fontId="0" fillId="0" borderId="75" xfId="0" applyNumberForma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0" fillId="17" borderId="11" xfId="0" applyFill="1" applyBorder="1"/>
    <xf numFmtId="0" fontId="0" fillId="17" borderId="8" xfId="0" applyFill="1" applyBorder="1"/>
    <xf numFmtId="0" fontId="2" fillId="13" borderId="32" xfId="0" applyFont="1" applyFill="1" applyBorder="1" applyAlignment="1">
      <alignment horizontal="center" vertical="center" wrapText="1"/>
    </xf>
    <xf numFmtId="0" fontId="2" fillId="19" borderId="32" xfId="0" applyFont="1" applyFill="1" applyBorder="1" applyAlignment="1">
      <alignment horizontal="center" vertical="center" wrapText="1"/>
    </xf>
    <xf numFmtId="0" fontId="0" fillId="0" borderId="63" xfId="0" applyBorder="1"/>
    <xf numFmtId="0" fontId="0" fillId="0" borderId="67" xfId="0" applyBorder="1" applyAlignment="1">
      <alignment vertical="center"/>
    </xf>
    <xf numFmtId="0" fontId="0" fillId="0" borderId="68" xfId="0" applyBorder="1" applyAlignment="1">
      <alignment vertical="center"/>
    </xf>
    <xf numFmtId="0" fontId="8" fillId="0" borderId="73" xfId="0" applyFont="1" applyBorder="1"/>
    <xf numFmtId="0" fontId="10" fillId="0" borderId="0" xfId="1"/>
    <xf numFmtId="0" fontId="9" fillId="24" borderId="0" xfId="0" applyFont="1" applyFill="1"/>
    <xf numFmtId="0" fontId="11" fillId="24" borderId="0" xfId="1" applyFont="1" applyFill="1"/>
    <xf numFmtId="0" fontId="0" fillId="24" borderId="0" xfId="0" applyFill="1"/>
    <xf numFmtId="0" fontId="0" fillId="0" borderId="24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47" xfId="0" applyBorder="1" applyAlignment="1">
      <alignment horizontal="right" vertical="center"/>
    </xf>
    <xf numFmtId="0" fontId="0" fillId="0" borderId="2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7" xfId="0" applyBorder="1" applyAlignment="1">
      <alignment horizontal="right"/>
    </xf>
    <xf numFmtId="0" fontId="0" fillId="0" borderId="65" xfId="0" applyBorder="1" applyAlignment="1">
      <alignment horizontal="right"/>
    </xf>
    <xf numFmtId="0" fontId="0" fillId="0" borderId="80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0" borderId="11" xfId="0" applyBorder="1" applyAlignment="1">
      <alignment horizontal="right"/>
    </xf>
    <xf numFmtId="0" fontId="0" fillId="17" borderId="10" xfId="0" applyFill="1" applyBorder="1" applyAlignment="1">
      <alignment horizontal="right"/>
    </xf>
    <xf numFmtId="0" fontId="0" fillId="17" borderId="65" xfId="0" applyFill="1" applyBorder="1" applyAlignment="1">
      <alignment horizontal="right"/>
    </xf>
    <xf numFmtId="2" fontId="0" fillId="0" borderId="10" xfId="0" applyNumberFormat="1" applyBorder="1" applyAlignment="1">
      <alignment horizontal="right"/>
    </xf>
    <xf numFmtId="2" fontId="0" fillId="0" borderId="65" xfId="0" applyNumberFormat="1" applyBorder="1" applyAlignment="1">
      <alignment horizontal="right"/>
    </xf>
    <xf numFmtId="0" fontId="0" fillId="2" borderId="24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20" borderId="0" xfId="0" applyFill="1" applyAlignment="1">
      <alignment horizontal="right"/>
    </xf>
    <xf numFmtId="0" fontId="0" fillId="20" borderId="10" xfId="0" applyFill="1" applyBorder="1" applyAlignment="1">
      <alignment horizontal="right"/>
    </xf>
    <xf numFmtId="2" fontId="0" fillId="0" borderId="2" xfId="0" applyNumberFormat="1" applyBorder="1" applyAlignment="1">
      <alignment horizontal="right"/>
    </xf>
    <xf numFmtId="2" fontId="0" fillId="17" borderId="10" xfId="0" applyNumberFormat="1" applyFill="1" applyBorder="1" applyAlignment="1">
      <alignment horizontal="right"/>
    </xf>
    <xf numFmtId="0" fontId="0" fillId="17" borderId="84" xfId="0" applyFill="1" applyBorder="1"/>
    <xf numFmtId="0" fontId="0" fillId="0" borderId="68" xfId="0" applyBorder="1"/>
    <xf numFmtId="2" fontId="0" fillId="0" borderId="67" xfId="0" applyNumberFormat="1" applyBorder="1" applyAlignment="1">
      <alignment horizontal="center"/>
    </xf>
    <xf numFmtId="2" fontId="0" fillId="0" borderId="68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6" fontId="0" fillId="17" borderId="0" xfId="0" applyNumberFormat="1" applyFill="1"/>
    <xf numFmtId="167" fontId="0" fillId="17" borderId="10" xfId="0" applyNumberFormat="1" applyFill="1" applyBorder="1"/>
    <xf numFmtId="167" fontId="0" fillId="17" borderId="0" xfId="0" applyNumberFormat="1" applyFill="1"/>
    <xf numFmtId="0" fontId="0" fillId="0" borderId="46" xfId="0" applyBorder="1" applyAlignment="1">
      <alignment horizontal="center"/>
    </xf>
    <xf numFmtId="166" fontId="0" fillId="17" borderId="47" xfId="0" applyNumberFormat="1" applyFill="1" applyBorder="1"/>
    <xf numFmtId="167" fontId="0" fillId="17" borderId="65" xfId="0" applyNumberFormat="1" applyFill="1" applyBorder="1"/>
    <xf numFmtId="167" fontId="0" fillId="17" borderId="47" xfId="0" applyNumberFormat="1" applyFill="1" applyBorder="1"/>
    <xf numFmtId="0" fontId="12" fillId="17" borderId="10" xfId="0" applyFont="1" applyFill="1" applyBorder="1" applyAlignment="1">
      <alignment horizontal="right" vertical="center"/>
    </xf>
    <xf numFmtId="0" fontId="0" fillId="0" borderId="15" xfId="0" applyBorder="1" applyAlignment="1">
      <alignment horizontal="center" vertical="center"/>
    </xf>
    <xf numFmtId="2" fontId="0" fillId="0" borderId="74" xfId="0" applyNumberFormat="1" applyBorder="1" applyAlignment="1">
      <alignment horizontal="right"/>
    </xf>
    <xf numFmtId="2" fontId="0" fillId="0" borderId="80" xfId="0" applyNumberFormat="1" applyBorder="1"/>
    <xf numFmtId="0" fontId="0" fillId="0" borderId="74" xfId="0" applyBorder="1" applyAlignment="1">
      <alignment horizontal="right"/>
    </xf>
    <xf numFmtId="0" fontId="0" fillId="17" borderId="74" xfId="0" applyFill="1" applyBorder="1"/>
    <xf numFmtId="0" fontId="0" fillId="17" borderId="75" xfId="0" applyFill="1" applyBorder="1"/>
    <xf numFmtId="0" fontId="0" fillId="17" borderId="80" xfId="0" applyFill="1" applyBorder="1" applyAlignment="1">
      <alignment horizontal="right"/>
    </xf>
    <xf numFmtId="0" fontId="0" fillId="2" borderId="47" xfId="0" applyFill="1" applyBorder="1"/>
    <xf numFmtId="2" fontId="0" fillId="2" borderId="65" xfId="0" applyNumberFormat="1" applyFill="1" applyBorder="1"/>
    <xf numFmtId="0" fontId="0" fillId="2" borderId="65" xfId="0" applyFill="1" applyBorder="1" applyAlignment="1">
      <alignment horizontal="right"/>
    </xf>
    <xf numFmtId="0" fontId="0" fillId="2" borderId="47" xfId="0" applyFill="1" applyBorder="1" applyAlignment="1">
      <alignment horizontal="right"/>
    </xf>
    <xf numFmtId="0" fontId="0" fillId="2" borderId="65" xfId="0" applyFill="1" applyBorder="1"/>
    <xf numFmtId="0" fontId="0" fillId="2" borderId="48" xfId="0" applyFill="1" applyBorder="1"/>
    <xf numFmtId="0" fontId="0" fillId="0" borderId="103" xfId="0" applyBorder="1"/>
    <xf numFmtId="0" fontId="0" fillId="0" borderId="85" xfId="0" applyBorder="1"/>
    <xf numFmtId="0" fontId="0" fillId="0" borderId="69" xfId="0" applyBorder="1"/>
    <xf numFmtId="0" fontId="2" fillId="4" borderId="31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0" fillId="2" borderId="11" xfId="0" applyFill="1" applyBorder="1"/>
    <xf numFmtId="0" fontId="0" fillId="2" borderId="27" xfId="0" applyFill="1" applyBorder="1"/>
    <xf numFmtId="0" fontId="0" fillId="2" borderId="29" xfId="0" applyFill="1" applyBorder="1"/>
    <xf numFmtId="0" fontId="0" fillId="0" borderId="104" xfId="0" applyBorder="1"/>
    <xf numFmtId="166" fontId="0" fillId="0" borderId="105" xfId="0" applyNumberFormat="1" applyBorder="1"/>
    <xf numFmtId="0" fontId="0" fillId="0" borderId="40" xfId="0" applyBorder="1" applyAlignment="1">
      <alignment horizontal="center" vertical="center"/>
    </xf>
    <xf numFmtId="0" fontId="0" fillId="9" borderId="84" xfId="0" applyFill="1" applyBorder="1"/>
    <xf numFmtId="0" fontId="0" fillId="9" borderId="61" xfId="0" applyFill="1" applyBorder="1"/>
    <xf numFmtId="0" fontId="0" fillId="17" borderId="64" xfId="0" applyFill="1" applyBorder="1"/>
    <xf numFmtId="0" fontId="1" fillId="0" borderId="60" xfId="0" applyFont="1" applyBorder="1" applyAlignment="1">
      <alignment horizontal="center" vertical="center" wrapText="1"/>
    </xf>
    <xf numFmtId="0" fontId="0" fillId="0" borderId="84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96" xfId="0" applyBorder="1" applyAlignment="1">
      <alignment horizontal="right"/>
    </xf>
    <xf numFmtId="0" fontId="0" fillId="0" borderId="45" xfId="0" applyBorder="1" applyAlignment="1">
      <alignment horizontal="right"/>
    </xf>
    <xf numFmtId="0" fontId="0" fillId="3" borderId="94" xfId="0" applyFill="1" applyBorder="1" applyAlignment="1">
      <alignment vertical="center" wrapText="1"/>
    </xf>
    <xf numFmtId="0" fontId="1" fillId="3" borderId="106" xfId="0" applyFont="1" applyFill="1" applyBorder="1" applyAlignment="1">
      <alignment horizontal="center" vertical="center" wrapText="1"/>
    </xf>
    <xf numFmtId="0" fontId="1" fillId="3" borderId="107" xfId="0" applyFont="1" applyFill="1" applyBorder="1" applyAlignment="1">
      <alignment horizontal="center" vertical="center" wrapText="1"/>
    </xf>
    <xf numFmtId="0" fontId="1" fillId="3" borderId="88" xfId="0" applyFont="1" applyFill="1" applyBorder="1" applyAlignment="1">
      <alignment horizontal="center" vertical="center" wrapText="1"/>
    </xf>
    <xf numFmtId="0" fontId="2" fillId="0" borderId="82" xfId="0" applyFont="1" applyBorder="1" applyAlignment="1">
      <alignment horizontal="center" vertical="center" wrapText="1"/>
    </xf>
    <xf numFmtId="0" fontId="2" fillId="0" borderId="83" xfId="0" applyFont="1" applyBorder="1" applyAlignment="1">
      <alignment horizontal="center" vertical="center" wrapText="1"/>
    </xf>
    <xf numFmtId="2" fontId="0" fillId="0" borderId="74" xfId="0" applyNumberFormat="1" applyBorder="1"/>
    <xf numFmtId="2" fontId="0" fillId="0" borderId="80" xfId="0" applyNumberFormat="1" applyBorder="1" applyAlignment="1">
      <alignment horizontal="right"/>
    </xf>
    <xf numFmtId="0" fontId="0" fillId="2" borderId="74" xfId="0" applyFill="1" applyBorder="1" applyAlignment="1">
      <alignment horizontal="right"/>
    </xf>
    <xf numFmtId="0" fontId="0" fillId="2" borderId="80" xfId="0" applyFill="1" applyBorder="1" applyAlignment="1">
      <alignment horizontal="right"/>
    </xf>
    <xf numFmtId="0" fontId="1" fillId="0" borderId="59" xfId="0" applyFont="1" applyBorder="1" applyAlignment="1">
      <alignment horizontal="center" vertical="center" wrapText="1"/>
    </xf>
    <xf numFmtId="167" fontId="2" fillId="0" borderId="58" xfId="0" applyNumberFormat="1" applyFont="1" applyBorder="1" applyAlignment="1">
      <alignment horizontal="center" vertical="center" wrapText="1"/>
    </xf>
    <xf numFmtId="167" fontId="2" fillId="0" borderId="12" xfId="0" applyNumberFormat="1" applyFont="1" applyBorder="1" applyAlignment="1">
      <alignment horizontal="center" vertical="center" wrapText="1"/>
    </xf>
    <xf numFmtId="167" fontId="0" fillId="0" borderId="68" xfId="0" applyNumberFormat="1" applyBorder="1" applyAlignment="1">
      <alignment horizontal="center"/>
    </xf>
    <xf numFmtId="1" fontId="0" fillId="0" borderId="69" xfId="0" applyNumberFormat="1" applyBorder="1" applyAlignment="1">
      <alignment horizontal="center"/>
    </xf>
    <xf numFmtId="167" fontId="0" fillId="0" borderId="49" xfId="0" applyNumberFormat="1" applyBorder="1" applyAlignment="1">
      <alignment horizontal="center"/>
    </xf>
    <xf numFmtId="167" fontId="0" fillId="0" borderId="47" xfId="0" applyNumberFormat="1" applyBorder="1" applyAlignment="1">
      <alignment horizontal="center"/>
    </xf>
    <xf numFmtId="1" fontId="0" fillId="0" borderId="48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108" xfId="0" applyBorder="1" applyAlignment="1">
      <alignment horizontal="center" vertical="center"/>
    </xf>
    <xf numFmtId="0" fontId="0" fillId="0" borderId="108" xfId="0" applyBorder="1"/>
    <xf numFmtId="0" fontId="0" fillId="0" borderId="109" xfId="0" applyBorder="1"/>
    <xf numFmtId="0" fontId="0" fillId="0" borderId="110" xfId="0" applyBorder="1"/>
    <xf numFmtId="0" fontId="0" fillId="17" borderId="110" xfId="0" applyFill="1" applyBorder="1"/>
    <xf numFmtId="0" fontId="0" fillId="17" borderId="68" xfId="0" applyFill="1" applyBorder="1"/>
    <xf numFmtId="0" fontId="0" fillId="17" borderId="69" xfId="0" applyFill="1" applyBorder="1"/>
    <xf numFmtId="0" fontId="0" fillId="0" borderId="0" xfId="0" applyAlignment="1">
      <alignment horizontal="center" vertical="center" wrapText="1"/>
    </xf>
    <xf numFmtId="0" fontId="0" fillId="17" borderId="61" xfId="0" applyFill="1" applyBorder="1"/>
    <xf numFmtId="2" fontId="0" fillId="0" borderId="7" xfId="0" applyNumberFormat="1" applyBorder="1" applyAlignment="1">
      <alignment horizontal="right"/>
    </xf>
    <xf numFmtId="165" fontId="0" fillId="0" borderId="49" xfId="0" applyNumberFormat="1" applyBorder="1" applyAlignment="1">
      <alignment horizontal="center"/>
    </xf>
    <xf numFmtId="165" fontId="0" fillId="0" borderId="47" xfId="0" applyNumberFormat="1" applyBorder="1" applyAlignment="1">
      <alignment horizontal="center"/>
    </xf>
    <xf numFmtId="0" fontId="0" fillId="17" borderId="63" xfId="0" applyFill="1" applyBorder="1"/>
    <xf numFmtId="168" fontId="0" fillId="0" borderId="67" xfId="0" applyNumberFormat="1" applyBorder="1" applyAlignment="1">
      <alignment horizontal="center" vertical="center"/>
    </xf>
    <xf numFmtId="168" fontId="0" fillId="0" borderId="68" xfId="0" applyNumberFormat="1" applyBorder="1" applyAlignment="1">
      <alignment horizontal="center" vertical="center"/>
    </xf>
    <xf numFmtId="164" fontId="0" fillId="0" borderId="80" xfId="0" applyNumberFormat="1" applyBorder="1"/>
    <xf numFmtId="0" fontId="0" fillId="17" borderId="0" xfId="0" applyFill="1" applyAlignment="1">
      <alignment horizontal="right"/>
    </xf>
    <xf numFmtId="2" fontId="0" fillId="0" borderId="42" xfId="0" applyNumberFormat="1" applyBorder="1"/>
    <xf numFmtId="0" fontId="8" fillId="17" borderId="0" xfId="0" applyFont="1" applyFill="1"/>
    <xf numFmtId="0" fontId="8" fillId="17" borderId="26" xfId="0" applyFont="1" applyFill="1" applyBorder="1"/>
    <xf numFmtId="0" fontId="8" fillId="17" borderId="47" xfId="0" applyFont="1" applyFill="1" applyBorder="1"/>
    <xf numFmtId="0" fontId="8" fillId="17" borderId="48" xfId="0" applyFont="1" applyFill="1" applyBorder="1"/>
    <xf numFmtId="0" fontId="0" fillId="17" borderId="42" xfId="0" applyFill="1" applyBorder="1"/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23" xfId="0" applyNumberFormat="1" applyBorder="1"/>
    <xf numFmtId="2" fontId="0" fillId="0" borderId="14" xfId="0" applyNumberFormat="1" applyBorder="1"/>
    <xf numFmtId="0" fontId="1" fillId="0" borderId="4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11" fontId="2" fillId="5" borderId="22" xfId="0" applyNumberFormat="1" applyFont="1" applyFill="1" applyBorder="1" applyAlignment="1">
      <alignment horizontal="center" vertical="center" wrapText="1"/>
    </xf>
    <xf numFmtId="11" fontId="2" fillId="5" borderId="31" xfId="0" applyNumberFormat="1" applyFont="1" applyFill="1" applyBorder="1" applyAlignment="1">
      <alignment horizontal="center" vertical="center" wrapText="1"/>
    </xf>
    <xf numFmtId="11" fontId="2" fillId="5" borderId="32" xfId="0" applyNumberFormat="1" applyFont="1" applyFill="1" applyBorder="1" applyAlignment="1">
      <alignment horizontal="center" vertical="center" wrapText="1"/>
    </xf>
    <xf numFmtId="11" fontId="2" fillId="5" borderId="33" xfId="0" applyNumberFormat="1" applyFont="1" applyFill="1" applyBorder="1" applyAlignment="1">
      <alignment horizontal="center" vertical="center" wrapText="1"/>
    </xf>
    <xf numFmtId="170" fontId="0" fillId="0" borderId="0" xfId="0" applyNumberFormat="1"/>
    <xf numFmtId="0" fontId="0" fillId="0" borderId="60" xfId="0" applyBorder="1" applyAlignment="1">
      <alignment horizontal="center" vertical="center"/>
    </xf>
    <xf numFmtId="167" fontId="2" fillId="0" borderId="50" xfId="0" applyNumberFormat="1" applyFont="1" applyBorder="1" applyAlignment="1">
      <alignment horizontal="center" vertical="center" wrapText="1"/>
    </xf>
    <xf numFmtId="11" fontId="0" fillId="0" borderId="84" xfId="0" applyNumberFormat="1" applyBorder="1"/>
    <xf numFmtId="11" fontId="0" fillId="0" borderId="64" xfId="0" applyNumberFormat="1" applyBorder="1"/>
    <xf numFmtId="11" fontId="0" fillId="0" borderId="61" xfId="0" applyNumberFormat="1" applyBorder="1"/>
    <xf numFmtId="9" fontId="0" fillId="0" borderId="26" xfId="0" applyNumberFormat="1" applyBorder="1" applyAlignment="1">
      <alignment horizontal="center"/>
    </xf>
    <xf numFmtId="11" fontId="0" fillId="0" borderId="42" xfId="0" applyNumberFormat="1" applyBorder="1"/>
    <xf numFmtId="11" fontId="0" fillId="0" borderId="14" xfId="0" applyNumberFormat="1" applyBorder="1"/>
    <xf numFmtId="167" fontId="2" fillId="0" borderId="13" xfId="0" applyNumberFormat="1" applyFont="1" applyBorder="1" applyAlignment="1">
      <alignment horizontal="center" vertical="center" wrapText="1"/>
    </xf>
    <xf numFmtId="11" fontId="0" fillId="0" borderId="23" xfId="0" applyNumberFormat="1" applyBorder="1"/>
    <xf numFmtId="11" fontId="0" fillId="0" borderId="49" xfId="0" applyNumberFormat="1" applyBorder="1"/>
    <xf numFmtId="0" fontId="0" fillId="0" borderId="43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9" xfId="0" applyBorder="1"/>
    <xf numFmtId="9" fontId="0" fillId="0" borderId="20" xfId="0" applyNumberFormat="1" applyBorder="1" applyAlignment="1">
      <alignment horizontal="center"/>
    </xf>
    <xf numFmtId="11" fontId="2" fillId="0" borderId="23" xfId="0" applyNumberFormat="1" applyFont="1" applyBorder="1" applyAlignment="1">
      <alignment horizontal="center" vertical="center" wrapText="1"/>
    </xf>
    <xf numFmtId="11" fontId="2" fillId="0" borderId="42" xfId="0" applyNumberFormat="1" applyFont="1" applyBorder="1" applyAlignment="1">
      <alignment horizontal="center" vertical="center" wrapText="1"/>
    </xf>
    <xf numFmtId="11" fontId="0" fillId="0" borderId="73" xfId="0" applyNumberFormat="1" applyBorder="1"/>
    <xf numFmtId="11" fontId="2" fillId="0" borderId="49" xfId="0" applyNumberFormat="1" applyFont="1" applyBorder="1" applyAlignment="1">
      <alignment horizontal="center" vertical="center" wrapText="1"/>
    </xf>
    <xf numFmtId="9" fontId="0" fillId="0" borderId="46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25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4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12" xfId="0" applyBorder="1"/>
    <xf numFmtId="0" fontId="0" fillId="0" borderId="113" xfId="0" applyBorder="1"/>
    <xf numFmtId="0" fontId="0" fillId="0" borderId="111" xfId="0" applyBorder="1"/>
    <xf numFmtId="0" fontId="0" fillId="25" borderId="0" xfId="0" applyFill="1"/>
    <xf numFmtId="0" fontId="0" fillId="25" borderId="1" xfId="0" applyFill="1" applyBorder="1"/>
    <xf numFmtId="0" fontId="0" fillId="0" borderId="114" xfId="0" applyBorder="1"/>
    <xf numFmtId="0" fontId="0" fillId="25" borderId="26" xfId="0" applyFill="1" applyBorder="1"/>
    <xf numFmtId="0" fontId="0" fillId="25" borderId="9" xfId="0" applyFill="1" applyBorder="1"/>
    <xf numFmtId="0" fontId="0" fillId="0" borderId="114" xfId="0" applyBorder="1" applyAlignment="1">
      <alignment horizontal="center" vertical="center"/>
    </xf>
    <xf numFmtId="0" fontId="0" fillId="0" borderId="115" xfId="0" applyBorder="1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0" fillId="0" borderId="27" xfId="0" applyBorder="1" applyAlignment="1">
      <alignment horizontal="center" vertical="center"/>
    </xf>
    <xf numFmtId="0" fontId="0" fillId="0" borderId="89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74" xfId="0" applyBorder="1" applyAlignment="1">
      <alignment vertical="center"/>
    </xf>
    <xf numFmtId="0" fontId="0" fillId="0" borderId="47" xfId="0" applyBorder="1" applyAlignment="1">
      <alignment vertical="center"/>
    </xf>
    <xf numFmtId="0" fontId="1" fillId="0" borderId="89" xfId="0" applyFont="1" applyBorder="1" applyAlignment="1">
      <alignment vertical="center" wrapText="1"/>
    </xf>
    <xf numFmtId="167" fontId="2" fillId="0" borderId="74" xfId="0" applyNumberFormat="1" applyFont="1" applyBorder="1" applyAlignment="1">
      <alignment vertical="center" wrapText="1"/>
    </xf>
    <xf numFmtId="0" fontId="0" fillId="0" borderId="80" xfId="0" applyBorder="1" applyAlignment="1">
      <alignment vertical="center"/>
    </xf>
    <xf numFmtId="0" fontId="0" fillId="0" borderId="58" xfId="0" applyBorder="1"/>
    <xf numFmtId="0" fontId="0" fillId="0" borderId="27" xfId="0" applyBorder="1" applyAlignment="1">
      <alignment horizontal="center"/>
    </xf>
    <xf numFmtId="0" fontId="0" fillId="0" borderId="116" xfId="0" applyBorder="1"/>
    <xf numFmtId="0" fontId="0" fillId="0" borderId="117" xfId="0" applyBorder="1"/>
    <xf numFmtId="9" fontId="0" fillId="0" borderId="26" xfId="0" applyNumberFormat="1" applyBorder="1"/>
    <xf numFmtId="9" fontId="0" fillId="0" borderId="9" xfId="0" applyNumberFormat="1" applyBorder="1"/>
    <xf numFmtId="0" fontId="0" fillId="0" borderId="15" xfId="0" applyBorder="1"/>
    <xf numFmtId="9" fontId="0" fillId="0" borderId="48" xfId="0" applyNumberFormat="1" applyBorder="1"/>
    <xf numFmtId="0" fontId="0" fillId="0" borderId="74" xfId="0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2" fontId="8" fillId="0" borderId="67" xfId="0" applyNumberFormat="1" applyFont="1" applyBorder="1" applyAlignment="1">
      <alignment horizontal="center" vertical="center"/>
    </xf>
    <xf numFmtId="2" fontId="8" fillId="0" borderId="68" xfId="0" applyNumberFormat="1" applyFont="1" applyBorder="1" applyAlignment="1">
      <alignment horizontal="center" vertical="center"/>
    </xf>
    <xf numFmtId="1" fontId="8" fillId="0" borderId="69" xfId="0" applyNumberFormat="1" applyFont="1" applyBorder="1" applyAlignment="1">
      <alignment horizontal="center" vertical="center"/>
    </xf>
    <xf numFmtId="1" fontId="8" fillId="0" borderId="68" xfId="0" applyNumberFormat="1" applyFont="1" applyBorder="1" applyAlignment="1">
      <alignment horizontal="center" vertical="center"/>
    </xf>
    <xf numFmtId="0" fontId="8" fillId="0" borderId="67" xfId="0" applyFont="1" applyBorder="1" applyAlignment="1">
      <alignment horizontal="center"/>
    </xf>
    <xf numFmtId="0" fontId="8" fillId="0" borderId="68" xfId="0" applyFont="1" applyBorder="1" applyAlignment="1">
      <alignment horizontal="center"/>
    </xf>
    <xf numFmtId="0" fontId="8" fillId="0" borderId="69" xfId="0" applyFont="1" applyBorder="1" applyAlignment="1">
      <alignment horizontal="center"/>
    </xf>
    <xf numFmtId="0" fontId="8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2" fontId="8" fillId="0" borderId="49" xfId="0" applyNumberFormat="1" applyFont="1" applyBorder="1" applyAlignment="1">
      <alignment horizontal="center" vertical="center"/>
    </xf>
    <xf numFmtId="167" fontId="8" fillId="0" borderId="67" xfId="0" applyNumberFormat="1" applyFont="1" applyBorder="1" applyAlignment="1">
      <alignment horizontal="center" vertical="center"/>
    </xf>
    <xf numFmtId="167" fontId="8" fillId="0" borderId="68" xfId="0" applyNumberFormat="1" applyFont="1" applyBorder="1" applyAlignment="1">
      <alignment horizontal="center" vertical="center"/>
    </xf>
    <xf numFmtId="2" fontId="8" fillId="0" borderId="47" xfId="0" applyNumberFormat="1" applyFont="1" applyBorder="1" applyAlignment="1">
      <alignment horizontal="center" vertical="center"/>
    </xf>
    <xf numFmtId="1" fontId="8" fillId="0" borderId="48" xfId="0" applyNumberFormat="1" applyFont="1" applyBorder="1" applyAlignment="1">
      <alignment horizontal="center" vertical="center"/>
    </xf>
    <xf numFmtId="2" fontId="8" fillId="0" borderId="73" xfId="0" applyNumberFormat="1" applyFont="1" applyBorder="1" applyAlignment="1">
      <alignment horizontal="center" vertical="center"/>
    </xf>
    <xf numFmtId="1" fontId="8" fillId="0" borderId="47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167" fontId="8" fillId="0" borderId="73" xfId="0" applyNumberFormat="1" applyFont="1" applyBorder="1" applyAlignment="1">
      <alignment horizontal="center" vertical="center"/>
    </xf>
    <xf numFmtId="167" fontId="8" fillId="0" borderId="74" xfId="0" applyNumberFormat="1" applyFont="1" applyBorder="1" applyAlignment="1">
      <alignment horizontal="center" vertical="center"/>
    </xf>
    <xf numFmtId="1" fontId="8" fillId="0" borderId="75" xfId="0" applyNumberFormat="1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" fontId="8" fillId="0" borderId="9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8" fillId="0" borderId="14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167" fontId="8" fillId="0" borderId="14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7" fontId="8" fillId="0" borderId="14" xfId="0" applyNumberFormat="1" applyFont="1" applyBorder="1" applyAlignment="1">
      <alignment horizontal="center"/>
    </xf>
    <xf numFmtId="167" fontId="8" fillId="0" borderId="1" xfId="0" applyNumberFormat="1" applyFont="1" applyBorder="1" applyAlignment="1">
      <alignment horizontal="center"/>
    </xf>
    <xf numFmtId="1" fontId="8" fillId="0" borderId="9" xfId="0" applyNumberFormat="1" applyFont="1" applyBorder="1" applyAlignment="1">
      <alignment horizontal="center"/>
    </xf>
    <xf numFmtId="0" fontId="8" fillId="0" borderId="70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167" fontId="8" fillId="0" borderId="68" xfId="0" applyNumberFormat="1" applyFont="1" applyBorder="1" applyAlignment="1">
      <alignment horizontal="center"/>
    </xf>
    <xf numFmtId="1" fontId="8" fillId="0" borderId="69" xfId="0" applyNumberFormat="1" applyFont="1" applyBorder="1" applyAlignment="1">
      <alignment horizontal="center"/>
    </xf>
    <xf numFmtId="0" fontId="8" fillId="0" borderId="68" xfId="0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" xfId="0" applyFont="1" applyBorder="1"/>
    <xf numFmtId="0" fontId="8" fillId="0" borderId="14" xfId="0" applyFont="1" applyBorder="1" applyAlignment="1">
      <alignment horizontal="center"/>
    </xf>
    <xf numFmtId="0" fontId="0" fillId="0" borderId="102" xfId="0" applyBorder="1"/>
    <xf numFmtId="0" fontId="0" fillId="0" borderId="0" xfId="0" applyAlignment="1">
      <alignment horizontal="left" vertical="top"/>
    </xf>
    <xf numFmtId="9" fontId="0" fillId="0" borderId="0" xfId="0" applyNumberFormat="1" applyAlignment="1">
      <alignment horizontal="left" vertical="top"/>
    </xf>
    <xf numFmtId="0" fontId="0" fillId="0" borderId="1" xfId="0" applyBorder="1" applyAlignment="1">
      <alignment vertical="center"/>
    </xf>
    <xf numFmtId="9" fontId="0" fillId="0" borderId="47" xfId="0" applyNumberFormat="1" applyBorder="1" applyAlignment="1">
      <alignment horizontal="left" vertical="top"/>
    </xf>
    <xf numFmtId="9" fontId="0" fillId="0" borderId="1" xfId="0" applyNumberFormat="1" applyBorder="1" applyAlignment="1">
      <alignment horizontal="left" vertical="top"/>
    </xf>
    <xf numFmtId="9" fontId="0" fillId="0" borderId="10" xfId="0" applyNumberFormat="1" applyBorder="1" applyAlignment="1">
      <alignment horizontal="left"/>
    </xf>
    <xf numFmtId="9" fontId="0" fillId="0" borderId="7" xfId="0" applyNumberFormat="1" applyBorder="1" applyAlignment="1">
      <alignment horizontal="left"/>
    </xf>
    <xf numFmtId="0" fontId="13" fillId="0" borderId="5" xfId="0" applyFont="1" applyBorder="1" applyAlignment="1">
      <alignment horizontal="center"/>
    </xf>
    <xf numFmtId="9" fontId="0" fillId="0" borderId="80" xfId="0" applyNumberFormat="1" applyBorder="1" applyAlignment="1">
      <alignment horizontal="left"/>
    </xf>
    <xf numFmtId="0" fontId="0" fillId="0" borderId="65" xfId="0" applyBorder="1" applyAlignment="1">
      <alignment horizontal="left"/>
    </xf>
    <xf numFmtId="0" fontId="0" fillId="0" borderId="7" xfId="0" applyBorder="1" applyAlignment="1">
      <alignment horizontal="left"/>
    </xf>
    <xf numFmtId="9" fontId="0" fillId="0" borderId="10" xfId="0" applyNumberFormat="1" applyBorder="1"/>
    <xf numFmtId="9" fontId="0" fillId="0" borderId="7" xfId="0" applyNumberFormat="1" applyBorder="1"/>
    <xf numFmtId="9" fontId="0" fillId="0" borderId="65" xfId="0" applyNumberFormat="1" applyBorder="1" applyAlignment="1">
      <alignment horizontal="left"/>
    </xf>
    <xf numFmtId="2" fontId="0" fillId="0" borderId="74" xfId="0" applyNumberFormat="1" applyBorder="1" applyAlignment="1">
      <alignment horizontal="left"/>
    </xf>
    <xf numFmtId="2" fontId="0" fillId="0" borderId="0" xfId="0" applyNumberFormat="1" applyAlignment="1">
      <alignment horizontal="left"/>
    </xf>
    <xf numFmtId="2" fontId="0" fillId="0" borderId="47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43" fontId="0" fillId="0" borderId="10" xfId="2" applyFont="1" applyBorder="1"/>
    <xf numFmtId="43" fontId="0" fillId="0" borderId="65" xfId="2" applyFont="1" applyBorder="1"/>
    <xf numFmtId="43" fontId="0" fillId="0" borderId="7" xfId="2" applyFont="1" applyBorder="1"/>
    <xf numFmtId="43" fontId="0" fillId="0" borderId="47" xfId="2" applyFont="1" applyBorder="1"/>
    <xf numFmtId="43" fontId="0" fillId="0" borderId="1" xfId="2" applyFont="1" applyBorder="1"/>
    <xf numFmtId="2" fontId="0" fillId="0" borderId="65" xfId="2" applyNumberFormat="1" applyFont="1" applyBorder="1"/>
    <xf numFmtId="2" fontId="0" fillId="0" borderId="7" xfId="2" applyNumberFormat="1" applyFont="1" applyBorder="1"/>
    <xf numFmtId="2" fontId="0" fillId="0" borderId="80" xfId="0" applyNumberFormat="1" applyBorder="1" applyAlignment="1">
      <alignment horizontal="left"/>
    </xf>
    <xf numFmtId="2" fontId="0" fillId="0" borderId="10" xfId="0" applyNumberFormat="1" applyBorder="1" applyAlignment="1">
      <alignment horizontal="left"/>
    </xf>
    <xf numFmtId="2" fontId="0" fillId="0" borderId="65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43" fontId="0" fillId="0" borderId="45" xfId="2" applyFont="1" applyBorder="1"/>
    <xf numFmtId="0" fontId="0" fillId="26" borderId="0" xfId="0" applyFill="1"/>
    <xf numFmtId="0" fontId="0" fillId="3" borderId="22" xfId="0" applyFill="1" applyBorder="1" applyAlignment="1">
      <alignment horizontal="left" vertical="center" wrapText="1" indent="1"/>
    </xf>
    <xf numFmtId="0" fontId="1" fillId="3" borderId="0" xfId="0" applyFont="1" applyFill="1" applyAlignment="1">
      <alignment horizontal="center" vertical="center" wrapText="1"/>
    </xf>
    <xf numFmtId="43" fontId="0" fillId="0" borderId="0" xfId="0" applyNumberFormat="1"/>
    <xf numFmtId="43" fontId="0" fillId="0" borderId="47" xfId="0" applyNumberFormat="1" applyBorder="1"/>
    <xf numFmtId="0" fontId="0" fillId="27" borderId="40" xfId="0" applyFill="1" applyBorder="1"/>
    <xf numFmtId="43" fontId="0" fillId="27" borderId="10" xfId="2" applyFont="1" applyFill="1" applyBorder="1"/>
    <xf numFmtId="0" fontId="0" fillId="27" borderId="0" xfId="0" applyFill="1"/>
    <xf numFmtId="43" fontId="0" fillId="0" borderId="95" xfId="2" applyFont="1" applyBorder="1"/>
    <xf numFmtId="43" fontId="0" fillId="0" borderId="2" xfId="2" applyFont="1" applyBorder="1"/>
    <xf numFmtId="43" fontId="0" fillId="0" borderId="25" xfId="2" applyFont="1" applyBorder="1"/>
    <xf numFmtId="43" fontId="0" fillId="0" borderId="26" xfId="2" applyFont="1" applyBorder="1"/>
    <xf numFmtId="43" fontId="0" fillId="0" borderId="48" xfId="2" applyFont="1" applyBorder="1"/>
    <xf numFmtId="43" fontId="0" fillId="0" borderId="9" xfId="2" applyFont="1" applyBorder="1"/>
    <xf numFmtId="9" fontId="0" fillId="0" borderId="11" xfId="0" applyNumberFormat="1" applyBorder="1" applyAlignment="1">
      <alignment horizontal="center" vertical="center"/>
    </xf>
    <xf numFmtId="9" fontId="0" fillId="0" borderId="45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9" fontId="0" fillId="0" borderId="40" xfId="0" applyNumberFormat="1" applyBorder="1" applyAlignment="1">
      <alignment horizontal="center" vertical="center"/>
    </xf>
    <xf numFmtId="9" fontId="0" fillId="0" borderId="70" xfId="0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9" fontId="0" fillId="0" borderId="72" xfId="0" applyNumberFormat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0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6" fillId="0" borderId="39" xfId="1" applyFont="1" applyBorder="1" applyAlignment="1">
      <alignment horizontal="center" vertical="center"/>
    </xf>
    <xf numFmtId="0" fontId="6" fillId="0" borderId="40" xfId="1" applyFont="1" applyBorder="1" applyAlignment="1">
      <alignment horizontal="center" vertical="center"/>
    </xf>
    <xf numFmtId="0" fontId="6" fillId="0" borderId="41" xfId="1" applyFont="1" applyBorder="1" applyAlignment="1">
      <alignment horizontal="center" vertical="center"/>
    </xf>
    <xf numFmtId="0" fontId="0" fillId="0" borderId="94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4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1" fillId="0" borderId="89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0" fontId="0" fillId="0" borderId="8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0" borderId="84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89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96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80" xfId="0" applyBorder="1" applyAlignment="1">
      <alignment horizontal="center" vertical="center"/>
    </xf>
    <xf numFmtId="0" fontId="1" fillId="0" borderId="8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79" xfId="0" applyBorder="1" applyAlignment="1">
      <alignment horizontal="center"/>
    </xf>
    <xf numFmtId="0" fontId="0" fillId="0" borderId="75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1" fillId="0" borderId="9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95" xfId="0" applyFont="1" applyBorder="1" applyAlignment="1">
      <alignment horizontal="center" vertical="center" wrapText="1"/>
    </xf>
    <xf numFmtId="0" fontId="1" fillId="0" borderId="73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167" fontId="0" fillId="0" borderId="85" xfId="0" applyNumberFormat="1" applyBorder="1" applyAlignment="1">
      <alignment horizontal="center" vertical="center"/>
    </xf>
    <xf numFmtId="167" fontId="0" fillId="0" borderId="20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167" fontId="0" fillId="0" borderId="46" xfId="0" applyNumberFormat="1" applyBorder="1" applyAlignment="1">
      <alignment horizontal="center" vertical="center"/>
    </xf>
    <xf numFmtId="0" fontId="1" fillId="0" borderId="9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94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164" fontId="0" fillId="0" borderId="54" xfId="0" applyNumberFormat="1" applyBorder="1" applyAlignment="1">
      <alignment horizontal="center" vertical="center"/>
    </xf>
    <xf numFmtId="164" fontId="0" fillId="0" borderId="51" xfId="0" applyNumberFormat="1" applyBorder="1" applyAlignment="1">
      <alignment horizontal="center" vertical="center"/>
    </xf>
    <xf numFmtId="164" fontId="0" fillId="0" borderId="92" xfId="0" applyNumberFormat="1" applyBorder="1" applyAlignment="1">
      <alignment horizontal="center" vertical="center"/>
    </xf>
    <xf numFmtId="164" fontId="0" fillId="0" borderId="52" xfId="0" applyNumberFormat="1" applyBorder="1" applyAlignment="1">
      <alignment horizontal="center" vertical="center"/>
    </xf>
    <xf numFmtId="164" fontId="0" fillId="0" borderId="55" xfId="0" applyNumberFormat="1" applyBorder="1" applyAlignment="1">
      <alignment horizontal="center" vertical="center"/>
    </xf>
    <xf numFmtId="166" fontId="0" fillId="0" borderId="51" xfId="0" applyNumberFormat="1" applyBorder="1" applyAlignment="1">
      <alignment horizontal="center" vertical="center"/>
    </xf>
    <xf numFmtId="166" fontId="0" fillId="0" borderId="55" xfId="0" applyNumberFormat="1" applyBorder="1" applyAlignment="1">
      <alignment horizontal="center" vertical="center"/>
    </xf>
    <xf numFmtId="168" fontId="0" fillId="0" borderId="52" xfId="0" applyNumberFormat="1" applyBorder="1" applyAlignment="1">
      <alignment horizontal="center" vertical="center"/>
    </xf>
    <xf numFmtId="168" fontId="0" fillId="0" borderId="51" xfId="0" applyNumberFormat="1" applyBorder="1" applyAlignment="1">
      <alignment horizontal="center" vertical="center"/>
    </xf>
    <xf numFmtId="168" fontId="0" fillId="0" borderId="92" xfId="0" applyNumberFormat="1" applyBorder="1" applyAlignment="1">
      <alignment horizontal="center" vertical="center"/>
    </xf>
    <xf numFmtId="166" fontId="0" fillId="0" borderId="52" xfId="0" applyNumberFormat="1" applyBorder="1" applyAlignment="1">
      <alignment horizontal="center" vertical="center"/>
    </xf>
    <xf numFmtId="166" fontId="0" fillId="0" borderId="92" xfId="0" applyNumberFormat="1" applyBorder="1" applyAlignment="1">
      <alignment horizontal="center" vertical="center"/>
    </xf>
    <xf numFmtId="166" fontId="0" fillId="0" borderId="54" xfId="0" applyNumberFormat="1" applyBorder="1" applyAlignment="1">
      <alignment horizontal="center" vertical="center"/>
    </xf>
    <xf numFmtId="0" fontId="1" fillId="0" borderId="7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165" fontId="0" fillId="0" borderId="52" xfId="0" applyNumberFormat="1" applyBorder="1" applyAlignment="1">
      <alignment horizontal="center" vertical="center"/>
    </xf>
    <xf numFmtId="165" fontId="0" fillId="0" borderId="51" xfId="0" applyNumberFormat="1" applyBorder="1" applyAlignment="1">
      <alignment horizontal="center" vertical="center"/>
    </xf>
    <xf numFmtId="165" fontId="0" fillId="0" borderId="55" xfId="0" applyNumberFormat="1" applyBorder="1" applyAlignment="1">
      <alignment horizontal="center" vertical="center"/>
    </xf>
    <xf numFmtId="165" fontId="0" fillId="0" borderId="92" xfId="0" applyNumberForma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11" fontId="0" fillId="0" borderId="75" xfId="0" applyNumberFormat="1" applyBorder="1" applyAlignment="1">
      <alignment horizontal="center" vertical="center"/>
    </xf>
    <xf numFmtId="11" fontId="0" fillId="0" borderId="26" xfId="0" applyNumberFormat="1" applyBorder="1" applyAlignment="1">
      <alignment horizontal="center" vertical="center"/>
    </xf>
    <xf numFmtId="11" fontId="0" fillId="0" borderId="48" xfId="0" applyNumberFormat="1" applyBorder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11" fontId="0" fillId="0" borderId="20" xfId="0" applyNumberFormat="1" applyBorder="1" applyAlignment="1">
      <alignment horizontal="center" vertical="center"/>
    </xf>
    <xf numFmtId="11" fontId="0" fillId="0" borderId="46" xfId="0" applyNumberFormat="1" applyBorder="1" applyAlignment="1">
      <alignment horizontal="center" vertical="center"/>
    </xf>
    <xf numFmtId="9" fontId="0" fillId="0" borderId="20" xfId="0" applyNumberFormat="1" applyBorder="1" applyAlignment="1">
      <alignment horizontal="center" vertical="center"/>
    </xf>
    <xf numFmtId="9" fontId="0" fillId="0" borderId="46" xfId="0" applyNumberFormat="1" applyBorder="1" applyAlignment="1">
      <alignment horizontal="center" vertical="center"/>
    </xf>
    <xf numFmtId="11" fontId="0" fillId="0" borderId="85" xfId="0" applyNumberFormat="1" applyBorder="1" applyAlignment="1">
      <alignment horizontal="center" vertical="center"/>
    </xf>
    <xf numFmtId="11" fontId="0" fillId="0" borderId="21" xfId="0" applyNumberFormat="1" applyBorder="1" applyAlignment="1">
      <alignment horizontal="center" vertical="center"/>
    </xf>
    <xf numFmtId="11" fontId="0" fillId="0" borderId="19" xfId="0" applyNumberFormat="1" applyBorder="1" applyAlignment="1">
      <alignment horizontal="center" vertical="center"/>
    </xf>
    <xf numFmtId="9" fontId="0" fillId="0" borderId="85" xfId="0" applyNumberForma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7" xfId="0" applyBorder="1" applyAlignment="1">
      <alignment horizontal="left" vertical="top"/>
    </xf>
    <xf numFmtId="0" fontId="0" fillId="0" borderId="65" xfId="0" applyBorder="1" applyAlignment="1">
      <alignment horizontal="left" vertical="top"/>
    </xf>
    <xf numFmtId="0" fontId="0" fillId="0" borderId="74" xfId="0" applyBorder="1" applyAlignment="1">
      <alignment horizontal="left" vertical="top"/>
    </xf>
    <xf numFmtId="0" fontId="0" fillId="0" borderId="80" xfId="0" applyBorder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7" fontId="2" fillId="0" borderId="24" xfId="0" applyNumberFormat="1" applyFont="1" applyBorder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0" fontId="0" fillId="0" borderId="11" xfId="0" applyBorder="1" applyAlignment="1">
      <alignment horizontal="right" vertical="center" wrapText="1"/>
    </xf>
    <xf numFmtId="0" fontId="0" fillId="0" borderId="19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0" borderId="23" xfId="0" applyBorder="1" applyAlignment="1">
      <alignment horizontal="right" wrapText="1"/>
    </xf>
    <xf numFmtId="0" fontId="0" fillId="0" borderId="42" xfId="0" applyBorder="1" applyAlignment="1">
      <alignment horizontal="right" wrapText="1"/>
    </xf>
    <xf numFmtId="0" fontId="0" fillId="0" borderId="24" xfId="0" applyBorder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25" xfId="0" applyBorder="1" applyAlignment="1">
      <alignment horizontal="right" wrapText="1"/>
    </xf>
    <xf numFmtId="0" fontId="0" fillId="0" borderId="26" xfId="0" applyBorder="1" applyAlignment="1">
      <alignment horizontal="right" wrapText="1"/>
    </xf>
    <xf numFmtId="0" fontId="0" fillId="0" borderId="24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8" fillId="0" borderId="2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'Chronological Biochem'!$R$3:$R$13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'Chronological Biochem'!$S$3:$S$13</c:f>
              <c:numCache>
                <c:formatCode>General</c:formatCode>
                <c:ptCount val="11"/>
                <c:pt idx="0">
                  <c:v>100.52887686473987</c:v>
                </c:pt>
                <c:pt idx="1">
                  <c:v>95.118571973937776</c:v>
                </c:pt>
                <c:pt idx="2">
                  <c:v>72.261723449514236</c:v>
                </c:pt>
                <c:pt idx="3">
                  <c:v>54.775662176876374</c:v>
                </c:pt>
                <c:pt idx="4">
                  <c:v>44.454997762793248</c:v>
                </c:pt>
                <c:pt idx="5">
                  <c:v>35.910771866462945</c:v>
                </c:pt>
                <c:pt idx="6">
                  <c:v>39.838378411654134</c:v>
                </c:pt>
                <c:pt idx="8">
                  <c:v>25.73955875011573</c:v>
                </c:pt>
                <c:pt idx="9">
                  <c:v>50.060703258474838</c:v>
                </c:pt>
                <c:pt idx="10">
                  <c:v>6.127349166052162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CD-4E85-A77A-679FB77B4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179864"/>
        <c:axId val="726611496"/>
      </c:scatterChart>
      <c:valAx>
        <c:axId val="900179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611496"/>
        <c:crosses val="autoZero"/>
        <c:crossBetween val="midCat"/>
      </c:valAx>
      <c:valAx>
        <c:axId val="72661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179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'Chronological Biochem'!$R$3:$R$13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'Chronological Biochem'!$T$3:$T$13</c:f>
              <c:numCache>
                <c:formatCode>General</c:formatCode>
                <c:ptCount val="11"/>
                <c:pt idx="1">
                  <c:v>1.2092015914289586E-3</c:v>
                </c:pt>
                <c:pt idx="2">
                  <c:v>1.8575654892663746E-4</c:v>
                </c:pt>
                <c:pt idx="3">
                  <c:v>1.0190785583225425E-2</c:v>
                </c:pt>
                <c:pt idx="4">
                  <c:v>1.0996459494458714E-2</c:v>
                </c:pt>
                <c:pt idx="5">
                  <c:v>3.0820924189208777E-2</c:v>
                </c:pt>
                <c:pt idx="6">
                  <c:v>3.2412026657140656E-4</c:v>
                </c:pt>
                <c:pt idx="8">
                  <c:v>1.3242268457546804E-2</c:v>
                </c:pt>
                <c:pt idx="9">
                  <c:v>8.716325582551367E-3</c:v>
                </c:pt>
                <c:pt idx="10">
                  <c:v>4.1933841377369309E-3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56-49E1-BB29-B9AFEBFEB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761608"/>
        <c:axId val="815761968"/>
      </c:scatterChart>
      <c:valAx>
        <c:axId val="815761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761968"/>
        <c:crosses val="autoZero"/>
        <c:crossBetween val="midCat"/>
      </c:valAx>
      <c:valAx>
        <c:axId val="81576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761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'Chronological Biochem'!$R$3:$R$13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'Chronological Biochem'!$U$3:$U$13</c:f>
              <c:numCache>
                <c:formatCode>General</c:formatCode>
                <c:ptCount val="11"/>
                <c:pt idx="1">
                  <c:v>6.295392755888944</c:v>
                </c:pt>
                <c:pt idx="2">
                  <c:v>0.18813374036594629</c:v>
                </c:pt>
                <c:pt idx="3">
                  <c:v>6.2528117788636681</c:v>
                </c:pt>
                <c:pt idx="4">
                  <c:v>1.1109138876565818</c:v>
                </c:pt>
                <c:pt idx="5">
                  <c:v>0.94054811260601257</c:v>
                </c:pt>
                <c:pt idx="6">
                  <c:v>1.6803523557736626</c:v>
                </c:pt>
                <c:pt idx="8">
                  <c:v>0.76697172867938912</c:v>
                </c:pt>
                <c:pt idx="9">
                  <c:v>6.412614701906139</c:v>
                </c:pt>
                <c:pt idx="10">
                  <c:v>0.67042738884989383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A8-43FB-9FAA-88FCDE595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331384"/>
        <c:axId val="900332824"/>
      </c:scatterChart>
      <c:valAx>
        <c:axId val="900331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332824"/>
        <c:crosses val="autoZero"/>
        <c:crossBetween val="midCat"/>
      </c:valAx>
      <c:valAx>
        <c:axId val="90033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331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Sheet3!$P$4:$P$9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Sheet3!$Q$4:$Q$9</c:f>
              <c:numCache>
                <c:formatCode>General</c:formatCode>
                <c:ptCount val="6"/>
                <c:pt idx="0">
                  <c:v>61.419816938729511</c:v>
                </c:pt>
                <c:pt idx="1">
                  <c:v>75.559179766291379</c:v>
                </c:pt>
                <c:pt idx="2">
                  <c:v>51.191006264261262</c:v>
                </c:pt>
                <c:pt idx="3">
                  <c:v>21.369336853534016</c:v>
                </c:pt>
                <c:pt idx="4">
                  <c:v>27.663029071864241</c:v>
                </c:pt>
                <c:pt idx="5">
                  <c:v>29.661330718972689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46-40B0-B9DD-27A976441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994328"/>
        <c:axId val="437492256"/>
      </c:scatterChart>
      <c:valAx>
        <c:axId val="898994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492256"/>
        <c:crosses val="autoZero"/>
        <c:crossBetween val="midCat"/>
      </c:valAx>
      <c:valAx>
        <c:axId val="4374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994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Sheet3!$P$4:$P$9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Sheet3!$R$4:$R$9</c:f>
              <c:numCache>
                <c:formatCode>General</c:formatCode>
                <c:ptCount val="6"/>
                <c:pt idx="1">
                  <c:v>4.8104708131357738E-3</c:v>
                </c:pt>
                <c:pt idx="2">
                  <c:v>4.0325916516057358E-3</c:v>
                </c:pt>
                <c:pt idx="3">
                  <c:v>4.9596739195733519E-3</c:v>
                </c:pt>
                <c:pt idx="4">
                  <c:v>6.9601430514636383E-3</c:v>
                </c:pt>
                <c:pt idx="5">
                  <c:v>6.724906261322652E-3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66-472F-8365-CB3CD6350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590176"/>
        <c:axId val="1014385568"/>
      </c:scatterChart>
      <c:valAx>
        <c:axId val="89459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85568"/>
        <c:crosses val="autoZero"/>
        <c:crossBetween val="midCat"/>
      </c:valAx>
      <c:valAx>
        <c:axId val="101438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59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Sheet3!$P$4:$P$9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Sheet3!$S$4:$S$9</c:f>
              <c:numCache>
                <c:formatCode>General</c:formatCode>
                <c:ptCount val="6"/>
                <c:pt idx="1">
                  <c:v>2.3003254929848738</c:v>
                </c:pt>
                <c:pt idx="2">
                  <c:v>1.2506066815761299</c:v>
                </c:pt>
                <c:pt idx="3">
                  <c:v>3.8817987944798227</c:v>
                </c:pt>
                <c:pt idx="4">
                  <c:v>1.0143312862563656</c:v>
                </c:pt>
                <c:pt idx="5">
                  <c:v>7.5659126822959912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F9-4A85-890C-8279ADA4D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551792"/>
        <c:axId val="1016549632"/>
      </c:scatterChart>
      <c:valAx>
        <c:axId val="101655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549632"/>
        <c:crosses val="autoZero"/>
        <c:crossBetween val="midCat"/>
      </c:valAx>
      <c:valAx>
        <c:axId val="101654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55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055380577427822"/>
                  <c:y val="-0.409199475065616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PicoGreen!$C$24:$C$29</c:f>
              <c:numCache>
                <c:formatCode>0.0000</c:formatCode>
                <c:ptCount val="6"/>
                <c:pt idx="0">
                  <c:v>7.4074074074073959E-2</c:v>
                </c:pt>
                <c:pt idx="1">
                  <c:v>27.574074074074073</c:v>
                </c:pt>
                <c:pt idx="2">
                  <c:v>56.574074074074076</c:v>
                </c:pt>
                <c:pt idx="3">
                  <c:v>112.07407407407408</c:v>
                </c:pt>
                <c:pt idx="4">
                  <c:v>240.07407407407408</c:v>
                </c:pt>
              </c:numCache>
            </c:numRef>
          </c:xVal>
          <c:yVal>
            <c:numRef>
              <c:f>PicoGreen!$D$24:$D$29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0C-4C10-875B-748E30530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757472"/>
        <c:axId val="565757800"/>
      </c:scatterChart>
      <c:valAx>
        <c:axId val="56575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757800"/>
        <c:crosses val="autoZero"/>
        <c:crossBetween val="midCat"/>
      </c:valAx>
      <c:valAx>
        <c:axId val="565757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75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1826115485564301E-2"/>
                  <c:y val="-2.78783902012248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PicoGreen!$R$24:$R$29</c:f>
              <c:numCache>
                <c:formatCode>0.0000</c:formatCode>
                <c:ptCount val="6"/>
                <c:pt idx="0">
                  <c:v>0.72222222222222232</c:v>
                </c:pt>
                <c:pt idx="1">
                  <c:v>11.222222222222221</c:v>
                </c:pt>
                <c:pt idx="2">
                  <c:v>39.222222222222221</c:v>
                </c:pt>
                <c:pt idx="3">
                  <c:v>73.222222222222229</c:v>
                </c:pt>
                <c:pt idx="4">
                  <c:v>176.22222222222223</c:v>
                </c:pt>
                <c:pt idx="5">
                  <c:v>263.22222222222223</c:v>
                </c:pt>
              </c:numCache>
            </c:numRef>
          </c:xVal>
          <c:yVal>
            <c:numRef>
              <c:f>PicoGreen!$S$24:$S$29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F8-4FDA-A185-B2437285A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875008"/>
        <c:axId val="549878288"/>
      </c:scatterChart>
      <c:valAx>
        <c:axId val="54987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78288"/>
        <c:crosses val="autoZero"/>
        <c:crossBetween val="midCat"/>
      </c:valAx>
      <c:valAx>
        <c:axId val="54987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75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581036745406824E-2"/>
                  <c:y val="-6.93117526975794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PicoGreen!$AG$24:$AG$29</c:f>
              <c:numCache>
                <c:formatCode>0.0000</c:formatCode>
                <c:ptCount val="6"/>
                <c:pt idx="0">
                  <c:v>0.38235294117647056</c:v>
                </c:pt>
                <c:pt idx="1">
                  <c:v>17.382352941176471</c:v>
                </c:pt>
                <c:pt idx="2">
                  <c:v>23.382352941176471</c:v>
                </c:pt>
                <c:pt idx="3">
                  <c:v>62.882352941176471</c:v>
                </c:pt>
                <c:pt idx="4">
                  <c:v>126.88235294117646</c:v>
                </c:pt>
              </c:numCache>
            </c:numRef>
          </c:xVal>
          <c:yVal>
            <c:numRef>
              <c:f>PicoGreen!$AH$24:$AH$29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5B-4E4D-B602-9CF0CA670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141024"/>
        <c:axId val="779136104"/>
      </c:scatterChart>
      <c:valAx>
        <c:axId val="77914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136104"/>
        <c:crosses val="autoZero"/>
        <c:crossBetween val="midCat"/>
      </c:valAx>
      <c:valAx>
        <c:axId val="779136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14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80314960629922"/>
          <c:y val="0.10226851851851854"/>
          <c:w val="0.83004418197725283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9014435695538055E-2"/>
                  <c:y val="-0.387152230971128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PicoGreen!$AV$24:$AV$29</c:f>
              <c:numCache>
                <c:formatCode>0.0000</c:formatCode>
                <c:ptCount val="6"/>
                <c:pt idx="0">
                  <c:v>0.35000000000000009</c:v>
                </c:pt>
                <c:pt idx="1">
                  <c:v>22.35</c:v>
                </c:pt>
                <c:pt idx="2">
                  <c:v>41.85</c:v>
                </c:pt>
                <c:pt idx="3">
                  <c:v>88.85</c:v>
                </c:pt>
                <c:pt idx="4">
                  <c:v>166.35</c:v>
                </c:pt>
              </c:numCache>
            </c:numRef>
          </c:xVal>
          <c:yVal>
            <c:numRef>
              <c:f>PicoGreen!$AW$24:$AW$29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C1-485B-ABEE-34D315910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925024"/>
        <c:axId val="887931912"/>
      </c:scatterChart>
      <c:valAx>
        <c:axId val="88792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931912"/>
        <c:crosses val="autoZero"/>
        <c:crossBetween val="midCat"/>
      </c:valAx>
      <c:valAx>
        <c:axId val="887931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9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441207349081365E-2"/>
                  <c:y val="-0.198325678040244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PicoGreen!$BK$24:$BK$29</c:f>
              <c:numCache>
                <c:formatCode>0.0000</c:formatCode>
                <c:ptCount val="6"/>
                <c:pt idx="0">
                  <c:v>-7.575757575757569E-2</c:v>
                </c:pt>
                <c:pt idx="1">
                  <c:v>20.424242424242426</c:v>
                </c:pt>
                <c:pt idx="2">
                  <c:v>37.424242424242422</c:v>
                </c:pt>
                <c:pt idx="4">
                  <c:v>123.42424242424244</c:v>
                </c:pt>
                <c:pt idx="5">
                  <c:v>183.42424242424244</c:v>
                </c:pt>
              </c:numCache>
            </c:numRef>
          </c:xVal>
          <c:yVal>
            <c:numRef>
              <c:f>PicoGreen!$BL$24:$BL$29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BA-418A-911B-C3E5BC659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468872"/>
        <c:axId val="523469232"/>
      </c:scatterChart>
      <c:valAx>
        <c:axId val="523468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69232"/>
        <c:crosses val="autoZero"/>
        <c:crossBetween val="midCat"/>
      </c:valAx>
      <c:valAx>
        <c:axId val="52346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68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905074365704286E-2"/>
                  <c:y val="-0.139389399241761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PicoGreen!$BZ$24:$BZ$29</c:f>
              <c:numCache>
                <c:formatCode>0.0000</c:formatCode>
                <c:ptCount val="6"/>
                <c:pt idx="0">
                  <c:v>2.9318181818181817</c:v>
                </c:pt>
                <c:pt idx="1">
                  <c:v>50.43181818181818</c:v>
                </c:pt>
                <c:pt idx="3">
                  <c:v>116.93181818181819</c:v>
                </c:pt>
                <c:pt idx="5">
                  <c:v>274.93181818181819</c:v>
                </c:pt>
              </c:numCache>
            </c:numRef>
          </c:xVal>
          <c:yVal>
            <c:numRef>
              <c:f>PicoGreen!$CA$24:$CA$29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D5-4D44-B379-8E010AC0C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13232"/>
        <c:axId val="162215032"/>
      </c:scatterChart>
      <c:valAx>
        <c:axId val="16221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15032"/>
        <c:crosses val="autoZero"/>
        <c:crossBetween val="midCat"/>
      </c:valAx>
      <c:valAx>
        <c:axId val="16221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13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6350393700787403E-2"/>
                  <c:y val="-0.206087051618547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PicoGreen!$CO$24:$CO$29</c:f>
              <c:numCache>
                <c:formatCode>0.0000</c:formatCode>
                <c:ptCount val="6"/>
                <c:pt idx="0">
                  <c:v>1.5892857142857144</c:v>
                </c:pt>
                <c:pt idx="1">
                  <c:v>19.089285714285715</c:v>
                </c:pt>
                <c:pt idx="2">
                  <c:v>35.089285714285715</c:v>
                </c:pt>
                <c:pt idx="3">
                  <c:v>66.589285714285708</c:v>
                </c:pt>
                <c:pt idx="5">
                  <c:v>201.08928571428572</c:v>
                </c:pt>
              </c:numCache>
            </c:numRef>
          </c:xVal>
          <c:yVal>
            <c:numRef>
              <c:f>PicoGreen!$CP$24:$CP$29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39-449F-A636-E1753610B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712400"/>
        <c:axId val="976713840"/>
      </c:scatterChart>
      <c:valAx>
        <c:axId val="97671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713840"/>
        <c:crosses val="autoZero"/>
        <c:crossBetween val="midCat"/>
      </c:valAx>
      <c:valAx>
        <c:axId val="97671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712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5629483814523183E-2"/>
                  <c:y val="-7.07669874599008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PicoGreen!$DD$24:$DD$29</c:f>
              <c:numCache>
                <c:formatCode>0.0000</c:formatCode>
                <c:ptCount val="6"/>
                <c:pt idx="0">
                  <c:v>0.52272727272727293</c:v>
                </c:pt>
                <c:pt idx="1">
                  <c:v>36.022727272727273</c:v>
                </c:pt>
                <c:pt idx="2">
                  <c:v>70.522727272727266</c:v>
                </c:pt>
                <c:pt idx="3">
                  <c:v>133.02272727272728</c:v>
                </c:pt>
                <c:pt idx="4">
                  <c:v>242.02272727272728</c:v>
                </c:pt>
              </c:numCache>
            </c:numRef>
          </c:xVal>
          <c:yVal>
            <c:numRef>
              <c:f>PicoGreen!$DE$24:$DE$29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64-454C-A385-49C9FEA22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602536"/>
        <c:axId val="741969288"/>
      </c:scatterChart>
      <c:valAx>
        <c:axId val="814602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969288"/>
        <c:crosses val="autoZero"/>
        <c:crossBetween val="midCat"/>
      </c:valAx>
      <c:valAx>
        <c:axId val="741969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602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699693788276466E-2"/>
                  <c:y val="-0.153194444444444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PicoGreen!$DS$24:$DS$29</c:f>
              <c:numCache>
                <c:formatCode>0.0000</c:formatCode>
                <c:ptCount val="6"/>
                <c:pt idx="0">
                  <c:v>-0.4375</c:v>
                </c:pt>
                <c:pt idx="2">
                  <c:v>33.5625</c:v>
                </c:pt>
                <c:pt idx="3">
                  <c:v>87.0625</c:v>
                </c:pt>
                <c:pt idx="4">
                  <c:v>131.5625</c:v>
                </c:pt>
              </c:numCache>
            </c:numRef>
          </c:xVal>
          <c:yVal>
            <c:numRef>
              <c:f>PicoGreen!$DT$24:$DT$29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FC-4065-9168-4F3B5FA5D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574528"/>
        <c:axId val="647574888"/>
      </c:scatterChart>
      <c:valAx>
        <c:axId val="64757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74888"/>
        <c:crosses val="autoZero"/>
        <c:crossBetween val="midCat"/>
      </c:valAx>
      <c:valAx>
        <c:axId val="64757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7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6659448818897639E-2"/>
                  <c:y val="-0.153194444444444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PicoGreen!$EH$24:$EH$28</c:f>
              <c:numCache>
                <c:formatCode>0.0000</c:formatCode>
                <c:ptCount val="5"/>
                <c:pt idx="0">
                  <c:v>-0.14476190476190487</c:v>
                </c:pt>
                <c:pt idx="1">
                  <c:v>13.355238095238095</c:v>
                </c:pt>
                <c:pt idx="2">
                  <c:v>46.855238095238093</c:v>
                </c:pt>
                <c:pt idx="4">
                  <c:v>196.35523809523809</c:v>
                </c:pt>
              </c:numCache>
            </c:numRef>
          </c:xVal>
          <c:yVal>
            <c:numRef>
              <c:f>PicoGreen!$EI$24:$EI$28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E1-4550-A138-B00183F39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521376"/>
        <c:axId val="992519216"/>
      </c:scatterChart>
      <c:valAx>
        <c:axId val="99252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519216"/>
        <c:crosses val="autoZero"/>
        <c:crossBetween val="midCat"/>
      </c:valAx>
      <c:valAx>
        <c:axId val="99251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52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PicoGreen!$EW$24:$EW$28</c:f>
              <c:numCache>
                <c:formatCode>0.0000</c:formatCode>
                <c:ptCount val="5"/>
                <c:pt idx="0">
                  <c:v>-0.65909090909090917</c:v>
                </c:pt>
                <c:pt idx="1">
                  <c:v>21.34090909090909</c:v>
                </c:pt>
                <c:pt idx="2">
                  <c:v>43.840909090909093</c:v>
                </c:pt>
                <c:pt idx="3">
                  <c:v>88.840909090909093</c:v>
                </c:pt>
                <c:pt idx="4">
                  <c:v>176.34090909090909</c:v>
                </c:pt>
              </c:numCache>
            </c:numRef>
          </c:xVal>
          <c:yVal>
            <c:numRef>
              <c:f>PicoGreen!$EX$24:$EX$28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79-4569-91B1-3CBBE7F64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108080"/>
        <c:axId val="557114560"/>
      </c:scatterChart>
      <c:valAx>
        <c:axId val="55710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114560"/>
        <c:crosses val="autoZero"/>
        <c:crossBetween val="midCat"/>
      </c:valAx>
      <c:valAx>
        <c:axId val="55711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108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31496062992123E-3"/>
                  <c:y val="-4.2116870807815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PicoGreen!$FL$24:$FL$29</c:f>
              <c:numCache>
                <c:formatCode>0.0000</c:formatCode>
                <c:ptCount val="6"/>
                <c:pt idx="0">
                  <c:v>0.171875</c:v>
                </c:pt>
                <c:pt idx="1">
                  <c:v>27.671875</c:v>
                </c:pt>
                <c:pt idx="2">
                  <c:v>49.671875</c:v>
                </c:pt>
                <c:pt idx="3">
                  <c:v>97.671875</c:v>
                </c:pt>
                <c:pt idx="4">
                  <c:v>178.671875</c:v>
                </c:pt>
              </c:numCache>
            </c:numRef>
          </c:xVal>
          <c:yVal>
            <c:numRef>
              <c:f>PicoGreen!$FM$24:$FM$29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9C-40B2-9A75-3EE2F7502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718776"/>
        <c:axId val="904815416"/>
      </c:scatterChart>
      <c:valAx>
        <c:axId val="897718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815416"/>
        <c:crosses val="autoZero"/>
        <c:crossBetween val="midCat"/>
      </c:valAx>
      <c:valAx>
        <c:axId val="904815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718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PicoGreen!$GA$24:$GA$28</c:f>
              <c:numCache>
                <c:formatCode>0.0000</c:formatCode>
                <c:ptCount val="5"/>
                <c:pt idx="0">
                  <c:v>1.5657894736842106</c:v>
                </c:pt>
                <c:pt idx="1">
                  <c:v>21.565789473684212</c:v>
                </c:pt>
                <c:pt idx="2">
                  <c:v>40.565789473684212</c:v>
                </c:pt>
                <c:pt idx="3">
                  <c:v>79.065789473684205</c:v>
                </c:pt>
                <c:pt idx="4">
                  <c:v>160.56578947368422</c:v>
                </c:pt>
              </c:numCache>
            </c:numRef>
          </c:xVal>
          <c:yVal>
            <c:numRef>
              <c:f>PicoGreen!$GB$24:$GB$28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A5-489E-9998-20EC3F471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97903"/>
        <c:axId val="192594303"/>
      </c:scatterChart>
      <c:valAx>
        <c:axId val="19259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94303"/>
        <c:crosses val="autoZero"/>
        <c:crossBetween val="midCat"/>
      </c:valAx>
      <c:valAx>
        <c:axId val="19259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97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221172353455817"/>
                  <c:y val="-0.180792505103528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DMMB!$C$31:$C$40</c:f>
              <c:numCache>
                <c:formatCode>0.0000</c:formatCode>
                <c:ptCount val="10"/>
                <c:pt idx="0">
                  <c:v>-0.59200000000000008</c:v>
                </c:pt>
                <c:pt idx="2">
                  <c:v>-0.58150000000000002</c:v>
                </c:pt>
                <c:pt idx="3">
                  <c:v>-0.56900000000000006</c:v>
                </c:pt>
                <c:pt idx="4" formatCode="General">
                  <c:v>-0.55099999999999993</c:v>
                </c:pt>
                <c:pt idx="5" formatCode="General">
                  <c:v>-0.54349999999999998</c:v>
                </c:pt>
                <c:pt idx="6" formatCode="General">
                  <c:v>-0.53100000000000003</c:v>
                </c:pt>
                <c:pt idx="8" formatCode="General">
                  <c:v>-0.49299999999999994</c:v>
                </c:pt>
                <c:pt idx="9" formatCode="General">
                  <c:v>-0.46949999999999997</c:v>
                </c:pt>
              </c:numCache>
            </c:numRef>
          </c:xVal>
          <c:yVal>
            <c:numRef>
              <c:f>DMMB!$D$31:$D$40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42-4496-9B5B-29BBF6A1B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342272"/>
        <c:axId val="436332432"/>
      </c:scatterChart>
      <c:valAx>
        <c:axId val="436342272"/>
        <c:scaling>
          <c:orientation val="minMax"/>
          <c:max val="-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332432"/>
        <c:crosses val="autoZero"/>
        <c:crossBetween val="midCat"/>
      </c:valAx>
      <c:valAx>
        <c:axId val="43633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34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711286089238841E-2"/>
                  <c:y val="-4.74927092446777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DMMB!$R$31:$R$40</c:f>
              <c:numCache>
                <c:formatCode>0.0000</c:formatCode>
                <c:ptCount val="10"/>
                <c:pt idx="1">
                  <c:v>-0.62650000000000006</c:v>
                </c:pt>
                <c:pt idx="4" formatCode="General">
                  <c:v>-0.60400000000000009</c:v>
                </c:pt>
                <c:pt idx="5" formatCode="General">
                  <c:v>-0.58800000000000008</c:v>
                </c:pt>
                <c:pt idx="6" formatCode="General">
                  <c:v>-0.57600000000000007</c:v>
                </c:pt>
                <c:pt idx="7" formatCode="General">
                  <c:v>-0.5645</c:v>
                </c:pt>
                <c:pt idx="8" formatCode="General">
                  <c:v>-0.54649999999999999</c:v>
                </c:pt>
                <c:pt idx="9" formatCode="General">
                  <c:v>-0.52550000000000008</c:v>
                </c:pt>
              </c:numCache>
            </c:numRef>
          </c:xVal>
          <c:yVal>
            <c:numRef>
              <c:f>DMMB!$S$31:$S$40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7B-488C-90F8-60F18932A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375416"/>
        <c:axId val="604353112"/>
      </c:scatterChart>
      <c:valAx>
        <c:axId val="604375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53112"/>
        <c:crosses val="autoZero"/>
        <c:crossBetween val="midCat"/>
      </c:valAx>
      <c:valAx>
        <c:axId val="604353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75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DMMB!$AG$31:$AG$40</c:f>
              <c:numCache>
                <c:formatCode>0.0000</c:formatCode>
                <c:ptCount val="10"/>
                <c:pt idx="1">
                  <c:v>-0.61099999999999999</c:v>
                </c:pt>
                <c:pt idx="2">
                  <c:v>-0.60799999999999998</c:v>
                </c:pt>
                <c:pt idx="4" formatCode="General">
                  <c:v>-0.59149999999999991</c:v>
                </c:pt>
                <c:pt idx="5" formatCode="General">
                  <c:v>-0.57600000000000007</c:v>
                </c:pt>
                <c:pt idx="6" formatCode="General">
                  <c:v>-0.56700000000000006</c:v>
                </c:pt>
                <c:pt idx="8" formatCode="General">
                  <c:v>-0.53750000000000009</c:v>
                </c:pt>
                <c:pt idx="9" formatCode="General">
                  <c:v>-0.51550000000000007</c:v>
                </c:pt>
              </c:numCache>
            </c:numRef>
          </c:xVal>
          <c:yVal>
            <c:numRef>
              <c:f>DMMB!$AH$31:$AH$40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61-4541-A907-EA32DB7F4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732216"/>
        <c:axId val="788733200"/>
      </c:scatterChart>
      <c:valAx>
        <c:axId val="788732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733200"/>
        <c:crosses val="autoZero"/>
        <c:crossBetween val="midCat"/>
      </c:valAx>
      <c:valAx>
        <c:axId val="78873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732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DMMB!$AW$31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5658355205599301E-3"/>
                  <c:y val="-0.19898512685914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DMMB!$AV$32:$AV$40</c:f>
              <c:numCache>
                <c:formatCode>0.0000</c:formatCode>
                <c:ptCount val="9"/>
                <c:pt idx="0">
                  <c:v>-0.61749999999999994</c:v>
                </c:pt>
                <c:pt idx="2">
                  <c:v>-0.60349999999999993</c:v>
                </c:pt>
                <c:pt idx="3" formatCode="General">
                  <c:v>-0.59000000000000008</c:v>
                </c:pt>
                <c:pt idx="4" formatCode="General">
                  <c:v>-0.58150000000000013</c:v>
                </c:pt>
                <c:pt idx="5" formatCode="General">
                  <c:v>-0.57500000000000007</c:v>
                </c:pt>
                <c:pt idx="6" formatCode="General">
                  <c:v>-0.56100000000000005</c:v>
                </c:pt>
                <c:pt idx="7" formatCode="General">
                  <c:v>-0.54649999999999999</c:v>
                </c:pt>
                <c:pt idx="8" formatCode="General">
                  <c:v>-0.52600000000000002</c:v>
                </c:pt>
              </c:numCache>
            </c:numRef>
          </c:xVal>
          <c:yVal>
            <c:numRef>
              <c:f>DMMB!$AW$32:$AW$40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43-421B-86AE-419396697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910384"/>
        <c:axId val="389905464"/>
      </c:scatterChart>
      <c:valAx>
        <c:axId val="38991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05464"/>
        <c:crosses val="autoZero"/>
        <c:crossBetween val="midCat"/>
      </c:valAx>
      <c:valAx>
        <c:axId val="38990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1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3912751531058616"/>
                  <c:y val="-0.206192767570720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DMMB!$BK$31:$BK$40</c:f>
              <c:numCache>
                <c:formatCode>0.0000</c:formatCode>
                <c:ptCount val="10"/>
                <c:pt idx="0">
                  <c:v>-0.61399999999999988</c:v>
                </c:pt>
                <c:pt idx="1">
                  <c:v>-0.60699999999999998</c:v>
                </c:pt>
                <c:pt idx="2">
                  <c:v>-0.60099999999999998</c:v>
                </c:pt>
                <c:pt idx="3">
                  <c:v>-0.59099999999999997</c:v>
                </c:pt>
                <c:pt idx="4" formatCode="General">
                  <c:v>-0.58100000000000007</c:v>
                </c:pt>
                <c:pt idx="5" formatCode="General">
                  <c:v>-0.57100000000000006</c:v>
                </c:pt>
                <c:pt idx="6" formatCode="General">
                  <c:v>-0.56200000000000006</c:v>
                </c:pt>
                <c:pt idx="7" formatCode="General">
                  <c:v>-0.54800000000000004</c:v>
                </c:pt>
                <c:pt idx="8" formatCode="General">
                  <c:v>-0.52600000000000002</c:v>
                </c:pt>
                <c:pt idx="9" formatCode="General">
                  <c:v>-0.51200000000000001</c:v>
                </c:pt>
              </c:numCache>
            </c:numRef>
          </c:xVal>
          <c:yVal>
            <c:numRef>
              <c:f>DMMB!$BL$31:$BL$40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1B-46AB-995A-20B75ED87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313720"/>
        <c:axId val="810314800"/>
      </c:scatterChart>
      <c:valAx>
        <c:axId val="810313720"/>
        <c:scaling>
          <c:orientation val="minMax"/>
          <c:max val="-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314800"/>
        <c:crosses val="autoZero"/>
        <c:crossBetween val="midCat"/>
      </c:valAx>
      <c:valAx>
        <c:axId val="81031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313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5733442694663168"/>
                  <c:y val="1.288641003207932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DMMB!$BZ$31:$BZ$40</c:f>
              <c:numCache>
                <c:formatCode>0.0000</c:formatCode>
                <c:ptCount val="10"/>
                <c:pt idx="0">
                  <c:v>-0.64749999999999996</c:v>
                </c:pt>
                <c:pt idx="1">
                  <c:v>-0.64050000000000007</c:v>
                </c:pt>
                <c:pt idx="2">
                  <c:v>-0.63849999999999996</c:v>
                </c:pt>
                <c:pt idx="3">
                  <c:v>-0.627</c:v>
                </c:pt>
                <c:pt idx="4" formatCode="General">
                  <c:v>-0.60999999999999988</c:v>
                </c:pt>
                <c:pt idx="5" formatCode="General">
                  <c:v>-0.59899999999999998</c:v>
                </c:pt>
                <c:pt idx="6" formatCode="General">
                  <c:v>-0.59100000000000008</c:v>
                </c:pt>
                <c:pt idx="7" formatCode="General">
                  <c:v>-0.57150000000000012</c:v>
                </c:pt>
                <c:pt idx="8" formatCode="General">
                  <c:v>-0.55300000000000005</c:v>
                </c:pt>
                <c:pt idx="9" formatCode="General">
                  <c:v>-0.53800000000000003</c:v>
                </c:pt>
              </c:numCache>
            </c:numRef>
          </c:xVal>
          <c:yVal>
            <c:numRef>
              <c:f>DMMB!$CA$31:$CA$40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9-4ECC-8C8B-BCD68065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219248"/>
        <c:axId val="929963344"/>
      </c:scatterChart>
      <c:valAx>
        <c:axId val="91021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963344"/>
        <c:crosses val="autoZero"/>
        <c:crossBetween val="midCat"/>
      </c:valAx>
      <c:valAx>
        <c:axId val="92996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219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171522309711285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8056649168853899E-2"/>
                  <c:y val="-0.231676873724117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DMMB!$CO$31:$CO$40</c:f>
              <c:numCache>
                <c:formatCode>0.0000</c:formatCode>
                <c:ptCount val="10"/>
                <c:pt idx="0">
                  <c:v>-0.627</c:v>
                </c:pt>
                <c:pt idx="1">
                  <c:v>-0.62450000000000006</c:v>
                </c:pt>
                <c:pt idx="3">
                  <c:v>-0.60699999999999998</c:v>
                </c:pt>
                <c:pt idx="4" formatCode="General">
                  <c:v>-0.59299999999999997</c:v>
                </c:pt>
                <c:pt idx="5" formatCode="General">
                  <c:v>-0.58799999999999997</c:v>
                </c:pt>
                <c:pt idx="6" formatCode="General">
                  <c:v>-0.57500000000000007</c:v>
                </c:pt>
                <c:pt idx="7" formatCode="General">
                  <c:v>-0.55950000000000011</c:v>
                </c:pt>
                <c:pt idx="8" formatCode="General">
                  <c:v>-0.54249999999999998</c:v>
                </c:pt>
                <c:pt idx="9" formatCode="General">
                  <c:v>-0.52400000000000002</c:v>
                </c:pt>
              </c:numCache>
            </c:numRef>
          </c:xVal>
          <c:yVal>
            <c:numRef>
              <c:f>DMMB!$CP$31:$CP$40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14-4ADE-8A47-86657C23C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840144"/>
        <c:axId val="621839424"/>
      </c:scatterChart>
      <c:valAx>
        <c:axId val="62184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39424"/>
        <c:crosses val="autoZero"/>
        <c:crossBetween val="midCat"/>
      </c:valAx>
      <c:valAx>
        <c:axId val="62183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4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847331583552057E-2"/>
                  <c:y val="-0.211534703995333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DMMB!$DD$31:$DD$40</c:f>
              <c:numCache>
                <c:formatCode>0.0000</c:formatCode>
                <c:ptCount val="10"/>
                <c:pt idx="0">
                  <c:v>-0.32350000000000001</c:v>
                </c:pt>
                <c:pt idx="1">
                  <c:v>-0.32550000000000001</c:v>
                </c:pt>
                <c:pt idx="2">
                  <c:v>-0.32200000000000001</c:v>
                </c:pt>
                <c:pt idx="3">
                  <c:v>-0.30549999999999999</c:v>
                </c:pt>
                <c:pt idx="4" formatCode="General">
                  <c:v>-0.29099999999999998</c:v>
                </c:pt>
                <c:pt idx="5" formatCode="General">
                  <c:v>-0.28199999999999997</c:v>
                </c:pt>
                <c:pt idx="6" formatCode="General">
                  <c:v>-0.26800000000000002</c:v>
                </c:pt>
                <c:pt idx="7" formatCode="General">
                  <c:v>-0.25</c:v>
                </c:pt>
                <c:pt idx="8" formatCode="General">
                  <c:v>-0.23300000000000001</c:v>
                </c:pt>
                <c:pt idx="9" formatCode="General">
                  <c:v>-0.214</c:v>
                </c:pt>
              </c:numCache>
            </c:numRef>
          </c:xVal>
          <c:yVal>
            <c:numRef>
              <c:f>DMMB!$DE$31:$DE$40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A2-41FB-9714-6E4A7CA5C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883472"/>
        <c:axId val="438880592"/>
      </c:scatterChart>
      <c:valAx>
        <c:axId val="438883472"/>
        <c:scaling>
          <c:orientation val="minMax"/>
          <c:max val="-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880592"/>
        <c:crosses val="autoZero"/>
        <c:crossBetween val="midCat"/>
      </c:valAx>
      <c:valAx>
        <c:axId val="43888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88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0113517060367455E-2"/>
                  <c:y val="-0.210226742490522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DMMB!$DS$31:$DS$40</c:f>
              <c:numCache>
                <c:formatCode>0.0000</c:formatCode>
                <c:ptCount val="10"/>
                <c:pt idx="0">
                  <c:v>-0.61149999999999993</c:v>
                </c:pt>
                <c:pt idx="1">
                  <c:v>-0.60899999999999987</c:v>
                </c:pt>
                <c:pt idx="2">
                  <c:v>-0.60449999999999993</c:v>
                </c:pt>
                <c:pt idx="3">
                  <c:v>-0.59399999999999997</c:v>
                </c:pt>
                <c:pt idx="4" formatCode="General">
                  <c:v>-0.57750000000000012</c:v>
                </c:pt>
                <c:pt idx="5" formatCode="General">
                  <c:v>-0.56800000000000006</c:v>
                </c:pt>
                <c:pt idx="6" formatCode="General">
                  <c:v>-0.55800000000000005</c:v>
                </c:pt>
                <c:pt idx="7" formatCode="General">
                  <c:v>-0.54350000000000009</c:v>
                </c:pt>
                <c:pt idx="8" formatCode="General">
                  <c:v>-0.52649999999999997</c:v>
                </c:pt>
                <c:pt idx="9" formatCode="General">
                  <c:v>-0.50449999999999995</c:v>
                </c:pt>
              </c:numCache>
            </c:numRef>
          </c:xVal>
          <c:yVal>
            <c:numRef>
              <c:f>DMMB!$DT$31:$DT$40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EB-4ABD-9B73-8B1F20615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386800"/>
        <c:axId val="807395440"/>
      </c:scatterChart>
      <c:valAx>
        <c:axId val="807386800"/>
        <c:scaling>
          <c:orientation val="minMax"/>
          <c:max val="-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395440"/>
        <c:crosses val="autoZero"/>
        <c:crossBetween val="midCat"/>
      </c:valAx>
      <c:valAx>
        <c:axId val="80739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38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362510936132984"/>
                  <c:y val="-0.210544619422572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DMMB!$EH$31:$EH$40</c:f>
              <c:numCache>
                <c:formatCode>0.0000</c:formatCode>
                <c:ptCount val="10"/>
                <c:pt idx="0">
                  <c:v>-0.61349999999999993</c:v>
                </c:pt>
                <c:pt idx="1">
                  <c:v>-0.60749999999999993</c:v>
                </c:pt>
                <c:pt idx="2">
                  <c:v>-0.60150000000000003</c:v>
                </c:pt>
                <c:pt idx="3">
                  <c:v>-0.59150000000000003</c:v>
                </c:pt>
                <c:pt idx="4" formatCode="General">
                  <c:v>-0.57650000000000001</c:v>
                </c:pt>
                <c:pt idx="5" formatCode="General">
                  <c:v>-0.5675</c:v>
                </c:pt>
                <c:pt idx="6" formatCode="General">
                  <c:v>-0.5585</c:v>
                </c:pt>
                <c:pt idx="7" formatCode="General">
                  <c:v>-0.54049999999999998</c:v>
                </c:pt>
                <c:pt idx="8" formatCode="General">
                  <c:v>-0.52300000000000002</c:v>
                </c:pt>
                <c:pt idx="9" formatCode="General">
                  <c:v>-0.50350000000000006</c:v>
                </c:pt>
              </c:numCache>
            </c:numRef>
          </c:xVal>
          <c:yVal>
            <c:numRef>
              <c:f>DMMB!$EI$31:$EI$40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2E6-B465-3C7130C01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502832"/>
        <c:axId val="1049503912"/>
      </c:scatterChart>
      <c:valAx>
        <c:axId val="1049502832"/>
        <c:scaling>
          <c:orientation val="minMax"/>
          <c:max val="-0.45"/>
          <c:min val="-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503912"/>
        <c:crosses val="autoZero"/>
        <c:crossBetween val="midCat"/>
      </c:valAx>
      <c:valAx>
        <c:axId val="1049503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50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DMMB!$EW$31:$EW$40</c:f>
              <c:numCache>
                <c:formatCode>0.0000</c:formatCode>
                <c:ptCount val="10"/>
                <c:pt idx="0">
                  <c:v>-0.60899999999999999</c:v>
                </c:pt>
                <c:pt idx="1">
                  <c:v>-0.60749999999999993</c:v>
                </c:pt>
                <c:pt idx="2">
                  <c:v>-0.59899999999999998</c:v>
                </c:pt>
                <c:pt idx="3">
                  <c:v>-0.59299999999999997</c:v>
                </c:pt>
                <c:pt idx="4" formatCode="General">
                  <c:v>-0.57550000000000001</c:v>
                </c:pt>
                <c:pt idx="5" formatCode="General">
                  <c:v>-0.56299999999999994</c:v>
                </c:pt>
                <c:pt idx="6" formatCode="General">
                  <c:v>-0.55249999999999999</c:v>
                </c:pt>
                <c:pt idx="7" formatCode="General">
                  <c:v>-0.52700000000000002</c:v>
                </c:pt>
                <c:pt idx="9" formatCode="General">
                  <c:v>-0.4945</c:v>
                </c:pt>
              </c:numCache>
            </c:numRef>
          </c:xVal>
          <c:yVal>
            <c:numRef>
              <c:f>DMMB!$EX$31:$EX$40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18-4109-A947-D20300ADE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282968"/>
        <c:axId val="1025279368"/>
      </c:scatterChart>
      <c:valAx>
        <c:axId val="1025282968"/>
        <c:scaling>
          <c:orientation val="minMax"/>
          <c:max val="-0.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279368"/>
        <c:crosses val="autoZero"/>
        <c:crossBetween val="midCat"/>
      </c:valAx>
      <c:valAx>
        <c:axId val="102527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282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DMMB!$FL$31:$FL$40</c:f>
              <c:numCache>
                <c:formatCode>0.0000</c:formatCode>
                <c:ptCount val="10"/>
                <c:pt idx="0">
                  <c:v>-0.62149999999999994</c:v>
                </c:pt>
                <c:pt idx="1">
                  <c:v>-0.61649999999999994</c:v>
                </c:pt>
                <c:pt idx="2">
                  <c:v>-0.61399999999999999</c:v>
                </c:pt>
                <c:pt idx="3">
                  <c:v>-0.60349999999999993</c:v>
                </c:pt>
                <c:pt idx="4" formatCode="General">
                  <c:v>-0.58750000000000013</c:v>
                </c:pt>
                <c:pt idx="5" formatCode="General">
                  <c:v>-0.57899999999999996</c:v>
                </c:pt>
                <c:pt idx="6" formatCode="General">
                  <c:v>-0.56850000000000001</c:v>
                </c:pt>
                <c:pt idx="7" formatCode="General">
                  <c:v>-0.55200000000000005</c:v>
                </c:pt>
                <c:pt idx="8" formatCode="General">
                  <c:v>-0.53550000000000009</c:v>
                </c:pt>
                <c:pt idx="9" formatCode="General">
                  <c:v>-0.50700000000000001</c:v>
                </c:pt>
              </c:numCache>
            </c:numRef>
          </c:xVal>
          <c:yVal>
            <c:numRef>
              <c:f>DMMB!$FM$31:$FM$40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FB-4BEA-B3C8-0417BFC09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677168"/>
        <c:axId val="493673928"/>
      </c:scatterChart>
      <c:valAx>
        <c:axId val="493677168"/>
        <c:scaling>
          <c:orientation val="minMax"/>
          <c:max val="-0.45"/>
          <c:min val="-0.6500000000000001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673928"/>
        <c:crosses val="autoZero"/>
        <c:crossBetween val="midCat"/>
      </c:valAx>
      <c:valAx>
        <c:axId val="49367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67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261373578302712E-2"/>
                  <c:y val="-0.33288276465441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OHP!$C$23:$C$32</c:f>
              <c:numCache>
                <c:formatCode>General</c:formatCode>
                <c:ptCount val="10"/>
                <c:pt idx="1">
                  <c:v>0.24730434782608696</c:v>
                </c:pt>
                <c:pt idx="2">
                  <c:v>0.45680434782608692</c:v>
                </c:pt>
                <c:pt idx="3">
                  <c:v>0.81780434782608691</c:v>
                </c:pt>
                <c:pt idx="5">
                  <c:v>0.99780434782608696</c:v>
                </c:pt>
                <c:pt idx="6">
                  <c:v>1.6908043478260868</c:v>
                </c:pt>
                <c:pt idx="7">
                  <c:v>3.025804347826087</c:v>
                </c:pt>
              </c:numCache>
            </c:numRef>
          </c:xVal>
          <c:yVal>
            <c:numRef>
              <c:f>OHP!$D$23:$D$32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32</c:v>
                </c:pt>
                <c:pt idx="7">
                  <c:v>64</c:v>
                </c:pt>
                <c:pt idx="8">
                  <c:v>100</c:v>
                </c:pt>
                <c:pt idx="9">
                  <c:v>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6D-4AC3-8DDB-1D9884A2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782888"/>
        <c:axId val="563784528"/>
      </c:scatterChart>
      <c:valAx>
        <c:axId val="563782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784528"/>
        <c:crosses val="autoZero"/>
        <c:crossBetween val="midCat"/>
      </c:valAx>
      <c:valAx>
        <c:axId val="5637845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782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504790026246719"/>
                  <c:y val="-9.67592592592592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OHP!$R$23:$R$30</c:f>
              <c:numCache>
                <c:formatCode>General</c:formatCode>
                <c:ptCount val="8"/>
                <c:pt idx="1">
                  <c:v>0.26400000000000001</c:v>
                </c:pt>
                <c:pt idx="2">
                  <c:v>0.44600000000000006</c:v>
                </c:pt>
                <c:pt idx="3">
                  <c:v>0.6745000000000001</c:v>
                </c:pt>
                <c:pt idx="5">
                  <c:v>0.88100000000000001</c:v>
                </c:pt>
                <c:pt idx="6">
                  <c:v>1.3085</c:v>
                </c:pt>
                <c:pt idx="7">
                  <c:v>2.593</c:v>
                </c:pt>
              </c:numCache>
            </c:numRef>
          </c:xVal>
          <c:yVal>
            <c:numRef>
              <c:f>OHP!$S$23:$S$30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32</c:v>
                </c:pt>
                <c:pt idx="7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B1-42EA-AAF5-EFD1F1EC2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774800"/>
        <c:axId val="789774472"/>
      </c:scatterChart>
      <c:valAx>
        <c:axId val="78977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774472"/>
        <c:crosses val="autoZero"/>
        <c:crossBetween val="midCat"/>
      </c:valAx>
      <c:valAx>
        <c:axId val="78977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77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6340988626421696E-2"/>
                  <c:y val="-4.22488334791484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OHP!$AG$23:$AG$31</c:f>
              <c:numCache>
                <c:formatCode>General</c:formatCode>
                <c:ptCount val="9"/>
                <c:pt idx="1">
                  <c:v>0.26400000000000001</c:v>
                </c:pt>
                <c:pt idx="2">
                  <c:v>0.40489473684210531</c:v>
                </c:pt>
                <c:pt idx="3">
                  <c:v>0.65639473684210536</c:v>
                </c:pt>
                <c:pt idx="5">
                  <c:v>0.82139473684210529</c:v>
                </c:pt>
                <c:pt idx="6">
                  <c:v>1.3728947368421052</c:v>
                </c:pt>
                <c:pt idx="7">
                  <c:v>2.4148947368421054</c:v>
                </c:pt>
                <c:pt idx="8">
                  <c:v>3.5108947368421051</c:v>
                </c:pt>
              </c:numCache>
            </c:numRef>
          </c:xVal>
          <c:yVal>
            <c:numRef>
              <c:f>OHP!$AH$23:$AH$31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32</c:v>
                </c:pt>
                <c:pt idx="7">
                  <c:v>64</c:v>
                </c:pt>
                <c:pt idx="8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89-4BC0-83F2-7933A36BA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994104"/>
        <c:axId val="926994432"/>
      </c:scatterChart>
      <c:valAx>
        <c:axId val="926994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994432"/>
        <c:crosses val="autoZero"/>
        <c:crossBetween val="midCat"/>
      </c:valAx>
      <c:valAx>
        <c:axId val="92699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994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900699912510936E-3"/>
                  <c:y val="-0.203058836395450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OHP!$AV$23:$AV$31</c:f>
              <c:numCache>
                <c:formatCode>General</c:formatCode>
                <c:ptCount val="9"/>
                <c:pt idx="0">
                  <c:v>-2.630555555555554E-2</c:v>
                </c:pt>
                <c:pt idx="1">
                  <c:v>0.11819444444444446</c:v>
                </c:pt>
                <c:pt idx="2">
                  <c:v>0.23719444444444449</c:v>
                </c:pt>
                <c:pt idx="3">
                  <c:v>0.5161944444444444</c:v>
                </c:pt>
                <c:pt idx="5">
                  <c:v>0.58119444444444446</c:v>
                </c:pt>
                <c:pt idx="6">
                  <c:v>1.1211944444444444</c:v>
                </c:pt>
                <c:pt idx="7">
                  <c:v>2.0706944444444444</c:v>
                </c:pt>
                <c:pt idx="8">
                  <c:v>2.9961944444444439</c:v>
                </c:pt>
              </c:numCache>
            </c:numRef>
          </c:xVal>
          <c:yVal>
            <c:numRef>
              <c:f>OHP!$AW$23:$AW$31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32</c:v>
                </c:pt>
                <c:pt idx="7">
                  <c:v>64</c:v>
                </c:pt>
                <c:pt idx="8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BD-4914-9368-C7F6832B2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523416"/>
        <c:axId val="739523776"/>
      </c:scatterChart>
      <c:valAx>
        <c:axId val="739523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523776"/>
        <c:crosses val="autoZero"/>
        <c:crossBetween val="midCat"/>
      </c:valAx>
      <c:valAx>
        <c:axId val="7395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523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5658355205599301E-3"/>
                  <c:y val="-0.143935185185185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OHP!$BK$23:$BK$30</c:f>
              <c:numCache>
                <c:formatCode>General</c:formatCode>
                <c:ptCount val="8"/>
                <c:pt idx="0">
                  <c:v>-1.6194444444444407E-2</c:v>
                </c:pt>
                <c:pt idx="1">
                  <c:v>0.17780555555555558</c:v>
                </c:pt>
                <c:pt idx="2">
                  <c:v>0.31130555555555561</c:v>
                </c:pt>
                <c:pt idx="3">
                  <c:v>0.50480555555555562</c:v>
                </c:pt>
                <c:pt idx="4">
                  <c:v>0.79680555555555554</c:v>
                </c:pt>
                <c:pt idx="5">
                  <c:v>0.98680555555555571</c:v>
                </c:pt>
                <c:pt idx="6">
                  <c:v>1.9358055555555558</c:v>
                </c:pt>
                <c:pt idx="7">
                  <c:v>3.5078055555555556</c:v>
                </c:pt>
              </c:numCache>
            </c:numRef>
          </c:xVal>
          <c:yVal>
            <c:numRef>
              <c:f>OHP!$BL$23:$BL$30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32</c:v>
                </c:pt>
                <c:pt idx="7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A3-4EBD-83DF-C0373593B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104712"/>
        <c:axId val="797107232"/>
      </c:scatterChart>
      <c:valAx>
        <c:axId val="797104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107232"/>
        <c:crosses val="autoZero"/>
        <c:crossBetween val="midCat"/>
      </c:valAx>
      <c:valAx>
        <c:axId val="79710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104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985345581802276E-2"/>
                  <c:y val="-0.157824074074074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OHP!$BZ$23:$BZ$30</c:f>
              <c:numCache>
                <c:formatCode>General</c:formatCode>
                <c:ptCount val="8"/>
                <c:pt idx="0">
                  <c:v>6.1041666666666952E-3</c:v>
                </c:pt>
                <c:pt idx="1">
                  <c:v>0.15360416666666668</c:v>
                </c:pt>
                <c:pt idx="2">
                  <c:v>0.3271041666666667</c:v>
                </c:pt>
                <c:pt idx="3">
                  <c:v>0.51760416666666675</c:v>
                </c:pt>
                <c:pt idx="4">
                  <c:v>0.75560416666666674</c:v>
                </c:pt>
                <c:pt idx="5">
                  <c:v>0.84110416666666676</c:v>
                </c:pt>
                <c:pt idx="6">
                  <c:v>1.7206041666666665</c:v>
                </c:pt>
                <c:pt idx="7">
                  <c:v>2.9816041666666666</c:v>
                </c:pt>
              </c:numCache>
            </c:numRef>
          </c:xVal>
          <c:yVal>
            <c:numRef>
              <c:f>OHP!$CA$23:$CA$30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32</c:v>
                </c:pt>
                <c:pt idx="7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A-4881-BD28-309CEB54F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473896"/>
        <c:axId val="1019474256"/>
      </c:scatterChart>
      <c:valAx>
        <c:axId val="1019473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474256"/>
        <c:crosses val="autoZero"/>
        <c:crossBetween val="midCat"/>
      </c:valAx>
      <c:valAx>
        <c:axId val="101947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473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7194225721784777E-2"/>
                  <c:y val="-0.162453703703703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OHP!$CO$23:$CO$30</c:f>
              <c:numCache>
                <c:formatCode>General</c:formatCode>
                <c:ptCount val="8"/>
                <c:pt idx="0">
                  <c:v>1.1152173913043482E-2</c:v>
                </c:pt>
                <c:pt idx="1">
                  <c:v>0.12915217391304348</c:v>
                </c:pt>
                <c:pt idx="2">
                  <c:v>0.26215217391304346</c:v>
                </c:pt>
                <c:pt idx="3">
                  <c:v>0.43065217391304345</c:v>
                </c:pt>
                <c:pt idx="4">
                  <c:v>0.65215217391304336</c:v>
                </c:pt>
                <c:pt idx="5">
                  <c:v>0.8151521739130434</c:v>
                </c:pt>
                <c:pt idx="6">
                  <c:v>1.5841521739130435</c:v>
                </c:pt>
                <c:pt idx="7">
                  <c:v>2.9051521739130433</c:v>
                </c:pt>
              </c:numCache>
            </c:numRef>
          </c:xVal>
          <c:yVal>
            <c:numRef>
              <c:f>OHP!$CP$23:$CP$30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32</c:v>
                </c:pt>
                <c:pt idx="7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2C-4996-B4A1-D30DA8EB5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572800"/>
        <c:axId val="724578560"/>
      </c:scatterChart>
      <c:valAx>
        <c:axId val="72457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578560"/>
        <c:crosses val="autoZero"/>
        <c:crossBetween val="midCat"/>
      </c:valAx>
      <c:valAx>
        <c:axId val="72457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57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7557524059492565E-2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OHP!$DD$23:$DD$30</c:f>
              <c:numCache>
                <c:formatCode>General</c:formatCode>
                <c:ptCount val="8"/>
                <c:pt idx="0">
                  <c:v>6.1111111111107619E-4</c:v>
                </c:pt>
                <c:pt idx="1">
                  <c:v>0.21561111111111106</c:v>
                </c:pt>
                <c:pt idx="2">
                  <c:v>0.31561111111111106</c:v>
                </c:pt>
                <c:pt idx="3">
                  <c:v>0.68011111111111111</c:v>
                </c:pt>
                <c:pt idx="4">
                  <c:v>0.86311111111111116</c:v>
                </c:pt>
                <c:pt idx="5">
                  <c:v>1.0871111111111111</c:v>
                </c:pt>
                <c:pt idx="6">
                  <c:v>1.9606111111111111</c:v>
                </c:pt>
                <c:pt idx="7">
                  <c:v>3.630611111111111</c:v>
                </c:pt>
              </c:numCache>
            </c:numRef>
          </c:xVal>
          <c:yVal>
            <c:numRef>
              <c:f>OHP!$DE$23:$DE$30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32</c:v>
                </c:pt>
                <c:pt idx="7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D0-4F9B-AD47-399A9A2DB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1776568"/>
        <c:axId val="831778008"/>
      </c:scatterChart>
      <c:valAx>
        <c:axId val="831776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778008"/>
        <c:crosses val="autoZero"/>
        <c:crossBetween val="midCat"/>
      </c:valAx>
      <c:valAx>
        <c:axId val="83177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776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OHP!$DS$23:$DS$29</c:f>
              <c:numCache>
                <c:formatCode>General</c:formatCode>
                <c:ptCount val="7"/>
                <c:pt idx="0">
                  <c:v>1.0250000000000002E-2</c:v>
                </c:pt>
                <c:pt idx="1">
                  <c:v>0.21375000000000002</c:v>
                </c:pt>
                <c:pt idx="2">
                  <c:v>0.34624999999999995</c:v>
                </c:pt>
                <c:pt idx="3">
                  <c:v>0.75374999999999992</c:v>
                </c:pt>
                <c:pt idx="4">
                  <c:v>1.0042499999999999</c:v>
                </c:pt>
                <c:pt idx="5">
                  <c:v>1.2617500000000001</c:v>
                </c:pt>
                <c:pt idx="6">
                  <c:v>2.3272500000000003</c:v>
                </c:pt>
              </c:numCache>
            </c:numRef>
          </c:xVal>
          <c:yVal>
            <c:numRef>
              <c:f>OHP!$DT$23:$DT$29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CA-4B92-891B-458A7D335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206616"/>
        <c:axId val="577204816"/>
      </c:scatterChart>
      <c:valAx>
        <c:axId val="577206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04816"/>
        <c:crosses val="autoZero"/>
        <c:crossBetween val="midCat"/>
      </c:valAx>
      <c:valAx>
        <c:axId val="57720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06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5858267716535434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OHP!$EH$23:$EH$29</c:f>
              <c:numCache>
                <c:formatCode>General</c:formatCode>
                <c:ptCount val="7"/>
                <c:pt idx="0">
                  <c:v>6.2222222222222193E-3</c:v>
                </c:pt>
                <c:pt idx="1">
                  <c:v>0.1452222222222222</c:v>
                </c:pt>
                <c:pt idx="2">
                  <c:v>0.36722222222222223</c:v>
                </c:pt>
                <c:pt idx="3">
                  <c:v>0.67122222222222216</c:v>
                </c:pt>
                <c:pt idx="4">
                  <c:v>1.0267222222222223</c:v>
                </c:pt>
                <c:pt idx="5">
                  <c:v>1.3757222222222223</c:v>
                </c:pt>
                <c:pt idx="6">
                  <c:v>2.4932222222222222</c:v>
                </c:pt>
              </c:numCache>
            </c:numRef>
          </c:xVal>
          <c:yVal>
            <c:numRef>
              <c:f>OHP!$EI$23:$EI$29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12-49F4-B380-C13936CFB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916472"/>
        <c:axId val="863915392"/>
      </c:scatterChart>
      <c:valAx>
        <c:axId val="863916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915392"/>
        <c:crosses val="autoZero"/>
        <c:crossBetween val="midCat"/>
      </c:valAx>
      <c:valAx>
        <c:axId val="86391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916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8826990376202975E-2"/>
                  <c:y val="-2.0288152054387696E-2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'MMP Activity'!$C$12:$C$19</c:f>
              <c:numCache>
                <c:formatCode>General</c:formatCode>
                <c:ptCount val="8"/>
                <c:pt idx="0">
                  <c:v>0</c:v>
                </c:pt>
                <c:pt idx="1">
                  <c:v>16441.5</c:v>
                </c:pt>
                <c:pt idx="2">
                  <c:v>29327</c:v>
                </c:pt>
                <c:pt idx="3">
                  <c:v>53409</c:v>
                </c:pt>
                <c:pt idx="4">
                  <c:v>100173</c:v>
                </c:pt>
                <c:pt idx="6">
                  <c:v>341643</c:v>
                </c:pt>
                <c:pt idx="7">
                  <c:v>670746</c:v>
                </c:pt>
              </c:numCache>
            </c:numRef>
          </c:xVal>
          <c:yVal>
            <c:numRef>
              <c:f>'MMP Activity'!$D$12:$D$19</c:f>
              <c:numCache>
                <c:formatCode>General</c:formatCode>
                <c:ptCount val="8"/>
                <c:pt idx="0">
                  <c:v>0</c:v>
                </c:pt>
                <c:pt idx="1">
                  <c:v>3.9E-2</c:v>
                </c:pt>
                <c:pt idx="2">
                  <c:v>7.8E-2</c:v>
                </c:pt>
                <c:pt idx="3">
                  <c:v>0.156</c:v>
                </c:pt>
                <c:pt idx="4">
                  <c:v>0.3125</c:v>
                </c:pt>
                <c:pt idx="5">
                  <c:v>0.625</c:v>
                </c:pt>
                <c:pt idx="6">
                  <c:v>1.25</c:v>
                </c:pt>
                <c:pt idx="7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5C-41E8-AD93-2D938FCD7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242456"/>
        <c:axId val="1247243176"/>
      </c:scatterChart>
      <c:valAx>
        <c:axId val="1247242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43176"/>
        <c:crosses val="autoZero"/>
        <c:crossBetween val="midCat"/>
      </c:valAx>
      <c:valAx>
        <c:axId val="124724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42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MMP-3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'MSD_MMP_Data-SIGNAL'!$J$4:$J$9</c:f>
              <c:strCache>
                <c:ptCount val="6"/>
                <c:pt idx="0">
                  <c:v>15%</c:v>
                </c:pt>
                <c:pt idx="1">
                  <c:v>50%</c:v>
                </c:pt>
                <c:pt idx="2">
                  <c:v>NC</c:v>
                </c:pt>
                <c:pt idx="3">
                  <c:v>15%</c:v>
                </c:pt>
                <c:pt idx="4">
                  <c:v>50%</c:v>
                </c:pt>
                <c:pt idx="5">
                  <c:v>NC</c:v>
                </c:pt>
              </c:strCache>
            </c:strRef>
          </c:cat>
          <c:val>
            <c:numRef>
              <c:f>'MSD_MMP_Data-SIGNAL'!$Q$4:$Q$9</c:f>
              <c:numCache>
                <c:formatCode>General</c:formatCode>
                <c:ptCount val="6"/>
                <c:pt idx="0">
                  <c:v>473.2</c:v>
                </c:pt>
                <c:pt idx="1">
                  <c:v>9636.25</c:v>
                </c:pt>
                <c:pt idx="2">
                  <c:v>4559</c:v>
                </c:pt>
                <c:pt idx="3">
                  <c:v>4049.2</c:v>
                </c:pt>
                <c:pt idx="4">
                  <c:v>5955.5</c:v>
                </c:pt>
                <c:pt idx="5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C-474C-A1AE-F006262E2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98232335"/>
        <c:axId val="1098232815"/>
        <c:axId val="0"/>
      </c:bar3DChart>
      <c:catAx>
        <c:axId val="109823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232815"/>
        <c:crosses val="autoZero"/>
        <c:auto val="1"/>
        <c:lblAlgn val="ctr"/>
        <c:lblOffset val="100"/>
        <c:noMultiLvlLbl val="0"/>
      </c:catAx>
      <c:valAx>
        <c:axId val="10982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23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9.xml"/><Relationship Id="rId3" Type="http://schemas.openxmlformats.org/officeDocument/2006/relationships/chart" Target="../charts/chart34.xml"/><Relationship Id="rId7" Type="http://schemas.openxmlformats.org/officeDocument/2006/relationships/chart" Target="../charts/chart38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5" Type="http://schemas.openxmlformats.org/officeDocument/2006/relationships/chart" Target="../charts/chart36.xml"/><Relationship Id="rId10" Type="http://schemas.openxmlformats.org/officeDocument/2006/relationships/chart" Target="../charts/chart41.xml"/><Relationship Id="rId4" Type="http://schemas.openxmlformats.org/officeDocument/2006/relationships/chart" Target="../charts/chart35.xml"/><Relationship Id="rId9" Type="http://schemas.openxmlformats.org/officeDocument/2006/relationships/chart" Target="../charts/chart4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500062</xdr:colOff>
      <xdr:row>14</xdr:row>
      <xdr:rowOff>147637</xdr:rowOff>
    </xdr:from>
    <xdr:to>
      <xdr:col>20</xdr:col>
      <xdr:colOff>195262</xdr:colOff>
      <xdr:row>29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42114B-6188-EF62-6A2F-C8A8245BB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500062</xdr:colOff>
      <xdr:row>29</xdr:row>
      <xdr:rowOff>138112</xdr:rowOff>
    </xdr:from>
    <xdr:to>
      <xdr:col>20</xdr:col>
      <xdr:colOff>195262</xdr:colOff>
      <xdr:row>44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CE7586-482C-A289-0796-6A54483AA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519112</xdr:colOff>
      <xdr:row>44</xdr:row>
      <xdr:rowOff>52387</xdr:rowOff>
    </xdr:from>
    <xdr:to>
      <xdr:col>20</xdr:col>
      <xdr:colOff>214312</xdr:colOff>
      <xdr:row>58</xdr:row>
      <xdr:rowOff>128587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7712DE-DAA4-22E7-455E-27DAB07E7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328612</xdr:colOff>
      <xdr:row>9</xdr:row>
      <xdr:rowOff>176212</xdr:rowOff>
    </xdr:from>
    <xdr:to>
      <xdr:col>22</xdr:col>
      <xdr:colOff>23812</xdr:colOff>
      <xdr:row>24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8924C7-580F-4DF9-7200-42BBBF3A8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300037</xdr:colOff>
      <xdr:row>24</xdr:row>
      <xdr:rowOff>176212</xdr:rowOff>
    </xdr:from>
    <xdr:to>
      <xdr:col>21</xdr:col>
      <xdr:colOff>604837</xdr:colOff>
      <xdr:row>39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025CAA-F029-6B06-9A65-0A3158632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300037</xdr:colOff>
      <xdr:row>39</xdr:row>
      <xdr:rowOff>157162</xdr:rowOff>
    </xdr:from>
    <xdr:to>
      <xdr:col>21</xdr:col>
      <xdr:colOff>604837</xdr:colOff>
      <xdr:row>54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21C2F4-61EA-A4DE-2AD7-0084ABA23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20</xdr:row>
      <xdr:rowOff>23812</xdr:rowOff>
    </xdr:from>
    <xdr:to>
      <xdr:col>13</xdr:col>
      <xdr:colOff>390525</xdr:colOff>
      <xdr:row>34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97693C-0CCC-4767-9FD8-543BF58F6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466725</xdr:colOff>
      <xdr:row>20</xdr:row>
      <xdr:rowOff>9525</xdr:rowOff>
    </xdr:from>
    <xdr:to>
      <xdr:col>27</xdr:col>
      <xdr:colOff>161925</xdr:colOff>
      <xdr:row>34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8C59DB-3AA2-4EFC-AB76-FED3AFA58B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304800</xdr:colOff>
      <xdr:row>20</xdr:row>
      <xdr:rowOff>38100</xdr:rowOff>
    </xdr:from>
    <xdr:to>
      <xdr:col>43</xdr:col>
      <xdr:colOff>0</xdr:colOff>
      <xdr:row>34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CAB103-3B82-9268-9244-644FCD74A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514350</xdr:colOff>
      <xdr:row>20</xdr:row>
      <xdr:rowOff>47625</xdr:rowOff>
    </xdr:from>
    <xdr:to>
      <xdr:col>58</xdr:col>
      <xdr:colOff>209550</xdr:colOff>
      <xdr:row>34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1A00A0-E09E-9D92-E9B1-706680298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65</xdr:col>
      <xdr:colOff>400050</xdr:colOff>
      <xdr:row>20</xdr:row>
      <xdr:rowOff>80962</xdr:rowOff>
    </xdr:from>
    <xdr:to>
      <xdr:col>73</xdr:col>
      <xdr:colOff>95250</xdr:colOff>
      <xdr:row>34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BA8173-441B-8920-5E55-AE36648D6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80</xdr:col>
      <xdr:colOff>341779</xdr:colOff>
      <xdr:row>20</xdr:row>
      <xdr:rowOff>34737</xdr:rowOff>
    </xdr:from>
    <xdr:to>
      <xdr:col>88</xdr:col>
      <xdr:colOff>72838</xdr:colOff>
      <xdr:row>34</xdr:row>
      <xdr:rowOff>110937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4E7D88-7C23-E2EC-66B8-A413BF20C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95</xdr:col>
      <xdr:colOff>209550</xdr:colOff>
      <xdr:row>20</xdr:row>
      <xdr:rowOff>42862</xdr:rowOff>
    </xdr:from>
    <xdr:to>
      <xdr:col>102</xdr:col>
      <xdr:colOff>514350</xdr:colOff>
      <xdr:row>34</xdr:row>
      <xdr:rowOff>119062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38E9FF8-C3A3-9993-E325-88A817F8B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110</xdr:col>
      <xdr:colOff>523875</xdr:colOff>
      <xdr:row>20</xdr:row>
      <xdr:rowOff>52387</xdr:rowOff>
    </xdr:from>
    <xdr:to>
      <xdr:col>118</xdr:col>
      <xdr:colOff>219075</xdr:colOff>
      <xdr:row>34</xdr:row>
      <xdr:rowOff>128587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781F8E6-7102-44F4-3C3C-BF3A5B703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126</xdr:col>
      <xdr:colOff>228600</xdr:colOff>
      <xdr:row>20</xdr:row>
      <xdr:rowOff>33337</xdr:rowOff>
    </xdr:from>
    <xdr:to>
      <xdr:col>133</xdr:col>
      <xdr:colOff>533400</xdr:colOff>
      <xdr:row>34</xdr:row>
      <xdr:rowOff>109537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17E8B29-D186-D0F2-480C-DC2D11C2C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140</xdr:col>
      <xdr:colOff>285750</xdr:colOff>
      <xdr:row>20</xdr:row>
      <xdr:rowOff>42862</xdr:rowOff>
    </xdr:from>
    <xdr:to>
      <xdr:col>147</xdr:col>
      <xdr:colOff>590550</xdr:colOff>
      <xdr:row>34</xdr:row>
      <xdr:rowOff>119062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6CA519E-DB26-6205-7C28-1034E826D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156</xdr:col>
      <xdr:colOff>0</xdr:colOff>
      <xdr:row>20</xdr:row>
      <xdr:rowOff>23812</xdr:rowOff>
    </xdr:from>
    <xdr:to>
      <xdr:col>163</xdr:col>
      <xdr:colOff>304800</xdr:colOff>
      <xdr:row>34</xdr:row>
      <xdr:rowOff>100012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3ADADD1-1ADB-E94D-18B0-C6381AF07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171</xdr:col>
      <xdr:colOff>85725</xdr:colOff>
      <xdr:row>20</xdr:row>
      <xdr:rowOff>42862</xdr:rowOff>
    </xdr:from>
    <xdr:to>
      <xdr:col>178</xdr:col>
      <xdr:colOff>390525</xdr:colOff>
      <xdr:row>34</xdr:row>
      <xdr:rowOff>119062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070AE7F-DF89-F0F1-C7B9-01EF28A7E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185</xdr:col>
      <xdr:colOff>400050</xdr:colOff>
      <xdr:row>20</xdr:row>
      <xdr:rowOff>23812</xdr:rowOff>
    </xdr:from>
    <xdr:to>
      <xdr:col>193</xdr:col>
      <xdr:colOff>95250</xdr:colOff>
      <xdr:row>34</xdr:row>
      <xdr:rowOff>100012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836019B-608E-9C3C-0511-B40F5118A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28</xdr:row>
      <xdr:rowOff>100012</xdr:rowOff>
    </xdr:from>
    <xdr:to>
      <xdr:col>12</xdr:col>
      <xdr:colOff>228600</xdr:colOff>
      <xdr:row>42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99BBB0-5E25-4DA8-9B63-A478FFDE8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371475</xdr:colOff>
      <xdr:row>28</xdr:row>
      <xdr:rowOff>19050</xdr:rowOff>
    </xdr:from>
    <xdr:to>
      <xdr:col>27</xdr:col>
      <xdr:colOff>66675</xdr:colOff>
      <xdr:row>42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99BB7B-32D0-43D8-B2F4-70E598F1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409575</xdr:colOff>
      <xdr:row>28</xdr:row>
      <xdr:rowOff>66675</xdr:rowOff>
    </xdr:from>
    <xdr:to>
      <xdr:col>42</xdr:col>
      <xdr:colOff>104775</xdr:colOff>
      <xdr:row>42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80484D-374F-0282-67BA-687F82B2D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49</xdr:col>
      <xdr:colOff>314325</xdr:colOff>
      <xdr:row>28</xdr:row>
      <xdr:rowOff>47625</xdr:rowOff>
    </xdr:from>
    <xdr:to>
      <xdr:col>57</xdr:col>
      <xdr:colOff>9525</xdr:colOff>
      <xdr:row>42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5E3289-F7F7-CED4-F28E-92868F00D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64</xdr:col>
      <xdr:colOff>419100</xdr:colOff>
      <xdr:row>28</xdr:row>
      <xdr:rowOff>61912</xdr:rowOff>
    </xdr:from>
    <xdr:to>
      <xdr:col>72</xdr:col>
      <xdr:colOff>114300</xdr:colOff>
      <xdr:row>42</xdr:row>
      <xdr:rowOff>138112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4BB1E1-18A7-1CE0-655C-C6D974144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79</xdr:col>
      <xdr:colOff>447675</xdr:colOff>
      <xdr:row>28</xdr:row>
      <xdr:rowOff>71437</xdr:rowOff>
    </xdr:from>
    <xdr:to>
      <xdr:col>87</xdr:col>
      <xdr:colOff>142875</xdr:colOff>
      <xdr:row>42</xdr:row>
      <xdr:rowOff>147637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8B87B51-1176-7D36-817F-48529D508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94</xdr:col>
      <xdr:colOff>314325</xdr:colOff>
      <xdr:row>28</xdr:row>
      <xdr:rowOff>90487</xdr:rowOff>
    </xdr:from>
    <xdr:to>
      <xdr:col>102</xdr:col>
      <xdr:colOff>9525</xdr:colOff>
      <xdr:row>42</xdr:row>
      <xdr:rowOff>166687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EECBE6F-5EC4-29D3-C449-63385645A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110</xdr:col>
      <xdr:colOff>114300</xdr:colOff>
      <xdr:row>28</xdr:row>
      <xdr:rowOff>42862</xdr:rowOff>
    </xdr:from>
    <xdr:to>
      <xdr:col>117</xdr:col>
      <xdr:colOff>419100</xdr:colOff>
      <xdr:row>42</xdr:row>
      <xdr:rowOff>119062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8A4D954-2574-F054-456E-87FAB8BC7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124</xdr:col>
      <xdr:colOff>600075</xdr:colOff>
      <xdr:row>28</xdr:row>
      <xdr:rowOff>33337</xdr:rowOff>
    </xdr:from>
    <xdr:to>
      <xdr:col>132</xdr:col>
      <xdr:colOff>295275</xdr:colOff>
      <xdr:row>42</xdr:row>
      <xdr:rowOff>109537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2EB0CBB-1DCC-B2D6-30E6-E329D4C00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139</xdr:col>
      <xdr:colOff>447675</xdr:colOff>
      <xdr:row>28</xdr:row>
      <xdr:rowOff>42862</xdr:rowOff>
    </xdr:from>
    <xdr:to>
      <xdr:col>147</xdr:col>
      <xdr:colOff>142875</xdr:colOff>
      <xdr:row>42</xdr:row>
      <xdr:rowOff>119062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0E18113-A370-C383-A715-0306BF44C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154</xdr:col>
      <xdr:colOff>495300</xdr:colOff>
      <xdr:row>28</xdr:row>
      <xdr:rowOff>42862</xdr:rowOff>
    </xdr:from>
    <xdr:to>
      <xdr:col>162</xdr:col>
      <xdr:colOff>190500</xdr:colOff>
      <xdr:row>42</xdr:row>
      <xdr:rowOff>119062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AE88FF1-38FC-08BB-CE3A-A594E5100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169</xdr:col>
      <xdr:colOff>257175</xdr:colOff>
      <xdr:row>28</xdr:row>
      <xdr:rowOff>42862</xdr:rowOff>
    </xdr:from>
    <xdr:to>
      <xdr:col>176</xdr:col>
      <xdr:colOff>561975</xdr:colOff>
      <xdr:row>42</xdr:row>
      <xdr:rowOff>119062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83E302C-78CA-BA17-D25F-52AD21F92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20</xdr:row>
      <xdr:rowOff>23812</xdr:rowOff>
    </xdr:from>
    <xdr:to>
      <xdr:col>12</xdr:col>
      <xdr:colOff>314325</xdr:colOff>
      <xdr:row>34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5927E8-03DB-4CC0-A180-D5C617E8F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409575</xdr:colOff>
      <xdr:row>20</xdr:row>
      <xdr:rowOff>28575</xdr:rowOff>
    </xdr:from>
    <xdr:to>
      <xdr:col>27</xdr:col>
      <xdr:colOff>552450</xdr:colOff>
      <xdr:row>34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1E7FB6-31B1-DF90-1A3E-11EA4CC78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285750</xdr:colOff>
      <xdr:row>20</xdr:row>
      <xdr:rowOff>19050</xdr:rowOff>
    </xdr:from>
    <xdr:to>
      <xdr:col>42</xdr:col>
      <xdr:colOff>590550</xdr:colOff>
      <xdr:row>34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3E4601-9AD9-F567-FA58-30BB095EC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49</xdr:col>
      <xdr:colOff>466725</xdr:colOff>
      <xdr:row>20</xdr:row>
      <xdr:rowOff>52387</xdr:rowOff>
    </xdr:from>
    <xdr:to>
      <xdr:col>57</xdr:col>
      <xdr:colOff>161925</xdr:colOff>
      <xdr:row>34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3436AF-9E23-F2C8-01C4-0D2A8AC54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64</xdr:col>
      <xdr:colOff>476250</xdr:colOff>
      <xdr:row>20</xdr:row>
      <xdr:rowOff>14287</xdr:rowOff>
    </xdr:from>
    <xdr:to>
      <xdr:col>72</xdr:col>
      <xdr:colOff>171450</xdr:colOff>
      <xdr:row>34</xdr:row>
      <xdr:rowOff>90487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10C0932-42B4-3A57-2FF8-91C851789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79</xdr:col>
      <xdr:colOff>285750</xdr:colOff>
      <xdr:row>20</xdr:row>
      <xdr:rowOff>4762</xdr:rowOff>
    </xdr:from>
    <xdr:to>
      <xdr:col>86</xdr:col>
      <xdr:colOff>590550</xdr:colOff>
      <xdr:row>34</xdr:row>
      <xdr:rowOff>80962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F664CCC-F0D4-49F5-79B8-7A87FC75A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94</xdr:col>
      <xdr:colOff>400050</xdr:colOff>
      <xdr:row>20</xdr:row>
      <xdr:rowOff>42862</xdr:rowOff>
    </xdr:from>
    <xdr:to>
      <xdr:col>102</xdr:col>
      <xdr:colOff>95250</xdr:colOff>
      <xdr:row>34</xdr:row>
      <xdr:rowOff>119062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5A45954-F4DE-C661-F905-615EA6EE3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109</xdr:col>
      <xdr:colOff>447675</xdr:colOff>
      <xdr:row>20</xdr:row>
      <xdr:rowOff>23812</xdr:rowOff>
    </xdr:from>
    <xdr:to>
      <xdr:col>117</xdr:col>
      <xdr:colOff>142875</xdr:colOff>
      <xdr:row>34</xdr:row>
      <xdr:rowOff>100012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A73089B-DDA5-64C2-3A1F-C2594E6C9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124</xdr:col>
      <xdr:colOff>581025</xdr:colOff>
      <xdr:row>20</xdr:row>
      <xdr:rowOff>42862</xdr:rowOff>
    </xdr:from>
    <xdr:to>
      <xdr:col>132</xdr:col>
      <xdr:colOff>276225</xdr:colOff>
      <xdr:row>34</xdr:row>
      <xdr:rowOff>119062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D3C17AA-A357-35BC-5D26-FB31FA769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139</xdr:col>
      <xdr:colOff>600075</xdr:colOff>
      <xdr:row>20</xdr:row>
      <xdr:rowOff>33337</xdr:rowOff>
    </xdr:from>
    <xdr:to>
      <xdr:col>147</xdr:col>
      <xdr:colOff>295275</xdr:colOff>
      <xdr:row>34</xdr:row>
      <xdr:rowOff>109537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A2E42E3-9ADD-A10C-F490-9FE136B11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10</xdr:row>
      <xdr:rowOff>109537</xdr:rowOff>
    </xdr:from>
    <xdr:to>
      <xdr:col>13</xdr:col>
      <xdr:colOff>333375</xdr:colOff>
      <xdr:row>26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670206-292B-C2D1-2BF2-082B270E4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104775</xdr:colOff>
      <xdr:row>19</xdr:row>
      <xdr:rowOff>176212</xdr:rowOff>
    </xdr:from>
    <xdr:to>
      <xdr:col>21</xdr:col>
      <xdr:colOff>409575</xdr:colOff>
      <xdr:row>34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50A524-9A33-C0B9-C985-85279CC1E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cute%20Injury/AcuteInjury_AllData.xlsx" TargetMode="External"/><Relationship Id="rId2" Type="http://schemas.openxmlformats.org/officeDocument/2006/relationships/externalLinkPath" Target="file:///U:\eng_research_ConnizzoLab\Users\smlawer\_Data\Acute%20Injury\AcuteInjury_AllData.xlsx" TargetMode="External"/><Relationship Id="rId1" Type="http://schemas.openxmlformats.org/officeDocument/2006/relationships/externalLinkPath" Target="/eng_research_ConnizzoLab/Users/smlawer/_Data/Acute%20Injury/AcuteInjury_AllDat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estowe/_DATA/_PROJECTS/Adaptive%20Remodeling%20(AR)/qPCR/AR_qPCR_Analysis_AllTargets_2.xlsx" TargetMode="External"/><Relationship Id="rId2" Type="http://schemas.openxmlformats.org/officeDocument/2006/relationships/externalLinkPath" Target="file:///U:\eng_research_ConnizzoLab\Users\estowe\_DATA\_PROJECTS\Adaptive%20Remodeling%20(AR)\qPCR\AR_qPCR_Analysis_AllTargets_2.xlsx" TargetMode="External"/><Relationship Id="rId1" Type="http://schemas.openxmlformats.org/officeDocument/2006/relationships/externalLinkPath" Target="/eng_research_ConnizzoLab/Users/estowe/_DATA/_PROJECTS/Adaptive%20Remodeling%20(AR)/qPCR/AR_qPCR_Analysis_AllTargets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le of Contents"/>
      <sheetName val="All Data Summary"/>
      <sheetName val="All Data Stats"/>
      <sheetName val="Viability"/>
      <sheetName val="Biochem Summary"/>
      <sheetName val="Alamar Blue - Raw"/>
      <sheetName val="Alamar Blue - Analysis"/>
      <sheetName val="Picogreen"/>
      <sheetName val="DMMB"/>
      <sheetName val="OHP"/>
      <sheetName val="Weights"/>
      <sheetName val="Rx"/>
      <sheetName val="MMP Activity"/>
      <sheetName val="MSD Raw Data"/>
      <sheetName val="MSD Pivot Table"/>
      <sheetName val="MSD Analysis"/>
      <sheetName val="Histology"/>
      <sheetName val="H&amp;E"/>
      <sheetName val="SHG"/>
      <sheetName val="TolBlue"/>
      <sheetName val="PCR Results"/>
      <sheetName val="Gene Expression"/>
      <sheetName val="PCR Raw Data"/>
      <sheetName val="Mechanics"/>
    </sheetNames>
    <sheetDataSet>
      <sheetData sheetId="0"/>
      <sheetData sheetId="1"/>
      <sheetData sheetId="2"/>
      <sheetData sheetId="3">
        <row r="8">
          <cell r="Z8">
            <v>35.634214920371214</v>
          </cell>
          <cell r="AA8">
            <v>6.2580261215710378</v>
          </cell>
          <cell r="AB8">
            <v>6</v>
          </cell>
        </row>
        <row r="29">
          <cell r="S29">
            <v>34.899824577601329</v>
          </cell>
        </row>
        <row r="30">
          <cell r="S30">
            <v>16.745217632381483</v>
          </cell>
        </row>
        <row r="31">
          <cell r="S31">
            <v>28.410553410553412</v>
          </cell>
        </row>
        <row r="32">
          <cell r="S32">
            <v>49.343704423918325</v>
          </cell>
        </row>
        <row r="33">
          <cell r="S33">
            <v>29.629125999999999</v>
          </cell>
        </row>
        <row r="34">
          <cell r="S34">
            <v>51.534435999999999</v>
          </cell>
        </row>
        <row r="35">
          <cell r="S35">
            <v>40.863829000000003</v>
          </cell>
        </row>
        <row r="36">
          <cell r="S36">
            <v>19.466355</v>
          </cell>
        </row>
        <row r="37">
          <cell r="S37">
            <v>40.358998</v>
          </cell>
        </row>
        <row r="38">
          <cell r="S38">
            <v>37.747352999999997</v>
          </cell>
        </row>
        <row r="40">
          <cell r="S40">
            <v>34.899939704445451</v>
          </cell>
        </row>
      </sheetData>
      <sheetData sheetId="4">
        <row r="104">
          <cell r="X104">
            <v>1.2831872449295151E-3</v>
          </cell>
        </row>
        <row r="105">
          <cell r="X105">
            <v>1.6902125651519651E-3</v>
          </cell>
        </row>
        <row r="106">
          <cell r="X106">
            <v>1.2635466587784363E-3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">
          <cell r="K5">
            <v>1.9312205129798593E-6</v>
          </cell>
          <cell r="BY5">
            <v>5.5442400423049966E-7</v>
          </cell>
          <cell r="CE5">
            <v>1.5286290513023307E-6</v>
          </cell>
        </row>
        <row r="6">
          <cell r="K6">
            <v>8.2619073421333554E-6</v>
          </cell>
          <cell r="BY6">
            <v>4.8704924471199532E-7</v>
          </cell>
          <cell r="CE6">
            <v>1.4332794848392138E-6</v>
          </cell>
        </row>
        <row r="7">
          <cell r="CE7">
            <v>6.7939485639055925E-7</v>
          </cell>
        </row>
        <row r="8">
          <cell r="CE8">
            <v>7.388331908114666E-7</v>
          </cell>
        </row>
        <row r="9">
          <cell r="E9">
            <v>1.089855757724351E-4</v>
          </cell>
          <cell r="BS9">
            <v>1.8999923384868384E-9</v>
          </cell>
        </row>
        <row r="10">
          <cell r="E10">
            <v>1.6795600724022215E-4</v>
          </cell>
          <cell r="BS10">
            <v>2.1321073367397137E-9</v>
          </cell>
        </row>
        <row r="11">
          <cell r="K11">
            <v>6.280939701967167E-6</v>
          </cell>
        </row>
        <row r="12">
          <cell r="K12">
            <v>6.7580163919386906E-6</v>
          </cell>
        </row>
        <row r="13">
          <cell r="K13">
            <v>7.3205425381301961E-6</v>
          </cell>
          <cell r="BY13">
            <v>3.179098556434431E-7</v>
          </cell>
          <cell r="CE13">
            <v>8.6325884046860736E-7</v>
          </cell>
        </row>
        <row r="14">
          <cell r="K14">
            <v>8.3602695917418574E-6</v>
          </cell>
          <cell r="BY14">
            <v>3.2824254112749247E-7</v>
          </cell>
          <cell r="CE14">
            <v>8.5186922944858825E-7</v>
          </cell>
        </row>
      </sheetData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orksheet (Plates 1-4)"/>
      <sheetName val="CTE (Plates 1-4)"/>
      <sheetName val="Pivot Table (Plates 1-4)"/>
      <sheetName val="Worksheet (Plates 5-6)"/>
      <sheetName val="CTE (Plates 5-6)"/>
      <sheetName val="Pivot Table (Plates 5-6)"/>
      <sheetName val="Worksheet (Plate 7)"/>
      <sheetName val="CTE (Plates 7)"/>
      <sheetName val="Pivot Table (Plate 7)"/>
      <sheetName val="Worksheet (Plate 8 and 9)"/>
      <sheetName val="CTE (Plates 8 and 9)"/>
      <sheetName val="Pivot Table (Plate 8 and 9)"/>
      <sheetName val="Worksheet (Plate 10-13)"/>
      <sheetName val="CTE (Plates 10-13)"/>
      <sheetName val="Pivot Table (Plates 10-13)"/>
      <sheetName val="Worksheet (AR22 AR23 P1-2)"/>
      <sheetName val="CTE (AR22 AR23 P1-2)"/>
      <sheetName val="Pivot Table (AR22 AR23 P1-2)"/>
      <sheetName val="Summary Data"/>
      <sheetName val="Summary Data Outlier Analysis"/>
      <sheetName val="Summary Data Outliers Removed"/>
      <sheetName val="Notes"/>
      <sheetName val="Housekeeping Summary"/>
    </sheetNames>
    <sheetDataSet>
      <sheetData sheetId="0"/>
      <sheetData sheetId="1"/>
      <sheetData sheetId="2">
        <row r="5">
          <cell r="P5">
            <v>0.37895864046097477</v>
          </cell>
          <cell r="Q5">
            <v>2.2477770365003881E-3</v>
          </cell>
        </row>
        <row r="10">
          <cell r="P10">
            <v>0.26006265128301964</v>
          </cell>
          <cell r="Q10">
            <v>1.7107437813508074E-3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85FB8-D531-476C-89BF-9D030EB4CD1B}">
  <dimension ref="A1:E38"/>
  <sheetViews>
    <sheetView workbookViewId="0">
      <selection activeCell="A13" sqref="A13"/>
    </sheetView>
  </sheetViews>
  <sheetFormatPr defaultRowHeight="15" x14ac:dyDescent="0.25"/>
  <cols>
    <col min="1" max="1" width="255.5703125" customWidth="1"/>
  </cols>
  <sheetData>
    <row r="1" spans="1:5" x14ac:dyDescent="0.25">
      <c r="A1" s="357" t="s">
        <v>0</v>
      </c>
      <c r="B1" s="359"/>
      <c r="C1" s="359"/>
      <c r="D1" s="359"/>
      <c r="E1" s="359"/>
    </row>
    <row r="2" spans="1:5" x14ac:dyDescent="0.25">
      <c r="A2" s="358" t="s">
        <v>1</v>
      </c>
      <c r="B2" s="359"/>
      <c r="C2" s="359"/>
      <c r="D2" s="359"/>
      <c r="E2" s="359"/>
    </row>
    <row r="3" spans="1:5" x14ac:dyDescent="0.25">
      <c r="A3" s="358" t="s">
        <v>2</v>
      </c>
      <c r="B3" s="359"/>
      <c r="C3" s="359"/>
      <c r="D3" s="359"/>
      <c r="E3" s="359"/>
    </row>
    <row r="4" spans="1:5" x14ac:dyDescent="0.25">
      <c r="A4" s="358" t="s">
        <v>3</v>
      </c>
      <c r="B4" s="359"/>
      <c r="C4" s="359"/>
      <c r="D4" s="359"/>
      <c r="E4" s="359"/>
    </row>
    <row r="5" spans="1:5" x14ac:dyDescent="0.25">
      <c r="A5" s="357" t="s">
        <v>4</v>
      </c>
      <c r="B5" s="359"/>
      <c r="C5" s="359"/>
      <c r="D5" s="359"/>
      <c r="E5" s="359"/>
    </row>
    <row r="6" spans="1:5" x14ac:dyDescent="0.25">
      <c r="A6" s="358" t="s">
        <v>5</v>
      </c>
      <c r="B6" s="359"/>
      <c r="C6" s="359"/>
      <c r="D6" s="359"/>
      <c r="E6" s="359"/>
    </row>
    <row r="7" spans="1:5" x14ac:dyDescent="0.25">
      <c r="A7" s="358" t="s">
        <v>263</v>
      </c>
      <c r="B7" s="359"/>
      <c r="C7" s="359"/>
      <c r="D7" s="359"/>
      <c r="E7" s="359"/>
    </row>
    <row r="8" spans="1:5" x14ac:dyDescent="0.25">
      <c r="A8" s="358" t="s">
        <v>264</v>
      </c>
      <c r="B8" s="359"/>
      <c r="C8" s="359"/>
      <c r="D8" s="359"/>
      <c r="E8" s="359"/>
    </row>
    <row r="9" spans="1:5" x14ac:dyDescent="0.25">
      <c r="A9" s="358" t="s">
        <v>265</v>
      </c>
      <c r="B9" s="359"/>
      <c r="C9" s="359"/>
      <c r="D9" s="359"/>
      <c r="E9" s="359"/>
    </row>
    <row r="10" spans="1:5" x14ac:dyDescent="0.25">
      <c r="A10" s="358" t="s">
        <v>266</v>
      </c>
      <c r="B10" s="359"/>
      <c r="C10" s="359"/>
      <c r="D10" s="359"/>
      <c r="E10" s="359"/>
    </row>
    <row r="11" spans="1:5" x14ac:dyDescent="0.25">
      <c r="A11" s="358" t="s">
        <v>267</v>
      </c>
      <c r="B11" s="359"/>
      <c r="C11" s="359"/>
      <c r="D11" s="359"/>
      <c r="E11" s="359"/>
    </row>
    <row r="12" spans="1:5" x14ac:dyDescent="0.25">
      <c r="A12" s="358" t="s">
        <v>268</v>
      </c>
      <c r="B12" s="359"/>
      <c r="C12" s="359"/>
      <c r="D12" s="359"/>
      <c r="E12" s="359"/>
    </row>
    <row r="13" spans="1:5" x14ac:dyDescent="0.25">
      <c r="A13" s="358" t="s">
        <v>269</v>
      </c>
      <c r="B13" s="359"/>
      <c r="C13" s="359"/>
      <c r="D13" s="359"/>
      <c r="E13" s="359"/>
    </row>
    <row r="14" spans="1:5" x14ac:dyDescent="0.25">
      <c r="A14" s="357"/>
      <c r="B14" s="359"/>
      <c r="C14" s="359"/>
      <c r="D14" s="359"/>
      <c r="E14" s="359"/>
    </row>
    <row r="15" spans="1:5" x14ac:dyDescent="0.25">
      <c r="A15" s="357"/>
      <c r="B15" s="359"/>
      <c r="C15" s="359"/>
      <c r="D15" s="359"/>
      <c r="E15" s="359"/>
    </row>
    <row r="16" spans="1:5" x14ac:dyDescent="0.25">
      <c r="A16" s="357"/>
      <c r="B16" s="359"/>
      <c r="C16" s="359"/>
      <c r="D16" s="359"/>
      <c r="E16" s="359"/>
    </row>
    <row r="17" spans="1:5" x14ac:dyDescent="0.25">
      <c r="A17" s="357"/>
      <c r="B17" s="359"/>
      <c r="C17" s="359"/>
      <c r="D17" s="359"/>
      <c r="E17" s="359"/>
    </row>
    <row r="18" spans="1:5" x14ac:dyDescent="0.25">
      <c r="A18" s="357"/>
      <c r="B18" s="359"/>
      <c r="C18" s="359"/>
      <c r="D18" s="359"/>
      <c r="E18" s="359"/>
    </row>
    <row r="19" spans="1:5" x14ac:dyDescent="0.25">
      <c r="A19" s="357"/>
      <c r="B19" s="359"/>
      <c r="C19" s="359"/>
      <c r="D19" s="359"/>
      <c r="E19" s="359"/>
    </row>
    <row r="20" spans="1:5" x14ac:dyDescent="0.25">
      <c r="A20" s="357"/>
      <c r="B20" s="359"/>
      <c r="C20" s="359"/>
      <c r="D20" s="359"/>
      <c r="E20" s="359"/>
    </row>
    <row r="21" spans="1:5" x14ac:dyDescent="0.25">
      <c r="A21" s="357"/>
      <c r="B21" s="359"/>
      <c r="C21" s="359"/>
      <c r="D21" s="359"/>
      <c r="E21" s="359"/>
    </row>
    <row r="22" spans="1:5" x14ac:dyDescent="0.25">
      <c r="A22" s="357"/>
      <c r="B22" s="359"/>
      <c r="C22" s="359"/>
      <c r="D22" s="359"/>
      <c r="E22" s="359"/>
    </row>
    <row r="23" spans="1:5" x14ac:dyDescent="0.25">
      <c r="A23" s="357"/>
      <c r="B23" s="359"/>
      <c r="C23" s="359"/>
      <c r="D23" s="359"/>
      <c r="E23" s="359"/>
    </row>
    <row r="24" spans="1:5" x14ac:dyDescent="0.25">
      <c r="A24" s="357"/>
      <c r="B24" s="359"/>
      <c r="C24" s="359"/>
      <c r="D24" s="359"/>
      <c r="E24" s="359"/>
    </row>
    <row r="25" spans="1:5" x14ac:dyDescent="0.25">
      <c r="A25" s="357"/>
      <c r="B25" s="359"/>
      <c r="C25" s="359"/>
      <c r="D25" s="359"/>
      <c r="E25" s="359"/>
    </row>
    <row r="26" spans="1:5" x14ac:dyDescent="0.25">
      <c r="A26" s="357"/>
      <c r="B26" s="359"/>
      <c r="C26" s="359"/>
      <c r="D26" s="359"/>
      <c r="E26" s="359"/>
    </row>
    <row r="27" spans="1:5" x14ac:dyDescent="0.25">
      <c r="A27" s="357"/>
      <c r="B27" s="359"/>
      <c r="C27" s="359"/>
      <c r="D27" s="359"/>
      <c r="E27" s="359"/>
    </row>
    <row r="28" spans="1:5" x14ac:dyDescent="0.25">
      <c r="A28" s="357"/>
      <c r="B28" s="359"/>
      <c r="C28" s="359"/>
      <c r="D28" s="359"/>
      <c r="E28" s="359"/>
    </row>
    <row r="29" spans="1:5" x14ac:dyDescent="0.25">
      <c r="A29" s="359"/>
      <c r="B29" s="359"/>
      <c r="C29" s="359"/>
      <c r="D29" s="359"/>
      <c r="E29" s="359"/>
    </row>
    <row r="30" spans="1:5" x14ac:dyDescent="0.25">
      <c r="A30" s="359"/>
      <c r="B30" s="359"/>
      <c r="C30" s="359"/>
      <c r="D30" s="359"/>
      <c r="E30" s="359"/>
    </row>
    <row r="31" spans="1:5" x14ac:dyDescent="0.25">
      <c r="A31" s="359"/>
      <c r="B31" s="359"/>
      <c r="C31" s="359"/>
      <c r="D31" s="359"/>
      <c r="E31" s="359"/>
    </row>
    <row r="32" spans="1:5" x14ac:dyDescent="0.25">
      <c r="A32" s="359"/>
      <c r="B32" s="359"/>
      <c r="C32" s="359"/>
      <c r="D32" s="359"/>
      <c r="E32" s="359"/>
    </row>
    <row r="33" spans="1:5" x14ac:dyDescent="0.25">
      <c r="A33" s="359"/>
      <c r="B33" s="359"/>
      <c r="C33" s="359"/>
      <c r="D33" s="359"/>
      <c r="E33" s="359"/>
    </row>
    <row r="34" spans="1:5" x14ac:dyDescent="0.25">
      <c r="A34" s="359"/>
      <c r="B34" s="359"/>
      <c r="C34" s="359"/>
      <c r="D34" s="359"/>
      <c r="E34" s="359"/>
    </row>
    <row r="35" spans="1:5" x14ac:dyDescent="0.25">
      <c r="A35" s="359"/>
      <c r="B35" s="359"/>
      <c r="C35" s="359"/>
      <c r="D35" s="359"/>
      <c r="E35" s="359"/>
    </row>
    <row r="36" spans="1:5" x14ac:dyDescent="0.25">
      <c r="A36" s="359"/>
      <c r="B36" s="359"/>
      <c r="C36" s="359"/>
      <c r="D36" s="359"/>
      <c r="E36" s="359"/>
    </row>
    <row r="37" spans="1:5" x14ac:dyDescent="0.25">
      <c r="A37" s="359"/>
      <c r="B37" s="359"/>
      <c r="C37" s="359"/>
      <c r="D37" s="359"/>
      <c r="E37" s="359"/>
    </row>
    <row r="38" spans="1:5" x14ac:dyDescent="0.25">
      <c r="B38" s="359"/>
      <c r="C38" s="359"/>
      <c r="D38" s="359"/>
      <c r="E38" s="359"/>
    </row>
  </sheetData>
  <hyperlinks>
    <hyperlink ref="A2" location="'Experiment List'!A1" display="1. Experiment List" xr:uid="{EA7D6C53-B6A7-4AAB-908B-B0EBFED74907}"/>
    <hyperlink ref="A3" location="'Data Summary'!A1" display="2. Data Summary" xr:uid="{7CD70118-8D73-48B4-9D69-103A96E0CCD5}"/>
    <hyperlink ref="A4" location="Statistics!A1" display="3. Data Statistics" xr:uid="{FD0BA506-8B67-4D02-B8D0-1E571D41CF9E}"/>
    <hyperlink ref="A6" location="'Biochem Summary'!A1" display="5. Biochem" xr:uid="{5A04173C-A32A-45C6-B338-D2C2BF65C15F}"/>
    <hyperlink ref="A7" location="'Alamar Blue (Raw)'!A1" display="          5.1 - Alamar Blue Raw" xr:uid="{BF42733D-AD54-4DD3-890E-ECC2F2D7F82E}"/>
    <hyperlink ref="A8" location="'Alamar Blue (Analysis)'!A1" display="          5.2 - Alamar Blue Analysis" xr:uid="{F5B757CA-0599-4EE2-910D-571A38D81AC7}"/>
    <hyperlink ref="A9" location="PicoGreen!A1" display="          5.3 - PicoGreen" xr:uid="{CD9DA90E-5547-4CB6-9414-0E18522DA224}"/>
    <hyperlink ref="A10" location="DMMB!A1" display="          5.4 - DMMB" xr:uid="{AA4CF747-C659-48F3-B353-9A583DAC1ABF}"/>
    <hyperlink ref="A11" location="OHP!A1" display="          5.5 - OHP" xr:uid="{3EC4C605-0D05-4AD9-A84F-356F2A65C518}"/>
    <hyperlink ref="A12" location="Weights!A1" display="          5.6 - Weights" xr:uid="{41D3E810-4C05-47F8-9442-2D4A9E2840E7}"/>
    <hyperlink ref="A13" location="Rx!A1" display="         5.7 - Rx" xr:uid="{2BC5FB6C-367F-41B9-BBB3-612A47D0EB35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0EA3-5C38-40CF-A40B-1209D91B19DE}">
  <dimension ref="A1:R10"/>
  <sheetViews>
    <sheetView workbookViewId="0">
      <selection activeCell="H39" sqref="H39"/>
    </sheetView>
  </sheetViews>
  <sheetFormatPr defaultRowHeight="15" x14ac:dyDescent="0.25"/>
  <cols>
    <col min="1" max="1" width="18.140625" customWidth="1"/>
    <col min="2" max="2" width="10.42578125" customWidth="1"/>
    <col min="14" max="14" width="9.7109375" customWidth="1"/>
    <col min="15" max="15" width="8.7109375" customWidth="1"/>
    <col min="16" max="16" width="10.42578125" customWidth="1"/>
  </cols>
  <sheetData>
    <row r="1" spans="1:18" ht="15.75" thickBot="1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J1" s="644" t="s">
        <v>68</v>
      </c>
      <c r="K1" s="645"/>
      <c r="L1" s="645"/>
      <c r="M1" s="645"/>
      <c r="N1" s="645"/>
      <c r="O1" s="645"/>
      <c r="P1" s="645"/>
      <c r="Q1" s="645"/>
      <c r="R1" s="646"/>
    </row>
    <row r="2" spans="1:18" ht="15.75" thickBot="1" x14ac:dyDescent="0.3">
      <c r="A2" s="1" t="s">
        <v>11</v>
      </c>
      <c r="B2" s="1" t="s">
        <v>14</v>
      </c>
      <c r="C2" s="1" t="s">
        <v>17</v>
      </c>
      <c r="D2" s="1" t="s">
        <v>19</v>
      </c>
      <c r="E2" s="1" t="s">
        <v>19</v>
      </c>
      <c r="J2" s="51" t="s">
        <v>20</v>
      </c>
      <c r="K2" s="57" t="s">
        <v>23</v>
      </c>
      <c r="L2" s="54" t="s">
        <v>22</v>
      </c>
      <c r="M2" s="52" t="s">
        <v>62</v>
      </c>
      <c r="N2" s="52" t="s">
        <v>63</v>
      </c>
      <c r="O2" s="52" t="s">
        <v>65</v>
      </c>
      <c r="P2" s="52" t="s">
        <v>64</v>
      </c>
      <c r="Q2" s="52" t="s">
        <v>66</v>
      </c>
      <c r="R2" s="53" t="s">
        <v>67</v>
      </c>
    </row>
    <row r="3" spans="1:18" x14ac:dyDescent="0.25">
      <c r="A3" t="s">
        <v>12</v>
      </c>
      <c r="B3" t="s">
        <v>15</v>
      </c>
      <c r="C3" t="s">
        <v>18</v>
      </c>
      <c r="D3" t="s">
        <v>69</v>
      </c>
      <c r="E3" t="s">
        <v>19</v>
      </c>
      <c r="J3" s="649" t="s">
        <v>24</v>
      </c>
      <c r="K3" s="643">
        <v>0.05</v>
      </c>
      <c r="L3" s="55" t="s">
        <v>26</v>
      </c>
      <c r="M3" s="50"/>
      <c r="N3" s="50"/>
      <c r="O3" s="50"/>
      <c r="P3" s="50"/>
      <c r="Q3" s="50"/>
      <c r="R3" s="25"/>
    </row>
    <row r="4" spans="1:18" x14ac:dyDescent="0.25">
      <c r="A4" t="s">
        <v>13</v>
      </c>
      <c r="B4" t="s">
        <v>16</v>
      </c>
      <c r="C4" t="s">
        <v>17</v>
      </c>
      <c r="D4" t="s">
        <v>43</v>
      </c>
      <c r="E4" t="s">
        <v>19</v>
      </c>
      <c r="J4" s="647"/>
      <c r="K4" s="642"/>
      <c r="L4" s="59" t="s">
        <v>27</v>
      </c>
      <c r="M4" s="60"/>
      <c r="N4" s="60">
        <v>5</v>
      </c>
      <c r="O4" s="60">
        <v>5</v>
      </c>
      <c r="P4" s="60"/>
      <c r="Q4" s="60"/>
      <c r="R4" s="61"/>
    </row>
    <row r="5" spans="1:18" x14ac:dyDescent="0.25">
      <c r="A5" t="s">
        <v>70</v>
      </c>
      <c r="B5" t="s">
        <v>71</v>
      </c>
      <c r="C5" t="s">
        <v>18</v>
      </c>
      <c r="J5" s="647"/>
      <c r="K5" s="641">
        <v>0.15</v>
      </c>
      <c r="L5" s="58" t="s">
        <v>26</v>
      </c>
      <c r="R5" s="27"/>
    </row>
    <row r="6" spans="1:18" x14ac:dyDescent="0.25">
      <c r="J6" s="650"/>
      <c r="K6" s="642"/>
      <c r="L6" s="59" t="s">
        <v>27</v>
      </c>
      <c r="M6" s="60"/>
      <c r="N6" s="60"/>
      <c r="O6" s="60"/>
      <c r="P6" s="60"/>
      <c r="Q6" s="60"/>
      <c r="R6" s="61"/>
    </row>
    <row r="7" spans="1:18" x14ac:dyDescent="0.25">
      <c r="J7" s="647" t="s">
        <v>28</v>
      </c>
      <c r="K7" s="641">
        <v>0.05</v>
      </c>
      <c r="L7" s="58" t="s">
        <v>26</v>
      </c>
      <c r="R7" s="27"/>
    </row>
    <row r="8" spans="1:18" x14ac:dyDescent="0.25">
      <c r="J8" s="647"/>
      <c r="K8" s="642"/>
      <c r="L8" s="59" t="s">
        <v>27</v>
      </c>
      <c r="M8" s="60"/>
      <c r="N8" s="60">
        <v>7</v>
      </c>
      <c r="O8" s="60">
        <v>7</v>
      </c>
      <c r="P8" s="60"/>
      <c r="Q8" s="60"/>
      <c r="R8" s="61"/>
    </row>
    <row r="9" spans="1:18" x14ac:dyDescent="0.25">
      <c r="J9" s="647"/>
      <c r="K9" s="641">
        <v>0.15</v>
      </c>
      <c r="L9" s="58" t="s">
        <v>26</v>
      </c>
      <c r="R9" s="27"/>
    </row>
    <row r="10" spans="1:18" ht="15.75" thickBot="1" x14ac:dyDescent="0.3">
      <c r="J10" s="648"/>
      <c r="K10" s="651"/>
      <c r="L10" s="56" t="s">
        <v>27</v>
      </c>
      <c r="M10" s="2"/>
      <c r="N10" s="2">
        <v>4</v>
      </c>
      <c r="O10" s="2">
        <v>4</v>
      </c>
      <c r="P10" s="2"/>
      <c r="Q10" s="2"/>
      <c r="R10" s="8"/>
    </row>
  </sheetData>
  <mergeCells count="7">
    <mergeCell ref="K5:K6"/>
    <mergeCell ref="K3:K4"/>
    <mergeCell ref="J1:R1"/>
    <mergeCell ref="J7:J10"/>
    <mergeCell ref="J3:J6"/>
    <mergeCell ref="K9:K10"/>
    <mergeCell ref="K7:K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313C-C275-4935-8A74-5561608241D7}">
  <dimension ref="A1:X10"/>
  <sheetViews>
    <sheetView workbookViewId="0">
      <selection activeCell="E44" sqref="E44"/>
    </sheetView>
  </sheetViews>
  <sheetFormatPr defaultRowHeight="15" x14ac:dyDescent="0.25"/>
  <cols>
    <col min="8" max="8" width="10.140625" customWidth="1"/>
    <col min="9" max="9" width="15.28515625" customWidth="1"/>
  </cols>
  <sheetData>
    <row r="1" spans="1:24" ht="15.75" customHeight="1" thickBot="1" x14ac:dyDescent="0.3">
      <c r="A1" s="356" t="s">
        <v>262</v>
      </c>
      <c r="B1" s="654" t="s">
        <v>20</v>
      </c>
      <c r="C1" s="652" t="s">
        <v>21</v>
      </c>
      <c r="D1" s="652" t="s">
        <v>23</v>
      </c>
      <c r="E1" s="652" t="s">
        <v>22</v>
      </c>
      <c r="F1" s="660" t="s">
        <v>29</v>
      </c>
      <c r="G1" s="658" t="s">
        <v>30</v>
      </c>
      <c r="H1" s="655" t="s">
        <v>31</v>
      </c>
      <c r="I1" s="656"/>
      <c r="J1" s="655" t="s">
        <v>32</v>
      </c>
      <c r="K1" s="655"/>
      <c r="L1" s="656"/>
      <c r="M1" s="655" t="s">
        <v>33</v>
      </c>
      <c r="N1" s="655"/>
      <c r="O1" s="656"/>
      <c r="P1" s="655" t="s">
        <v>34</v>
      </c>
      <c r="Q1" s="655"/>
      <c r="R1" s="656"/>
      <c r="S1" s="655" t="s">
        <v>35</v>
      </c>
      <c r="T1" s="655"/>
      <c r="U1" s="656"/>
      <c r="V1" s="655" t="s">
        <v>36</v>
      </c>
      <c r="W1" s="655"/>
      <c r="X1" s="657"/>
    </row>
    <row r="2" spans="1:24" ht="15.75" thickBot="1" x14ac:dyDescent="0.3">
      <c r="B2" s="648"/>
      <c r="C2" s="653"/>
      <c r="D2" s="653"/>
      <c r="E2" s="653"/>
      <c r="F2" s="661"/>
      <c r="G2" s="659"/>
      <c r="H2" s="4" t="s">
        <v>37</v>
      </c>
      <c r="I2" s="3" t="s">
        <v>38</v>
      </c>
      <c r="J2" s="4" t="s">
        <v>37</v>
      </c>
      <c r="K2" s="4" t="s">
        <v>39</v>
      </c>
      <c r="L2" s="3" t="s">
        <v>40</v>
      </c>
      <c r="M2" s="4" t="s">
        <v>41</v>
      </c>
      <c r="N2" s="4" t="s">
        <v>39</v>
      </c>
      <c r="O2" s="3" t="s">
        <v>42</v>
      </c>
      <c r="P2" s="4" t="s">
        <v>37</v>
      </c>
      <c r="Q2" s="5" t="s">
        <v>39</v>
      </c>
      <c r="R2" s="6" t="s">
        <v>40</v>
      </c>
      <c r="S2" s="4" t="s">
        <v>37</v>
      </c>
      <c r="T2" s="5" t="s">
        <v>39</v>
      </c>
      <c r="U2" s="6" t="s">
        <v>40</v>
      </c>
      <c r="V2" s="4" t="s">
        <v>37</v>
      </c>
      <c r="W2" s="5" t="s">
        <v>39</v>
      </c>
      <c r="X2" s="7" t="s">
        <v>40</v>
      </c>
    </row>
    <row r="3" spans="1:24" x14ac:dyDescent="0.25">
      <c r="B3" s="667" t="s">
        <v>24</v>
      </c>
      <c r="C3" s="664" t="s">
        <v>25</v>
      </c>
      <c r="D3" s="670">
        <v>0.05</v>
      </c>
      <c r="E3" s="13" t="s">
        <v>26</v>
      </c>
      <c r="F3" s="10"/>
      <c r="G3" s="10"/>
      <c r="H3" s="11"/>
      <c r="I3" s="10"/>
      <c r="J3" s="11"/>
      <c r="K3" s="11"/>
      <c r="L3" s="10"/>
      <c r="M3" s="11"/>
      <c r="N3" s="11"/>
      <c r="O3" s="10"/>
      <c r="P3" s="11"/>
      <c r="Q3" s="11"/>
      <c r="R3" s="10"/>
      <c r="S3" s="11"/>
      <c r="T3" s="11"/>
      <c r="U3" s="10"/>
      <c r="V3" s="11"/>
      <c r="W3" s="11"/>
      <c r="X3" s="12"/>
    </row>
    <row r="4" spans="1:24" ht="15.75" thickBot="1" x14ac:dyDescent="0.3">
      <c r="B4" s="665"/>
      <c r="C4" s="662"/>
      <c r="D4" s="669"/>
      <c r="E4" s="14" t="s">
        <v>27</v>
      </c>
      <c r="F4" s="9"/>
      <c r="G4" s="9"/>
      <c r="H4" s="2"/>
      <c r="I4" s="9"/>
      <c r="J4" s="2"/>
      <c r="K4" s="2"/>
      <c r="L4" s="9"/>
      <c r="M4" s="2"/>
      <c r="N4" s="2"/>
      <c r="O4" s="9"/>
      <c r="P4" s="2"/>
      <c r="Q4" s="2"/>
      <c r="R4" s="9"/>
      <c r="S4" s="2"/>
      <c r="T4" s="2"/>
      <c r="U4" s="9"/>
      <c r="V4" s="2"/>
      <c r="W4" s="2"/>
      <c r="X4" s="8"/>
    </row>
    <row r="5" spans="1:24" x14ac:dyDescent="0.25">
      <c r="B5" s="665"/>
      <c r="C5" s="662"/>
      <c r="D5" s="668">
        <v>0.15</v>
      </c>
      <c r="E5" s="15" t="s">
        <v>26</v>
      </c>
      <c r="F5" s="10"/>
      <c r="G5" s="10"/>
      <c r="H5" s="11"/>
      <c r="I5" s="10"/>
      <c r="J5" s="11"/>
      <c r="K5" s="11"/>
      <c r="L5" s="10"/>
      <c r="M5" s="11"/>
      <c r="N5" s="11"/>
      <c r="O5" s="10"/>
      <c r="P5" s="11"/>
      <c r="Q5" s="11"/>
      <c r="R5" s="10"/>
      <c r="S5" s="11"/>
      <c r="T5" s="11"/>
      <c r="U5" s="10"/>
      <c r="V5" s="11"/>
      <c r="W5" s="11"/>
      <c r="X5" s="12"/>
    </row>
    <row r="6" spans="1:24" ht="15.75" thickBot="1" x14ac:dyDescent="0.3">
      <c r="B6" s="666"/>
      <c r="C6" s="663"/>
      <c r="D6" s="669"/>
      <c r="E6" s="14" t="s">
        <v>27</v>
      </c>
      <c r="F6" s="9"/>
      <c r="G6" s="9"/>
      <c r="H6" s="2"/>
      <c r="I6" s="9"/>
      <c r="J6" s="2"/>
      <c r="K6" s="2"/>
      <c r="L6" s="9"/>
      <c r="M6" s="2"/>
      <c r="N6" s="2"/>
      <c r="O6" s="9"/>
      <c r="P6" s="2"/>
      <c r="Q6" s="2"/>
      <c r="R6" s="9"/>
      <c r="S6" s="2"/>
      <c r="T6" s="2"/>
      <c r="U6" s="9"/>
      <c r="V6" s="2"/>
      <c r="W6" s="2"/>
      <c r="X6" s="8"/>
    </row>
    <row r="7" spans="1:24" x14ac:dyDescent="0.25">
      <c r="B7" s="665" t="s">
        <v>28</v>
      </c>
      <c r="C7" s="662" t="s">
        <v>25</v>
      </c>
      <c r="D7" s="670">
        <v>0.05</v>
      </c>
      <c r="E7" s="16" t="s">
        <v>26</v>
      </c>
      <c r="F7" s="10"/>
      <c r="G7" s="10"/>
      <c r="H7" s="11"/>
      <c r="I7" s="10"/>
      <c r="J7" s="11"/>
      <c r="K7" s="11"/>
      <c r="L7" s="10"/>
      <c r="M7" s="11"/>
      <c r="N7" s="11"/>
      <c r="O7" s="10"/>
      <c r="P7" s="11"/>
      <c r="Q7" s="11"/>
      <c r="R7" s="10"/>
      <c r="S7" s="11"/>
      <c r="T7" s="11"/>
      <c r="U7" s="10"/>
      <c r="V7" s="11"/>
      <c r="W7" s="11"/>
      <c r="X7" s="12"/>
    </row>
    <row r="8" spans="1:24" ht="15.75" thickBot="1" x14ac:dyDescent="0.3">
      <c r="B8" s="665"/>
      <c r="C8" s="662"/>
      <c r="D8" s="669"/>
      <c r="E8" s="14" t="s">
        <v>27</v>
      </c>
      <c r="F8" s="9"/>
      <c r="G8" s="9"/>
      <c r="H8" s="2"/>
      <c r="I8" s="9"/>
      <c r="J8" s="2"/>
      <c r="K8" s="2"/>
      <c r="L8" s="9"/>
      <c r="M8" s="2"/>
      <c r="N8" s="2"/>
      <c r="O8" s="9"/>
      <c r="P8" s="2"/>
      <c r="Q8" s="2"/>
      <c r="R8" s="9"/>
      <c r="S8" s="2"/>
      <c r="T8" s="2"/>
      <c r="U8" s="9"/>
      <c r="V8" s="2"/>
      <c r="W8" s="2"/>
      <c r="X8" s="8"/>
    </row>
    <row r="9" spans="1:24" x14ac:dyDescent="0.25">
      <c r="B9" s="665"/>
      <c r="C9" s="662"/>
      <c r="D9" s="668">
        <v>0.15</v>
      </c>
      <c r="E9" s="15" t="s">
        <v>26</v>
      </c>
      <c r="F9" s="10"/>
      <c r="G9" s="10"/>
      <c r="H9" s="11"/>
      <c r="I9" s="10"/>
      <c r="J9" s="11"/>
      <c r="K9" s="11"/>
      <c r="L9" s="10"/>
      <c r="M9" s="11"/>
      <c r="N9" s="11"/>
      <c r="O9" s="10"/>
      <c r="P9" s="11"/>
      <c r="Q9" s="11"/>
      <c r="R9" s="10"/>
      <c r="S9" s="11"/>
      <c r="T9" s="11"/>
      <c r="U9" s="10"/>
      <c r="V9" s="11"/>
      <c r="W9" s="11"/>
      <c r="X9" s="12"/>
    </row>
    <row r="10" spans="1:24" ht="15.75" thickBot="1" x14ac:dyDescent="0.3">
      <c r="B10" s="666"/>
      <c r="C10" s="663"/>
      <c r="D10" s="669"/>
      <c r="E10" s="14" t="s">
        <v>27</v>
      </c>
      <c r="F10" s="9"/>
      <c r="G10" s="9"/>
      <c r="H10" s="2"/>
      <c r="I10" s="9"/>
      <c r="J10" s="2"/>
      <c r="K10" s="2"/>
      <c r="L10" s="9"/>
      <c r="M10" s="2"/>
      <c r="N10" s="2"/>
      <c r="O10" s="9"/>
      <c r="P10" s="2"/>
      <c r="Q10" s="2"/>
      <c r="R10" s="9"/>
      <c r="S10" s="2"/>
      <c r="T10" s="2"/>
      <c r="U10" s="9"/>
      <c r="V10" s="2"/>
      <c r="W10" s="2"/>
      <c r="X10" s="8"/>
    </row>
  </sheetData>
  <mergeCells count="20">
    <mergeCell ref="C7:C10"/>
    <mergeCell ref="C3:C6"/>
    <mergeCell ref="B7:B10"/>
    <mergeCell ref="B3:B6"/>
    <mergeCell ref="D9:D10"/>
    <mergeCell ref="D7:D8"/>
    <mergeCell ref="D5:D6"/>
    <mergeCell ref="D3:D4"/>
    <mergeCell ref="D1:D2"/>
    <mergeCell ref="C1:C2"/>
    <mergeCell ref="B1:B2"/>
    <mergeCell ref="S1:U1"/>
    <mergeCell ref="V1:X1"/>
    <mergeCell ref="G1:G2"/>
    <mergeCell ref="F1:F2"/>
    <mergeCell ref="E1:E2"/>
    <mergeCell ref="H1:I1"/>
    <mergeCell ref="J1:L1"/>
    <mergeCell ref="M1:O1"/>
    <mergeCell ref="P1:R1"/>
  </mergeCells>
  <hyperlinks>
    <hyperlink ref="A1" location="'Table of Contents'!A1" display="Table of Contents" xr:uid="{3130BA64-D133-496E-B425-0B26C0ABF96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8AC60-0CAA-4D5F-A8B8-D0B50F7E8233}">
  <dimension ref="A1:BX53"/>
  <sheetViews>
    <sheetView workbookViewId="0">
      <selection activeCell="S24" sqref="S24"/>
    </sheetView>
  </sheetViews>
  <sheetFormatPr defaultRowHeight="15" x14ac:dyDescent="0.25"/>
  <cols>
    <col min="2" max="3" width="10" customWidth="1"/>
    <col min="4" max="4" width="11.5703125" customWidth="1"/>
    <col min="6" max="6" width="9" customWidth="1"/>
    <col min="11" max="12" width="9.5703125" bestFit="1" customWidth="1"/>
    <col min="23" max="23" width="9.5703125" bestFit="1" customWidth="1"/>
    <col min="24" max="24" width="12.140625" bestFit="1" customWidth="1"/>
  </cols>
  <sheetData>
    <row r="1" spans="1:76" ht="15.75" thickBot="1" x14ac:dyDescent="0.3">
      <c r="A1" s="356" t="s">
        <v>262</v>
      </c>
    </row>
    <row r="2" spans="1:76" x14ac:dyDescent="0.25">
      <c r="B2" s="649" t="s">
        <v>95</v>
      </c>
      <c r="C2" s="672" t="s">
        <v>23</v>
      </c>
      <c r="D2" s="672" t="s">
        <v>56</v>
      </c>
      <c r="E2" s="676" t="s">
        <v>96</v>
      </c>
      <c r="F2" s="677"/>
      <c r="G2" s="678"/>
      <c r="H2" s="676" t="s">
        <v>97</v>
      </c>
      <c r="I2" s="677"/>
      <c r="J2" s="678"/>
      <c r="K2" s="676" t="s">
        <v>98</v>
      </c>
      <c r="L2" s="677"/>
      <c r="M2" s="677"/>
      <c r="N2" s="671" t="s">
        <v>38</v>
      </c>
      <c r="O2" s="655"/>
      <c r="P2" s="657"/>
      <c r="Q2" s="655" t="s">
        <v>99</v>
      </c>
      <c r="R2" s="655"/>
      <c r="S2" s="655"/>
      <c r="T2" s="671" t="s">
        <v>100</v>
      </c>
      <c r="U2" s="655"/>
      <c r="V2" s="655"/>
      <c r="W2" s="676" t="s">
        <v>102</v>
      </c>
      <c r="X2" s="677"/>
      <c r="Y2" s="678"/>
      <c r="Z2" s="676" t="s">
        <v>104</v>
      </c>
      <c r="AA2" s="677"/>
      <c r="AB2" s="678"/>
      <c r="AC2" s="671" t="s">
        <v>105</v>
      </c>
      <c r="AD2" s="655"/>
      <c r="AE2" s="657"/>
    </row>
    <row r="3" spans="1:76" ht="15.75" thickBot="1" x14ac:dyDescent="0.3">
      <c r="B3" s="648"/>
      <c r="C3" s="673"/>
      <c r="D3" s="673"/>
      <c r="E3" s="66" t="s">
        <v>106</v>
      </c>
      <c r="F3" s="67" t="s">
        <v>107</v>
      </c>
      <c r="G3" s="100" t="s">
        <v>108</v>
      </c>
      <c r="H3" s="66" t="s">
        <v>106</v>
      </c>
      <c r="I3" s="67" t="s">
        <v>107</v>
      </c>
      <c r="J3" s="100" t="s">
        <v>108</v>
      </c>
      <c r="K3" s="66" t="s">
        <v>106</v>
      </c>
      <c r="L3" s="67" t="s">
        <v>107</v>
      </c>
      <c r="M3" s="67" t="s">
        <v>108</v>
      </c>
      <c r="N3" s="66" t="s">
        <v>106</v>
      </c>
      <c r="O3" s="67" t="s">
        <v>107</v>
      </c>
      <c r="P3" s="100" t="s">
        <v>108</v>
      </c>
      <c r="Q3" s="67" t="s">
        <v>106</v>
      </c>
      <c r="R3" s="67" t="s">
        <v>107</v>
      </c>
      <c r="S3" s="67" t="s">
        <v>108</v>
      </c>
      <c r="T3" s="66" t="s">
        <v>106</v>
      </c>
      <c r="U3" s="67" t="s">
        <v>107</v>
      </c>
      <c r="V3" s="67" t="s">
        <v>108</v>
      </c>
      <c r="W3" s="66" t="s">
        <v>106</v>
      </c>
      <c r="X3" s="67" t="s">
        <v>107</v>
      </c>
      <c r="Y3" s="100" t="s">
        <v>108</v>
      </c>
      <c r="Z3" s="66" t="s">
        <v>106</v>
      </c>
      <c r="AA3" s="67" t="s">
        <v>107</v>
      </c>
      <c r="AB3" s="100" t="s">
        <v>108</v>
      </c>
      <c r="AC3" s="66" t="s">
        <v>106</v>
      </c>
      <c r="AD3" s="67" t="s">
        <v>107</v>
      </c>
      <c r="AE3" s="100" t="s">
        <v>108</v>
      </c>
    </row>
    <row r="4" spans="1:76" x14ac:dyDescent="0.25">
      <c r="B4" s="672" t="s">
        <v>109</v>
      </c>
      <c r="C4" s="253"/>
      <c r="D4" s="253" t="s">
        <v>195</v>
      </c>
      <c r="E4" s="202">
        <v>39.009623383749997</v>
      </c>
      <c r="F4" s="203">
        <v>10.472338025582244</v>
      </c>
      <c r="G4" s="204">
        <v>4</v>
      </c>
      <c r="H4" s="202">
        <v>39.009623383749997</v>
      </c>
      <c r="I4" s="203">
        <v>11.870245272543949</v>
      </c>
      <c r="J4" s="204">
        <v>8</v>
      </c>
      <c r="K4" s="202">
        <v>1.2432735914878772</v>
      </c>
      <c r="L4" s="203">
        <v>7.4529071236023814E-2</v>
      </c>
      <c r="M4" s="243">
        <v>8</v>
      </c>
      <c r="N4" s="202">
        <v>150.83507151554576</v>
      </c>
      <c r="O4" s="203">
        <v>51.74052017571379</v>
      </c>
      <c r="P4" s="204">
        <v>6</v>
      </c>
      <c r="Q4" s="202">
        <v>612.40795046095752</v>
      </c>
      <c r="R4" s="203">
        <v>109.58385475877309</v>
      </c>
      <c r="S4" s="243">
        <v>6</v>
      </c>
      <c r="T4" s="202">
        <v>174.59314119348366</v>
      </c>
      <c r="U4" s="203">
        <v>36.666753984752596</v>
      </c>
      <c r="V4" s="203">
        <v>6</v>
      </c>
      <c r="W4" s="254"/>
      <c r="X4" s="255"/>
      <c r="Y4" s="256"/>
      <c r="Z4" s="254"/>
      <c r="AA4" s="255"/>
      <c r="AB4" s="256"/>
      <c r="AC4" s="254"/>
      <c r="AD4" s="255"/>
      <c r="AE4" s="256"/>
      <c r="AF4" s="203">
        <v>2619.6666666666665</v>
      </c>
      <c r="AG4" s="203">
        <v>383.67078444068943</v>
      </c>
      <c r="AH4" s="204">
        <v>3</v>
      </c>
      <c r="AI4" s="257">
        <v>3.8176666666666671E-3</v>
      </c>
      <c r="AJ4" s="258">
        <v>7.9198253347743323E-4</v>
      </c>
      <c r="AK4" s="204">
        <v>3</v>
      </c>
      <c r="AL4" s="259">
        <v>0.26864551756189581</v>
      </c>
      <c r="AM4" s="260">
        <v>5.2847587039574352E-2</v>
      </c>
      <c r="AN4" s="243">
        <v>3</v>
      </c>
      <c r="AO4" s="252">
        <v>1.8753855902777776</v>
      </c>
      <c r="AP4" s="11">
        <v>2.399239801891942E-2</v>
      </c>
      <c r="AQ4" s="12">
        <v>3</v>
      </c>
      <c r="AR4" s="252">
        <v>29.199280316840277</v>
      </c>
      <c r="AS4" s="11">
        <v>7.2258771590716222</v>
      </c>
      <c r="AT4" s="12">
        <v>3</v>
      </c>
      <c r="AU4" s="252">
        <v>0.93122222222222228</v>
      </c>
      <c r="AV4" s="11">
        <v>1.3459128803460795E-2</v>
      </c>
      <c r="AW4" s="12">
        <v>3</v>
      </c>
      <c r="AX4" s="11">
        <v>86.662222222222226</v>
      </c>
      <c r="AY4" s="11">
        <v>4.5343446584353782</v>
      </c>
      <c r="AZ4" s="12">
        <v>3</v>
      </c>
      <c r="BA4" s="11">
        <v>0.98122222222222222</v>
      </c>
      <c r="BB4" s="11">
        <v>8.3688133589557394E-3</v>
      </c>
      <c r="BC4" s="12">
        <v>3</v>
      </c>
    </row>
    <row r="5" spans="1:76" x14ac:dyDescent="0.25">
      <c r="B5" s="679"/>
      <c r="C5" s="674">
        <v>0.05</v>
      </c>
      <c r="D5" s="111" t="s">
        <v>26</v>
      </c>
      <c r="E5" s="105"/>
      <c r="F5" s="106"/>
      <c r="G5" s="107"/>
      <c r="H5" s="105"/>
      <c r="I5" s="106"/>
      <c r="J5" s="107"/>
      <c r="K5" s="105">
        <f>AVERAGE('Biochem Summary'!G11:G21)</f>
        <v>1.3322141873278237</v>
      </c>
      <c r="L5" s="106">
        <f>STDEV('Biochem Summary'!G11:G21)</f>
        <v>0.17034274962924126</v>
      </c>
      <c r="M5" s="108">
        <v>11</v>
      </c>
      <c r="N5" s="213">
        <f>AVERAGE('Biochem Summary'!I11:I21)</f>
        <v>119.18294401539502</v>
      </c>
      <c r="O5" s="130">
        <f>STDEV('Biochem Summary'!I11:I21)</f>
        <v>20.251760502172264</v>
      </c>
      <c r="P5" s="244">
        <f>COUNT('Biochem Summary'!I11:I21)</f>
        <v>11</v>
      </c>
      <c r="Q5" s="130">
        <f>AVERAGE('Biochem Summary'!L11:L21)</f>
        <v>513.88301963672495</v>
      </c>
      <c r="R5" s="130">
        <f>STDEV('Biochem Summary'!L11:L21)</f>
        <v>47.58231107274753</v>
      </c>
      <c r="S5" s="130">
        <f>COUNT('Biochem Summary'!L11:L21)</f>
        <v>11</v>
      </c>
      <c r="T5" s="263">
        <f>AVERAGE('Biochem Summary'!O11:O21)</f>
        <v>205.84009008002653</v>
      </c>
      <c r="U5" s="265">
        <f>STDEV('Biochem Summary'!O11:O21)</f>
        <v>78.434477010172841</v>
      </c>
      <c r="V5" s="265">
        <v>11</v>
      </c>
      <c r="W5" s="263">
        <f>AVERAGE('Biochem Summary'!R11:R21)</f>
        <v>1.5097443269158981E-3</v>
      </c>
      <c r="X5" s="265">
        <f>STDEV('Biochem Summary'!R11:R21)</f>
        <v>1.4919756185129112E-3</v>
      </c>
      <c r="Y5" s="119">
        <v>11</v>
      </c>
      <c r="Z5" s="263">
        <f>AVERAGE('Biochem Summary'!U11:U21)</f>
        <v>1.8827038747817155</v>
      </c>
      <c r="AA5" s="265">
        <f>STDEV('Biochem Summary'!U11:U21)</f>
        <v>0.89630384423094045</v>
      </c>
      <c r="AB5" s="119">
        <v>11</v>
      </c>
      <c r="AC5" s="109"/>
      <c r="AD5" s="110"/>
      <c r="AE5" s="107"/>
    </row>
    <row r="6" spans="1:76" x14ac:dyDescent="0.25">
      <c r="B6" s="679"/>
      <c r="C6" s="675"/>
      <c r="D6" s="111" t="s">
        <v>27</v>
      </c>
      <c r="E6" s="102"/>
      <c r="F6" s="103"/>
      <c r="G6" s="104"/>
      <c r="H6" s="105"/>
      <c r="I6" s="103"/>
      <c r="J6" s="104"/>
      <c r="K6" s="105">
        <f>AVERAGE('Biochem Summary'!G48:G57)</f>
        <v>1.4418091803101531</v>
      </c>
      <c r="L6" s="106">
        <f>STDEV('Biochem Summary'!G48:G57)</f>
        <v>0.12759274775899643</v>
      </c>
      <c r="M6" s="108">
        <f>COUNT('Biochem Summary'!G48:G57)</f>
        <v>8</v>
      </c>
      <c r="N6" s="105">
        <f>AVERAGE('Biochem Summary'!I48:I57)</f>
        <v>43.135963662467795</v>
      </c>
      <c r="O6" s="106">
        <f>STDEV('Biochem Summary'!I48:I57)</f>
        <v>14.621318545668279</v>
      </c>
      <c r="P6" s="107">
        <f>COUNT('Biochem Summary'!K48:K57)</f>
        <v>7</v>
      </c>
      <c r="Q6" s="106">
        <f>AVERAGE('Biochem Summary'!L48:L57)</f>
        <v>422.79685860388111</v>
      </c>
      <c r="R6" s="106">
        <f>STDEV('Biochem Summary'!L48:L57)</f>
        <v>77.303034765382122</v>
      </c>
      <c r="S6" s="108">
        <f>COUNT('Biochem Summary'!L48:L57)</f>
        <v>7</v>
      </c>
      <c r="T6" s="263">
        <f>AVERAGE('Biochem Summary'!O48:O57)</f>
        <v>192.92930772577873</v>
      </c>
      <c r="U6" s="265">
        <f>STDEV('Biochem Summary'!O48:O57)</f>
        <v>102.00891514414192</v>
      </c>
      <c r="V6" s="265">
        <v>7</v>
      </c>
      <c r="W6" s="263">
        <f>AVERAGE('Biochem Summary'!R48:R57)</f>
        <v>7.9472197150623404E-4</v>
      </c>
      <c r="X6" s="265">
        <f>STDEV('Biochem Summary'!R48:R57)</f>
        <v>5.8257151948283667E-4</v>
      </c>
      <c r="Y6" s="119">
        <f>COUNT('Biochem Summary'!R48:R57)</f>
        <v>7</v>
      </c>
      <c r="Z6" s="263">
        <f>AVERAGE('Biochem Summary'!U48:U57)</f>
        <v>1.2736105928328905</v>
      </c>
      <c r="AA6" s="265">
        <f>STDEV('Biochem Summary'!U48:U57)</f>
        <v>0.52478632364407807</v>
      </c>
      <c r="AB6" s="119">
        <f>COUNT('Biochem Summary'!U48:U57)</f>
        <v>7</v>
      </c>
      <c r="AC6" s="109"/>
      <c r="AD6" s="110"/>
      <c r="AE6" s="107"/>
    </row>
    <row r="7" spans="1:76" x14ac:dyDescent="0.25">
      <c r="B7" s="679"/>
      <c r="C7" s="680">
        <v>0.15</v>
      </c>
      <c r="D7" s="101" t="s">
        <v>26</v>
      </c>
      <c r="E7" s="102"/>
      <c r="F7" s="103"/>
      <c r="G7" s="104"/>
      <c r="H7" s="102"/>
      <c r="I7" s="103"/>
      <c r="J7" s="104"/>
      <c r="K7" s="102">
        <f>AVERAGE('Biochem Summary'!G22:G32)</f>
        <v>1.4631901840490797</v>
      </c>
      <c r="L7" s="103">
        <f>STDEV('Biochem Summary'!G22:G32)</f>
        <v>0.17519607743918642</v>
      </c>
      <c r="M7" s="113">
        <f>COUNT('Biochem Summary'!G22:G32)</f>
        <v>6</v>
      </c>
      <c r="N7" s="177">
        <f>AVERAGE('Biochem Summary'!I22:I32)</f>
        <v>102.55101235999525</v>
      </c>
      <c r="O7" s="178">
        <f>STDEV('Biochem Summary'!I22:I32)</f>
        <v>47.534079774782413</v>
      </c>
      <c r="P7" s="179">
        <f>COUNT('Biochem Summary'!I22:I32)</f>
        <v>10</v>
      </c>
      <c r="Q7" s="178">
        <f>AVERAGE('Biochem Summary'!L22:L32)</f>
        <v>528.63646216806933</v>
      </c>
      <c r="R7" s="178">
        <f>STDEV('Biochem Summary'!L22:L32)</f>
        <v>108.28851609750322</v>
      </c>
      <c r="S7" s="178">
        <f>COUNT('Biochem Summary'!L22:L32)</f>
        <v>10</v>
      </c>
      <c r="T7" s="263">
        <f>AVERAGE('Biochem Summary'!O22:O32)</f>
        <v>192.87067940973253</v>
      </c>
      <c r="U7" s="265">
        <f>STDEV('Biochem Summary'!O22:O32)</f>
        <v>27.249100673365135</v>
      </c>
      <c r="V7" s="265">
        <v>10</v>
      </c>
      <c r="W7" s="263">
        <f>AVERAGE('Biochem Summary'!R22:R32)</f>
        <v>1.69957656760742E-3</v>
      </c>
      <c r="X7" s="265">
        <f>STDEV('Biochem Summary'!R22:R32)</f>
        <v>1.3604157973957504E-3</v>
      </c>
      <c r="Y7" s="119">
        <v>10</v>
      </c>
      <c r="Z7" s="263">
        <f>AVERAGE('Biochem Summary'!U22:U32)</f>
        <v>1.9413706358231722</v>
      </c>
      <c r="AA7" s="265">
        <f>STDEV('Biochem Summary'!U22:U32)</f>
        <v>0.82423012926469852</v>
      </c>
      <c r="AB7" s="119">
        <f>COUNT('Biochem Summary'!U22:U32)</f>
        <v>10</v>
      </c>
      <c r="AC7" s="117"/>
      <c r="AD7" s="118"/>
      <c r="AE7" s="104"/>
    </row>
    <row r="8" spans="1:76" s="330" customFormat="1" x14ac:dyDescent="0.25">
      <c r="B8" s="679"/>
      <c r="C8" s="675"/>
      <c r="D8" s="545" t="s">
        <v>27</v>
      </c>
      <c r="E8" s="546"/>
      <c r="F8" s="547"/>
      <c r="G8" s="548"/>
      <c r="H8" s="546"/>
      <c r="I8" s="547"/>
      <c r="J8" s="548"/>
      <c r="K8" s="546">
        <f>AVERAGE('Biochem Summary'!G58:G77)</f>
        <v>2.4449692358893538</v>
      </c>
      <c r="L8" s="547">
        <f>STDEV('Biochem Summary'!G58:G77)</f>
        <v>0.52846853736915833</v>
      </c>
      <c r="M8" s="549">
        <f>COUNT('Biochem Summary'!G58:G77)</f>
        <v>12</v>
      </c>
      <c r="N8" s="550">
        <f>AVERAGE('Biochem Summary'!I58:I77)</f>
        <v>47.896515311462814</v>
      </c>
      <c r="O8" s="551">
        <f>STDEV('Biochem Summary'!I58:I77)</f>
        <v>14.401180146652596</v>
      </c>
      <c r="P8" s="552">
        <f>COUNT('Biochem Summary'!I58:I77)</f>
        <v>10</v>
      </c>
      <c r="Q8" s="551">
        <f>AVERAGE('Biochem Summary'!L58:L77)</f>
        <v>396.41981380698655</v>
      </c>
      <c r="R8" s="551">
        <f>STDEV('Biochem Summary'!L58:L77)</f>
        <v>136.71095966165043</v>
      </c>
      <c r="S8" s="551">
        <f>COUNT('Biochem Summary'!L58:L77)</f>
        <v>14</v>
      </c>
      <c r="T8" s="553">
        <f>AVERAGE('Biochem Summary'!O58:O77)</f>
        <v>175.56915534257897</v>
      </c>
      <c r="U8" s="554">
        <f>STDEV('Biochem Summary'!O58:O77)</f>
        <v>30.530225698165189</v>
      </c>
      <c r="V8" s="554">
        <v>14</v>
      </c>
      <c r="W8" s="555">
        <f>AVERAGE('Biochem Summary'!R58:R77)</f>
        <v>1.5845715480557795E-3</v>
      </c>
      <c r="X8" s="556">
        <f>STDEV('Biochem Summary'!R58:R77)</f>
        <v>2.1644950104154821E-3</v>
      </c>
      <c r="Y8" s="557">
        <f>COUNT('Biochem Summary'!R58:R77)</f>
        <v>14</v>
      </c>
      <c r="Z8" s="558">
        <f>AVERAGE('Biochem Summary'!U58:U77)</f>
        <v>2.8138328961785253</v>
      </c>
      <c r="AA8" s="556">
        <f>STDEV('Biochem Summary'!U58:U77)</f>
        <v>3.2173103765206004</v>
      </c>
      <c r="AB8" s="557">
        <f>COUNT('Biochem Summary'!U58:U77)</f>
        <v>14</v>
      </c>
      <c r="AC8" s="559"/>
      <c r="AD8" s="560"/>
      <c r="AE8" s="548"/>
    </row>
    <row r="9" spans="1:76" x14ac:dyDescent="0.25">
      <c r="B9" s="679"/>
      <c r="C9" s="680">
        <v>0.3</v>
      </c>
      <c r="D9" s="101" t="s">
        <v>26</v>
      </c>
      <c r="E9" s="105"/>
      <c r="F9" s="106"/>
      <c r="G9" s="107"/>
      <c r="H9" s="341"/>
      <c r="I9" s="106"/>
      <c r="J9" s="107"/>
      <c r="K9" s="341">
        <f>AVERAGE('Biochem Summary'!G231:G235)</f>
        <v>1.5134328358208955</v>
      </c>
      <c r="L9" s="342">
        <f>STDEV('Biochem Summary'!G231:G235)</f>
        <v>0.16606783338150596</v>
      </c>
      <c r="M9" s="343">
        <f>COUNT('Biochem Summary'!G231:G235)</f>
        <v>5</v>
      </c>
      <c r="N9" s="213">
        <f>AVERAGE('Biochem Summary'!I231:I235)</f>
        <v>69.393488936304777</v>
      </c>
      <c r="O9" s="130">
        <f>STDEV('Biochem Summary'!I231:I235)</f>
        <v>24.902390832492216</v>
      </c>
      <c r="P9" s="244">
        <v>5</v>
      </c>
      <c r="Q9" s="213">
        <f>AVERAGE('Biochem Summary'!L231:L235)</f>
        <v>441.64379928794142</v>
      </c>
      <c r="R9" s="130">
        <f>STDEV('Biochem Summary'!L231:L235)</f>
        <v>14.725938129749274</v>
      </c>
      <c r="S9" s="244">
        <v>5</v>
      </c>
      <c r="T9" s="263">
        <f>AVERAGE('Biochem Summary'!O231:O235)</f>
        <v>218.29218555494464</v>
      </c>
      <c r="U9" s="265">
        <f>STDEV('Biochem Summary'!O231:O235)</f>
        <v>11.724579380263116</v>
      </c>
      <c r="V9" s="265">
        <v>5</v>
      </c>
      <c r="W9" s="263">
        <f>AVERAGE('Biochem Summary'!R231:R235)</f>
        <v>7.4483854940878837E-4</v>
      </c>
      <c r="X9" s="265">
        <f>STDEV('Biochem Summary'!R231:R235)</f>
        <v>1.749662329477212E-4</v>
      </c>
      <c r="Y9" s="119">
        <v>5</v>
      </c>
      <c r="Z9" s="263">
        <f>AVERAGE('Biochem Summary'!U231:U235)</f>
        <v>2.4046623337808262</v>
      </c>
      <c r="AA9" s="265">
        <f>STDEV('Biochem Summary'!U231:U235)</f>
        <v>0.73178755140791985</v>
      </c>
      <c r="AB9" s="119">
        <v>5</v>
      </c>
      <c r="AC9" s="344"/>
      <c r="AD9" s="345"/>
      <c r="AE9" s="346"/>
    </row>
    <row r="10" spans="1:76" x14ac:dyDescent="0.25">
      <c r="B10" s="679"/>
      <c r="C10" s="675"/>
      <c r="D10" s="101" t="s">
        <v>27</v>
      </c>
      <c r="E10" s="105"/>
      <c r="F10" s="106"/>
      <c r="G10" s="107"/>
      <c r="H10" s="341"/>
      <c r="I10" s="106"/>
      <c r="J10" s="107"/>
      <c r="K10" s="102">
        <f>AVERAGE('Biochem Summary'!G236:G240)</f>
        <v>2.0730538922155688</v>
      </c>
      <c r="L10" s="342">
        <f>STDEV('Biochem Summary'!G236:G240)</f>
        <v>0.28524623202910498</v>
      </c>
      <c r="M10" s="343">
        <f>COUNT('Biochem Summary'!G236:G240)</f>
        <v>5</v>
      </c>
      <c r="N10" s="213">
        <f>AVERAGE('Biochem Summary'!I236:I240)</f>
        <v>25.73955875011573</v>
      </c>
      <c r="O10" s="130">
        <f>STDEV('Biochem Summary'!I236:I240)</f>
        <v>15.575427061135048</v>
      </c>
      <c r="P10" s="244">
        <v>5</v>
      </c>
      <c r="Q10" s="130">
        <f>AVERAGE('Biochem Summary'!L236:L240)</f>
        <v>366.98136597720571</v>
      </c>
      <c r="R10" s="130">
        <f>STDEV('Biochem Summary'!L236:L240)</f>
        <v>33.774546899981608</v>
      </c>
      <c r="S10" s="130">
        <v>5</v>
      </c>
      <c r="T10" s="263">
        <f>AVERAGE('Biochem Summary'!O236:O240)</f>
        <v>220.82534166638371</v>
      </c>
      <c r="U10" s="265">
        <f>STDEV('Biochem Summary'!O236:O240)</f>
        <v>14.464401968099935</v>
      </c>
      <c r="V10" s="265">
        <v>5</v>
      </c>
      <c r="W10" s="263">
        <f>AVERAGE('Biochem Summary'!R236:R240)</f>
        <v>1.3242268457546804E-3</v>
      </c>
      <c r="X10" s="265">
        <f>STDEV('Biochem Summary'!R236:R240)</f>
        <v>6.0772298039116896E-4</v>
      </c>
      <c r="Y10" s="119">
        <v>5</v>
      </c>
      <c r="Z10" s="263">
        <f>AVERAGE('Biochem Summary'!U236:U240)</f>
        <v>0.76697172867938912</v>
      </c>
      <c r="AA10" s="265">
        <f>STDEV('Biochem Summary'!U236:U240)</f>
        <v>0.96909470479748605</v>
      </c>
      <c r="AB10" s="119">
        <v>5</v>
      </c>
      <c r="AC10" s="344"/>
      <c r="AD10" s="345"/>
      <c r="AE10" s="346"/>
    </row>
    <row r="11" spans="1:76" x14ac:dyDescent="0.25">
      <c r="B11" s="679"/>
      <c r="C11" s="680">
        <v>0.5</v>
      </c>
      <c r="D11" s="101" t="s">
        <v>26</v>
      </c>
      <c r="E11" s="105"/>
      <c r="F11" s="106"/>
      <c r="G11" s="107"/>
      <c r="H11" s="341"/>
      <c r="I11" s="106"/>
      <c r="J11" s="107"/>
      <c r="K11" s="105">
        <f>AVERAGE('Biochem Summary'!G242:G246)</f>
        <v>1.7146341463414636</v>
      </c>
      <c r="L11" s="103">
        <f>STDEV('Biochem Summary'!G242:G246)</f>
        <v>0.41271074691444454</v>
      </c>
      <c r="M11" s="113">
        <v>5</v>
      </c>
      <c r="N11" s="213">
        <f>AVERAGE('Biochem Summary'!I242:I246)</f>
        <v>92.486725976476919</v>
      </c>
      <c r="O11" s="130">
        <f>STDEV('Biochem Summary'!I242:I246)</f>
        <v>27.798285756131108</v>
      </c>
      <c r="P11" s="244">
        <f>COUNT('Biochem Summary'!I242:I246)</f>
        <v>5</v>
      </c>
      <c r="Q11" s="130">
        <f>AVERAGE('Biochem Summary'!L242:L246)</f>
        <v>327.86376286767614</v>
      </c>
      <c r="R11" s="130">
        <f>STDEV('Biochem Summary'!L242:L246)</f>
        <v>47.470579313627454</v>
      </c>
      <c r="S11" s="130">
        <f>COUNT('Biochem Summary'!L242:L246)</f>
        <v>5</v>
      </c>
      <c r="T11" s="263">
        <f>AVERAGE('Biochem Summary'!O242:O246)</f>
        <v>213.79598937438919</v>
      </c>
      <c r="U11" s="265">
        <f>STDEV('Biochem Summary'!O242:O246)</f>
        <v>11.461004403700313</v>
      </c>
      <c r="V11" s="265">
        <v>5</v>
      </c>
      <c r="W11" s="263">
        <f>AVERAGE('Biochem Summary'!R242:R246)</f>
        <v>4.1689855436019481E-4</v>
      </c>
      <c r="X11" s="265">
        <f>STDEV('Biochem Summary'!R242:R246)</f>
        <v>2.3957863033973093E-4</v>
      </c>
      <c r="Y11" s="119">
        <f>COUNT('Biochem Summary'!R242:R246)</f>
        <v>5</v>
      </c>
      <c r="Z11" s="263">
        <f>AVERAGE('Biochem Summary'!U242:U246)</f>
        <v>2.1019503484213256</v>
      </c>
      <c r="AA11" s="265">
        <f>STDEV('Biochem Summary'!U242:U246)</f>
        <v>1.1957711999395011</v>
      </c>
      <c r="AB11" s="119">
        <f>COUNT('Biochem Summary'!U242:U246)</f>
        <v>5</v>
      </c>
      <c r="AC11" s="344"/>
      <c r="AD11" s="345"/>
      <c r="AE11" s="346"/>
    </row>
    <row r="12" spans="1:76" s="330" customFormat="1" x14ac:dyDescent="0.25">
      <c r="B12" s="679"/>
      <c r="C12" s="675"/>
      <c r="D12" s="545" t="s">
        <v>27</v>
      </c>
      <c r="E12" s="558"/>
      <c r="F12" s="561"/>
      <c r="G12" s="562"/>
      <c r="H12" s="563"/>
      <c r="I12" s="561"/>
      <c r="J12" s="562"/>
      <c r="K12" s="558">
        <f>AVERAGE('Biochem Summary'!G247:G252)</f>
        <v>1.7403628117913834</v>
      </c>
      <c r="L12" s="561">
        <f>STDEV('Biochem Summary'!G247:G252)</f>
        <v>0.15544875120687796</v>
      </c>
      <c r="M12" s="564">
        <f>COUNT('Biochem Summary'!G247:G252)</f>
        <v>6</v>
      </c>
      <c r="N12" s="565">
        <f>AVERAGE('Biochem Summary'!I247:I255)</f>
        <v>50.060703258474838</v>
      </c>
      <c r="O12" s="566">
        <f>STDEV('Biochem Summary'!I247:I255)</f>
        <v>16.681631829496073</v>
      </c>
      <c r="P12" s="567">
        <f>COUNT('Biochem Summary'!I247:I255)</f>
        <v>9</v>
      </c>
      <c r="Q12" s="566">
        <f>AVERAGE('Biochem Summary'!L247:L255)</f>
        <v>320.97550843003256</v>
      </c>
      <c r="R12" s="566">
        <f>STDEV('Biochem Summary'!L247:L255)</f>
        <v>52.127426032251002</v>
      </c>
      <c r="S12" s="566">
        <f>COUNT('Biochem Summary'!L247:L255)</f>
        <v>9</v>
      </c>
      <c r="T12" s="555">
        <f>AVERAGE('Biochem Summary'!O247:O255)</f>
        <v>224.80546211231771</v>
      </c>
      <c r="U12" s="556">
        <f>STDEV('Biochem Summary'!O247:O255)</f>
        <v>17.447426698770155</v>
      </c>
      <c r="V12" s="556">
        <f>COUNT('Biochem Summary'!O247:O255)</f>
        <v>9</v>
      </c>
      <c r="W12" s="555">
        <f>AVERAGE('Biochem Summary'!R247:R252)</f>
        <v>8.7163255825513668E-4</v>
      </c>
      <c r="X12" s="556">
        <f>STDEV('Biochem Summary'!R247:R252)</f>
        <v>3.9399988319626815E-4</v>
      </c>
      <c r="Y12" s="557">
        <f>COUNT('Biochem Summary'!R247:R252)</f>
        <v>6</v>
      </c>
      <c r="Z12" s="555">
        <f>AVERAGE('Biochem Summary'!U247:U252)</f>
        <v>6.412614701906139</v>
      </c>
      <c r="AA12" s="556">
        <f>STDEV('Biochem Summary'!U247:U252)</f>
        <v>2.7605893940528912</v>
      </c>
      <c r="AB12" s="557">
        <f>COUNT('Biochem Summary'!U247:U252)</f>
        <v>6</v>
      </c>
      <c r="AC12" s="568"/>
      <c r="AD12" s="569"/>
      <c r="AE12" s="570"/>
    </row>
    <row r="13" spans="1:76" x14ac:dyDescent="0.25">
      <c r="B13" s="679"/>
      <c r="C13" s="680" t="s">
        <v>275</v>
      </c>
      <c r="D13" s="101" t="s">
        <v>26</v>
      </c>
      <c r="E13" s="102"/>
      <c r="F13" s="103"/>
      <c r="G13" s="104"/>
      <c r="H13" s="102"/>
      <c r="I13" s="103"/>
      <c r="J13" s="104"/>
      <c r="K13" s="102">
        <f>AVERAGE('Biochem Summary'!G257:G266)</f>
        <v>1.49856184084372</v>
      </c>
      <c r="L13" s="103">
        <f>STDEV('Biochem Summary'!G257:G266)</f>
        <v>0.12520391432354211</v>
      </c>
      <c r="M13" s="113">
        <f>COUNT('Biochem Summary'!G257:G266)</f>
        <v>10</v>
      </c>
      <c r="N13" s="177">
        <f>AVERAGE('Biochem Summary'!I257:I266)</f>
        <v>98.4591679896578</v>
      </c>
      <c r="O13" s="178">
        <f>STDEV('Biochem Summary'!I257:I266)</f>
        <v>37.815313695975384</v>
      </c>
      <c r="P13" s="179">
        <f>COUNT('Biochem Summary'!I257:I266)</f>
        <v>10</v>
      </c>
      <c r="Q13" s="177">
        <f>AVERAGE('Biochem Summary'!L257:L266)</f>
        <v>461.46240212226337</v>
      </c>
      <c r="R13" s="178">
        <f>STDEV('Biochem Summary'!L257:L266)</f>
        <v>41.867640097161477</v>
      </c>
      <c r="S13" s="179">
        <v>10</v>
      </c>
      <c r="T13" s="287">
        <f>AVERAGE('Biochem Summary'!O257:O266)</f>
        <v>224.61793956397864</v>
      </c>
      <c r="U13" s="114">
        <f>STDEV('Biochem Summary'!O257:O266)</f>
        <v>9.9681121410923534</v>
      </c>
      <c r="V13" s="114">
        <f>COUNT('Biochem Summary'!O257:O266)</f>
        <v>5</v>
      </c>
      <c r="W13" s="287">
        <f>AVERAGE('Biochem Summary'!R257:R266)</f>
        <v>5.1703621422114442E-4</v>
      </c>
      <c r="X13" s="114">
        <f>STDEV('Biochem Summary'!R257:R266)</f>
        <v>1.4644893709816949E-4</v>
      </c>
      <c r="Y13" s="112">
        <v>10</v>
      </c>
      <c r="Z13" s="287">
        <f>AVERAGE('Biochem Summary'!U257:U266)</f>
        <v>1.8282355272815582</v>
      </c>
      <c r="AA13" s="114">
        <f>STDEV('Biochem Summary'!U257:U266)</f>
        <v>0.53797586142699438</v>
      </c>
      <c r="AB13" s="112">
        <v>10</v>
      </c>
      <c r="AC13" s="117"/>
      <c r="AD13" s="118"/>
      <c r="AE13" s="104"/>
    </row>
    <row r="14" spans="1:76" x14ac:dyDescent="0.25">
      <c r="B14" s="679"/>
      <c r="C14" s="675"/>
      <c r="D14" s="111" t="s">
        <v>27</v>
      </c>
      <c r="E14" s="105"/>
      <c r="F14" s="106"/>
      <c r="G14" s="107"/>
      <c r="H14" s="105"/>
      <c r="I14" s="106"/>
      <c r="J14" s="107"/>
      <c r="K14" s="105">
        <f>AVERAGE('Biochem Summary'!G267:G282)</f>
        <v>2.1239083324750228</v>
      </c>
      <c r="L14" s="106">
        <f>STDEV('Biochem Summary'!G267:G282)</f>
        <v>0.35764121140464933</v>
      </c>
      <c r="M14" s="108">
        <f>COUNT('Biochem Summary'!G267:G282)</f>
        <v>14</v>
      </c>
      <c r="N14" s="213">
        <f>AVERAGE('Biochem Summary'!I267:I282)</f>
        <v>54.978423210267508</v>
      </c>
      <c r="O14" s="130">
        <f>STDEV('Biochem Summary'!I267:I282)</f>
        <v>31.595827826318896</v>
      </c>
      <c r="P14" s="244">
        <f>COUNT('Biochem Summary'!I267:I282)</f>
        <v>15</v>
      </c>
      <c r="Q14" s="213">
        <f>AVERAGE('Biochem Summary'!L267:L282)</f>
        <v>518.34688648192105</v>
      </c>
      <c r="R14" s="130">
        <f>STDEV('Biochem Summary'!L267:L282)</f>
        <v>144.98217791024007</v>
      </c>
      <c r="S14" s="244">
        <f>COUNT('Biochem Summary'!L267:L282)</f>
        <v>15</v>
      </c>
      <c r="T14" s="263">
        <f>AVERAGE('Biochem Summary'!O267:O282)</f>
        <v>157.42433287727883</v>
      </c>
      <c r="U14" s="265">
        <f>STDEV('Biochem Summary'!O267:O282)</f>
        <v>22.863956565635466</v>
      </c>
      <c r="V14" s="265">
        <f>COUNT('Biochem Summary'!O267:O282)</f>
        <v>11</v>
      </c>
      <c r="W14" s="263">
        <f>AVERAGE('Biochem Summary'!R267:R282)</f>
        <v>6.2925717781818513E-4</v>
      </c>
      <c r="X14" s="265">
        <f>STDEV('Biochem Summary'!R267:R282)</f>
        <v>2.2681834540006908E-4</v>
      </c>
      <c r="Y14" s="119">
        <f>COUNT('Biochem Summary'!R267:R282)</f>
        <v>15</v>
      </c>
      <c r="Z14" s="263">
        <f>AVERAGE('Biochem Summary'!U267:U282)</f>
        <v>6.8719652947596428</v>
      </c>
      <c r="AA14" s="265">
        <f>STDEV('Biochem Summary'!U267:U282)</f>
        <v>4.6264553562967565</v>
      </c>
      <c r="AB14" s="119">
        <f>COUNT('Biochem Summary'!U267:U282)</f>
        <v>15</v>
      </c>
      <c r="AC14" s="109"/>
      <c r="AD14" s="110"/>
      <c r="AE14" s="107"/>
    </row>
    <row r="15" spans="1:76" x14ac:dyDescent="0.25">
      <c r="B15" s="679"/>
      <c r="C15" s="680" t="s">
        <v>166</v>
      </c>
      <c r="D15" s="101" t="s">
        <v>26</v>
      </c>
      <c r="E15" s="102">
        <v>29.2697262475</v>
      </c>
      <c r="F15" s="103">
        <v>5.5703797065970457</v>
      </c>
      <c r="G15" s="104">
        <v>4</v>
      </c>
      <c r="H15" s="102">
        <v>29.2697262475</v>
      </c>
      <c r="I15" s="103">
        <v>5.3427391761351855</v>
      </c>
      <c r="J15" s="104">
        <v>8</v>
      </c>
      <c r="K15" s="385">
        <v>1.228395061728395</v>
      </c>
      <c r="L15" s="386">
        <v>0.30505945510292104</v>
      </c>
      <c r="M15" s="178">
        <v>6</v>
      </c>
      <c r="N15" s="177">
        <v>168.75377335577886</v>
      </c>
      <c r="O15" s="178">
        <v>21.459115645475926</v>
      </c>
      <c r="P15" s="179">
        <v>15</v>
      </c>
      <c r="Q15" s="287">
        <v>541.31631641954789</v>
      </c>
      <c r="R15" s="114">
        <v>66.380663389456586</v>
      </c>
      <c r="S15" s="112">
        <v>15</v>
      </c>
      <c r="T15" s="353">
        <v>218.00680549622405</v>
      </c>
      <c r="U15" s="354">
        <v>14.92895707103559</v>
      </c>
      <c r="V15" s="112">
        <v>15</v>
      </c>
      <c r="W15" s="287">
        <v>8.3860995965714981E-3</v>
      </c>
      <c r="X15" s="114">
        <v>2.1818106568087837E-3</v>
      </c>
      <c r="Y15" s="112">
        <v>5</v>
      </c>
      <c r="Z15" s="116">
        <v>3.4244621978342358</v>
      </c>
      <c r="AA15" s="116">
        <v>0.96270110859920943</v>
      </c>
      <c r="AB15" s="113">
        <v>5</v>
      </c>
      <c r="AC15" s="177">
        <v>8.1070354257165422E-3</v>
      </c>
      <c r="AD15" s="178">
        <v>3.2881140628905747E-3</v>
      </c>
      <c r="AE15" s="179">
        <v>4</v>
      </c>
      <c r="AF15">
        <v>2532.3333333333335</v>
      </c>
      <c r="AG15">
        <v>690.22411819157253</v>
      </c>
      <c r="AH15">
        <v>3</v>
      </c>
      <c r="AI15">
        <v>3.0559999999999997E-3</v>
      </c>
      <c r="AJ15">
        <v>1.5890273754721785E-3</v>
      </c>
      <c r="AK15">
        <v>3</v>
      </c>
      <c r="AL15">
        <v>3.383926666666667</v>
      </c>
      <c r="AM15">
        <v>0.72018559561638673</v>
      </c>
      <c r="AN15">
        <v>3</v>
      </c>
      <c r="AO15">
        <v>1.8252814959490742</v>
      </c>
      <c r="AP15">
        <v>8.5454427180825979E-2</v>
      </c>
      <c r="AQ15">
        <v>3</v>
      </c>
      <c r="AR15">
        <v>34.359469010416667</v>
      </c>
      <c r="AS15">
        <v>9.1701703140507149</v>
      </c>
      <c r="AT15">
        <v>3</v>
      </c>
      <c r="AU15">
        <v>0.93681481481481477</v>
      </c>
      <c r="AV15">
        <v>1.3556162706500043E-2</v>
      </c>
      <c r="AW15">
        <v>3</v>
      </c>
      <c r="AX15">
        <v>87.57</v>
      </c>
      <c r="AY15">
        <v>9.7814864809893614</v>
      </c>
      <c r="AZ15">
        <v>3</v>
      </c>
      <c r="BA15">
        <v>0.99207407407407411</v>
      </c>
      <c r="BB15">
        <v>3.9601928705578432E-3</v>
      </c>
      <c r="BC15">
        <v>3</v>
      </c>
      <c r="BG15">
        <v>3.6166498967305767</v>
      </c>
      <c r="BH15">
        <v>0.57798005936769192</v>
      </c>
      <c r="BI15">
        <v>15</v>
      </c>
    </row>
    <row r="16" spans="1:76" x14ac:dyDescent="0.25">
      <c r="B16" s="679"/>
      <c r="C16" s="675"/>
      <c r="D16" s="111" t="s">
        <v>27</v>
      </c>
      <c r="E16" s="105">
        <v>28.728126558750006</v>
      </c>
      <c r="F16" s="106">
        <v>4.7154309906825498</v>
      </c>
      <c r="G16" s="107">
        <v>4</v>
      </c>
      <c r="H16" s="105">
        <v>28.728126558750002</v>
      </c>
      <c r="I16" s="106">
        <v>7.5141947319165672</v>
      </c>
      <c r="J16" s="107">
        <v>8</v>
      </c>
      <c r="K16" s="387">
        <f>AVERAGE('Biochem Summary'!G78:G101)</f>
        <v>2.0558080808080805</v>
      </c>
      <c r="L16" s="388">
        <f>STDEV('Biochem Summary'!G78:G101)</f>
        <v>0.29185534488330039</v>
      </c>
      <c r="M16" s="130">
        <f>COUNT('Biochem Summary'!G78:G101)</f>
        <v>11</v>
      </c>
      <c r="N16" s="387">
        <f>AVERAGE('Biochem Summary'!I78:I101)</f>
        <v>79.245451983767211</v>
      </c>
      <c r="O16" s="388">
        <f>STDEV('Biochem Summary'!I78:I101)</f>
        <v>25.15171590821101</v>
      </c>
      <c r="P16" s="130">
        <f>COUNT('Biochem Summary'!I78:I101)</f>
        <v>24</v>
      </c>
      <c r="Q16" s="387">
        <f>AVERAGE('Biochem Summary'!L78:L101)</f>
        <v>544.52020073741198</v>
      </c>
      <c r="R16" s="388">
        <f>STDEV('Biochem Summary'!L78:L101)</f>
        <v>112.38185341543769</v>
      </c>
      <c r="S16" s="130">
        <f>COUNT('Biochem Summary'!L78:L101)</f>
        <v>24</v>
      </c>
      <c r="T16" s="387">
        <f>AVERAGE('Biochem Summary'!O78:O101)</f>
        <v>175.98521284285681</v>
      </c>
      <c r="U16" s="388">
        <f>STDEV('Biochem Summary'!O78:O101)</f>
        <v>27.82333316564171</v>
      </c>
      <c r="V16" s="130">
        <f>COUNT('Biochem Summary'!O78:O101)</f>
        <v>16</v>
      </c>
      <c r="W16" s="460">
        <f>AVERAGE('Biochem Summary'!R78:R101)</f>
        <v>2.6616624081384089E-3</v>
      </c>
      <c r="X16" s="461">
        <f>STDEV('Biochem Summary'!R78:R101)</f>
        <v>3.3394463388294717E-3</v>
      </c>
      <c r="Y16" s="130">
        <f>COUNT('Biochem Summary'!R78:R101)</f>
        <v>18</v>
      </c>
      <c r="Z16" s="445">
        <f>AVERAGE('Biochem Summary'!U78:U101)</f>
        <v>8.8195288426159149</v>
      </c>
      <c r="AA16" s="446">
        <f>STDEV('Biochem Summary'!U78:U101)</f>
        <v>2.7309067512404894</v>
      </c>
      <c r="AB16" s="130">
        <f>COUNT('Biochem Summary'!U78:U101)</f>
        <v>18</v>
      </c>
      <c r="AC16" s="213">
        <v>9.7025407827409121E-2</v>
      </c>
      <c r="AD16" s="130">
        <v>2.6228716067032386E-2</v>
      </c>
      <c r="AE16" s="244">
        <v>5</v>
      </c>
      <c r="AF16">
        <v>2136.9</v>
      </c>
      <c r="AG16">
        <v>520.46323757462983</v>
      </c>
      <c r="AH16">
        <v>4</v>
      </c>
      <c r="AI16">
        <v>3.2269999999999998E-3</v>
      </c>
      <c r="AJ16">
        <v>4.5494175451369587E-4</v>
      </c>
      <c r="AK16">
        <v>4</v>
      </c>
      <c r="AL16">
        <v>3.6647317500000001</v>
      </c>
      <c r="AM16">
        <v>0.53069817963909671</v>
      </c>
      <c r="AN16">
        <v>4</v>
      </c>
      <c r="AO16">
        <v>1.857276158311632</v>
      </c>
      <c r="AP16">
        <v>7.2707135594766492E-2</v>
      </c>
      <c r="AQ16">
        <v>4</v>
      </c>
      <c r="AR16">
        <v>30.272813840060763</v>
      </c>
      <c r="AS16">
        <v>1.513450941820196</v>
      </c>
      <c r="AT16">
        <v>4</v>
      </c>
      <c r="AU16">
        <v>0.93333333333333335</v>
      </c>
      <c r="AV16">
        <v>2.7216552697590592E-3</v>
      </c>
      <c r="AW16">
        <v>4</v>
      </c>
      <c r="AX16">
        <v>90.463472222222208</v>
      </c>
      <c r="AY16">
        <v>1.0957116535739622</v>
      </c>
      <c r="AZ16">
        <v>4</v>
      </c>
      <c r="BA16">
        <v>0.98050000000000004</v>
      </c>
      <c r="BB16">
        <v>1.2273126318490734E-2</v>
      </c>
      <c r="BC16">
        <v>4</v>
      </c>
      <c r="BD16">
        <v>0.29791305260871281</v>
      </c>
      <c r="BE16">
        <v>1.9185381770202629E-2</v>
      </c>
      <c r="BF16">
        <v>5</v>
      </c>
      <c r="BG16">
        <v>3.6765525200761289</v>
      </c>
      <c r="BH16">
        <v>0.26593136504703602</v>
      </c>
      <c r="BI16">
        <v>16</v>
      </c>
      <c r="BJ16">
        <v>40.415099999999995</v>
      </c>
      <c r="BK16">
        <v>16.031991877314756</v>
      </c>
      <c r="BL16">
        <v>8</v>
      </c>
      <c r="BM16">
        <v>85.750737499999985</v>
      </c>
      <c r="BN16">
        <v>25.850142169376305</v>
      </c>
      <c r="BO16">
        <v>8</v>
      </c>
      <c r="BP16">
        <v>5.9429249999999998</v>
      </c>
      <c r="BQ16">
        <v>2.0710064873665393</v>
      </c>
      <c r="BR16">
        <v>8</v>
      </c>
      <c r="BS16">
        <v>12.255062500000001</v>
      </c>
      <c r="BT16">
        <v>4.039671390078829</v>
      </c>
      <c r="BU16">
        <v>8</v>
      </c>
      <c r="BV16">
        <v>0.23622500000000002</v>
      </c>
      <c r="BW16">
        <v>0.13355270495201513</v>
      </c>
      <c r="BX16">
        <v>8</v>
      </c>
    </row>
    <row r="17" spans="2:76" s="330" customFormat="1" ht="15.75" thickBot="1" x14ac:dyDescent="0.3">
      <c r="B17" s="673"/>
      <c r="C17" s="571"/>
      <c r="D17" s="571" t="s">
        <v>110</v>
      </c>
      <c r="E17" s="572">
        <v>36.192699250000004</v>
      </c>
      <c r="F17" s="573">
        <v>7.8084947420903577</v>
      </c>
      <c r="G17" s="574">
        <v>4</v>
      </c>
      <c r="H17" s="572">
        <v>36.192699249999997</v>
      </c>
      <c r="I17" s="573">
        <v>9.7747100933514979</v>
      </c>
      <c r="J17" s="574">
        <v>8</v>
      </c>
      <c r="K17" s="575">
        <f>AVERAGE('Biochem Summary'!G102:G131)</f>
        <v>2.1052946542601716</v>
      </c>
      <c r="L17" s="576">
        <f>STDEV('Biochem Summary'!G33:G102)</f>
        <v>0.60044979091813522</v>
      </c>
      <c r="M17" s="576">
        <f>COUNT('Biochem Summary'!G102:G131)</f>
        <v>15</v>
      </c>
      <c r="N17" s="577">
        <f>AVERAGE('Biochem Summary'!I102:I131)</f>
        <v>66.842174511992269</v>
      </c>
      <c r="O17" s="578">
        <f>STDEV('Biochem Summary'!I102:I131)</f>
        <v>20.270250574608973</v>
      </c>
      <c r="P17" s="579">
        <f>COUNT('Biochem Summary'!I102:I131)</f>
        <v>5</v>
      </c>
      <c r="Q17" s="573">
        <f>AVERAGE('Biochem Summary'!L102:L131)</f>
        <v>337.61039102763186</v>
      </c>
      <c r="R17" s="573">
        <f>STDEV('Biochem Summary'!L93:L131)</f>
        <v>187.90644888166426</v>
      </c>
      <c r="S17" s="580">
        <f>COUNT('Biochem Summary'!L102:L131)</f>
        <v>10</v>
      </c>
      <c r="T17" s="572">
        <f>AVERAGE('Biochem Summary'!O102:O131)</f>
        <v>173.28957109226579</v>
      </c>
      <c r="U17" s="573">
        <f>STDEV('Biochem Summary'!O102:O131)</f>
        <v>12.179804592590385</v>
      </c>
      <c r="V17" s="580">
        <f>COUNT('Biochem Summary'!O102:O131)</f>
        <v>10</v>
      </c>
      <c r="W17" s="581">
        <f>AVERAGE('Biochem Summary'!R102:R131)</f>
        <v>6.4434413969677751E-4</v>
      </c>
      <c r="X17" s="582">
        <f>STDEV('Biochem Summary'!R102:R131)</f>
        <v>3.6625593079784181E-4</v>
      </c>
      <c r="Y17" s="574">
        <f>COUNT('Biochem Summary'!R102:R131)</f>
        <v>10</v>
      </c>
      <c r="Z17" s="581">
        <f>AVERAGE('Biochem Summary'!U102:U131)</f>
        <v>3.551787539500209</v>
      </c>
      <c r="AA17" s="573">
        <f>STDEV('Biochem Summary'!U108:U131)</f>
        <v>3.7552935921884152</v>
      </c>
      <c r="AB17" s="574">
        <f>COUNT('Biochem Summary'!U108:U131)</f>
        <v>9</v>
      </c>
      <c r="AC17" s="583">
        <v>4.5634446646932766E-2</v>
      </c>
      <c r="AD17" s="584">
        <v>1.9787543404103537E-2</v>
      </c>
      <c r="AE17" s="585">
        <v>4</v>
      </c>
    </row>
    <row r="18" spans="2:76" x14ac:dyDescent="0.25">
      <c r="B18" s="672" t="s">
        <v>111</v>
      </c>
      <c r="C18" s="253"/>
      <c r="D18" s="253" t="s">
        <v>195</v>
      </c>
      <c r="E18" s="202">
        <v>38.288229596249998</v>
      </c>
      <c r="F18" s="203">
        <v>12.790351102883635</v>
      </c>
      <c r="G18" s="204">
        <v>4</v>
      </c>
      <c r="H18" s="202">
        <v>38.288229596249998</v>
      </c>
      <c r="I18" s="203">
        <v>15.324828874525197</v>
      </c>
      <c r="J18" s="243">
        <v>8</v>
      </c>
      <c r="K18" s="202">
        <v>1.1545075295075296</v>
      </c>
      <c r="L18" s="203">
        <v>0.21537649019461202</v>
      </c>
      <c r="M18" s="243">
        <v>8</v>
      </c>
      <c r="N18" s="202">
        <v>154.68956896584172</v>
      </c>
      <c r="O18" s="203">
        <v>41.809466593723144</v>
      </c>
      <c r="P18" s="204">
        <v>7</v>
      </c>
      <c r="Q18" s="202">
        <v>435.63999229615433</v>
      </c>
      <c r="R18" s="203">
        <v>65.645768062515728</v>
      </c>
      <c r="S18" s="204">
        <v>6</v>
      </c>
      <c r="T18" s="202">
        <v>180.42606973756256</v>
      </c>
      <c r="U18" s="203">
        <v>12.322200534085061</v>
      </c>
      <c r="V18" s="204">
        <v>6</v>
      </c>
      <c r="W18" s="262"/>
      <c r="X18" s="261"/>
      <c r="Y18" s="204"/>
      <c r="Z18" s="262"/>
      <c r="AA18" s="203"/>
      <c r="AB18" s="204"/>
      <c r="AC18" s="448"/>
      <c r="AD18" s="448"/>
      <c r="AE18" s="449"/>
      <c r="AF18">
        <v>1913.5</v>
      </c>
      <c r="AG18">
        <v>603.16208435212502</v>
      </c>
      <c r="AH18">
        <v>2</v>
      </c>
      <c r="AI18">
        <v>2.921E-3</v>
      </c>
      <c r="AJ18">
        <v>1.1172287142747461E-4</v>
      </c>
      <c r="AK18">
        <v>2</v>
      </c>
      <c r="AL18">
        <v>0.20529449472755257</v>
      </c>
      <c r="AM18">
        <v>1.8264082949541031E-3</v>
      </c>
      <c r="AN18">
        <v>2</v>
      </c>
      <c r="AO18">
        <v>1.8583288773148148</v>
      </c>
      <c r="AP18">
        <v>0.1024208656681594</v>
      </c>
      <c r="AQ18">
        <v>3</v>
      </c>
      <c r="AR18">
        <v>25.841026743344909</v>
      </c>
      <c r="AS18">
        <v>4.1730647342218541</v>
      </c>
      <c r="AT18">
        <v>3</v>
      </c>
      <c r="AU18">
        <v>0.92800000000000005</v>
      </c>
      <c r="AV18">
        <v>7.2111025509280467E-3</v>
      </c>
      <c r="AW18">
        <v>3</v>
      </c>
      <c r="AX18">
        <v>90.325555555555567</v>
      </c>
      <c r="AY18">
        <v>3.0358530438253637</v>
      </c>
      <c r="AZ18">
        <v>3</v>
      </c>
      <c r="BA18">
        <v>0.97250000000000003</v>
      </c>
      <c r="BB18">
        <v>9.1666666666666008E-3</v>
      </c>
      <c r="BC18">
        <v>3</v>
      </c>
    </row>
    <row r="19" spans="2:76" x14ac:dyDescent="0.25">
      <c r="B19" s="679"/>
      <c r="C19" s="674">
        <v>0.05</v>
      </c>
      <c r="D19" s="111" t="s">
        <v>26</v>
      </c>
      <c r="E19" s="105"/>
      <c r="F19" s="106"/>
      <c r="G19" s="119"/>
      <c r="H19" s="105"/>
      <c r="I19" s="106"/>
      <c r="J19" s="265"/>
      <c r="K19" s="105">
        <f>AVERAGE('Biochem Summary'!G138:G148)</f>
        <v>1.258350376786131</v>
      </c>
      <c r="L19" s="106">
        <f>STDEV('Biochem Summary'!G138:G148)</f>
        <v>6.1301748259923877E-2</v>
      </c>
      <c r="M19" s="108">
        <f>COUNT('Biochem Summary'!G138:G148)</f>
        <v>11</v>
      </c>
      <c r="N19" s="263">
        <f>AVERAGE('Biochem Summary'!I139:I148)</f>
        <v>70.507212744302194</v>
      </c>
      <c r="O19" s="265">
        <f>STDEV('Biochem Summary'!I139:I148)</f>
        <v>23.358748546544263</v>
      </c>
      <c r="P19" s="119">
        <f>COUNT('Biochem Summary'!I138:I148)</f>
        <v>10</v>
      </c>
      <c r="Q19" s="263">
        <f>AVERAGE('Biochem Summary'!L139:L148)</f>
        <v>401.87165583426088</v>
      </c>
      <c r="R19" s="265">
        <f>STDEV('Biochem Summary'!L139:L148)</f>
        <v>57.893788439982295</v>
      </c>
      <c r="S19" s="119">
        <f>COUNT('Biochem Summary'!L138:L148)</f>
        <v>10</v>
      </c>
      <c r="T19" s="263">
        <f>AVERAGE('Biochem Summary'!O139:O143)</f>
        <v>182.54364246989348</v>
      </c>
      <c r="U19" s="265">
        <f>STDEV('Biochem Summary'!O139:O143)</f>
        <v>37.525574665047472</v>
      </c>
      <c r="V19" s="119">
        <v>5</v>
      </c>
      <c r="W19" s="213">
        <f>AVERAGE('Biochem Summary'!R139:R148)</f>
        <v>1.5262554132858556E-3</v>
      </c>
      <c r="X19" s="130">
        <f>STDEV('Biochem Summary'!R139:R148)</f>
        <v>1.655274902963052E-3</v>
      </c>
      <c r="Y19" s="244">
        <v>10</v>
      </c>
      <c r="Z19" s="213">
        <f>AVERAGE('Biochem Summary'!U139:U148)</f>
        <v>1.3224863161653642</v>
      </c>
      <c r="AA19" s="130">
        <f>STDEV('Biochem Summary'!U139:U148)</f>
        <v>0.44195840053936286</v>
      </c>
      <c r="AB19" s="244">
        <v>10</v>
      </c>
      <c r="AC19" s="446"/>
      <c r="AD19" s="446"/>
      <c r="AE19" s="447"/>
    </row>
    <row r="20" spans="2:76" x14ac:dyDescent="0.25">
      <c r="B20" s="679"/>
      <c r="C20" s="675"/>
      <c r="D20" s="111" t="s">
        <v>27</v>
      </c>
      <c r="E20" s="105"/>
      <c r="F20" s="106"/>
      <c r="G20" s="119"/>
      <c r="H20" s="105"/>
      <c r="I20" s="106"/>
      <c r="J20" s="265"/>
      <c r="K20" s="105">
        <f>AVERAGE('Biochem Summary'!G160:G171)</f>
        <v>2.6467638570579748</v>
      </c>
      <c r="L20" s="106">
        <f>STDEV('Biochem Summary'!G160:G171)</f>
        <v>0.37787301662736056</v>
      </c>
      <c r="M20" s="108">
        <f>COUNT('Biochem Summary'!G160:G166)</f>
        <v>7</v>
      </c>
      <c r="N20" s="105">
        <f>AVERAGE('Biochem Summary'!I160:I171)</f>
        <v>30.064350390918595</v>
      </c>
      <c r="O20" s="106">
        <f>STDEV('Biochem Summary'!I160:I171)</f>
        <v>8.4609925738958758</v>
      </c>
      <c r="P20" s="107">
        <f>COUNT('Biochem Summary'!K160:K171)</f>
        <v>10</v>
      </c>
      <c r="Q20" s="105">
        <f>AVERAGE('Biochem Summary'!L160:L171)</f>
        <v>422.93606106039414</v>
      </c>
      <c r="R20" s="106">
        <f>STDEV('Biochem Summary'!L160:L171)</f>
        <v>93.709445514374877</v>
      </c>
      <c r="S20" s="107">
        <f>COUNT('Biochem Summary'!L160:L171)</f>
        <v>10</v>
      </c>
      <c r="T20" s="263">
        <f>AVERAGE('Biochem Summary'!O161:O166)</f>
        <v>150.86989369638874</v>
      </c>
      <c r="U20" s="265">
        <f>STDEV('Biochem Summary'!O161:O166)</f>
        <v>11.097123807343261</v>
      </c>
      <c r="V20" s="119">
        <v>6</v>
      </c>
      <c r="W20" s="213">
        <f>AVERAGE('Biochem Summary'!R161:R166)</f>
        <v>8.9044864416518849E-4</v>
      </c>
      <c r="X20" s="130">
        <f>STDEV('Biochem Summary'!R161:R166)</f>
        <v>4.3620044121363754E-4</v>
      </c>
      <c r="Y20" s="244">
        <f>COUNT('Biochem Summary'!R161:R166)</f>
        <v>6</v>
      </c>
      <c r="Z20" s="213">
        <f>AVERAGE('Biochem Summary'!U161:U166)</f>
        <v>0.89187519373283608</v>
      </c>
      <c r="AA20" s="130">
        <f>STDEV('Biochem Summary'!U161:U166)</f>
        <v>0.28714684482455471</v>
      </c>
      <c r="AB20" s="244">
        <f>COUNT('Biochem Summary'!U161:U166)</f>
        <v>6</v>
      </c>
      <c r="AC20" s="446"/>
      <c r="AD20" s="446"/>
      <c r="AE20" s="447"/>
    </row>
    <row r="21" spans="2:76" x14ac:dyDescent="0.25">
      <c r="B21" s="679"/>
      <c r="C21" s="680">
        <v>0.15</v>
      </c>
      <c r="D21" s="101" t="s">
        <v>26</v>
      </c>
      <c r="E21" s="105"/>
      <c r="F21" s="103"/>
      <c r="G21" s="112"/>
      <c r="H21" s="102"/>
      <c r="J21" s="114"/>
      <c r="K21" s="102">
        <f>AVERAGE('Biochem Summary'!G149:G159)</f>
        <v>1.5449897750511248</v>
      </c>
      <c r="L21" s="103">
        <f>STDEV('Biochem Summary'!G149:G159)</f>
        <v>0.13039756674041431</v>
      </c>
      <c r="M21" s="113">
        <f>COUNT('Biochem Summary'!G149:G159)</f>
        <v>6</v>
      </c>
      <c r="N21" s="62">
        <f>AVERAGE('Biochem Summary'!I149:I159)</f>
        <v>73.936741814660536</v>
      </c>
      <c r="O21" s="68">
        <f>STDEV('Biochem Summary'!I149:I159)</f>
        <v>20.50716718369241</v>
      </c>
      <c r="P21" s="171">
        <f>COUNT('Biochem Summary'!I149:I159)</f>
        <v>11</v>
      </c>
      <c r="Q21" s="62">
        <f>AVERAGE('Biochem Summary'!L149:L159)</f>
        <v>413.57951124341673</v>
      </c>
      <c r="R21" s="68">
        <f>STDEV('Biochem Summary'!L149:L159)</f>
        <v>83.914014308669451</v>
      </c>
      <c r="S21" s="171">
        <f>COUNT('Biochem Summary'!K149:K159)</f>
        <v>11</v>
      </c>
      <c r="T21" s="62">
        <f>AVERAGE('Biochem Summary'!O149:O154)</f>
        <v>174.1014286170581</v>
      </c>
      <c r="U21" s="68">
        <f>STDEV('Biochem Summary'!O149:O154)</f>
        <v>37.232040230413794</v>
      </c>
      <c r="V21" s="171">
        <v>6</v>
      </c>
      <c r="W21" s="213">
        <f>AVERAGE('Biochem Summary'!R149:R154)</f>
        <v>1.3206985962509819E-3</v>
      </c>
      <c r="X21" s="130">
        <f>STDEV('Biochem Summary'!R149:R154)</f>
        <v>1.6080609863332914E-4</v>
      </c>
      <c r="Y21" s="244">
        <v>6</v>
      </c>
      <c r="Z21" s="213">
        <f>AVERAGE('Biochem Summary'!U149:U154)</f>
        <v>2.7372694128110813</v>
      </c>
      <c r="AA21" s="130">
        <f>STDEV('Biochem Summary'!U149:U154)</f>
        <v>0.75867488377677117</v>
      </c>
      <c r="AB21" s="244">
        <v>6</v>
      </c>
      <c r="AC21" s="443"/>
      <c r="AD21" s="443"/>
      <c r="AE21" s="444"/>
    </row>
    <row r="22" spans="2:76" s="330" customFormat="1" x14ac:dyDescent="0.25">
      <c r="B22" s="679"/>
      <c r="C22" s="675"/>
      <c r="D22" s="586" t="s">
        <v>27</v>
      </c>
      <c r="E22" s="546"/>
      <c r="F22" s="547"/>
      <c r="G22" s="587"/>
      <c r="H22" s="546"/>
      <c r="I22" s="547"/>
      <c r="J22" s="554"/>
      <c r="K22" s="546">
        <f>AVERAGE('Biochem Summary'!G172:G183)</f>
        <v>2.25356504468719</v>
      </c>
      <c r="L22" s="547">
        <f>STDEV('Biochem Summary'!G172:G183)</f>
        <v>0.6939714404030255</v>
      </c>
      <c r="M22" s="549">
        <f>COUNT('Biochem Summary'!G172:G183)</f>
        <v>10</v>
      </c>
      <c r="N22" s="546">
        <f>AVERAGE('Biochem Summary'!I172:I183)</f>
        <v>32.988536906943636</v>
      </c>
      <c r="O22" s="547">
        <f>STDEV('Biochem Summary'!I172:I183)</f>
        <v>14.402901127677186</v>
      </c>
      <c r="P22" s="548">
        <f>COUNT('Biochem Summary'!K172:K183)</f>
        <v>10</v>
      </c>
      <c r="Q22" s="546">
        <f>AVERAGE('Biochem Summary'!L172:L183)</f>
        <v>382.05304202945041</v>
      </c>
      <c r="R22" s="547">
        <f>STDEV('Biochem Summary'!L172:L183)</f>
        <v>96.821043164014981</v>
      </c>
      <c r="S22" s="548">
        <f>COUNT('Biochem Summary'!L172:L183)</f>
        <v>10</v>
      </c>
      <c r="T22" s="553">
        <f>AVERAGE('Biochem Summary'!O172:O183)</f>
        <v>164.04631456959083</v>
      </c>
      <c r="U22" s="554">
        <f>STDEV('Biochem Summary'!O172:O183)</f>
        <v>19.972561541935615</v>
      </c>
      <c r="V22" s="587">
        <f>COUNT('Biochem Summary'!O172:O183)</f>
        <v>10</v>
      </c>
      <c r="W22" s="565">
        <f>AVERAGE('Biochem Summary'!R172:R183)</f>
        <v>4.0235827869372745E-4</v>
      </c>
      <c r="X22" s="566">
        <f>STDEV('Biochem Summary'!R172:R183)</f>
        <v>2.1383201259312506E-4</v>
      </c>
      <c r="Y22" s="567">
        <f>COUNT('Biochem Summary'!R172:R183)</f>
        <v>10</v>
      </c>
      <c r="Z22" s="565">
        <f>AVERAGE('Biochem Summary'!U172:U183)</f>
        <v>3.8632871953881689</v>
      </c>
      <c r="AA22" s="566">
        <f>STDEV('Biochem Summary'!U172:U183)</f>
        <v>3.4217180126149711</v>
      </c>
      <c r="AB22" s="567">
        <f>COUNT('Biochem Summary'!U172:U183)</f>
        <v>10</v>
      </c>
      <c r="AC22" s="588"/>
      <c r="AD22" s="588"/>
      <c r="AE22" s="589"/>
    </row>
    <row r="23" spans="2:76" x14ac:dyDescent="0.25">
      <c r="B23" s="679"/>
      <c r="C23" s="680">
        <v>0.5</v>
      </c>
      <c r="D23" s="101" t="s">
        <v>26</v>
      </c>
      <c r="E23" s="102"/>
      <c r="F23" s="103"/>
      <c r="G23" s="112"/>
      <c r="H23" s="102"/>
      <c r="I23" s="103"/>
      <c r="J23" s="114"/>
      <c r="K23" s="102">
        <f>AVERAGE('Biochem Summary'!G283:G287)</f>
        <v>1.388157894736842</v>
      </c>
      <c r="L23" s="103">
        <f>STDEV('Biochem Summary'!G283:G287)</f>
        <v>0.12816289301827735</v>
      </c>
      <c r="M23" s="178">
        <f>COUNT('Biochem Summary'!G283:G287)</f>
        <v>5</v>
      </c>
      <c r="N23" s="177">
        <f>AVERAGE('Biochem Summary'!I283:I287)</f>
        <v>84.136364927727257</v>
      </c>
      <c r="O23" s="178">
        <f>STDEV('Biochem Summary'!I283:I287)</f>
        <v>35.932278339533291</v>
      </c>
      <c r="P23" s="179">
        <f>COUNT('Biochem Summary'!I283:I287)</f>
        <v>5</v>
      </c>
      <c r="Q23" s="177">
        <f>AVERAGE('Biochem Summary'!L283:L287)</f>
        <v>408.64451398935358</v>
      </c>
      <c r="R23" s="354">
        <f>STDEV('Biochem Summary'!L283:L287)</f>
        <v>64.657861063854043</v>
      </c>
      <c r="S23" s="112">
        <f>COUNT('Biochem Summary'!L283:L287)</f>
        <v>5</v>
      </c>
      <c r="T23" s="287">
        <f>AVERAGE('Biochem Summary'!O283:O287)</f>
        <v>189.16381732860174</v>
      </c>
      <c r="U23" s="114">
        <f>STDEV('Biochem Summary'!O283:O287)</f>
        <v>19.490712394904744</v>
      </c>
      <c r="V23" s="112">
        <f>COUNT('Biochem Summary'!O283:O287)</f>
        <v>5</v>
      </c>
      <c r="W23" s="213">
        <f>AVERAGE('Biochem Summary'!R283:R287)</f>
        <v>2.6827131810831198E-4</v>
      </c>
      <c r="X23" s="130">
        <f>STDEV('Biochem Summary'!R283:R287)</f>
        <v>1.0359080164138981E-4</v>
      </c>
      <c r="Y23" s="244">
        <f>COUNT('Biochem Summary'!R283:R287)</f>
        <v>5</v>
      </c>
      <c r="Z23" s="213">
        <f>AVERAGE('Biochem Summary'!U283:U287)</f>
        <v>1.6847110344217515</v>
      </c>
      <c r="AA23" s="130">
        <f>STDEV('Biochem Summary'!U283:U287)</f>
        <v>0.49692079743151812</v>
      </c>
      <c r="AB23" s="244">
        <f>COUNT('Biochem Summary'!U283:U287)</f>
        <v>5</v>
      </c>
      <c r="AC23" s="443"/>
      <c r="AD23" s="443"/>
      <c r="AE23" s="444"/>
    </row>
    <row r="24" spans="2:76" s="330" customFormat="1" x14ac:dyDescent="0.25">
      <c r="B24" s="679"/>
      <c r="C24" s="675"/>
      <c r="D24" s="545" t="s">
        <v>27</v>
      </c>
      <c r="E24" s="546"/>
      <c r="F24" s="547"/>
      <c r="G24" s="587"/>
      <c r="H24" s="546"/>
      <c r="I24" s="547"/>
      <c r="J24" s="554"/>
      <c r="K24" s="546">
        <f>AVERAGE('Biochem Summary'!G288:G302)</f>
        <v>2.5448953823953824</v>
      </c>
      <c r="L24" s="547">
        <f>STDEV('Biochem Summary'!G288:G302)</f>
        <v>0.65734215712375266</v>
      </c>
      <c r="M24" s="551">
        <f>COUNT('Biochem Summary'!G288:G302)</f>
        <v>7</v>
      </c>
      <c r="N24" s="550">
        <f>AVERAGE('Biochem Summary'!I288:I302)</f>
        <v>55.476130876481562</v>
      </c>
      <c r="O24" s="551">
        <f>STDEV('Biochem Summary'!I288:I302)</f>
        <v>21.743476501529159</v>
      </c>
      <c r="P24" s="552">
        <f>COUNT('Biochem Summary'!I288:I302)</f>
        <v>9</v>
      </c>
      <c r="Q24" s="550">
        <f>AVERAGE('Biochem Summary'!L288:L302)</f>
        <v>474.69436554959481</v>
      </c>
      <c r="R24" s="590">
        <f>STDEV('Biochem Summary'!L288:L302)</f>
        <v>60.603722524790335</v>
      </c>
      <c r="S24" s="587">
        <f>COUNT('Biochem Summary'!L288:L302)</f>
        <v>14</v>
      </c>
      <c r="T24" s="553">
        <f>AVERAGE('Biochem Summary'!O288:O302)</f>
        <v>148.77604542442913</v>
      </c>
      <c r="U24" s="554">
        <f>STDEV('Biochem Summary'!O288:O302)</f>
        <v>32.647081283809904</v>
      </c>
      <c r="V24" s="587">
        <f>COUNT('Biochem Summary'!O288:O302)</f>
        <v>14</v>
      </c>
      <c r="W24" s="565">
        <f>AVERAGE('Biochem Summary'!R288:R302)</f>
        <v>9.3714201172187832E-4</v>
      </c>
      <c r="X24" s="566">
        <f>STDEV('Biochem Summary'!R288:R302)</f>
        <v>6.2659054169478734E-4</v>
      </c>
      <c r="Y24" s="567">
        <f>COUNT('Biochem Summary'!R288:R302)</f>
        <v>13</v>
      </c>
      <c r="Z24" s="565">
        <f>AVERAGE('Biochem Summary'!U288:U302)</f>
        <v>6.2890837952559906</v>
      </c>
      <c r="AA24" s="566">
        <f>STDEV('Biochem Summary'!U288:U302)</f>
        <v>1.8573300713840739</v>
      </c>
      <c r="AB24" s="567">
        <f>COUNT('Biochem Summary'!U288:U302)</f>
        <v>7</v>
      </c>
      <c r="AC24" s="588"/>
      <c r="AD24" s="588"/>
      <c r="AE24" s="589"/>
    </row>
    <row r="25" spans="2:76" x14ac:dyDescent="0.25">
      <c r="B25" s="679"/>
      <c r="C25" s="680" t="s">
        <v>275</v>
      </c>
      <c r="D25" s="101" t="s">
        <v>26</v>
      </c>
      <c r="E25" s="102"/>
      <c r="F25" s="103"/>
      <c r="G25" s="112"/>
      <c r="H25" s="102"/>
      <c r="I25" s="103"/>
      <c r="J25" s="114"/>
      <c r="K25" s="102"/>
      <c r="L25" s="103"/>
      <c r="M25" s="178"/>
      <c r="N25" s="177"/>
      <c r="O25" s="178"/>
      <c r="P25" s="179"/>
      <c r="Q25" s="177"/>
      <c r="R25" s="354"/>
      <c r="S25" s="112"/>
      <c r="T25" s="287"/>
      <c r="U25" s="114"/>
      <c r="V25" s="112"/>
      <c r="W25" s="213"/>
      <c r="X25" s="130"/>
      <c r="Y25" s="244"/>
      <c r="Z25" s="213"/>
      <c r="AA25" s="130"/>
      <c r="AB25" s="244"/>
      <c r="AC25" s="443"/>
      <c r="AD25" s="443"/>
      <c r="AE25" s="444"/>
    </row>
    <row r="26" spans="2:76" x14ac:dyDescent="0.25">
      <c r="B26" s="679"/>
      <c r="C26" s="675"/>
      <c r="D26" s="101" t="s">
        <v>27</v>
      </c>
      <c r="E26" s="102"/>
      <c r="F26" s="103"/>
      <c r="G26" s="112"/>
      <c r="H26" s="102"/>
      <c r="I26" s="103"/>
      <c r="J26" s="114"/>
      <c r="K26" s="102">
        <f>AVERAGE('Biochem Summary'!G303:G312)</f>
        <v>1.9579831932773111</v>
      </c>
      <c r="L26" s="103">
        <f>STDEV('Biochem Summary'!G303:G312)</f>
        <v>0.28726364740292371</v>
      </c>
      <c r="M26" s="178">
        <f>COUNT('Biochem Summary'!G303:G312)</f>
        <v>8</v>
      </c>
      <c r="N26" s="102">
        <f>AVERAGE('Biochem Summary'!I303:I312)</f>
        <v>88.044096507613204</v>
      </c>
      <c r="O26" s="103">
        <f>STDEV('Biochem Summary'!I303:I312)</f>
        <v>12.383869533625672</v>
      </c>
      <c r="P26" s="179">
        <f>COUNT('Biochem Summary'!I303:I312)</f>
        <v>10</v>
      </c>
      <c r="Q26" s="102">
        <f>AVERAGE('Biochem Summary'!L303:L312)</f>
        <v>479.55317445844548</v>
      </c>
      <c r="R26" s="103">
        <f>STDEV('Biochem Summary'!L303:L312)</f>
        <v>48.127442154936354</v>
      </c>
      <c r="S26" s="179">
        <f>COUNT('Biochem Summary'!L303:L312)</f>
        <v>10</v>
      </c>
      <c r="T26" s="102">
        <f>AVERAGE('Biochem Summary'!O303:O312)</f>
        <v>156.52777250704224</v>
      </c>
      <c r="U26" s="103">
        <f>STDEV('Biochem Summary'!O303:O312)</f>
        <v>10.024848282974865</v>
      </c>
      <c r="V26" s="179">
        <f>COUNT('Biochem Summary'!O303:O312)</f>
        <v>10</v>
      </c>
      <c r="W26" s="463">
        <f>AVERAGE('Biochem Summary'!R303:R312)</f>
        <v>4.809566136018341E-4</v>
      </c>
      <c r="X26" s="464">
        <f>STDEV('Biochem Summary'!R303:R312)</f>
        <v>5.2354922177004986E-5</v>
      </c>
      <c r="Y26" s="179">
        <f>COUNT('Biochem Summary'!R303:R312)</f>
        <v>10</v>
      </c>
      <c r="Z26" s="117">
        <f>AVERAGE('Biochem Summary'!U303:U312)</f>
        <v>6.6312784776683937</v>
      </c>
      <c r="AA26" s="118">
        <f>STDEV('Biochem Summary'!U303:U312)</f>
        <v>1.9225768659929845</v>
      </c>
      <c r="AB26" s="179">
        <f>COUNT('Biochem Summary'!U303:U312)</f>
        <v>10</v>
      </c>
      <c r="AC26" s="443"/>
      <c r="AD26" s="443"/>
      <c r="AE26" s="444"/>
    </row>
    <row r="27" spans="2:76" x14ac:dyDescent="0.25">
      <c r="B27" s="679"/>
      <c r="C27" s="680" t="s">
        <v>166</v>
      </c>
      <c r="D27" s="101" t="s">
        <v>26</v>
      </c>
      <c r="E27" s="102">
        <v>31.741872250000004</v>
      </c>
      <c r="F27" s="103">
        <v>2.6081264969261775</v>
      </c>
      <c r="G27" s="112">
        <v>4</v>
      </c>
      <c r="H27" s="102">
        <v>31.741872250000004</v>
      </c>
      <c r="I27" s="103">
        <v>5.0305824426396368</v>
      </c>
      <c r="J27" s="114">
        <v>8</v>
      </c>
      <c r="K27" s="177">
        <v>1.3432098765432097</v>
      </c>
      <c r="L27" s="178">
        <v>6.4178534701371762E-2</v>
      </c>
      <c r="M27" s="178">
        <v>6</v>
      </c>
      <c r="N27" s="177">
        <v>119.46441332817365</v>
      </c>
      <c r="O27" s="178">
        <v>16.947486310140569</v>
      </c>
      <c r="P27" s="179">
        <v>16</v>
      </c>
      <c r="Q27" s="287">
        <v>432.60944998215865</v>
      </c>
      <c r="R27" s="114">
        <v>43.333091637509582</v>
      </c>
      <c r="S27" s="112">
        <v>16</v>
      </c>
      <c r="T27" s="177">
        <v>221.22995469571998</v>
      </c>
      <c r="U27" s="178">
        <v>21.563350469986883</v>
      </c>
      <c r="V27" s="179">
        <v>16</v>
      </c>
      <c r="W27" s="177">
        <v>1.3370898451656346E-3</v>
      </c>
      <c r="X27" s="178">
        <v>3.7143870081921866E-4</v>
      </c>
      <c r="Y27" s="179">
        <v>5</v>
      </c>
      <c r="Z27" s="115">
        <v>2.3635957438811004</v>
      </c>
      <c r="AA27" s="116">
        <v>0.48243172591574324</v>
      </c>
      <c r="AB27" s="112">
        <v>5</v>
      </c>
      <c r="AC27" s="178">
        <v>5.2279519425693123E-3</v>
      </c>
      <c r="AD27" s="178">
        <v>1.3645066661258742E-3</v>
      </c>
      <c r="AE27" s="179">
        <v>5</v>
      </c>
      <c r="AF27">
        <v>2235.9555556666669</v>
      </c>
      <c r="AG27">
        <v>444.15442798478949</v>
      </c>
      <c r="AH27">
        <v>3</v>
      </c>
      <c r="AI27">
        <v>2.7929999999999999E-3</v>
      </c>
      <c r="AJ27">
        <v>1.311449579663662E-4</v>
      </c>
      <c r="AK27">
        <v>3</v>
      </c>
      <c r="AL27">
        <v>4.481606666666667</v>
      </c>
      <c r="AM27">
        <v>0.45206609567333583</v>
      </c>
      <c r="AN27">
        <v>3</v>
      </c>
      <c r="AO27">
        <v>1.8862592447916666</v>
      </c>
      <c r="AP27">
        <v>3.2782040253721334E-2</v>
      </c>
      <c r="AQ27">
        <v>3</v>
      </c>
      <c r="AR27">
        <v>24.899389583333335</v>
      </c>
      <c r="AS27">
        <v>5.4788360512769527</v>
      </c>
      <c r="AT27">
        <v>3</v>
      </c>
      <c r="AU27">
        <v>0.92259259259259263</v>
      </c>
      <c r="AV27">
        <v>7.7843887248088316E-3</v>
      </c>
      <c r="AW27">
        <v>3</v>
      </c>
      <c r="AX27">
        <v>91.539259259259268</v>
      </c>
      <c r="AY27">
        <v>2.0395564554528494</v>
      </c>
      <c r="AZ27">
        <v>3</v>
      </c>
      <c r="BA27">
        <v>0.97796296296296292</v>
      </c>
      <c r="BB27">
        <v>1.3521055063905075E-2</v>
      </c>
      <c r="BC27">
        <v>3</v>
      </c>
      <c r="BG27">
        <v>3.9072863299787612</v>
      </c>
      <c r="BH27">
        <v>0.6082637971862761</v>
      </c>
      <c r="BI27">
        <v>16</v>
      </c>
    </row>
    <row r="28" spans="2:76" x14ac:dyDescent="0.25">
      <c r="B28" s="679"/>
      <c r="C28" s="675"/>
      <c r="D28" s="421" t="s">
        <v>27</v>
      </c>
      <c r="E28" s="102">
        <v>21.113805347400003</v>
      </c>
      <c r="F28" s="103">
        <v>17.020700432943624</v>
      </c>
      <c r="G28" s="112">
        <v>4</v>
      </c>
      <c r="H28" s="102">
        <v>24.118286111314287</v>
      </c>
      <c r="I28" s="103">
        <v>15.520242133774621</v>
      </c>
      <c r="J28" s="114">
        <v>7</v>
      </c>
      <c r="K28" s="177">
        <f>AVERAGE('Biochem Summary'!G184:G208)</f>
        <v>1.7552269469660775</v>
      </c>
      <c r="L28" s="178">
        <f>STDEV('Biochem Summary'!G184:G208)</f>
        <v>0.21339975142419398</v>
      </c>
      <c r="M28" s="178">
        <f>COUNT('Biochem Summary'!G184:G208)</f>
        <v>10</v>
      </c>
      <c r="N28" s="177">
        <f>AVERAGE('Biochem Summary'!I178:I208)</f>
        <v>47.405189434543679</v>
      </c>
      <c r="O28" s="178">
        <f>STDEV('Biochem Summary'!I184:I208)</f>
        <v>19.397950910824971</v>
      </c>
      <c r="P28" s="179">
        <f>COUNT('Biochem Summary'!I184:I208)</f>
        <v>24</v>
      </c>
      <c r="Q28" s="287">
        <f>AVERAGE('Biochem Summary'!L184:L208)</f>
        <v>455.24976050835858</v>
      </c>
      <c r="R28" s="114">
        <f>STDEV('Biochem Summary'!L184:L207)</f>
        <v>126.25867603013195</v>
      </c>
      <c r="S28" s="112">
        <f>COUNT('Biochem Summary'!L184:L208)</f>
        <v>23</v>
      </c>
      <c r="T28" s="177">
        <f>AVERAGE('Biochem Summary'!O184:O208)</f>
        <v>181.33754065455099</v>
      </c>
      <c r="U28" s="178">
        <f>STDEV('Biochem Summary'!O184:O208)</f>
        <v>24.870569363983222</v>
      </c>
      <c r="V28" s="179">
        <f>COUNT('Biochem Summary'!O184:O208)</f>
        <v>20</v>
      </c>
      <c r="W28" s="177">
        <f>AVERAGE('Biochem Summary'!R184:R208)</f>
        <v>3.0210271739401018E-3</v>
      </c>
      <c r="X28" s="178">
        <f>STDEV('Biochem Summary'!R184:R208)</f>
        <v>2.4848992127806803E-3</v>
      </c>
      <c r="Y28" s="179">
        <f>COUNT('Biochem Summary'!R184:R208)</f>
        <v>9</v>
      </c>
      <c r="Z28" s="115">
        <f>AVERAGE('Biochem Summary'!U184:U208)</f>
        <v>6.3357125911125758</v>
      </c>
      <c r="AA28" s="116">
        <f>STDEV('Biochem Summary'!U184:U208)</f>
        <v>1.6824495953285064</v>
      </c>
      <c r="AB28" s="112">
        <f>COUNT('Biochem Summary'!U184:U208)</f>
        <v>9</v>
      </c>
      <c r="AC28" s="178">
        <v>6.9879071766205697E-2</v>
      </c>
      <c r="AD28" s="178">
        <v>4.3344032768430435E-2</v>
      </c>
      <c r="AE28" s="179">
        <v>5</v>
      </c>
      <c r="AF28">
        <v>2381.1833333333334</v>
      </c>
      <c r="AG28">
        <v>222.87653719791444</v>
      </c>
      <c r="AH28">
        <v>3</v>
      </c>
      <c r="AI28">
        <v>3.1946666666666664E-3</v>
      </c>
      <c r="AJ28">
        <v>5.5193598662646798E-5</v>
      </c>
      <c r="AK28">
        <v>3</v>
      </c>
      <c r="AL28">
        <v>5.199494333333333</v>
      </c>
      <c r="AM28">
        <v>0.28397119612794086</v>
      </c>
      <c r="AN28">
        <v>3</v>
      </c>
      <c r="AO28">
        <v>1.8616869176793982</v>
      </c>
      <c r="AP28">
        <v>4.9678334199441232E-2</v>
      </c>
      <c r="AQ28">
        <v>3</v>
      </c>
      <c r="AR28">
        <v>30.650113661024307</v>
      </c>
      <c r="AS28">
        <v>5.7164215593950862</v>
      </c>
      <c r="AT28">
        <v>3</v>
      </c>
      <c r="AU28">
        <v>0.93200000000000005</v>
      </c>
      <c r="AV28">
        <v>7.3105707331538455E-3</v>
      </c>
      <c r="AW28">
        <v>3</v>
      </c>
      <c r="AX28">
        <v>97.771296296296313</v>
      </c>
      <c r="AY28">
        <v>4.9827750936345412</v>
      </c>
      <c r="AZ28">
        <v>3</v>
      </c>
      <c r="BA28">
        <v>0.9761481481481481</v>
      </c>
      <c r="BB28">
        <v>1.9811560826619209E-2</v>
      </c>
      <c r="BC28">
        <v>3</v>
      </c>
      <c r="BD28">
        <v>0.22776669364498925</v>
      </c>
      <c r="BE28">
        <v>2.8755694780031107E-2</v>
      </c>
      <c r="BF28">
        <v>4</v>
      </c>
      <c r="BG28">
        <v>3.4282390581838262</v>
      </c>
      <c r="BH28">
        <v>0.24681787679072842</v>
      </c>
      <c r="BI28">
        <v>20</v>
      </c>
      <c r="BJ28">
        <v>24.626616666666667</v>
      </c>
      <c r="BK28">
        <v>7.0516435455620297</v>
      </c>
      <c r="BL28">
        <v>6</v>
      </c>
      <c r="BM28">
        <v>96.433599999999998</v>
      </c>
      <c r="BN28">
        <v>59.236233128955782</v>
      </c>
      <c r="BO28">
        <v>6</v>
      </c>
      <c r="BP28">
        <v>5.1546166666666666</v>
      </c>
      <c r="BQ28">
        <v>2.3438149896411766</v>
      </c>
      <c r="BR28">
        <v>6</v>
      </c>
      <c r="BS28">
        <v>11.604750000000001</v>
      </c>
      <c r="BT28">
        <v>6.0586916596737295</v>
      </c>
      <c r="BU28">
        <v>6</v>
      </c>
      <c r="BV28">
        <v>0.18710000000000002</v>
      </c>
      <c r="BW28">
        <v>7.5430259180252035E-2</v>
      </c>
      <c r="BX28">
        <v>6</v>
      </c>
    </row>
    <row r="29" spans="2:76" s="330" customFormat="1" ht="15.75" thickBot="1" x14ac:dyDescent="0.3">
      <c r="B29" s="673"/>
      <c r="C29" s="591"/>
      <c r="D29" s="592" t="s">
        <v>112</v>
      </c>
      <c r="E29" s="572">
        <f>[1]Viability!S40</f>
        <v>34.899939704445451</v>
      </c>
      <c r="F29" s="573">
        <f>[1]Viability!AA8</f>
        <v>6.2580261215710378</v>
      </c>
      <c r="G29" s="593">
        <f>[1]Viability!AB8</f>
        <v>6</v>
      </c>
      <c r="H29" s="572">
        <f>[1]Viability!Z8</f>
        <v>35.634214920371214</v>
      </c>
      <c r="I29" s="573">
        <f>STDEV([1]Viability!S29:S39)</f>
        <v>11.53010043173308</v>
      </c>
      <c r="J29" s="582">
        <v>10</v>
      </c>
      <c r="K29" s="572">
        <f>AVERAGE('Biochem Summary'!G209:G229)</f>
        <v>2.1213533197003458</v>
      </c>
      <c r="L29" s="573">
        <f>STDEV('Biochem Summary'!G209:G229)</f>
        <v>0.35374176200104895</v>
      </c>
      <c r="M29" s="580">
        <f>COUNT('Biochem Summary'!G209:G229)</f>
        <v>10</v>
      </c>
      <c r="N29" s="329">
        <f>AVERAGE('Biochem Summary'!I209:I229)</f>
        <v>52.109898233757491</v>
      </c>
      <c r="O29" s="594">
        <f>STDEV('Biochem Summary'!I209:I229)</f>
        <v>23.096318673541063</v>
      </c>
      <c r="P29" s="579">
        <f>COUNT('Biochem Summary'!I209:I229)</f>
        <v>18</v>
      </c>
      <c r="Q29" s="595">
        <f>AVERAGE('Biochem Summary'!L209:L229)</f>
        <v>448.1952180120025</v>
      </c>
      <c r="R29" s="578">
        <f>STDEV('Biochem Summary'!L209:L229)</f>
        <v>120.74733463840712</v>
      </c>
      <c r="S29" s="579">
        <f>COUNT('Biochem Summary'!L209:L229)</f>
        <v>18</v>
      </c>
      <c r="T29" s="595">
        <f>AVERAGE('Biochem Summary'!O209:O229)</f>
        <v>168.5233964175471</v>
      </c>
      <c r="U29" s="578">
        <f>STDEV('Biochem Summary'!O209:O229)</f>
        <v>21.342391680576458</v>
      </c>
      <c r="V29" s="579">
        <f>COUNT('Biochem Summary'!O209:O229)</f>
        <v>12</v>
      </c>
      <c r="W29" s="595">
        <f>AVERAGE('Biochem Summary'!R209:R229)</f>
        <v>2.2048238166524872E-3</v>
      </c>
      <c r="X29" s="578">
        <f>STDEV('Biochem Summary'!R209:R229)</f>
        <v>2.35637219377526E-3</v>
      </c>
      <c r="Y29" s="579">
        <f>COUNT('Biochem Summary'!R209:R229)</f>
        <v>8</v>
      </c>
      <c r="Z29" s="595">
        <f>AVERAGE('Biochem Summary'!U209:U229)</f>
        <v>4.7402148660882384</v>
      </c>
      <c r="AA29" s="578">
        <f>STDEV('Biochem Summary'!U209:U229)</f>
        <v>4.1936698960670622</v>
      </c>
      <c r="AB29" s="579">
        <f>COUNT('Biochem Summary'!U209:U229)</f>
        <v>8</v>
      </c>
      <c r="AC29" s="584">
        <f>AVERAGE('[1]Biochem Summary'!X104:X119)</f>
        <v>1.4123154896199721E-3</v>
      </c>
      <c r="AD29" s="584">
        <f>STDEV('[1]Biochem Summary'!X104:X119)</f>
        <v>2.4086620061356708E-4</v>
      </c>
      <c r="AE29" s="579">
        <f>COUNT('[1]Biochem Summary'!X104:X119)</f>
        <v>3</v>
      </c>
    </row>
    <row r="34" spans="5:19" x14ac:dyDescent="0.25">
      <c r="E34">
        <v>14</v>
      </c>
      <c r="F34">
        <v>13</v>
      </c>
    </row>
    <row r="35" spans="5:19" ht="20.25" customHeight="1" x14ac:dyDescent="0.25">
      <c r="E35">
        <v>9</v>
      </c>
      <c r="F35">
        <v>18</v>
      </c>
      <c r="O35" s="91"/>
      <c r="P35" s="91"/>
      <c r="Q35" s="91"/>
      <c r="R35" s="91"/>
      <c r="S35" s="91"/>
    </row>
    <row r="36" spans="5:19" x14ac:dyDescent="0.25">
      <c r="E36">
        <v>10</v>
      </c>
    </row>
    <row r="37" spans="5:19" x14ac:dyDescent="0.25">
      <c r="E37">
        <f>SUM(E34:F36)</f>
        <v>64</v>
      </c>
    </row>
    <row r="53" spans="8:8" x14ac:dyDescent="0.25">
      <c r="H53" t="s">
        <v>196</v>
      </c>
    </row>
  </sheetData>
  <mergeCells count="25">
    <mergeCell ref="B18:B29"/>
    <mergeCell ref="C7:C8"/>
    <mergeCell ref="C19:C20"/>
    <mergeCell ref="C21:C22"/>
    <mergeCell ref="B2:B3"/>
    <mergeCell ref="C9:C10"/>
    <mergeCell ref="C11:C12"/>
    <mergeCell ref="C13:C14"/>
    <mergeCell ref="C15:C16"/>
    <mergeCell ref="C23:C24"/>
    <mergeCell ref="C27:C28"/>
    <mergeCell ref="C25:C26"/>
    <mergeCell ref="B4:B17"/>
    <mergeCell ref="AC2:AE2"/>
    <mergeCell ref="C2:C3"/>
    <mergeCell ref="C5:C6"/>
    <mergeCell ref="T2:V2"/>
    <mergeCell ref="W2:Y2"/>
    <mergeCell ref="N2:P2"/>
    <mergeCell ref="Q2:S2"/>
    <mergeCell ref="Z2:AB2"/>
    <mergeCell ref="D2:D3"/>
    <mergeCell ref="E2:G2"/>
    <mergeCell ref="H2:J2"/>
    <mergeCell ref="K2:M2"/>
  </mergeCells>
  <hyperlinks>
    <hyperlink ref="A1" location="'Table of Contents'!A1" display="Table of Contents" xr:uid="{C1C6016D-DAD6-46B9-801C-315304B73CC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4A1F-8502-4A43-9FDC-9F50348DCFBB}">
  <dimension ref="A1:Y400"/>
  <sheetViews>
    <sheetView zoomScaleNormal="100" workbookViewId="0">
      <pane ySplit="2" topLeftCell="A277" activePane="bottomLeft" state="frozen"/>
      <selection pane="bottomLeft" activeCell="D288" sqref="D288:D302"/>
    </sheetView>
  </sheetViews>
  <sheetFormatPr defaultRowHeight="15" x14ac:dyDescent="0.25"/>
  <cols>
    <col min="1" max="1" width="12.5703125" customWidth="1"/>
    <col min="2" max="2" width="13.85546875" customWidth="1"/>
    <col min="3" max="3" width="13" customWidth="1"/>
    <col min="4" max="4" width="19.42578125" customWidth="1"/>
    <col min="5" max="5" width="16.42578125" customWidth="1"/>
    <col min="6" max="7" width="11.28515625" customWidth="1"/>
    <col min="9" max="9" width="15.42578125" customWidth="1"/>
    <col min="15" max="15" width="13.7109375" customWidth="1"/>
    <col min="17" max="17" width="12" bestFit="1" customWidth="1"/>
    <col min="18" max="18" width="9.5703125" bestFit="1" customWidth="1"/>
  </cols>
  <sheetData>
    <row r="1" spans="1:25" x14ac:dyDescent="0.25">
      <c r="A1" s="356" t="s">
        <v>262</v>
      </c>
      <c r="B1" s="667" t="s">
        <v>8</v>
      </c>
      <c r="C1" s="690" t="s">
        <v>53</v>
      </c>
      <c r="D1" s="692" t="s">
        <v>54</v>
      </c>
      <c r="E1" s="694" t="s">
        <v>88</v>
      </c>
      <c r="F1" s="660" t="s">
        <v>89</v>
      </c>
      <c r="G1" s="690" t="s">
        <v>30</v>
      </c>
      <c r="H1" s="691" t="s">
        <v>31</v>
      </c>
      <c r="I1" s="656"/>
      <c r="J1" s="691" t="s">
        <v>32</v>
      </c>
      <c r="K1" s="655"/>
      <c r="L1" s="656"/>
      <c r="M1" s="691" t="s">
        <v>90</v>
      </c>
      <c r="N1" s="655"/>
      <c r="O1" s="656"/>
      <c r="P1" s="691" t="s">
        <v>34</v>
      </c>
      <c r="Q1" s="655"/>
      <c r="R1" s="656"/>
      <c r="S1" s="655" t="s">
        <v>35</v>
      </c>
      <c r="T1" s="655"/>
      <c r="U1" s="656"/>
      <c r="V1" s="655" t="s">
        <v>36</v>
      </c>
      <c r="W1" s="655"/>
      <c r="X1" s="657"/>
      <c r="Y1" s="647" t="s">
        <v>216</v>
      </c>
    </row>
    <row r="2" spans="1:25" ht="15.75" thickBot="1" x14ac:dyDescent="0.3">
      <c r="B2" s="666"/>
      <c r="C2" s="687"/>
      <c r="D2" s="693"/>
      <c r="E2" s="653"/>
      <c r="F2" s="661"/>
      <c r="G2" s="687"/>
      <c r="H2" s="88" t="s">
        <v>37</v>
      </c>
      <c r="I2" s="3" t="s">
        <v>38</v>
      </c>
      <c r="J2" s="88" t="s">
        <v>37</v>
      </c>
      <c r="K2" s="4" t="s">
        <v>39</v>
      </c>
      <c r="L2" s="3" t="s">
        <v>40</v>
      </c>
      <c r="M2" s="88" t="s">
        <v>41</v>
      </c>
      <c r="N2" s="4" t="s">
        <v>39</v>
      </c>
      <c r="O2" s="3" t="s">
        <v>42</v>
      </c>
      <c r="P2" s="4" t="s">
        <v>37</v>
      </c>
      <c r="Q2" s="5" t="s">
        <v>39</v>
      </c>
      <c r="R2" s="6" t="s">
        <v>40</v>
      </c>
      <c r="S2" s="4" t="s">
        <v>37</v>
      </c>
      <c r="T2" s="5" t="s">
        <v>39</v>
      </c>
      <c r="U2" s="6" t="s">
        <v>40</v>
      </c>
      <c r="V2" s="4" t="s">
        <v>37</v>
      </c>
      <c r="W2" s="5" t="s">
        <v>39</v>
      </c>
      <c r="X2" s="7" t="s">
        <v>40</v>
      </c>
      <c r="Y2" s="647"/>
    </row>
    <row r="3" spans="1:25" x14ac:dyDescent="0.25">
      <c r="B3" s="667" t="s">
        <v>197</v>
      </c>
      <c r="C3" s="690" t="s">
        <v>198</v>
      </c>
      <c r="D3" s="264" t="s">
        <v>80</v>
      </c>
      <c r="E3" s="360">
        <v>1.86</v>
      </c>
      <c r="F3" s="228">
        <v>0.47499999999999998</v>
      </c>
      <c r="G3" s="228">
        <v>1.2653061224489797</v>
      </c>
      <c r="H3" s="363">
        <v>71.265763333333325</v>
      </c>
      <c r="I3" s="301">
        <v>150.03318596491226</v>
      </c>
      <c r="J3" s="363">
        <v>252.6724999999999</v>
      </c>
      <c r="K3" s="363">
        <v>3545.4962969829967</v>
      </c>
      <c r="L3" s="301">
        <v>531.94210526315771</v>
      </c>
      <c r="M3" s="23">
        <v>89.528755174385878</v>
      </c>
      <c r="N3" s="23">
        <v>1256.2659962769296</v>
      </c>
      <c r="O3" s="208">
        <v>188.48158984081238</v>
      </c>
      <c r="P3" s="267"/>
      <c r="Q3" s="268"/>
      <c r="R3" s="269"/>
      <c r="S3" s="267"/>
      <c r="T3" s="268"/>
      <c r="U3" s="269"/>
      <c r="V3" s="267"/>
      <c r="W3" s="268"/>
      <c r="X3" s="270"/>
      <c r="Y3">
        <f>E3/F3</f>
        <v>3.9157894736842107</v>
      </c>
    </row>
    <row r="4" spans="1:25" x14ac:dyDescent="0.25">
      <c r="B4" s="665"/>
      <c r="C4" s="686"/>
      <c r="D4" s="171" t="s">
        <v>79</v>
      </c>
      <c r="E4" s="361">
        <v>1.8800000000000001</v>
      </c>
      <c r="F4" s="227"/>
      <c r="G4" s="227">
        <v>1.3265306122448979</v>
      </c>
      <c r="H4" s="364"/>
      <c r="I4" s="288"/>
      <c r="J4" s="364"/>
      <c r="K4" s="364"/>
      <c r="L4" s="288"/>
      <c r="M4" s="89"/>
      <c r="N4" s="89"/>
      <c r="O4" s="206"/>
      <c r="P4" s="271"/>
      <c r="Q4" s="272"/>
      <c r="R4" s="189"/>
      <c r="S4" s="271"/>
      <c r="T4" s="272"/>
      <c r="U4" s="189"/>
      <c r="V4" s="271"/>
      <c r="W4" s="272"/>
      <c r="X4" s="273"/>
    </row>
    <row r="5" spans="1:25" x14ac:dyDescent="0.25">
      <c r="B5" s="665"/>
      <c r="C5" s="686"/>
      <c r="D5" s="171" t="s">
        <v>81</v>
      </c>
      <c r="E5" s="222">
        <v>1.7666666666666666</v>
      </c>
      <c r="F5" s="227">
        <v>0.47499999999999998</v>
      </c>
      <c r="G5" s="227">
        <v>1.3061224489795917</v>
      </c>
      <c r="H5" s="364">
        <v>73.461063333333328</v>
      </c>
      <c r="I5" s="288">
        <v>154.65487017543859</v>
      </c>
      <c r="J5" s="364">
        <v>288.76999999999992</v>
      </c>
      <c r="K5" s="364">
        <v>3930.9259476641564</v>
      </c>
      <c r="L5" s="288">
        <v>607.93684210526305</v>
      </c>
      <c r="M5" s="89">
        <v>79.833319305260872</v>
      </c>
      <c r="N5" s="89">
        <v>1086.7433124812405</v>
      </c>
      <c r="O5" s="206">
        <v>168.07014590581238</v>
      </c>
      <c r="P5" s="271"/>
      <c r="Q5" s="272"/>
      <c r="R5" s="189"/>
      <c r="S5" s="271"/>
      <c r="T5" s="272"/>
      <c r="U5" s="189"/>
      <c r="V5" s="271"/>
      <c r="W5" s="272"/>
      <c r="X5" s="273"/>
      <c r="Y5">
        <f t="shared" ref="Y5:Y92" si="0">E5/F5</f>
        <v>3.7192982456140351</v>
      </c>
    </row>
    <row r="6" spans="1:25" x14ac:dyDescent="0.25">
      <c r="B6" s="665"/>
      <c r="C6" s="686"/>
      <c r="D6" s="171" t="s">
        <v>82</v>
      </c>
      <c r="E6" s="361">
        <v>1.59</v>
      </c>
      <c r="F6" s="227">
        <v>0.44500000000000001</v>
      </c>
      <c r="G6" s="227">
        <v>1.2380952380952381</v>
      </c>
      <c r="H6" s="364">
        <v>106.39056333333333</v>
      </c>
      <c r="I6" s="288">
        <v>239.07991760299626</v>
      </c>
      <c r="J6" s="364">
        <v>262.29849999999982</v>
      </c>
      <c r="K6" s="364">
        <v>2465.4301263373313</v>
      </c>
      <c r="L6" s="288">
        <v>589.43483146067376</v>
      </c>
      <c r="M6" s="89">
        <v>86.147925952010866</v>
      </c>
      <c r="N6" s="89">
        <v>809.73277378088449</v>
      </c>
      <c r="O6" s="206">
        <v>193.59084483597948</v>
      </c>
      <c r="P6" s="271"/>
      <c r="Q6" s="272"/>
      <c r="R6" s="189"/>
      <c r="S6" s="271"/>
      <c r="T6" s="272"/>
      <c r="U6" s="189"/>
      <c r="V6" s="271"/>
      <c r="W6" s="272"/>
      <c r="X6" s="273"/>
      <c r="Y6">
        <f t="shared" si="0"/>
        <v>3.5730337078651688</v>
      </c>
    </row>
    <row r="7" spans="1:25" x14ac:dyDescent="0.25">
      <c r="B7" s="665"/>
      <c r="C7" s="686"/>
      <c r="D7" s="171" t="s">
        <v>83</v>
      </c>
      <c r="E7" s="222">
        <v>2.5366666666666666</v>
      </c>
      <c r="F7" s="227"/>
      <c r="G7" s="227">
        <v>1.2108843537414966</v>
      </c>
      <c r="H7" s="364"/>
      <c r="I7" s="288"/>
      <c r="J7" s="364"/>
      <c r="K7" s="364"/>
      <c r="L7" s="288"/>
      <c r="M7" s="89"/>
      <c r="N7" s="89"/>
      <c r="O7" s="206"/>
      <c r="P7" s="271"/>
      <c r="Q7" s="272"/>
      <c r="R7" s="189"/>
      <c r="S7" s="271"/>
      <c r="T7" s="272"/>
      <c r="U7" s="189"/>
      <c r="V7" s="271"/>
      <c r="W7" s="272"/>
      <c r="X7" s="273"/>
    </row>
    <row r="8" spans="1:25" x14ac:dyDescent="0.25">
      <c r="B8" s="665"/>
      <c r="C8" s="688"/>
      <c r="D8" s="119" t="s">
        <v>94</v>
      </c>
      <c r="E8" s="362">
        <v>1.4100000000000001</v>
      </c>
      <c r="F8" s="293">
        <v>0.31</v>
      </c>
      <c r="G8" s="293">
        <v>1.3129251700680271</v>
      </c>
      <c r="H8" s="365">
        <v>50.410413333333324</v>
      </c>
      <c r="I8" s="366">
        <v>162.61423655913975</v>
      </c>
      <c r="J8" s="365">
        <v>255.07900000000024</v>
      </c>
      <c r="K8" s="365">
        <v>5060.0457947709801</v>
      </c>
      <c r="L8" s="366">
        <v>822.83548387096846</v>
      </c>
      <c r="M8" s="130">
        <v>70.556994496760879</v>
      </c>
      <c r="N8" s="130">
        <v>1399.6511798110143</v>
      </c>
      <c r="O8" s="266">
        <v>227.60320805406735</v>
      </c>
      <c r="P8" s="274"/>
      <c r="Q8" s="275"/>
      <c r="R8" s="276"/>
      <c r="S8" s="274"/>
      <c r="T8" s="275"/>
      <c r="U8" s="276"/>
      <c r="V8" s="274"/>
      <c r="W8" s="275"/>
      <c r="X8" s="277"/>
      <c r="Y8">
        <f t="shared" si="0"/>
        <v>4.5483870967741939</v>
      </c>
    </row>
    <row r="9" spans="1:25" x14ac:dyDescent="0.25">
      <c r="B9" s="665"/>
      <c r="C9" s="686" t="s">
        <v>145</v>
      </c>
      <c r="D9" s="171" t="s">
        <v>80</v>
      </c>
      <c r="E9" s="222">
        <v>2.9733333333333332</v>
      </c>
      <c r="F9" s="227">
        <v>0.57999999999999996</v>
      </c>
      <c r="G9" s="227">
        <v>1.1153846153846154</v>
      </c>
      <c r="H9" s="364">
        <v>52.829016153846148</v>
      </c>
      <c r="I9" s="288">
        <v>91.084510610079576</v>
      </c>
      <c r="J9" s="364">
        <v>301.25220000000013</v>
      </c>
      <c r="K9" s="364">
        <v>5702.400346103509</v>
      </c>
      <c r="L9" s="288">
        <v>519.40034482758642</v>
      </c>
      <c r="M9" s="89">
        <v>556.84239798886347</v>
      </c>
      <c r="N9" s="89">
        <v>10540.465042302767</v>
      </c>
      <c r="O9" s="206">
        <v>960.07309998079916</v>
      </c>
      <c r="P9" s="271"/>
      <c r="Q9" s="272"/>
      <c r="R9" s="189"/>
      <c r="S9" s="271"/>
      <c r="T9" s="272"/>
      <c r="U9" s="189"/>
      <c r="V9" s="271"/>
      <c r="W9" s="272"/>
      <c r="X9" s="273"/>
      <c r="Y9">
        <f t="shared" si="0"/>
        <v>5.1264367816091951</v>
      </c>
    </row>
    <row r="10" spans="1:25" ht="15.75" thickBot="1" x14ac:dyDescent="0.3">
      <c r="B10" s="666"/>
      <c r="C10" s="687"/>
      <c r="D10" s="171" t="s">
        <v>79</v>
      </c>
      <c r="E10" s="361">
        <v>2.19</v>
      </c>
      <c r="F10" s="227">
        <v>0.63</v>
      </c>
      <c r="G10" s="227">
        <v>1.1709401709401708</v>
      </c>
      <c r="H10" s="364">
        <v>67.752536153846151</v>
      </c>
      <c r="I10" s="288">
        <v>107.54370818070818</v>
      </c>
      <c r="J10" s="364">
        <v>379.82580000000013</v>
      </c>
      <c r="K10" s="364">
        <v>5606.0750130080305</v>
      </c>
      <c r="L10" s="288">
        <v>602.89809523809549</v>
      </c>
      <c r="M10" s="89">
        <v>528.36879281386359</v>
      </c>
      <c r="N10" s="89">
        <v>7798.5094405040863</v>
      </c>
      <c r="O10" s="206">
        <v>838.68062351406923</v>
      </c>
      <c r="P10" s="271"/>
      <c r="Q10" s="272"/>
      <c r="R10" s="189"/>
      <c r="S10" s="271"/>
      <c r="T10" s="272"/>
      <c r="U10" s="189"/>
      <c r="V10" s="271"/>
      <c r="W10" s="272"/>
      <c r="X10" s="273"/>
      <c r="Y10">
        <f t="shared" si="0"/>
        <v>3.4761904761904763</v>
      </c>
    </row>
    <row r="11" spans="1:25" x14ac:dyDescent="0.25">
      <c r="B11" s="667" t="s">
        <v>182</v>
      </c>
      <c r="C11" s="690" t="s">
        <v>179</v>
      </c>
      <c r="D11" s="507" t="s">
        <v>80</v>
      </c>
      <c r="E11" s="223">
        <f>Weights!I29</f>
        <v>2.69</v>
      </c>
      <c r="F11" s="228">
        <f>Weights!M29</f>
        <v>0.55499999999999994</v>
      </c>
      <c r="G11" s="228">
        <f>'Alamar Blue (Analysis)'!F17</f>
        <v>1.4924242424242424</v>
      </c>
      <c r="H11" s="363">
        <f>PicoGreen!U57</f>
        <v>63.872389444444444</v>
      </c>
      <c r="I11" s="301">
        <f t="shared" ref="I11:I16" si="1">H11/F11</f>
        <v>115.0853863863864</v>
      </c>
      <c r="J11" s="363">
        <f>DMMB!U65</f>
        <v>288.63109999999995</v>
      </c>
      <c r="K11" s="363">
        <f t="shared" ref="K11:K16" si="2">J11/H11*1000</f>
        <v>4518.8711822194837</v>
      </c>
      <c r="L11" s="301">
        <f t="shared" ref="L11:L16" si="3">J11/F11</f>
        <v>520.05603603603595</v>
      </c>
      <c r="M11" s="23">
        <f>OHP!V57</f>
        <v>124.55911613250002</v>
      </c>
      <c r="N11" s="23">
        <f t="shared" ref="N11:N16" si="4">M11/H11*1000</f>
        <v>1950.1245720710085</v>
      </c>
      <c r="O11" s="208">
        <f t="shared" ref="O11:O16" si="5">M11/F11</f>
        <v>224.43083987837844</v>
      </c>
      <c r="P11" s="23">
        <f>Rx!S14</f>
        <v>1.69379319488531E-3</v>
      </c>
      <c r="Q11" s="237">
        <f t="shared" ref="Q11:Q16" si="6">P11/H11</f>
        <v>2.651839409199736E-5</v>
      </c>
      <c r="R11" s="279">
        <f t="shared" ref="R11:R16" si="7">P11/F11</f>
        <v>3.0518796304239825E-3</v>
      </c>
      <c r="S11" s="23">
        <f>Rx!W14</f>
        <v>1.32939830851013</v>
      </c>
      <c r="T11" s="235">
        <f t="shared" ref="T11:T16" si="8">S11/H11</f>
        <v>2.0813348617033142E-2</v>
      </c>
      <c r="U11" s="240">
        <f t="shared" ref="U11:U16" si="9">S11/F11</f>
        <v>2.3953122675858198</v>
      </c>
      <c r="V11" s="23"/>
      <c r="W11" s="195"/>
      <c r="X11" s="209"/>
      <c r="Y11">
        <f t="shared" si="0"/>
        <v>4.8468468468468471</v>
      </c>
    </row>
    <row r="12" spans="1:25" x14ac:dyDescent="0.25">
      <c r="B12" s="665"/>
      <c r="C12" s="686"/>
      <c r="D12" s="508" t="s">
        <v>79</v>
      </c>
      <c r="E12" s="222">
        <f>Weights!I30</f>
        <v>2.0949999999999998</v>
      </c>
      <c r="F12" s="227">
        <f>Weights!M30</f>
        <v>0.56499999999999995</v>
      </c>
      <c r="G12" s="227">
        <f>'Alamar Blue (Analysis)'!F18</f>
        <v>1.4015151515151514</v>
      </c>
      <c r="H12" s="364">
        <f>PicoGreen!U58</f>
        <v>82.248989444444447</v>
      </c>
      <c r="I12" s="288">
        <f t="shared" si="1"/>
        <v>145.57343264503444</v>
      </c>
      <c r="J12" s="364">
        <f>DMMB!U66</f>
        <v>270.6702999999996</v>
      </c>
      <c r="K12" s="364">
        <f t="shared" si="2"/>
        <v>3290.8647489562823</v>
      </c>
      <c r="L12" s="288">
        <f t="shared" si="3"/>
        <v>479.0624778761055</v>
      </c>
      <c r="M12" s="89">
        <f>OHP!V58</f>
        <v>83.066739426562492</v>
      </c>
      <c r="N12" s="89">
        <f t="shared" si="4"/>
        <v>1009.9423711785589</v>
      </c>
      <c r="O12" s="206">
        <f t="shared" si="5"/>
        <v>147.02077774612832</v>
      </c>
      <c r="P12" s="89">
        <f>Rx!S15</f>
        <v>9.4202744811429807E-4</v>
      </c>
      <c r="Q12" s="238">
        <f t="shared" si="6"/>
        <v>1.1453361974138247E-5</v>
      </c>
      <c r="R12" s="280">
        <f t="shared" si="7"/>
        <v>1.6673052179014126E-3</v>
      </c>
      <c r="S12" s="89">
        <f>Rx!W15</f>
        <v>0.73201046101507294</v>
      </c>
      <c r="T12" s="127">
        <f t="shared" si="8"/>
        <v>8.8999325822661148E-3</v>
      </c>
      <c r="U12" s="241">
        <f t="shared" si="9"/>
        <v>1.2955937363098637</v>
      </c>
      <c r="V12" s="89"/>
      <c r="W12" s="91"/>
      <c r="X12" s="207"/>
      <c r="Y12">
        <f t="shared" si="0"/>
        <v>3.7079646017699113</v>
      </c>
    </row>
    <row r="13" spans="1:25" x14ac:dyDescent="0.25">
      <c r="B13" s="665"/>
      <c r="C13" s="686"/>
      <c r="D13" s="508" t="s">
        <v>81</v>
      </c>
      <c r="E13" s="222">
        <f>Weights!I31</f>
        <v>2.2766666666666668</v>
      </c>
      <c r="F13" s="227">
        <f>Weights!M31</f>
        <v>0.55500000000000005</v>
      </c>
      <c r="G13" s="227">
        <f>'Alamar Blue (Analysis)'!F19</f>
        <v>1.3484848484848486</v>
      </c>
      <c r="H13" s="364">
        <f>PicoGreen!U59</f>
        <v>70.30419944444445</v>
      </c>
      <c r="I13" s="288">
        <f t="shared" si="1"/>
        <v>126.67423323323324</v>
      </c>
      <c r="J13" s="364">
        <f>DMMB!U67</f>
        <v>259.44479999999942</v>
      </c>
      <c r="K13" s="364">
        <f t="shared" si="2"/>
        <v>3690.3172506077253</v>
      </c>
      <c r="L13" s="288">
        <f t="shared" si="3"/>
        <v>467.468108108107</v>
      </c>
      <c r="M13" s="89">
        <f>OHP!V59</f>
        <v>96.562013790937471</v>
      </c>
      <c r="N13" s="89">
        <f t="shared" si="4"/>
        <v>1373.4885619064958</v>
      </c>
      <c r="O13" s="206">
        <f t="shared" si="5"/>
        <v>173.98561043412155</v>
      </c>
      <c r="P13" s="89">
        <f>Rx!S16</f>
        <v>1.1972565596723599E-3</v>
      </c>
      <c r="Q13" s="238">
        <f t="shared" si="6"/>
        <v>1.7029659239892946E-5</v>
      </c>
      <c r="R13" s="280">
        <f t="shared" si="7"/>
        <v>2.1572190264366846E-3</v>
      </c>
      <c r="S13" s="89">
        <f>Rx!W16</f>
        <v>0.82877046448258196</v>
      </c>
      <c r="T13" s="127">
        <f t="shared" si="8"/>
        <v>1.1788349359379167E-2</v>
      </c>
      <c r="U13" s="241">
        <f t="shared" si="9"/>
        <v>1.4932801161848321</v>
      </c>
      <c r="V13" s="89"/>
      <c r="W13" s="91"/>
      <c r="X13" s="207"/>
      <c r="Y13">
        <f t="shared" si="0"/>
        <v>4.1021021021021022</v>
      </c>
    </row>
    <row r="14" spans="1:25" x14ac:dyDescent="0.25">
      <c r="B14" s="665"/>
      <c r="C14" s="686"/>
      <c r="D14" s="508" t="s">
        <v>82</v>
      </c>
      <c r="E14" s="222">
        <f>Weights!I32</f>
        <v>2.0366666666666666</v>
      </c>
      <c r="F14" s="227">
        <f>Weights!M32</f>
        <v>0.48</v>
      </c>
      <c r="G14" s="227">
        <f>'Alamar Blue (Analysis)'!F20</f>
        <v>1.5606060606060608</v>
      </c>
      <c r="H14" s="364">
        <f>PicoGreen!U60</f>
        <v>72.601274444444442</v>
      </c>
      <c r="I14" s="288">
        <f t="shared" si="1"/>
        <v>151.25265509259259</v>
      </c>
      <c r="J14" s="364">
        <f>DMMB!U68</f>
        <v>266.1800999999997</v>
      </c>
      <c r="K14" s="364">
        <f t="shared" si="2"/>
        <v>3666.3282020439547</v>
      </c>
      <c r="L14" s="288">
        <f t="shared" si="3"/>
        <v>554.54187499999944</v>
      </c>
      <c r="M14" s="89">
        <f>OHP!V60</f>
        <v>88.733263469062479</v>
      </c>
      <c r="N14" s="89">
        <f t="shared" si="4"/>
        <v>1222.1998050042837</v>
      </c>
      <c r="O14" s="206">
        <f t="shared" si="5"/>
        <v>184.86096556054684</v>
      </c>
      <c r="P14" s="89">
        <f>Rx!S17</f>
        <v>1.6473879018747601E-3</v>
      </c>
      <c r="Q14" s="238">
        <f t="shared" si="6"/>
        <v>2.2690895090765458E-5</v>
      </c>
      <c r="R14" s="280">
        <f t="shared" si="7"/>
        <v>3.4320581289057506E-3</v>
      </c>
      <c r="S14" s="89">
        <f>Rx!W17</f>
        <v>1.47664179204765</v>
      </c>
      <c r="T14" s="127">
        <f t="shared" si="8"/>
        <v>2.0339061584622703E-2</v>
      </c>
      <c r="U14" s="241">
        <f t="shared" si="9"/>
        <v>3.0763370667659378</v>
      </c>
      <c r="V14" s="89"/>
      <c r="W14" s="91"/>
      <c r="X14" s="207"/>
      <c r="Y14">
        <f t="shared" si="0"/>
        <v>4.2430555555555554</v>
      </c>
    </row>
    <row r="15" spans="1:25" x14ac:dyDescent="0.25">
      <c r="B15" s="665"/>
      <c r="C15" s="686"/>
      <c r="D15" s="508" t="s">
        <v>83</v>
      </c>
      <c r="E15" s="222">
        <f>Weights!I33</f>
        <v>1.85</v>
      </c>
      <c r="F15" s="227">
        <f>Weights!M33</f>
        <v>0.45</v>
      </c>
      <c r="G15" s="227">
        <f>'Alamar Blue (Analysis)'!F21</f>
        <v>1.5151515151515154</v>
      </c>
      <c r="H15" s="364">
        <f>PicoGreen!U61</f>
        <v>52.387014444444446</v>
      </c>
      <c r="I15" s="288">
        <f t="shared" si="1"/>
        <v>116.41558765432099</v>
      </c>
      <c r="J15" s="364">
        <f>DMMB!U69</f>
        <v>241.48399999999953</v>
      </c>
      <c r="K15" s="364">
        <f t="shared" si="2"/>
        <v>4609.6156186966764</v>
      </c>
      <c r="L15" s="288">
        <f t="shared" si="3"/>
        <v>536.63111111111004</v>
      </c>
      <c r="M15" s="89">
        <f>OHP!V61</f>
        <v>84.818888308125011</v>
      </c>
      <c r="N15" s="89">
        <f t="shared" si="4"/>
        <v>1619.0823089961355</v>
      </c>
      <c r="O15" s="206">
        <f t="shared" si="5"/>
        <v>188.48641846250001</v>
      </c>
      <c r="P15" s="89">
        <f>Rx!S18</f>
        <v>1.4153614368219701E-3</v>
      </c>
      <c r="Q15" s="238">
        <f t="shared" si="6"/>
        <v>2.7017409788124826E-5</v>
      </c>
      <c r="R15" s="280">
        <f t="shared" si="7"/>
        <v>3.1452476373821556E-3</v>
      </c>
      <c r="S15" s="89">
        <f>Rx!W18</f>
        <v>1.28732874178513</v>
      </c>
      <c r="T15" s="127">
        <f t="shared" si="8"/>
        <v>2.4573432088792167E-2</v>
      </c>
      <c r="U15" s="241">
        <f t="shared" si="9"/>
        <v>2.8607305373002889</v>
      </c>
      <c r="V15" s="89"/>
      <c r="W15" s="91"/>
      <c r="X15" s="207"/>
      <c r="Y15">
        <f t="shared" si="0"/>
        <v>4.1111111111111116</v>
      </c>
    </row>
    <row r="16" spans="1:25" x14ac:dyDescent="0.25">
      <c r="B16" s="665"/>
      <c r="C16" s="688"/>
      <c r="D16" s="509" t="s">
        <v>94</v>
      </c>
      <c r="E16" s="292">
        <f>Weights!I34</f>
        <v>2.2433333333333336</v>
      </c>
      <c r="F16" s="293">
        <f>Weights!M34</f>
        <v>0.51</v>
      </c>
      <c r="G16" s="293">
        <f>'Alamar Blue (Analysis)'!F22</f>
        <v>1.4090909090909092</v>
      </c>
      <c r="H16" s="365">
        <f>PicoGreen!U62</f>
        <v>52.846429444444446</v>
      </c>
      <c r="I16" s="366">
        <f t="shared" si="1"/>
        <v>103.62044989106754</v>
      </c>
      <c r="J16" s="365">
        <f>DMMB!U70</f>
        <v>302.10169999999988</v>
      </c>
      <c r="K16" s="365">
        <f t="shared" si="2"/>
        <v>5716.5962426579563</v>
      </c>
      <c r="L16" s="366">
        <f t="shared" si="3"/>
        <v>592.35627450980371</v>
      </c>
      <c r="M16" s="130">
        <f>OHP!V62</f>
        <v>58.163857450312491</v>
      </c>
      <c r="N16" s="130">
        <f t="shared" si="4"/>
        <v>1100.6203836620232</v>
      </c>
      <c r="O16" s="266">
        <f t="shared" si="5"/>
        <v>114.04677931433821</v>
      </c>
      <c r="P16" s="130">
        <f>Rx!S19</f>
        <v>1.52209361074625E-3</v>
      </c>
      <c r="Q16" s="298">
        <f t="shared" si="6"/>
        <v>2.8802203417477283E-5</v>
      </c>
      <c r="R16" s="294">
        <f t="shared" si="7"/>
        <v>2.9844972759730391E-3</v>
      </c>
      <c r="S16" s="130">
        <f>Rx!W19</f>
        <v>1.71223136570767</v>
      </c>
      <c r="T16" s="128">
        <f t="shared" si="8"/>
        <v>3.2400133437731633E-2</v>
      </c>
      <c r="U16" s="295">
        <f t="shared" si="9"/>
        <v>3.3573164033483724</v>
      </c>
      <c r="V16" s="130"/>
      <c r="W16" s="191"/>
      <c r="X16" s="296"/>
      <c r="Y16">
        <f t="shared" si="0"/>
        <v>4.3986928104575167</v>
      </c>
    </row>
    <row r="17" spans="2:25" x14ac:dyDescent="0.25">
      <c r="B17" s="665"/>
      <c r="C17" s="685" t="s">
        <v>206</v>
      </c>
      <c r="D17" s="176" t="s">
        <v>80</v>
      </c>
      <c r="E17" s="164">
        <f>Weights!I50</f>
        <v>1.82</v>
      </c>
      <c r="F17" s="126">
        <f>Weights!M50</f>
        <v>0.53</v>
      </c>
      <c r="G17" s="367" cm="1">
        <f t="array" ref="G17:G21">'Alamar Blue (Analysis)'!F24:F28</f>
        <v>1.390625</v>
      </c>
      <c r="H17" s="364">
        <f>PicoGreen!AY46</f>
        <v>48.394309000000007</v>
      </c>
      <c r="I17" s="367">
        <f>H17/F17</f>
        <v>91.31001698113208</v>
      </c>
      <c r="J17" s="364">
        <f>DMMB!AY54</f>
        <v>298.1507000000002</v>
      </c>
      <c r="K17" s="364">
        <f>J17/H17*1000</f>
        <v>6160.862840298023</v>
      </c>
      <c r="L17" s="367">
        <f>J17/F17</f>
        <v>562.54849056603814</v>
      </c>
      <c r="M17">
        <f>OHP!AZ46</f>
        <v>168.23775077403124</v>
      </c>
      <c r="N17">
        <f>M17/H17*1000</f>
        <v>3476.3953499993404</v>
      </c>
      <c r="O17" s="126">
        <f>M17/F17</f>
        <v>317.42971844156835</v>
      </c>
      <c r="P17">
        <f>Rx!AQ3</f>
        <v>2.1633021669248201E-5</v>
      </c>
      <c r="Q17" s="165">
        <f>P17/H17</f>
        <v>4.4701581893127552E-7</v>
      </c>
      <c r="R17" s="325">
        <f>P17/F17</f>
        <v>4.0817022017449434E-5</v>
      </c>
      <c r="S17">
        <f>Rx!AU3</f>
        <v>0.83085261378605701</v>
      </c>
      <c r="T17">
        <f>S17/H17</f>
        <v>1.7168395023184582E-2</v>
      </c>
      <c r="U17" s="126">
        <f>S17/F17</f>
        <v>1.5676464411057678</v>
      </c>
      <c r="X17" s="27"/>
      <c r="Y17">
        <f t="shared" si="0"/>
        <v>3.4339622641509435</v>
      </c>
    </row>
    <row r="18" spans="2:25" x14ac:dyDescent="0.25">
      <c r="B18" s="665"/>
      <c r="C18" s="686"/>
      <c r="D18" s="176" t="s">
        <v>79</v>
      </c>
      <c r="E18" s="91">
        <f>Weights!I51</f>
        <v>2.6666666666666665</v>
      </c>
      <c r="F18" s="30">
        <f>Weights!M51</f>
        <v>0.68</v>
      </c>
      <c r="G18" s="288">
        <v>1.15625</v>
      </c>
      <c r="H18" s="364">
        <f>PicoGreen!AY47</f>
        <v>91.076039000000009</v>
      </c>
      <c r="I18" s="288">
        <f>H18/F18</f>
        <v>133.93535147058824</v>
      </c>
      <c r="J18" s="364">
        <f>DMMB!AY55</f>
        <v>350.26870000000031</v>
      </c>
      <c r="K18" s="364">
        <f>J18/H18*1000</f>
        <v>3845.8929905812029</v>
      </c>
      <c r="L18" s="288">
        <f>J18/F18</f>
        <v>515.10102941176513</v>
      </c>
      <c r="O18" s="30"/>
      <c r="P18">
        <f>Rx!AQ4</f>
        <v>1.08756174512067E-5</v>
      </c>
      <c r="Q18">
        <f>P18/H18</f>
        <v>1.1941249938643794E-7</v>
      </c>
      <c r="R18" s="326">
        <f>P18/F18</f>
        <v>1.5993555075303969E-5</v>
      </c>
      <c r="S18">
        <f>Rx!AU4</f>
        <v>0.38301716238364297</v>
      </c>
      <c r="T18">
        <f>S18/H18</f>
        <v>4.2054657469638409E-3</v>
      </c>
      <c r="U18" s="30">
        <f>S18/F18</f>
        <v>0.56326053291712197</v>
      </c>
      <c r="X18" s="27"/>
      <c r="Y18">
        <f t="shared" si="0"/>
        <v>3.9215686274509798</v>
      </c>
    </row>
    <row r="19" spans="2:25" x14ac:dyDescent="0.25">
      <c r="B19" s="665"/>
      <c r="C19" s="686"/>
      <c r="D19" s="176" t="s">
        <v>81</v>
      </c>
      <c r="E19" s="91">
        <f>Weights!I52</f>
        <v>1.9766666666666668</v>
      </c>
      <c r="F19" s="30">
        <f>Weights!M52</f>
        <v>0.54500000000000004</v>
      </c>
      <c r="G19" s="288">
        <v>1.1770833333333333</v>
      </c>
      <c r="H19" s="364">
        <f>PicoGreen!AY48</f>
        <v>58.944848999999998</v>
      </c>
      <c r="I19" s="288">
        <f>H19/F19</f>
        <v>108.1556862385321</v>
      </c>
      <c r="J19" s="364">
        <f>DMMB!AY56</f>
        <v>253.85040000000063</v>
      </c>
      <c r="K19" s="364">
        <f>J19/H19*1000</f>
        <v>4306.5747780607708</v>
      </c>
      <c r="L19" s="288">
        <f>J19/F19</f>
        <v>465.78055045871673</v>
      </c>
      <c r="M19">
        <f>OHP!AZ47</f>
        <v>161.92768707528123</v>
      </c>
      <c r="N19">
        <f>M19/H19*1000</f>
        <v>2747.1049603550809</v>
      </c>
      <c r="O19" s="30">
        <f>M19/F19</f>
        <v>297.11502215647931</v>
      </c>
      <c r="P19">
        <f>Rx!AQ5</f>
        <v>1.7850198207958899E-5</v>
      </c>
      <c r="Q19">
        <f>P19/H19</f>
        <v>3.0282880541366556E-7</v>
      </c>
      <c r="R19" s="30">
        <f>P19/F19</f>
        <v>3.2752657262309907E-5</v>
      </c>
      <c r="S19">
        <f>Rx!AU5</f>
        <v>0.68353832056157804</v>
      </c>
      <c r="T19">
        <f>S19/H19</f>
        <v>1.1596234991823934E-2</v>
      </c>
      <c r="U19" s="30">
        <f>S19/F19</f>
        <v>1.2541987533239962</v>
      </c>
      <c r="X19" s="27"/>
      <c r="Y19">
        <f t="shared" si="0"/>
        <v>3.6269113149847096</v>
      </c>
    </row>
    <row r="20" spans="2:25" x14ac:dyDescent="0.25">
      <c r="B20" s="665"/>
      <c r="C20" s="686"/>
      <c r="D20" s="176" t="s">
        <v>82</v>
      </c>
      <c r="E20" s="91">
        <f>Weights!I53</f>
        <v>1.7133333333333332</v>
      </c>
      <c r="F20" s="30">
        <f>Weights!M53</f>
        <v>0.505</v>
      </c>
      <c r="G20" s="288">
        <v>1.140625</v>
      </c>
      <c r="H20" s="364">
        <f>PicoGreen!AY49</f>
        <v>45.516889000000006</v>
      </c>
      <c r="I20" s="288">
        <f>H20/F20</f>
        <v>90.132453465346543</v>
      </c>
      <c r="J20" s="364">
        <f>DMMB!AY57</f>
        <v>219.97370000000018</v>
      </c>
      <c r="K20" s="364">
        <f>J20/H20*1000</f>
        <v>4832.7929441750766</v>
      </c>
      <c r="L20" s="288">
        <f>J20/F20</f>
        <v>435.59148514851518</v>
      </c>
      <c r="M20">
        <f>OHP!AZ48</f>
        <v>155.0316888902187</v>
      </c>
      <c r="N20">
        <f>M20/H20*1000</f>
        <v>3406.0255939332469</v>
      </c>
      <c r="O20" s="30">
        <f>M20/F20</f>
        <v>306.99344334696775</v>
      </c>
      <c r="P20">
        <f>Rx!AQ6</f>
        <v>1.7022705575801901E-5</v>
      </c>
      <c r="Q20">
        <f>P20/H20</f>
        <v>3.7398657838416634E-7</v>
      </c>
      <c r="R20" s="30">
        <f>P20/F20</f>
        <v>3.3708327872875053E-5</v>
      </c>
      <c r="S20">
        <f>Rx!AU6</f>
        <v>0.63050517500076597</v>
      </c>
      <c r="T20">
        <f>S20/H20</f>
        <v>1.3852114871048544E-2</v>
      </c>
      <c r="U20" s="30">
        <f>S20/F20</f>
        <v>1.2485250990114178</v>
      </c>
      <c r="X20" s="27"/>
      <c r="Y20">
        <f t="shared" si="0"/>
        <v>3.3927392739273925</v>
      </c>
    </row>
    <row r="21" spans="2:25" ht="15.75" thickBot="1" x14ac:dyDescent="0.3">
      <c r="B21" s="666"/>
      <c r="C21" s="687"/>
      <c r="D21" s="389" t="s">
        <v>83</v>
      </c>
      <c r="E21" s="2">
        <f>Weights!I54</f>
        <v>1.66</v>
      </c>
      <c r="F21" s="9">
        <f>Weights!M54</f>
        <v>0.44999999999999996</v>
      </c>
      <c r="G21" s="368">
        <v>1.0625</v>
      </c>
      <c r="H21" s="369">
        <f>PicoGreen!AY50</f>
        <v>57.985709</v>
      </c>
      <c r="I21" s="368">
        <f>H21/F21</f>
        <v>128.85713111111113</v>
      </c>
      <c r="J21" s="369">
        <f>DMMB!AY58</f>
        <v>235.60910000000007</v>
      </c>
      <c r="K21" s="369">
        <f>J21/H21*1000</f>
        <v>4063.2270271973407</v>
      </c>
      <c r="L21" s="368">
        <f>J21/F21</f>
        <v>523.57577777777794</v>
      </c>
      <c r="M21">
        <f>OHP!AZ49</f>
        <v>46.814096456656237</v>
      </c>
      <c r="N21" s="2">
        <f>M21/H21*1000</f>
        <v>807.33851950756059</v>
      </c>
      <c r="O21" s="9">
        <f>M21/F21</f>
        <v>104.0313254592361</v>
      </c>
      <c r="P21" s="2">
        <f>Rx!AQ7</f>
        <v>2.05691025707606E-5</v>
      </c>
      <c r="Q21" s="2">
        <f>P21/H21</f>
        <v>3.5472710303086231E-7</v>
      </c>
      <c r="R21" s="9">
        <f>P21/F21</f>
        <v>4.5709116823912447E-5</v>
      </c>
      <c r="S21" s="2">
        <f>Rx!AU7</f>
        <v>0.71889375093545305</v>
      </c>
      <c r="T21" s="2">
        <f>S21/H21</f>
        <v>1.2397774612628313E-2</v>
      </c>
      <c r="U21" s="9">
        <f>S21/F21</f>
        <v>1.5975416687454513</v>
      </c>
      <c r="V21" s="2"/>
      <c r="W21" s="2"/>
      <c r="X21" s="8"/>
      <c r="Y21">
        <f t="shared" si="0"/>
        <v>3.6888888888888891</v>
      </c>
    </row>
    <row r="22" spans="2:25" x14ac:dyDescent="0.25">
      <c r="B22" s="667" t="s">
        <v>176</v>
      </c>
      <c r="C22" s="690" t="s">
        <v>175</v>
      </c>
      <c r="D22" s="507" t="s">
        <v>80</v>
      </c>
      <c r="E22" s="223">
        <f>Weights!I23</f>
        <v>1.3599999999999999</v>
      </c>
      <c r="F22" s="228">
        <f>Weights!M23</f>
        <v>0.39500000000000002</v>
      </c>
      <c r="G22" s="228">
        <f>'Alamar Blue (Analysis)'!L17</f>
        <v>1.4417177914110428</v>
      </c>
      <c r="H22" s="363">
        <f>PicoGreen!U51</f>
        <v>65.710049444444451</v>
      </c>
      <c r="I22" s="301">
        <f t="shared" ref="I22:I27" si="10">H22/F22</f>
        <v>166.35455555555558</v>
      </c>
      <c r="J22" s="363">
        <f>DMMB!U59</f>
        <v>254.95459999999952</v>
      </c>
      <c r="K22" s="363">
        <f t="shared" ref="K22:K27" si="11">J22/H22*1000</f>
        <v>3879.9940367653307</v>
      </c>
      <c r="L22" s="301">
        <f t="shared" ref="L22:L27" si="12">J22/F22</f>
        <v>645.4546835443025</v>
      </c>
      <c r="M22" s="23">
        <f>OHP!V51</f>
        <v>90.858209984999988</v>
      </c>
      <c r="N22" s="23">
        <f t="shared" ref="N22:N27" si="13">M22/H22*1000</f>
        <v>1382.7140711835475</v>
      </c>
      <c r="O22" s="208">
        <f t="shared" ref="O22:O27" si="14">M22/F22</f>
        <v>230.02078477215187</v>
      </c>
      <c r="P22" s="23">
        <f>Rx!S8</f>
        <v>1.82752718795504E-3</v>
      </c>
      <c r="Q22" s="237">
        <f t="shared" ref="Q22:Q27" si="15">P22/H22</f>
        <v>2.7811989237660678E-5</v>
      </c>
      <c r="R22" s="240">
        <f t="shared" ref="R22:R27" si="16">P22/F22</f>
        <v>4.6266511087469367E-3</v>
      </c>
      <c r="S22" s="23">
        <f>Rx!W8</f>
        <v>0.320339217817323</v>
      </c>
      <c r="T22" s="235">
        <f t="shared" ref="T22:T27" si="17">S22/H22</f>
        <v>4.8750414970872699E-3</v>
      </c>
      <c r="U22" s="240">
        <f t="shared" ref="U22:U27" si="18">S22/F22</f>
        <v>0.81098536156284295</v>
      </c>
      <c r="V22" s="23"/>
      <c r="W22" s="195"/>
      <c r="X22" s="209"/>
      <c r="Y22">
        <f t="shared" si="0"/>
        <v>3.443037974683544</v>
      </c>
    </row>
    <row r="23" spans="2:25" x14ac:dyDescent="0.25">
      <c r="B23" s="665"/>
      <c r="C23" s="686"/>
      <c r="D23" s="508" t="s">
        <v>79</v>
      </c>
      <c r="E23" s="222">
        <f>Weights!I24</f>
        <v>1.99</v>
      </c>
      <c r="F23" s="227">
        <f>Weights!M24</f>
        <v>0.47</v>
      </c>
      <c r="G23" s="227">
        <f>'Alamar Blue (Analysis)'!L18</f>
        <v>1.2944785276073618</v>
      </c>
      <c r="H23" s="364">
        <f>PicoGreen!U52</f>
        <v>68.925954444444443</v>
      </c>
      <c r="I23" s="288">
        <f t="shared" si="10"/>
        <v>146.65096690307328</v>
      </c>
      <c r="J23" s="364">
        <f>DMMB!U60</f>
        <v>304.34679999999969</v>
      </c>
      <c r="K23" s="364">
        <f t="shared" si="11"/>
        <v>4415.5616335397817</v>
      </c>
      <c r="L23" s="288">
        <f t="shared" si="12"/>
        <v>647.54638297872282</v>
      </c>
      <c r="M23" s="89">
        <f>OHP!V52</f>
        <v>73.597679513437498</v>
      </c>
      <c r="N23" s="89">
        <f t="shared" si="13"/>
        <v>1067.7788955792921</v>
      </c>
      <c r="O23" s="206">
        <f t="shared" si="14"/>
        <v>156.59080747539895</v>
      </c>
      <c r="P23" s="89">
        <f>Rx!S9</f>
        <v>1.2581468580394001E-3</v>
      </c>
      <c r="Q23" s="238">
        <f t="shared" si="15"/>
        <v>1.8253600812354206E-5</v>
      </c>
      <c r="R23" s="241">
        <f t="shared" si="16"/>
        <v>2.6769082085944685E-3</v>
      </c>
      <c r="S23" s="89">
        <f>Rx!W9</f>
        <v>1.3645618629101601</v>
      </c>
      <c r="T23" s="127">
        <f t="shared" si="17"/>
        <v>1.9797504059374638E-2</v>
      </c>
      <c r="U23" s="241">
        <f t="shared" si="18"/>
        <v>2.9033231125748089</v>
      </c>
      <c r="V23" s="89"/>
      <c r="W23" s="91"/>
      <c r="X23" s="207"/>
      <c r="Y23">
        <f t="shared" si="0"/>
        <v>4.2340425531914896</v>
      </c>
    </row>
    <row r="24" spans="2:25" x14ac:dyDescent="0.25">
      <c r="B24" s="665"/>
      <c r="C24" s="686"/>
      <c r="D24" s="508" t="s">
        <v>81</v>
      </c>
      <c r="E24" s="222">
        <f>Weights!I25</f>
        <v>1.6233333333333333</v>
      </c>
      <c r="F24" s="227">
        <f>Weights!M25</f>
        <v>0.44999999999999996</v>
      </c>
      <c r="G24" s="227">
        <f>'Alamar Blue (Analysis)'!L19</f>
        <v>1.3496932515337421</v>
      </c>
      <c r="H24" s="364">
        <f>PicoGreen!U53</f>
        <v>76.276594444444456</v>
      </c>
      <c r="I24" s="288">
        <f t="shared" si="10"/>
        <v>169.5035432098766</v>
      </c>
      <c r="J24" s="364">
        <f>DMMB!U61</f>
        <v>272.91539999999952</v>
      </c>
      <c r="K24" s="364">
        <f t="shared" si="11"/>
        <v>3577.9704375603137</v>
      </c>
      <c r="L24" s="288">
        <f t="shared" si="12"/>
        <v>606.47866666666562</v>
      </c>
      <c r="M24" s="89">
        <f>OHP!V53</f>
        <v>70.838977019062483</v>
      </c>
      <c r="N24" s="89">
        <f t="shared" si="13"/>
        <v>928.71184843808908</v>
      </c>
      <c r="O24" s="206">
        <f t="shared" si="14"/>
        <v>157.41994893124999</v>
      </c>
      <c r="P24" s="89">
        <f>Rx!S10</f>
        <v>5.3723789193653199E-4</v>
      </c>
      <c r="Q24" s="238">
        <f t="shared" si="15"/>
        <v>7.0432862904993166E-6</v>
      </c>
      <c r="R24" s="241">
        <f t="shared" si="16"/>
        <v>1.1938619820811823E-3</v>
      </c>
      <c r="S24" s="89">
        <f>Rx!W10</f>
        <v>0.48674920109904996</v>
      </c>
      <c r="T24" s="127">
        <f t="shared" si="17"/>
        <v>6.381370388180747E-3</v>
      </c>
      <c r="U24" s="241">
        <f t="shared" si="18"/>
        <v>1.0816648913312221</v>
      </c>
      <c r="V24" s="89"/>
      <c r="W24" s="91"/>
      <c r="X24" s="207"/>
      <c r="Y24">
        <f t="shared" si="0"/>
        <v>3.6074074074074076</v>
      </c>
    </row>
    <row r="25" spans="2:25" x14ac:dyDescent="0.25">
      <c r="B25" s="665"/>
      <c r="C25" s="686"/>
      <c r="D25" s="508" t="s">
        <v>82</v>
      </c>
      <c r="E25" s="222">
        <f>Weights!I26</f>
        <v>1.8149999999999999</v>
      </c>
      <c r="F25" s="227">
        <f>Weights!M26</f>
        <v>0.48</v>
      </c>
      <c r="G25" s="227">
        <f>'Alamar Blue (Analysis)'!L20</f>
        <v>1.7484662576687116</v>
      </c>
      <c r="H25" s="364">
        <f>PicoGreen!U54</f>
        <v>60.197069444444445</v>
      </c>
      <c r="I25" s="288">
        <f t="shared" si="10"/>
        <v>125.4105613425926</v>
      </c>
      <c r="J25" s="364">
        <f>DMMB!U62</f>
        <v>279.65069999999969</v>
      </c>
      <c r="K25" s="364">
        <f t="shared" si="11"/>
        <v>4645.5866137817193</v>
      </c>
      <c r="L25" s="288">
        <f t="shared" si="12"/>
        <v>582.60562499999935</v>
      </c>
      <c r="M25" s="89">
        <f>OHP!V54</f>
        <v>109.57265123062501</v>
      </c>
      <c r="N25" s="89">
        <f t="shared" si="13"/>
        <v>1820.2323176504303</v>
      </c>
      <c r="O25" s="206">
        <f t="shared" si="14"/>
        <v>228.27635673046879</v>
      </c>
      <c r="P25" s="89">
        <f>Rx!S11</f>
        <v>1.08365933758138E-3</v>
      </c>
      <c r="Q25" s="238">
        <f t="shared" si="15"/>
        <v>1.8001862010599761E-5</v>
      </c>
      <c r="R25" s="241">
        <f t="shared" si="16"/>
        <v>2.2576236199612085E-3</v>
      </c>
      <c r="S25" s="89">
        <f>Rx!W11</f>
        <v>0.90277415930336602</v>
      </c>
      <c r="T25" s="127">
        <f t="shared" si="17"/>
        <v>1.4996978551198933E-2</v>
      </c>
      <c r="U25" s="241">
        <f t="shared" si="18"/>
        <v>1.8807794985486792</v>
      </c>
      <c r="V25" s="89"/>
      <c r="W25" s="91"/>
      <c r="X25" s="207"/>
      <c r="Y25">
        <f t="shared" si="0"/>
        <v>3.78125</v>
      </c>
    </row>
    <row r="26" spans="2:25" x14ac:dyDescent="0.25">
      <c r="B26" s="665"/>
      <c r="C26" s="686"/>
      <c r="D26" s="508" t="s">
        <v>83</v>
      </c>
      <c r="E26" s="222">
        <f>Weights!I27</f>
        <v>1.4366666666666668</v>
      </c>
      <c r="F26" s="227">
        <f>Weights!M27</f>
        <v>0.45</v>
      </c>
      <c r="G26" s="227">
        <f>'Alamar Blue (Analysis)'!L21</f>
        <v>1.3496932515337421</v>
      </c>
      <c r="H26" s="364">
        <f>PicoGreen!U55</f>
        <v>48.252279444444447</v>
      </c>
      <c r="I26" s="288">
        <f t="shared" si="10"/>
        <v>107.22728765432099</v>
      </c>
      <c r="J26" s="364">
        <f>DMMB!U63</f>
        <v>268.42520000000007</v>
      </c>
      <c r="K26" s="364">
        <f t="shared" si="11"/>
        <v>5562.9537731798364</v>
      </c>
      <c r="L26" s="288">
        <f t="shared" si="12"/>
        <v>596.50044444444461</v>
      </c>
      <c r="M26" s="89">
        <f>OHP!V55</f>
        <v>75.648066502499987</v>
      </c>
      <c r="N26" s="89">
        <f t="shared" si="13"/>
        <v>1567.7615104090128</v>
      </c>
      <c r="O26" s="206">
        <f t="shared" si="14"/>
        <v>168.10681444999997</v>
      </c>
      <c r="P26" s="89">
        <f>Rx!S12</f>
        <v>1.1846784283728699E-3</v>
      </c>
      <c r="Q26" s="238">
        <f t="shared" si="15"/>
        <v>2.4551760911872704E-5</v>
      </c>
      <c r="R26" s="241">
        <f t="shared" si="16"/>
        <v>2.6326187297174889E-3</v>
      </c>
      <c r="S26" s="89">
        <f>Rx!W12</f>
        <v>1.4602476032971501</v>
      </c>
      <c r="T26" s="127">
        <f t="shared" si="17"/>
        <v>3.0262769347060899E-2</v>
      </c>
      <c r="U26" s="241">
        <f t="shared" si="18"/>
        <v>3.2449946739936668</v>
      </c>
      <c r="V26" s="89"/>
      <c r="W26" s="91"/>
      <c r="X26" s="207"/>
      <c r="Y26">
        <f t="shared" si="0"/>
        <v>3.1925925925925926</v>
      </c>
    </row>
    <row r="27" spans="2:25" x14ac:dyDescent="0.25">
      <c r="B27" s="665"/>
      <c r="C27" s="688"/>
      <c r="D27" s="509" t="s">
        <v>94</v>
      </c>
      <c r="E27" s="292">
        <f>Weights!I28</f>
        <v>1.56</v>
      </c>
      <c r="F27" s="297">
        <f>Weights!M28</f>
        <v>0.51333333333333331</v>
      </c>
      <c r="G27" s="293">
        <f>'Alamar Blue (Analysis)'!L22</f>
        <v>1.5950920245398774</v>
      </c>
      <c r="H27" s="365">
        <f>PicoGreen!U56</f>
        <v>40.442224444444449</v>
      </c>
      <c r="I27" s="366">
        <f t="shared" si="10"/>
        <v>78.783554112554128</v>
      </c>
      <c r="J27" s="365">
        <f>DMMB!U64</f>
        <v>299.85660000000024</v>
      </c>
      <c r="K27" s="365">
        <f t="shared" si="11"/>
        <v>7414.4437928213802</v>
      </c>
      <c r="L27" s="366">
        <f t="shared" si="12"/>
        <v>584.13623376623423</v>
      </c>
      <c r="M27" s="130">
        <f>OHP!V56</f>
        <v>90.671811167812493</v>
      </c>
      <c r="N27" s="130">
        <f t="shared" si="13"/>
        <v>2242.0085050556136</v>
      </c>
      <c r="O27" s="266">
        <f t="shared" si="14"/>
        <v>176.6333983788555</v>
      </c>
      <c r="P27" s="130">
        <f>Rx!S13</f>
        <v>7.897856189152438E-4</v>
      </c>
      <c r="Q27" s="298">
        <f t="shared" si="15"/>
        <v>1.9528738336343829E-5</v>
      </c>
      <c r="R27" s="295">
        <f t="shared" si="16"/>
        <v>1.5385434134712543E-3</v>
      </c>
      <c r="S27" s="130">
        <f>Rx!W13</f>
        <v>0.82788966682658904</v>
      </c>
      <c r="T27" s="128">
        <f t="shared" si="17"/>
        <v>2.0470923105722398E-2</v>
      </c>
      <c r="U27" s="295">
        <f t="shared" si="18"/>
        <v>1.612772078233615</v>
      </c>
      <c r="V27" s="130"/>
      <c r="W27" s="191"/>
      <c r="X27" s="296"/>
      <c r="Y27">
        <f t="shared" si="0"/>
        <v>3.0389610389610393</v>
      </c>
    </row>
    <row r="28" spans="2:25" x14ac:dyDescent="0.25">
      <c r="B28" s="665"/>
      <c r="C28" s="686" t="s">
        <v>227</v>
      </c>
      <c r="D28" s="508" t="s">
        <v>80</v>
      </c>
      <c r="E28" s="222">
        <f>Weights!I77</f>
        <v>2.3033333333333332</v>
      </c>
      <c r="F28" s="227">
        <f>Weights!M77</f>
        <v>0.57999999999999996</v>
      </c>
      <c r="G28" s="227"/>
      <c r="H28" s="364">
        <f>PicoGreen!CC46</f>
        <v>24.449734090909093</v>
      </c>
      <c r="I28" s="288">
        <f>H28/F28</f>
        <v>42.15471394984327</v>
      </c>
      <c r="J28" s="364">
        <f>DMMB!CC54</f>
        <v>229.23599999999993</v>
      </c>
      <c r="K28" s="364">
        <f>J28/H28*1000</f>
        <v>9375.8074892615914</v>
      </c>
      <c r="L28" s="288">
        <f>J28/F28</f>
        <v>395.23448275862063</v>
      </c>
      <c r="M28" s="89">
        <f>OHP!BO46</f>
        <v>119.53682707265625</v>
      </c>
      <c r="N28" s="89">
        <f>M28/H28*1000</f>
        <v>4889.0849539792116</v>
      </c>
      <c r="O28" s="206">
        <f>M28/F28</f>
        <v>206.09797771147632</v>
      </c>
      <c r="P28" s="89">
        <f>Rx!BP3</f>
        <v>1.78900548711831E-4</v>
      </c>
      <c r="Q28" s="238">
        <f>P28/H28</f>
        <v>7.317075435120984E-6</v>
      </c>
      <c r="R28" s="241">
        <f>P28/F28</f>
        <v>3.0844922191695001E-4</v>
      </c>
      <c r="S28" s="89">
        <f>Rx!BT3</f>
        <v>0.85139033288072097</v>
      </c>
      <c r="T28" s="127">
        <f>S28/H28</f>
        <v>3.482206921822046E-2</v>
      </c>
      <c r="U28" s="241">
        <f>S28/F28</f>
        <v>1.467914367035726</v>
      </c>
      <c r="V28" s="89"/>
      <c r="W28" s="91"/>
      <c r="X28" s="207"/>
    </row>
    <row r="29" spans="2:25" x14ac:dyDescent="0.25">
      <c r="B29" s="665"/>
      <c r="C29" s="686"/>
      <c r="D29" s="508" t="s">
        <v>79</v>
      </c>
      <c r="E29" s="222">
        <f>Weights!I78</f>
        <v>2.1966666666666668</v>
      </c>
      <c r="F29" s="227">
        <f>Weights!M78</f>
        <v>0.61499999999999999</v>
      </c>
      <c r="G29" s="227"/>
      <c r="H29" s="364">
        <f>PicoGreen!CC47</f>
        <v>48.197234090909106</v>
      </c>
      <c r="I29" s="288">
        <f>H29/F29</f>
        <v>78.369486326681468</v>
      </c>
      <c r="J29" s="364">
        <f>DMMB!CC55</f>
        <v>263.98799999999977</v>
      </c>
      <c r="K29" s="364">
        <f>J29/H29*1000</f>
        <v>5477.2437667702761</v>
      </c>
      <c r="L29" s="288">
        <f>J29/F29</f>
        <v>429.24878048780454</v>
      </c>
      <c r="M29" s="89">
        <f>OHP!BO47</f>
        <v>119.97720105853124</v>
      </c>
      <c r="N29" s="89">
        <f>M29/H29*1000</f>
        <v>2489.2963947315216</v>
      </c>
      <c r="O29" s="206">
        <f>M29/F29</f>
        <v>195.08487976996949</v>
      </c>
      <c r="P29" s="89">
        <f>Rx!BP4</f>
        <v>3.4950769450324602E-4</v>
      </c>
      <c r="Q29" s="238">
        <f>P29/H29</f>
        <v>7.2516131080054996E-6</v>
      </c>
      <c r="R29" s="241">
        <f>P29/F29</f>
        <v>5.6830519431422114E-4</v>
      </c>
      <c r="S29" s="89">
        <f>Rx!BT4</f>
        <v>1.1957025998545401</v>
      </c>
      <c r="T29" s="127">
        <f>S29/H29</f>
        <v>2.4808531493720545E-2</v>
      </c>
      <c r="U29" s="241">
        <f>S29/F29</f>
        <v>1.944231869682179</v>
      </c>
      <c r="V29" s="89"/>
      <c r="W29" s="91"/>
      <c r="X29" s="207"/>
    </row>
    <row r="30" spans="2:25" x14ac:dyDescent="0.25">
      <c r="B30" s="665"/>
      <c r="C30" s="686"/>
      <c r="D30" s="508" t="s">
        <v>81</v>
      </c>
      <c r="E30" s="222">
        <f>Weights!I79</f>
        <v>2.2799999999999998</v>
      </c>
      <c r="F30" s="227"/>
      <c r="G30" s="227"/>
      <c r="H30" s="364">
        <f>PicoGreen!CC48</f>
        <v>35.373584090909091</v>
      </c>
      <c r="I30" s="288"/>
      <c r="J30" s="364">
        <f>DMMB!CC56</f>
        <v>237.92400000000029</v>
      </c>
      <c r="K30" s="364">
        <f>J30/H30*1000</f>
        <v>6726.0359987425209</v>
      </c>
      <c r="L30" s="288"/>
      <c r="M30" s="89">
        <f>OHP!BO48</f>
        <v>132.84590753465625</v>
      </c>
      <c r="N30" s="89">
        <f>M30/H30*1000</f>
        <v>3755.5116607139976</v>
      </c>
      <c r="O30" s="206"/>
      <c r="P30" s="89">
        <f>Rx!BP5</f>
        <v>4.3718081109050098E-4</v>
      </c>
      <c r="Q30" s="238">
        <f>P30/H30</f>
        <v>1.2358962834157797E-5</v>
      </c>
      <c r="R30" s="241"/>
      <c r="S30" s="89">
        <f>Rx!BT5</f>
        <v>1.5212341977207</v>
      </c>
      <c r="T30" s="127">
        <f>S30/H30</f>
        <v>4.300480815885583E-2</v>
      </c>
      <c r="U30" s="241"/>
      <c r="V30" s="89"/>
      <c r="W30" s="91"/>
      <c r="X30" s="207"/>
    </row>
    <row r="31" spans="2:25" x14ac:dyDescent="0.25">
      <c r="B31" s="665"/>
      <c r="C31" s="686"/>
      <c r="D31" s="508" t="s">
        <v>82</v>
      </c>
      <c r="E31" s="222">
        <f>Weights!I80</f>
        <v>2.085</v>
      </c>
      <c r="F31" s="227">
        <f>Weights!M80</f>
        <v>0.59</v>
      </c>
      <c r="G31" s="227"/>
      <c r="H31" s="364">
        <f>PicoGreen!CC49</f>
        <v>29.199234090909091</v>
      </c>
      <c r="I31" s="288">
        <f>H31/F31</f>
        <v>49.490227272727275</v>
      </c>
      <c r="J31" s="364">
        <f>DMMB!CC57</f>
        <v>231.40800000000041</v>
      </c>
      <c r="K31" s="364">
        <f>J31/H31*1000</f>
        <v>7925.1393813801142</v>
      </c>
      <c r="L31" s="288">
        <f>J31/F31</f>
        <v>392.21694915254307</v>
      </c>
      <c r="M31" s="89">
        <f>OHP!BO49</f>
        <v>125.53080632484374</v>
      </c>
      <c r="N31" s="89">
        <f>M31/H31*1000</f>
        <v>4299.1129813205125</v>
      </c>
      <c r="O31" s="206">
        <f>M31/F31</f>
        <v>212.76407851668432</v>
      </c>
      <c r="P31" s="89">
        <f>Rx!BP6</f>
        <v>4.1230060232925298E-4</v>
      </c>
      <c r="Q31" s="238">
        <f>P31/H31</f>
        <v>1.4120254012334485E-5</v>
      </c>
      <c r="R31" s="241">
        <f>P31/F31</f>
        <v>6.9881458021907284E-4</v>
      </c>
      <c r="S31" s="89">
        <f>Rx!BT6</f>
        <v>1.72782155790499</v>
      </c>
      <c r="T31" s="127">
        <f>S31/H31</f>
        <v>5.9173523268643925E-2</v>
      </c>
      <c r="U31" s="241">
        <f>S31/F31</f>
        <v>2.9285111150932037</v>
      </c>
      <c r="V31" s="89"/>
      <c r="W31" s="91"/>
      <c r="X31" s="207"/>
    </row>
    <row r="32" spans="2:25" ht="15.75" thickBot="1" x14ac:dyDescent="0.3">
      <c r="B32" s="666"/>
      <c r="C32" s="687"/>
      <c r="D32" s="510" t="s">
        <v>83</v>
      </c>
      <c r="E32" s="224">
        <f>Weights!I81</f>
        <v>2.0299999999999998</v>
      </c>
      <c r="F32" s="229">
        <f>Weights!M81</f>
        <v>0.59</v>
      </c>
      <c r="G32" s="229"/>
      <c r="H32" s="369">
        <f>PicoGreen!CC50</f>
        <v>36.323484090909091</v>
      </c>
      <c r="I32" s="368">
        <f>H32/F32</f>
        <v>61.565227272727277</v>
      </c>
      <c r="J32" s="369">
        <f>DMMB!CC58</f>
        <v>240.09600000000037</v>
      </c>
      <c r="K32" s="369">
        <f>J32/H32*1000</f>
        <v>6609.9386115906964</v>
      </c>
      <c r="L32" s="368">
        <f>J32/F32</f>
        <v>406.94237288135656</v>
      </c>
      <c r="M32" s="4">
        <f>OHP!BO50</f>
        <v>116.64993094303124</v>
      </c>
      <c r="N32" s="4">
        <f>M32/H32*1000</f>
        <v>3211.4191097716298</v>
      </c>
      <c r="O32" s="3">
        <f>M32/F32</f>
        <v>197.71174736106991</v>
      </c>
      <c r="P32" s="4">
        <f>Rx!BP7</f>
        <v>2.9145387406033399E-4</v>
      </c>
      <c r="Q32" s="239">
        <f>P32/H32</f>
        <v>8.0238413619930806E-6</v>
      </c>
      <c r="R32" s="242">
        <f>P32/F32</f>
        <v>4.9398961705141356E-4</v>
      </c>
      <c r="S32" s="4">
        <f>Rx!BT7</f>
        <v>0.90773234020370996</v>
      </c>
      <c r="T32" s="236">
        <f>S32/H32</f>
        <v>2.4990233258788463E-2</v>
      </c>
      <c r="U32" s="242">
        <f>S32/F32</f>
        <v>1.5385293901757797</v>
      </c>
      <c r="V32" s="4"/>
      <c r="W32" s="5"/>
      <c r="X32" s="7"/>
    </row>
    <row r="33" spans="2:25" x14ac:dyDescent="0.25">
      <c r="B33" s="665" t="s">
        <v>280</v>
      </c>
      <c r="C33" s="686" t="s">
        <v>281</v>
      </c>
      <c r="D33" s="176" t="s">
        <v>80</v>
      </c>
      <c r="E33" s="222">
        <v>1.6766666666666667</v>
      </c>
      <c r="F33" s="227">
        <v>0.52500000000000002</v>
      </c>
      <c r="G33" s="227">
        <v>1.1481481481481481</v>
      </c>
      <c r="H33" s="364">
        <v>105.74343571428571</v>
      </c>
      <c r="I33" s="288">
        <v>201.41606802721086</v>
      </c>
      <c r="J33" s="364">
        <v>323.18100000000015</v>
      </c>
      <c r="K33" s="364">
        <v>3056.2748204363397</v>
      </c>
      <c r="L33" s="288">
        <v>615.58285714285739</v>
      </c>
      <c r="M33" s="89">
        <v>137.46620219113638</v>
      </c>
      <c r="N33" s="89">
        <v>1299.9975011457377</v>
      </c>
      <c r="O33" s="206">
        <v>261.84038512597402</v>
      </c>
      <c r="P33" s="271"/>
      <c r="Q33" s="390"/>
      <c r="R33" s="391"/>
      <c r="S33" s="271"/>
      <c r="T33" s="392"/>
      <c r="U33" s="391"/>
      <c r="V33" s="271"/>
      <c r="W33" s="272"/>
      <c r="X33" s="273"/>
    </row>
    <row r="34" spans="2:25" x14ac:dyDescent="0.25">
      <c r="B34" s="665"/>
      <c r="C34" s="686"/>
      <c r="D34" s="176" t="s">
        <v>79</v>
      </c>
      <c r="E34" s="222">
        <v>1.6866666666666665</v>
      </c>
      <c r="F34" s="227">
        <v>0.48333333333333339</v>
      </c>
      <c r="G34" s="227">
        <v>0.9907407407407407</v>
      </c>
      <c r="H34" s="364">
        <v>94.925285714285721</v>
      </c>
      <c r="I34" s="288">
        <v>196.39714285714285</v>
      </c>
      <c r="J34" s="364">
        <v>319.0390000000001</v>
      </c>
      <c r="K34" s="364">
        <v>3360.948535464735</v>
      </c>
      <c r="L34" s="288">
        <v>660.08068965517259</v>
      </c>
      <c r="M34" s="89">
        <v>102.10674501613634</v>
      </c>
      <c r="N34" s="89">
        <v>1075.6538076004954</v>
      </c>
      <c r="O34" s="206">
        <v>211.25533451614413</v>
      </c>
      <c r="P34" s="271"/>
      <c r="Q34" s="390"/>
      <c r="R34" s="391"/>
      <c r="S34" s="271"/>
      <c r="T34" s="392"/>
      <c r="U34" s="391"/>
      <c r="V34" s="271"/>
      <c r="W34" s="272"/>
      <c r="X34" s="273"/>
    </row>
    <row r="35" spans="2:25" x14ac:dyDescent="0.25">
      <c r="B35" s="665"/>
      <c r="C35" s="686"/>
      <c r="D35" s="176" t="s">
        <v>81</v>
      </c>
      <c r="E35" s="222">
        <v>1.4966666666666668</v>
      </c>
      <c r="F35" s="227">
        <v>0.51</v>
      </c>
      <c r="G35" s="227">
        <v>1.5092592592592593</v>
      </c>
      <c r="H35" s="364">
        <v>78.4404857142857</v>
      </c>
      <c r="I35" s="288">
        <v>153.80487394957981</v>
      </c>
      <c r="J35" s="364">
        <v>273.4770000000002</v>
      </c>
      <c r="K35" s="364">
        <v>3486.4266521260733</v>
      </c>
      <c r="L35" s="288">
        <v>536.22941176470624</v>
      </c>
      <c r="M35" s="89">
        <v>112.95993350413637</v>
      </c>
      <c r="N35" s="89">
        <v>1440.0718261177715</v>
      </c>
      <c r="O35" s="206">
        <v>221.49006569438504</v>
      </c>
      <c r="P35" s="271"/>
      <c r="Q35" s="390"/>
      <c r="R35" s="391"/>
      <c r="S35" s="271"/>
      <c r="T35" s="392"/>
      <c r="U35" s="391"/>
      <c r="V35" s="271"/>
      <c r="W35" s="272"/>
      <c r="X35" s="273"/>
    </row>
    <row r="36" spans="2:25" x14ac:dyDescent="0.25">
      <c r="B36" s="665"/>
      <c r="C36" s="686"/>
      <c r="D36" s="176" t="s">
        <v>82</v>
      </c>
      <c r="E36" s="222">
        <v>1.4533333333333334</v>
      </c>
      <c r="F36" s="227">
        <v>0.51</v>
      </c>
      <c r="G36" s="227">
        <v>0.77777777777777779</v>
      </c>
      <c r="H36" s="364">
        <v>86.682885714285717</v>
      </c>
      <c r="I36" s="288">
        <v>169.96644257703082</v>
      </c>
      <c r="J36" s="364">
        <v>287.97399999999993</v>
      </c>
      <c r="K36" s="364">
        <v>3322.1552054599006</v>
      </c>
      <c r="L36" s="288">
        <v>564.65490196078417</v>
      </c>
      <c r="M36" s="89">
        <v>106.75398795913635</v>
      </c>
      <c r="N36" s="89">
        <v>1231.5463090489018</v>
      </c>
      <c r="O36" s="206">
        <v>209.32154501791442</v>
      </c>
      <c r="P36" s="271"/>
      <c r="Q36" s="390"/>
      <c r="R36" s="391"/>
      <c r="S36" s="271"/>
      <c r="T36" s="392"/>
      <c r="U36" s="391"/>
      <c r="V36" s="271"/>
      <c r="W36" s="272"/>
      <c r="X36" s="273"/>
    </row>
    <row r="37" spans="2:25" x14ac:dyDescent="0.25">
      <c r="B37" s="665"/>
      <c r="C37" s="686"/>
      <c r="D37" s="176" t="s">
        <v>83</v>
      </c>
      <c r="E37" s="222">
        <v>1.1733333333333336</v>
      </c>
      <c r="F37" s="227">
        <v>0.47499999999999998</v>
      </c>
      <c r="G37" s="227">
        <v>1.5</v>
      </c>
      <c r="H37" s="364">
        <v>93.379835714285718</v>
      </c>
      <c r="I37" s="288">
        <v>196.58912781954888</v>
      </c>
      <c r="J37" s="364">
        <v>312.82600000000014</v>
      </c>
      <c r="K37" s="364">
        <v>3350.0380205974429</v>
      </c>
      <c r="L37" s="288">
        <v>658.58105263157927</v>
      </c>
      <c r="M37" s="89">
        <v>99.62436679813635</v>
      </c>
      <c r="N37" s="89">
        <v>1066.8723717072819</v>
      </c>
      <c r="O37" s="206">
        <v>209.73550904870811</v>
      </c>
      <c r="P37" s="271"/>
      <c r="Q37" s="390"/>
      <c r="R37" s="391"/>
      <c r="S37" s="271"/>
      <c r="T37" s="392"/>
      <c r="U37" s="391"/>
      <c r="V37" s="271"/>
      <c r="W37" s="272"/>
      <c r="X37" s="273"/>
    </row>
    <row r="38" spans="2:25" x14ac:dyDescent="0.25">
      <c r="B38" s="665"/>
      <c r="C38" s="688"/>
      <c r="D38" s="393" t="s">
        <v>94</v>
      </c>
      <c r="E38" s="292">
        <v>1.6333333333333331</v>
      </c>
      <c r="F38" s="293">
        <v>0.51500000000000001</v>
      </c>
      <c r="G38" s="293">
        <v>1.4444444444444444</v>
      </c>
      <c r="H38" s="365">
        <v>89.258635714285717</v>
      </c>
      <c r="I38" s="366">
        <v>173.31773925104022</v>
      </c>
      <c r="J38" s="365">
        <v>304.54200000000003</v>
      </c>
      <c r="K38" s="365">
        <v>3411.9051625977131</v>
      </c>
      <c r="L38" s="366">
        <v>591.34368932038842</v>
      </c>
      <c r="M38" s="130">
        <v>107.96631220513635</v>
      </c>
      <c r="N38" s="130">
        <v>1209.5895410135256</v>
      </c>
      <c r="O38" s="266">
        <v>209.64332467016766</v>
      </c>
      <c r="P38" s="274"/>
      <c r="Q38" s="394"/>
      <c r="R38" s="395"/>
      <c r="S38" s="274"/>
      <c r="T38" s="396"/>
      <c r="U38" s="395"/>
      <c r="V38" s="274"/>
      <c r="W38" s="275"/>
      <c r="X38" s="277"/>
    </row>
    <row r="39" spans="2:25" x14ac:dyDescent="0.25">
      <c r="B39" s="665"/>
      <c r="C39" s="685" t="s">
        <v>282</v>
      </c>
      <c r="D39" s="176" t="s">
        <v>136</v>
      </c>
      <c r="E39" s="222">
        <v>2.3200000000000003</v>
      </c>
      <c r="F39" s="227">
        <v>0.59</v>
      </c>
      <c r="G39" s="397"/>
      <c r="H39" s="364">
        <v>96.470735714285723</v>
      </c>
      <c r="I39" s="288">
        <v>163.50972154963682</v>
      </c>
      <c r="J39" s="364">
        <v>300.40000000000009</v>
      </c>
      <c r="K39" s="364">
        <v>3113.8976786668773</v>
      </c>
      <c r="L39" s="288">
        <v>509.15254237288156</v>
      </c>
      <c r="M39" s="89">
        <v>132.37390507821425</v>
      </c>
      <c r="N39" s="89">
        <v>1372.1664305563272</v>
      </c>
      <c r="O39" s="206">
        <v>224.36255098002417</v>
      </c>
      <c r="P39" s="89">
        <v>5.6085146446536146E-3</v>
      </c>
      <c r="Q39" s="238">
        <v>5.8136953171624732E-5</v>
      </c>
      <c r="R39" s="241">
        <v>9.5059570248366351E-3</v>
      </c>
      <c r="S39" s="89">
        <v>2.8280419657087079</v>
      </c>
      <c r="T39" s="127">
        <v>2.9315024341520821E-2</v>
      </c>
      <c r="U39" s="241">
        <v>4.793291467302895</v>
      </c>
      <c r="V39" s="271"/>
      <c r="W39" s="272"/>
      <c r="X39" s="273"/>
    </row>
    <row r="40" spans="2:25" x14ac:dyDescent="0.25">
      <c r="B40" s="665"/>
      <c r="C40" s="686"/>
      <c r="D40" s="176" t="s">
        <v>137</v>
      </c>
      <c r="E40" s="222">
        <v>2.6666666666666665</v>
      </c>
      <c r="F40" s="227">
        <v>0.60333333333333339</v>
      </c>
      <c r="G40" s="397"/>
      <c r="H40" s="364">
        <v>83.076835714285707</v>
      </c>
      <c r="I40" s="288">
        <v>137.69641278610891</v>
      </c>
      <c r="J40" s="364">
        <v>271.40599999999995</v>
      </c>
      <c r="K40" s="364">
        <v>3266.9275095335579</v>
      </c>
      <c r="L40" s="288">
        <v>449.84419889502749</v>
      </c>
      <c r="M40" s="89">
        <v>128.3151453332143</v>
      </c>
      <c r="N40" s="89">
        <v>1544.535781002905</v>
      </c>
      <c r="O40" s="206">
        <v>212.67703646389108</v>
      </c>
      <c r="P40" s="89">
        <v>2.9268478063629519E-3</v>
      </c>
      <c r="Q40" s="238">
        <v>3.5230612495026187E-5</v>
      </c>
      <c r="R40" s="241">
        <v>4.8511289608225714E-3</v>
      </c>
      <c r="S40" s="89">
        <v>1.2849744077200731</v>
      </c>
      <c r="T40" s="127">
        <v>1.5467300802588365E-2</v>
      </c>
      <c r="U40" s="241">
        <v>2.1297918360001211</v>
      </c>
      <c r="V40" s="271"/>
      <c r="W40" s="272"/>
      <c r="X40" s="273"/>
    </row>
    <row r="41" spans="2:25" x14ac:dyDescent="0.25">
      <c r="B41" s="665"/>
      <c r="C41" s="686"/>
      <c r="D41" s="176" t="s">
        <v>138</v>
      </c>
      <c r="E41" s="222">
        <v>2.5350000000000001</v>
      </c>
      <c r="F41" s="227">
        <v>0.6166666666666667</v>
      </c>
      <c r="G41" s="397"/>
      <c r="H41" s="364">
        <v>110.89493571428572</v>
      </c>
      <c r="I41" s="288">
        <v>179.82962548262549</v>
      </c>
      <c r="J41" s="364">
        <v>319.03900000000021</v>
      </c>
      <c r="K41" s="364">
        <v>2876.9483290200506</v>
      </c>
      <c r="L41" s="288">
        <v>517.36054054054091</v>
      </c>
      <c r="M41" s="89">
        <v>135.21503689971428</v>
      </c>
      <c r="N41" s="89">
        <v>1219.3075908181042</v>
      </c>
      <c r="O41" s="206">
        <v>219.26762740494206</v>
      </c>
      <c r="P41" s="89">
        <v>5.5165717816265053E-3</v>
      </c>
      <c r="Q41" s="238">
        <v>4.9745930651329545E-5</v>
      </c>
      <c r="R41" s="241">
        <v>8.945792078313251E-3</v>
      </c>
      <c r="S41" s="89">
        <v>2.1800634182259362</v>
      </c>
      <c r="T41" s="127">
        <v>1.9658818540124693E-2</v>
      </c>
      <c r="U41" s="241">
        <v>3.5352379755015182</v>
      </c>
      <c r="V41" s="271"/>
      <c r="W41" s="272"/>
      <c r="X41" s="273"/>
    </row>
    <row r="42" spans="2:25" x14ac:dyDescent="0.25">
      <c r="B42" s="665"/>
      <c r="C42" s="686"/>
      <c r="D42" s="176" t="s">
        <v>139</v>
      </c>
      <c r="E42" s="222">
        <v>2.0099999999999998</v>
      </c>
      <c r="F42" s="227">
        <v>0.53</v>
      </c>
      <c r="G42" s="397"/>
      <c r="H42" s="364">
        <v>75.349585714285723</v>
      </c>
      <c r="I42" s="288">
        <v>142.1690296495957</v>
      </c>
      <c r="J42" s="364">
        <v>263.1219999999999</v>
      </c>
      <c r="K42" s="364">
        <v>3492.0165453559212</v>
      </c>
      <c r="L42" s="288">
        <v>496.45660377358467</v>
      </c>
      <c r="M42" s="89">
        <v>112.3506903362143</v>
      </c>
      <c r="N42" s="89">
        <v>1491.0591647077026</v>
      </c>
      <c r="O42" s="206">
        <v>211.98243459663075</v>
      </c>
      <c r="P42" s="89">
        <v>4.2600193202560234E-3</v>
      </c>
      <c r="Q42" s="238">
        <v>5.6536731819725921E-5</v>
      </c>
      <c r="R42" s="241">
        <v>8.0377723023698552E-3</v>
      </c>
      <c r="S42" s="89">
        <v>1.9000048934664331</v>
      </c>
      <c r="T42" s="127">
        <v>2.5215863835946827E-2</v>
      </c>
      <c r="U42" s="241">
        <v>3.5849148933328925</v>
      </c>
      <c r="V42" s="271"/>
      <c r="W42" s="272"/>
      <c r="X42" s="273"/>
    </row>
    <row r="43" spans="2:25" x14ac:dyDescent="0.25">
      <c r="B43" s="665"/>
      <c r="C43" s="686"/>
      <c r="D43" s="176" t="s">
        <v>140</v>
      </c>
      <c r="E43" s="222">
        <v>2.2533333333333334</v>
      </c>
      <c r="F43" s="227">
        <v>0.55999999999999994</v>
      </c>
      <c r="G43" s="397"/>
      <c r="H43" s="364">
        <v>99.046485714285723</v>
      </c>
      <c r="I43" s="288">
        <v>176.86872448979594</v>
      </c>
      <c r="J43" s="364">
        <v>271.40600000000006</v>
      </c>
      <c r="K43" s="364">
        <v>2740.1880848444325</v>
      </c>
      <c r="L43" s="288">
        <v>484.65357142857158</v>
      </c>
      <c r="M43" s="89">
        <v>119.1152899112143</v>
      </c>
      <c r="N43" s="89">
        <v>1202.6200531215213</v>
      </c>
      <c r="O43" s="206">
        <v>212.70587484145415</v>
      </c>
      <c r="P43" s="89">
        <v>5.9303146652484933E-3</v>
      </c>
      <c r="Q43" s="238">
        <v>5.9874054313803377E-5</v>
      </c>
      <c r="R43" s="241">
        <v>1.0589847616515168E-2</v>
      </c>
      <c r="S43" s="89">
        <v>1.7242818975389018</v>
      </c>
      <c r="T43" s="127">
        <v>1.7408814508703001E-2</v>
      </c>
      <c r="U43" s="241">
        <v>3.0790748170337534</v>
      </c>
      <c r="V43" s="271"/>
      <c r="W43" s="272"/>
      <c r="X43" s="273"/>
    </row>
    <row r="44" spans="2:25" x14ac:dyDescent="0.25">
      <c r="B44" s="665"/>
      <c r="C44" s="686"/>
      <c r="D44" s="176" t="s">
        <v>141</v>
      </c>
      <c r="E44" s="222">
        <v>2.4299999999999997</v>
      </c>
      <c r="F44" s="227">
        <v>0.59333333333333327</v>
      </c>
      <c r="G44" s="397"/>
      <c r="H44" s="364">
        <v>84.107135714285704</v>
      </c>
      <c r="I44" s="288">
        <v>141.75359951845905</v>
      </c>
      <c r="J44" s="364">
        <v>279.68999999999994</v>
      </c>
      <c r="K44" s="364">
        <v>3325.4015562973718</v>
      </c>
      <c r="L44" s="288">
        <v>471.38764044943815</v>
      </c>
      <c r="M44" s="89">
        <v>116.6123880684643</v>
      </c>
      <c r="N44" s="89">
        <v>1386.474370790605</v>
      </c>
      <c r="O44" s="206">
        <v>196.53773269965896</v>
      </c>
      <c r="P44" s="271"/>
      <c r="Q44" s="390"/>
      <c r="R44" s="391"/>
      <c r="S44" s="271"/>
      <c r="T44" s="392"/>
      <c r="U44" s="391"/>
      <c r="V44" s="89">
        <v>2.9658832274422312E-3</v>
      </c>
      <c r="W44" s="91">
        <v>3.5263158140558006E-5</v>
      </c>
      <c r="X44" s="207">
        <v>4.9986795968127501E-3</v>
      </c>
    </row>
    <row r="45" spans="2:25" x14ac:dyDescent="0.25">
      <c r="B45" s="665"/>
      <c r="C45" s="686"/>
      <c r="D45" s="176" t="s">
        <v>149</v>
      </c>
      <c r="E45" s="222">
        <v>2.375</v>
      </c>
      <c r="F45" s="227">
        <v>0.55333333333333334</v>
      </c>
      <c r="G45" s="397"/>
      <c r="H45" s="364">
        <v>105.74343571428571</v>
      </c>
      <c r="I45" s="288">
        <v>191.10259466437176</v>
      </c>
      <c r="J45" s="364">
        <v>316.96800000000007</v>
      </c>
      <c r="K45" s="364">
        <v>2997.519400224844</v>
      </c>
      <c r="L45" s="288">
        <v>572.83373493975921</v>
      </c>
      <c r="M45" s="89">
        <v>130.54746319296427</v>
      </c>
      <c r="N45" s="89">
        <v>1234.5680118215375</v>
      </c>
      <c r="O45" s="206">
        <v>235.92915034873062</v>
      </c>
      <c r="P45" s="271"/>
      <c r="Q45" s="390"/>
      <c r="R45" s="391"/>
      <c r="S45" s="271"/>
      <c r="T45" s="392"/>
      <c r="U45" s="391"/>
      <c r="V45" s="89">
        <v>4.0718057868274699E-3</v>
      </c>
      <c r="W45" s="91">
        <v>3.8506463870053521E-5</v>
      </c>
      <c r="X45" s="207">
        <v>7.3586851569171141E-3</v>
      </c>
    </row>
    <row r="46" spans="2:25" x14ac:dyDescent="0.25">
      <c r="B46" s="665"/>
      <c r="C46" s="686"/>
      <c r="D46" s="176" t="s">
        <v>142</v>
      </c>
      <c r="E46" s="222">
        <v>2.1550000000000002</v>
      </c>
      <c r="F46" s="227">
        <v>0.56333333333333335</v>
      </c>
      <c r="G46" s="397"/>
      <c r="H46" s="364">
        <v>85.137435714285715</v>
      </c>
      <c r="I46" s="288">
        <v>151.13154268808114</v>
      </c>
      <c r="J46" s="364">
        <v>277.61900000000014</v>
      </c>
      <c r="K46" s="364">
        <v>3260.8334708560733</v>
      </c>
      <c r="L46" s="288">
        <v>492.81479289940853</v>
      </c>
      <c r="M46" s="89">
        <v>123.10640366046427</v>
      </c>
      <c r="N46" s="89">
        <v>1445.9726514855263</v>
      </c>
      <c r="O46" s="206">
        <v>218.53207750378272</v>
      </c>
      <c r="P46" s="271"/>
      <c r="Q46" s="390"/>
      <c r="R46" s="391"/>
      <c r="S46" s="271"/>
      <c r="T46" s="392"/>
      <c r="U46" s="391"/>
      <c r="V46" s="89">
        <v>4.1220749940722532E-3</v>
      </c>
      <c r="W46" s="91">
        <v>4.8416715390696056E-5</v>
      </c>
      <c r="X46" s="207">
        <v>7.3172928888856565E-3</v>
      </c>
    </row>
    <row r="47" spans="2:25" ht="15.75" thickBot="1" x14ac:dyDescent="0.3">
      <c r="B47" s="666"/>
      <c r="C47" s="687"/>
      <c r="D47" s="389" t="s">
        <v>143</v>
      </c>
      <c r="E47" s="222">
        <v>1.97</v>
      </c>
      <c r="F47" s="227">
        <v>0.54</v>
      </c>
      <c r="G47" s="397"/>
      <c r="H47" s="364">
        <v>84.107135714285704</v>
      </c>
      <c r="I47" s="288">
        <v>155.753955026455</v>
      </c>
      <c r="J47" s="364">
        <v>269.33500000000026</v>
      </c>
      <c r="K47" s="364">
        <v>3202.2847730178191</v>
      </c>
      <c r="L47" s="288">
        <v>498.76851851851899</v>
      </c>
      <c r="M47" s="89">
        <v>116.0035741067143</v>
      </c>
      <c r="N47" s="89">
        <v>1379.235817764401</v>
      </c>
      <c r="O47" s="206">
        <v>214.82143353095239</v>
      </c>
      <c r="P47" s="271"/>
      <c r="Q47" s="390"/>
      <c r="R47" s="391"/>
      <c r="S47" s="271"/>
      <c r="T47" s="392"/>
      <c r="U47" s="391"/>
      <c r="V47" s="89">
        <v>6.8868813925353507E-3</v>
      </c>
      <c r="W47" s="91">
        <v>8.1882248563668603E-5</v>
      </c>
      <c r="X47" s="207">
        <v>1.2753484060250649E-2</v>
      </c>
    </row>
    <row r="48" spans="2:25" x14ac:dyDescent="0.25">
      <c r="B48" s="667" t="s">
        <v>92</v>
      </c>
      <c r="C48" s="690" t="s">
        <v>13</v>
      </c>
      <c r="D48" s="25" t="s">
        <v>80</v>
      </c>
      <c r="E48" s="299">
        <f>Weights!I4</f>
        <v>1.7650000000000001</v>
      </c>
      <c r="F48" s="28">
        <f>Weights!M4</f>
        <v>0.495</v>
      </c>
      <c r="G48" s="301">
        <f>'Alamar Blue (Analysis)'!F4</f>
        <v>1.5728643216080402</v>
      </c>
      <c r="H48" s="363">
        <f>PicoGreen!F47</f>
        <v>29.915382962962962</v>
      </c>
      <c r="I48" s="301">
        <f>H48/F48</f>
        <v>60.435117096894871</v>
      </c>
      <c r="J48" s="363">
        <f>DMMB!F55</f>
        <v>235.23149999999987</v>
      </c>
      <c r="K48" s="363">
        <f>J48/H48*1000</f>
        <v>7863.2287706706138</v>
      </c>
      <c r="L48" s="301">
        <f>J48/F48</f>
        <v>475.21515151515126</v>
      </c>
      <c r="M48" s="50">
        <f>OHP!G47</f>
        <v>66.199486948508167</v>
      </c>
      <c r="N48" s="50">
        <f>M48/H48*1000</f>
        <v>2212.8911747667444</v>
      </c>
      <c r="O48" s="28">
        <f>M48/F48</f>
        <v>133.73633726971346</v>
      </c>
      <c r="P48" s="50">
        <f>Rx!G4</f>
        <v>4.5611538870593495E-4</v>
      </c>
      <c r="Q48" s="50">
        <f>P48/H48</f>
        <v>1.5246851068917725E-5</v>
      </c>
      <c r="R48" s="28">
        <f>P48/F48</f>
        <v>9.2144522970895955E-4</v>
      </c>
      <c r="S48" s="50">
        <f>Rx!K4</f>
        <v>0.61770576087179807</v>
      </c>
      <c r="T48" s="50">
        <f>S48/H48</f>
        <v>2.0648432334513481E-2</v>
      </c>
      <c r="U48" s="28">
        <f>S48/F48</f>
        <v>1.2478904260036325</v>
      </c>
      <c r="V48" s="181"/>
      <c r="W48" s="181"/>
      <c r="X48" s="192"/>
      <c r="Y48">
        <f t="shared" si="0"/>
        <v>3.5656565656565657</v>
      </c>
    </row>
    <row r="49" spans="2:25" x14ac:dyDescent="0.25">
      <c r="B49" s="665"/>
      <c r="C49" s="686"/>
      <c r="D49" s="27" t="s">
        <v>79</v>
      </c>
      <c r="E49" s="225">
        <f>Weights!I5</f>
        <v>1.8933333333333333</v>
      </c>
      <c r="F49" s="30">
        <f>Weights!M5</f>
        <v>0.52500000000000002</v>
      </c>
      <c r="G49" s="288">
        <f>'Alamar Blue (Analysis)'!F5</f>
        <v>1.2964824120603016</v>
      </c>
      <c r="H49" s="364">
        <f>PicoGreen!F48</f>
        <v>28.916997962962967</v>
      </c>
      <c r="I49" s="288">
        <f>H49/F49</f>
        <v>55.079996119929454</v>
      </c>
      <c r="J49" s="364">
        <f>DMMB!F56</f>
        <v>217.27739999999966</v>
      </c>
      <c r="K49" s="364">
        <f>J49/H49*1000</f>
        <v>7513.8297647041245</v>
      </c>
      <c r="L49" s="288">
        <f>J49/F49</f>
        <v>413.86171428571362</v>
      </c>
      <c r="M49">
        <f>OHP!G48</f>
        <v>66.199486948508167</v>
      </c>
      <c r="N49">
        <f>M49/H49*1000</f>
        <v>2289.2932051002249</v>
      </c>
      <c r="O49" s="30">
        <f>M49/F49</f>
        <v>126.09426085430127</v>
      </c>
      <c r="P49">
        <f>Rx!G5</f>
        <v>4.3822851071746699E-4</v>
      </c>
      <c r="Q49">
        <f>P49/H49</f>
        <v>1.5154702824918141E-5</v>
      </c>
      <c r="R49" s="30">
        <f>P49/F49</f>
        <v>8.347209727951752E-4</v>
      </c>
      <c r="S49">
        <f>Rx!K5</f>
        <v>0.509448050203545</v>
      </c>
      <c r="T49">
        <f>S49/H49</f>
        <v>1.7617598163407161E-2</v>
      </c>
      <c r="U49" s="30">
        <f>S49/F49</f>
        <v>0.97037723848294277</v>
      </c>
      <c r="V49" s="182"/>
      <c r="W49" s="182"/>
      <c r="X49" s="184"/>
      <c r="Y49">
        <f t="shared" si="0"/>
        <v>3.606349206349206</v>
      </c>
    </row>
    <row r="50" spans="2:25" x14ac:dyDescent="0.25">
      <c r="B50" s="665"/>
      <c r="C50" s="686"/>
      <c r="D50" s="27" t="s">
        <v>81</v>
      </c>
      <c r="E50" s="225">
        <f>Weights!I6</f>
        <v>1.8800000000000001</v>
      </c>
      <c r="F50" s="30">
        <f>Weights!M6</f>
        <v>0.47</v>
      </c>
      <c r="G50" s="288">
        <f>'Alamar Blue (Analysis)'!F6</f>
        <v>1.3668341708542715</v>
      </c>
      <c r="H50" s="364">
        <f>PicoGreen!F49</f>
        <v>24.257867962962962</v>
      </c>
      <c r="I50" s="288">
        <f>H50/F50</f>
        <v>51.612485027580774</v>
      </c>
      <c r="J50" s="364">
        <f>DMMB!F57</f>
        <v>197.32839999999953</v>
      </c>
      <c r="K50" s="364">
        <f>J50/H50*1000</f>
        <v>8134.6143157049728</v>
      </c>
      <c r="L50" s="288">
        <f>J50/F50</f>
        <v>419.84765957446712</v>
      </c>
      <c r="M50">
        <f>OHP!G49</f>
        <v>67.591883099445667</v>
      </c>
      <c r="N50">
        <f>M50/H50*1000</f>
        <v>2786.3900983650051</v>
      </c>
      <c r="O50" s="30">
        <f>M50/F50</f>
        <v>143.81251723286312</v>
      </c>
      <c r="P50">
        <f>Rx!G6</f>
        <v>7.2292798536724998E-4</v>
      </c>
      <c r="Q50">
        <f>P50/H50</f>
        <v>2.980179406001468E-5</v>
      </c>
      <c r="R50" s="30">
        <f>P50/F50</f>
        <v>1.5381446497175532E-3</v>
      </c>
      <c r="S50">
        <f>Rx!K6</f>
        <v>0.66865056589215299</v>
      </c>
      <c r="T50">
        <f>S50/H50</f>
        <v>2.7564275925363767E-2</v>
      </c>
      <c r="U50" s="30">
        <f>S50/F50</f>
        <v>1.4226607784939427</v>
      </c>
      <c r="V50" s="182"/>
      <c r="W50" s="182"/>
      <c r="X50" s="184"/>
      <c r="Y50">
        <f t="shared" si="0"/>
        <v>4.0000000000000009</v>
      </c>
    </row>
    <row r="51" spans="2:25" x14ac:dyDescent="0.25">
      <c r="B51" s="665"/>
      <c r="C51" s="686"/>
      <c r="D51" s="27" t="s">
        <v>82</v>
      </c>
      <c r="E51" s="225">
        <f>Weights!I7</f>
        <v>2.15</v>
      </c>
      <c r="F51" s="92">
        <f>Weights!M7</f>
        <v>0.56666666666666654</v>
      </c>
      <c r="G51" s="288">
        <f>'Alamar Blue (Analysis)'!F7</f>
        <v>1.3768844221105527</v>
      </c>
      <c r="H51" s="364">
        <f>PicoGreen!F50</f>
        <v>10.280477962962964</v>
      </c>
      <c r="I51" s="288">
        <f>H51/F51</f>
        <v>18.14201993464053</v>
      </c>
      <c r="J51" s="364">
        <f>DMMB!F58</f>
        <v>265.15499999999975</v>
      </c>
      <c r="K51" s="364">
        <f>J51/H51*1000</f>
        <v>25792.088748719882</v>
      </c>
      <c r="L51" s="288">
        <f>J51/F51</f>
        <v>467.92058823529379</v>
      </c>
      <c r="M51">
        <f>OHP!G50</f>
        <v>76.90546624238317</v>
      </c>
      <c r="N51">
        <f>M51/H51*1000</f>
        <v>7480.7286703446271</v>
      </c>
      <c r="O51" s="30">
        <f>M51/F51</f>
        <v>135.71552866302915</v>
      </c>
      <c r="P51">
        <f>Rx!G7</f>
        <v>7.6019231450989103E-4</v>
      </c>
      <c r="Q51">
        <f>P51/H51</f>
        <v>7.3945230683690314E-5</v>
      </c>
      <c r="R51" s="30">
        <f>P51/F51</f>
        <v>1.341515849135102E-3</v>
      </c>
      <c r="S51">
        <f>Rx!K7</f>
        <v>0.71322727028496302</v>
      </c>
      <c r="T51">
        <f>S51/H51</f>
        <v>6.9376859019053036E-2</v>
      </c>
      <c r="U51" s="30">
        <f>S51/F51</f>
        <v>1.2586363593264056</v>
      </c>
      <c r="V51" s="182"/>
      <c r="W51" s="182"/>
      <c r="X51" s="184"/>
      <c r="Y51">
        <f t="shared" si="0"/>
        <v>3.7941176470588243</v>
      </c>
    </row>
    <row r="52" spans="2:25" x14ac:dyDescent="0.25">
      <c r="B52" s="665"/>
      <c r="C52" s="688"/>
      <c r="D52" s="61" t="s">
        <v>83</v>
      </c>
      <c r="E52" s="300">
        <f>Weights!I8</f>
        <v>1.75</v>
      </c>
      <c r="F52" s="185">
        <f>Weights!M8</f>
        <v>0.46666666666666662</v>
      </c>
      <c r="G52" s="366">
        <f>'Alamar Blue (Analysis)'!F8</f>
        <v>1.4321608040201006</v>
      </c>
      <c r="H52" s="365">
        <f>PicoGreen!F51</f>
        <v>17.269172962962962</v>
      </c>
      <c r="I52" s="366">
        <f>H52/F52</f>
        <v>37.005370634920638</v>
      </c>
      <c r="J52" s="365">
        <f>DMMB!F59</f>
        <v>231.24169999999995</v>
      </c>
      <c r="K52" s="365">
        <f>J52/H52*1000</f>
        <v>13390.43279582305</v>
      </c>
      <c r="L52" s="366">
        <f>J52/F52</f>
        <v>495.51792857142851</v>
      </c>
      <c r="M52" s="60">
        <f>OHP!G51</f>
        <v>59.546927560695643</v>
      </c>
      <c r="N52" s="60">
        <f>M52/H52*1000</f>
        <v>3448.1632495317172</v>
      </c>
      <c r="O52" s="90">
        <f>M52/F52</f>
        <v>127.60055905863354</v>
      </c>
      <c r="P52" s="60">
        <f>Rx!G8</f>
        <v>4.0245475474053104E-4</v>
      </c>
      <c r="Q52" s="60">
        <f>P52/H52</f>
        <v>2.3304807682665062E-5</v>
      </c>
      <c r="R52" s="90">
        <f>P52/F52</f>
        <v>8.6240304587256657E-4</v>
      </c>
      <c r="S52" s="60">
        <f>Rx!K8</f>
        <v>0.30566883012212698</v>
      </c>
      <c r="T52" s="60">
        <f>S52/H52</f>
        <v>1.7700258766166287E-2</v>
      </c>
      <c r="U52" s="90">
        <f>S52/F52</f>
        <v>0.65500463597598646</v>
      </c>
      <c r="V52" s="186"/>
      <c r="W52" s="186"/>
      <c r="X52" s="188"/>
      <c r="Y52">
        <f t="shared" si="0"/>
        <v>3.7500000000000004</v>
      </c>
    </row>
    <row r="53" spans="2:25" x14ac:dyDescent="0.25">
      <c r="B53" s="665"/>
      <c r="C53" s="686" t="s">
        <v>206</v>
      </c>
      <c r="D53" s="96" t="s">
        <v>94</v>
      </c>
      <c r="E53" s="302"/>
      <c r="F53" s="190"/>
      <c r="G53" s="370"/>
      <c r="H53" s="371"/>
      <c r="I53" s="370"/>
      <c r="J53" s="371"/>
      <c r="K53" s="371"/>
      <c r="L53" s="370"/>
      <c r="M53" s="1"/>
      <c r="N53" s="1"/>
      <c r="O53" s="95"/>
      <c r="P53" s="1"/>
      <c r="Q53" s="1"/>
      <c r="R53" s="95"/>
      <c r="S53" s="1"/>
      <c r="T53" s="1"/>
      <c r="U53" s="95"/>
      <c r="V53" s="1"/>
      <c r="W53" s="1"/>
      <c r="X53" s="96"/>
    </row>
    <row r="54" spans="2:25" x14ac:dyDescent="0.25">
      <c r="B54" s="665"/>
      <c r="C54" s="686"/>
      <c r="D54" s="96" t="s">
        <v>209</v>
      </c>
      <c r="E54" s="302"/>
      <c r="F54" s="190"/>
      <c r="G54" s="370"/>
      <c r="H54" s="371"/>
      <c r="I54" s="370"/>
      <c r="J54" s="371"/>
      <c r="K54" s="371"/>
      <c r="L54" s="370"/>
      <c r="M54" s="1"/>
      <c r="N54" s="1"/>
      <c r="O54" s="95"/>
      <c r="P54" s="1"/>
      <c r="Q54" s="1"/>
      <c r="R54" s="95"/>
      <c r="S54" s="1"/>
      <c r="T54" s="1"/>
      <c r="U54" s="95"/>
      <c r="V54" s="1"/>
      <c r="W54" s="1"/>
      <c r="X54" s="96"/>
    </row>
    <row r="55" spans="2:25" x14ac:dyDescent="0.25">
      <c r="B55" s="665"/>
      <c r="C55" s="686"/>
      <c r="D55" s="27" t="s">
        <v>210</v>
      </c>
      <c r="E55" s="225"/>
      <c r="F55" s="92"/>
      <c r="G55" s="288">
        <f>'Alamar Blue (Analysis)'!F12</f>
        <v>1.4516129032258065</v>
      </c>
      <c r="H55" s="364"/>
      <c r="I55" s="288"/>
      <c r="J55" s="364"/>
      <c r="K55" s="364"/>
      <c r="L55" s="288"/>
      <c r="O55" s="30"/>
      <c r="R55" s="30"/>
      <c r="U55" s="30"/>
      <c r="V55" s="182"/>
      <c r="W55" s="182"/>
      <c r="X55" s="184"/>
    </row>
    <row r="56" spans="2:25" x14ac:dyDescent="0.25">
      <c r="B56" s="665"/>
      <c r="C56" s="686"/>
      <c r="D56" s="27" t="s">
        <v>211</v>
      </c>
      <c r="E56" s="225">
        <f>Weights!I55</f>
        <v>1.8133333333333335</v>
      </c>
      <c r="F56" s="92">
        <f>Weights!M55</f>
        <v>0.47499999999999998</v>
      </c>
      <c r="G56" s="288">
        <f>'Alamar Blue (Analysis)'!F13</f>
        <v>1.682795698924731</v>
      </c>
      <c r="H56" s="364">
        <f>PicoGreen!AY51</f>
        <v>22.017959000000001</v>
      </c>
      <c r="I56" s="288">
        <f t="shared" ref="I56:I62" si="19">H56/F56</f>
        <v>46.353597894736843</v>
      </c>
      <c r="J56" s="364">
        <f>DMMB!AY59</f>
        <v>201.73239999999993</v>
      </c>
      <c r="K56" s="364">
        <f t="shared" ref="K56:K62" si="20">J56/H56*1000</f>
        <v>9162.1752951760845</v>
      </c>
      <c r="L56" s="288">
        <f t="shared" ref="L56:L62" si="21">J56/F56</f>
        <v>424.69978947368406</v>
      </c>
      <c r="M56">
        <f>OHP!AZ50</f>
        <v>167.11095368496871</v>
      </c>
      <c r="N56">
        <f t="shared" ref="N56:N62" si="22">M56/H56*1000</f>
        <v>7589.7567837676825</v>
      </c>
      <c r="O56" s="30">
        <f t="shared" ref="O56:O62" si="23">M56/F56</f>
        <v>351.81253407361834</v>
      </c>
      <c r="P56">
        <f>Rx!AQ8</f>
        <v>2.01964172690066E-5</v>
      </c>
      <c r="Q56">
        <f t="shared" ref="Q56:Q62" si="24">P56/H56</f>
        <v>9.1727018244545731E-7</v>
      </c>
      <c r="R56" s="30">
        <f t="shared" ref="R56:R62" si="25">P56/F56</f>
        <v>4.2518773197908635E-5</v>
      </c>
      <c r="S56">
        <f>Rx!AU8</f>
        <v>1.10301985260656</v>
      </c>
      <c r="T56">
        <f t="shared" ref="T56:T62" si="26">S56/H56</f>
        <v>5.0096371448714205E-2</v>
      </c>
      <c r="U56" s="30">
        <f t="shared" ref="U56:U62" si="27">S56/F56</f>
        <v>2.3221470581190737</v>
      </c>
      <c r="V56" s="182"/>
      <c r="W56" s="182"/>
      <c r="X56" s="184"/>
      <c r="Y56">
        <f t="shared" si="0"/>
        <v>3.8175438596491231</v>
      </c>
    </row>
    <row r="57" spans="2:25" ht="15.75" thickBot="1" x14ac:dyDescent="0.3">
      <c r="B57" s="666"/>
      <c r="C57" s="687"/>
      <c r="D57" s="8" t="s">
        <v>212</v>
      </c>
      <c r="E57" s="226">
        <f>Weights!I56</f>
        <v>2.0399999999999996</v>
      </c>
      <c r="F57" s="6">
        <f>Weights!M56</f>
        <v>0.56000000000000005</v>
      </c>
      <c r="G57" s="368">
        <f>'Alamar Blue (Analysis)'!F14</f>
        <v>1.3548387096774193</v>
      </c>
      <c r="H57" s="369">
        <f>PicoGreen!AY52</f>
        <v>18.660969000000001</v>
      </c>
      <c r="I57" s="368">
        <f t="shared" si="19"/>
        <v>33.323158928571431</v>
      </c>
      <c r="J57" s="364">
        <f>DMMB!AY60</f>
        <v>147.00850000000031</v>
      </c>
      <c r="K57" s="369">
        <f t="shared" si="20"/>
        <v>7877.8599332114154</v>
      </c>
      <c r="L57" s="368">
        <f t="shared" si="21"/>
        <v>262.51517857142909</v>
      </c>
      <c r="M57" s="2">
        <f>OHP!AZ51</f>
        <v>185.77071347984375</v>
      </c>
      <c r="N57" s="2">
        <f t="shared" si="22"/>
        <v>9955.0411063779011</v>
      </c>
      <c r="O57" s="9">
        <f t="shared" si="23"/>
        <v>331.7334169282924</v>
      </c>
      <c r="P57" s="2">
        <f>Rx!AQ9</f>
        <v>1.2490956865168699E-5</v>
      </c>
      <c r="Q57" s="2">
        <f t="shared" si="24"/>
        <v>6.6936271450687791E-7</v>
      </c>
      <c r="R57" s="9">
        <f t="shared" si="25"/>
        <v>2.2305280116372674E-5</v>
      </c>
      <c r="S57" s="2">
        <f>Rx!AU9</f>
        <v>0.58159228591982104</v>
      </c>
      <c r="T57" s="2">
        <f t="shared" si="26"/>
        <v>3.1166242541843407E-2</v>
      </c>
      <c r="U57" s="9">
        <f t="shared" si="27"/>
        <v>1.0385576534282517</v>
      </c>
      <c r="V57" s="197"/>
      <c r="W57" s="197"/>
      <c r="X57" s="198"/>
      <c r="Y57">
        <f t="shared" si="0"/>
        <v>3.6428571428571419</v>
      </c>
    </row>
    <row r="58" spans="2:25" x14ac:dyDescent="0.25">
      <c r="B58" s="667" t="s">
        <v>170</v>
      </c>
      <c r="C58" s="690" t="s">
        <v>169</v>
      </c>
      <c r="D58" s="25" t="s">
        <v>80</v>
      </c>
      <c r="E58" s="299">
        <f>Weights!I18</f>
        <v>1.9100000000000001</v>
      </c>
      <c r="F58" s="180">
        <f>Weights!M18</f>
        <v>0.55500000000000005</v>
      </c>
      <c r="G58" s="301">
        <f>'Alamar Blue (Analysis)'!L4</f>
        <v>3.1557788944723622</v>
      </c>
      <c r="H58" s="363">
        <f>PicoGreen!U46</f>
        <v>20.227964444444446</v>
      </c>
      <c r="I58" s="301">
        <f t="shared" si="19"/>
        <v>36.446782782782783</v>
      </c>
      <c r="J58" s="363">
        <f>DMMB!U54</f>
        <v>205.56240000000003</v>
      </c>
      <c r="K58" s="363">
        <f t="shared" si="20"/>
        <v>10162.287983280352</v>
      </c>
      <c r="L58" s="301">
        <f t="shared" si="21"/>
        <v>370.38270270270272</v>
      </c>
      <c r="M58" s="50">
        <f>OHP!V46</f>
        <v>120.86841955218748</v>
      </c>
      <c r="N58" s="23">
        <f t="shared" si="22"/>
        <v>5975.3130318252879</v>
      </c>
      <c r="O58" s="301">
        <f t="shared" si="23"/>
        <v>217.78093613006752</v>
      </c>
      <c r="P58" s="50">
        <f>Rx!S3</f>
        <v>8.7793229314159314E-4</v>
      </c>
      <c r="Q58" s="237">
        <f t="shared" si="24"/>
        <v>4.3401910041557086E-5</v>
      </c>
      <c r="R58" s="240">
        <f t="shared" si="25"/>
        <v>1.58185998764251E-3</v>
      </c>
      <c r="S58" s="50">
        <f>Rx!W3</f>
        <v>0.35914805912542902</v>
      </c>
      <c r="T58" s="195">
        <f t="shared" si="26"/>
        <v>1.775502721056384E-2</v>
      </c>
      <c r="U58" s="180">
        <f t="shared" si="27"/>
        <v>0.64711362004581796</v>
      </c>
      <c r="V58" s="181"/>
      <c r="W58" s="181"/>
      <c r="X58" s="192"/>
      <c r="Y58">
        <f t="shared" si="0"/>
        <v>3.4414414414414414</v>
      </c>
    </row>
    <row r="59" spans="2:25" x14ac:dyDescent="0.25">
      <c r="B59" s="665"/>
      <c r="C59" s="686"/>
      <c r="D59" s="27" t="s">
        <v>79</v>
      </c>
      <c r="E59" s="225">
        <f>Weights!I19</f>
        <v>1.9933333333333334</v>
      </c>
      <c r="F59" s="92">
        <f>Weights!M19</f>
        <v>0.51500000000000001</v>
      </c>
      <c r="G59" s="288">
        <f>'Alamar Blue (Analysis)'!L5</f>
        <v>3.1457286432160805</v>
      </c>
      <c r="H59" s="364">
        <f>PicoGreen!U47</f>
        <v>12.877324444444445</v>
      </c>
      <c r="I59" s="288">
        <f t="shared" si="19"/>
        <v>25.004513484358146</v>
      </c>
      <c r="J59" s="364">
        <f>DMMB!U55</f>
        <v>317.81739999999957</v>
      </c>
      <c r="K59" s="364">
        <f t="shared" si="20"/>
        <v>24680.39081962502</v>
      </c>
      <c r="L59" s="288">
        <f t="shared" si="21"/>
        <v>617.12116504854282</v>
      </c>
      <c r="M59">
        <f>OHP!V47</f>
        <v>104.91268080093751</v>
      </c>
      <c r="N59">
        <f t="shared" si="22"/>
        <v>8147.0868621469808</v>
      </c>
      <c r="O59" s="30">
        <f t="shared" si="23"/>
        <v>203.71394330279128</v>
      </c>
      <c r="P59">
        <f>Rx!S4</f>
        <v>7.2035470206489708E-5</v>
      </c>
      <c r="Q59">
        <f t="shared" si="24"/>
        <v>5.5939780439070446E-6</v>
      </c>
      <c r="R59" s="30">
        <f t="shared" si="25"/>
        <v>1.398746994300771E-4</v>
      </c>
      <c r="S59">
        <f>Rx!W4</f>
        <v>1.8576623747866998E-2</v>
      </c>
      <c r="T59">
        <f t="shared" si="26"/>
        <v>1.4425841197067417E-3</v>
      </c>
      <c r="U59" s="30">
        <f t="shared" si="27"/>
        <v>3.607111407352815E-2</v>
      </c>
      <c r="V59" s="182"/>
      <c r="W59" s="182"/>
      <c r="X59" s="184"/>
      <c r="Y59">
        <f t="shared" si="0"/>
        <v>3.8705501618122979</v>
      </c>
    </row>
    <row r="60" spans="2:25" x14ac:dyDescent="0.25">
      <c r="B60" s="665"/>
      <c r="C60" s="686"/>
      <c r="D60" s="27" t="s">
        <v>81</v>
      </c>
      <c r="E60" s="225">
        <f>Weights!I20</f>
        <v>1.8266666666666669</v>
      </c>
      <c r="F60" s="92">
        <f>Weights!M20</f>
        <v>0.48</v>
      </c>
      <c r="G60" s="288">
        <f>'Alamar Blue (Analysis)'!L6</f>
        <v>2.0351758793969852</v>
      </c>
      <c r="H60" s="364">
        <f>PicoGreen!U48</f>
        <v>22.065624444444445</v>
      </c>
      <c r="I60" s="288">
        <f t="shared" si="19"/>
        <v>45.970050925925932</v>
      </c>
      <c r="J60" s="364">
        <f>DMMB!U56</f>
        <v>284.14089999999999</v>
      </c>
      <c r="K60" s="364">
        <f t="shared" si="20"/>
        <v>12877.084023404528</v>
      </c>
      <c r="L60" s="288">
        <f t="shared" si="21"/>
        <v>591.9602083333333</v>
      </c>
      <c r="M60">
        <f>OHP!V48</f>
        <v>113.56158591843749</v>
      </c>
      <c r="N60">
        <f t="shared" si="22"/>
        <v>5146.5385085455564</v>
      </c>
      <c r="O60" s="30">
        <f t="shared" si="23"/>
        <v>236.5866373300781</v>
      </c>
      <c r="P60">
        <f>Rx!S5</f>
        <v>1.4542160547935099E-3</v>
      </c>
      <c r="Q60">
        <f t="shared" si="24"/>
        <v>6.5904142366550797E-5</v>
      </c>
      <c r="R60" s="30">
        <f t="shared" si="25"/>
        <v>3.0296167808198126E-3</v>
      </c>
      <c r="S60">
        <f>Rx!W5</f>
        <v>0.57587533618387809</v>
      </c>
      <c r="T60">
        <f t="shared" si="26"/>
        <v>2.6098302254431265E-2</v>
      </c>
      <c r="U60" s="30">
        <f t="shared" si="27"/>
        <v>1.1997402837164128</v>
      </c>
      <c r="V60" s="182"/>
      <c r="W60" s="182"/>
      <c r="X60" s="184"/>
      <c r="Y60">
        <f t="shared" si="0"/>
        <v>3.8055555555555562</v>
      </c>
    </row>
    <row r="61" spans="2:25" x14ac:dyDescent="0.25">
      <c r="B61" s="665"/>
      <c r="C61" s="686"/>
      <c r="D61" s="27" t="s">
        <v>82</v>
      </c>
      <c r="E61" s="225">
        <f>Weights!I21</f>
        <v>1.83</v>
      </c>
      <c r="F61" s="92">
        <f>Weights!M21</f>
        <v>0.54500000000000004</v>
      </c>
      <c r="G61" s="288">
        <f>'Alamar Blue (Analysis)'!L7</f>
        <v>2.7386934673366836</v>
      </c>
      <c r="H61" s="364">
        <f>PicoGreen!U49</f>
        <v>22.065624444444445</v>
      </c>
      <c r="I61" s="288">
        <f t="shared" si="19"/>
        <v>40.487384301732924</v>
      </c>
      <c r="J61" s="364">
        <f>DMMB!U57</f>
        <v>223.52319999999963</v>
      </c>
      <c r="K61" s="364">
        <f t="shared" si="20"/>
        <v>10129.928593807686</v>
      </c>
      <c r="L61" s="288">
        <f t="shared" si="21"/>
        <v>410.13431192660482</v>
      </c>
      <c r="M61">
        <f>OHP!V49</f>
        <v>86.272799082187476</v>
      </c>
      <c r="N61">
        <f t="shared" si="22"/>
        <v>3909.8281265232326</v>
      </c>
      <c r="O61" s="30">
        <f t="shared" si="23"/>
        <v>158.29871391227059</v>
      </c>
      <c r="P61">
        <f>Rx!S6</f>
        <v>4.6958122140855502E-3</v>
      </c>
      <c r="Q61">
        <f t="shared" si="24"/>
        <v>2.1281120894214414E-4</v>
      </c>
      <c r="R61" s="30">
        <f t="shared" si="25"/>
        <v>8.6161692001569725E-3</v>
      </c>
      <c r="S61">
        <f>Rx!W6</f>
        <v>1.06505976154438</v>
      </c>
      <c r="T61">
        <f t="shared" si="26"/>
        <v>4.8267827825399907E-2</v>
      </c>
      <c r="U61" s="30">
        <f t="shared" si="27"/>
        <v>1.9542380945768438</v>
      </c>
      <c r="V61" s="182"/>
      <c r="W61" s="182"/>
      <c r="X61" s="184"/>
      <c r="Y61">
        <f t="shared" si="0"/>
        <v>3.3577981651376145</v>
      </c>
    </row>
    <row r="62" spans="2:25" x14ac:dyDescent="0.25">
      <c r="B62" s="665"/>
      <c r="C62" s="688"/>
      <c r="D62" s="61" t="s">
        <v>83</v>
      </c>
      <c r="E62" s="300">
        <f>Weights!I22</f>
        <v>2.2866666666666671</v>
      </c>
      <c r="F62" s="185">
        <f>Weights!M22</f>
        <v>0.46499999999999997</v>
      </c>
      <c r="G62" s="366">
        <f>'Alamar Blue (Analysis)'!L8</f>
        <v>2.8442211055276383</v>
      </c>
      <c r="H62" s="365">
        <f>PicoGreen!U50</f>
        <v>14.714984444444445</v>
      </c>
      <c r="I62" s="366">
        <f t="shared" si="19"/>
        <v>31.645127837514938</v>
      </c>
      <c r="J62" s="365">
        <f>DMMB!U58</f>
        <v>306.59189999999995</v>
      </c>
      <c r="K62" s="365">
        <f t="shared" si="20"/>
        <v>20835.35332011526</v>
      </c>
      <c r="L62" s="366">
        <f t="shared" si="21"/>
        <v>659.33741935483863</v>
      </c>
      <c r="M62" s="60">
        <f>OHP!V50</f>
        <v>61.593595686562502</v>
      </c>
      <c r="N62" s="60">
        <f t="shared" si="22"/>
        <v>4185.7737545768723</v>
      </c>
      <c r="O62" s="90">
        <f t="shared" si="23"/>
        <v>132.4593455625</v>
      </c>
      <c r="P62" s="60">
        <f>Rx!S7</f>
        <v>9.4996776334808301E-4</v>
      </c>
      <c r="Q62" s="60">
        <f t="shared" si="24"/>
        <v>6.4557850328325533E-5</v>
      </c>
      <c r="R62" s="90">
        <f t="shared" si="25"/>
        <v>2.0429414265550174E-3</v>
      </c>
      <c r="S62" s="60">
        <f>Rx!W7</f>
        <v>0.40249351453711901</v>
      </c>
      <c r="T62" s="60">
        <f t="shared" si="26"/>
        <v>2.7352629291366871E-2</v>
      </c>
      <c r="U62" s="90">
        <f t="shared" si="27"/>
        <v>0.86557745061746028</v>
      </c>
      <c r="V62" s="186"/>
      <c r="W62" s="186"/>
      <c r="X62" s="188"/>
      <c r="Y62">
        <f t="shared" si="0"/>
        <v>4.9175627240143385</v>
      </c>
    </row>
    <row r="63" spans="2:25" x14ac:dyDescent="0.25">
      <c r="B63" s="665"/>
      <c r="C63" s="685" t="s">
        <v>227</v>
      </c>
      <c r="D63" s="161" t="s">
        <v>94</v>
      </c>
      <c r="E63" s="399">
        <f>Weights!I82</f>
        <v>2.0500000000000003</v>
      </c>
      <c r="F63" s="400">
        <f>Weights!M82</f>
        <v>0.58499999999999996</v>
      </c>
      <c r="G63" s="367"/>
      <c r="H63" s="401"/>
      <c r="I63" s="367"/>
      <c r="J63" s="401"/>
      <c r="K63" s="401"/>
      <c r="L63" s="367"/>
      <c r="M63" s="164"/>
      <c r="N63" s="164"/>
      <c r="O63" s="126"/>
      <c r="P63" s="164"/>
      <c r="Q63" s="164"/>
      <c r="R63" s="126"/>
      <c r="S63" s="164"/>
      <c r="T63" s="164"/>
      <c r="U63" s="126"/>
      <c r="V63" s="402"/>
      <c r="W63" s="402"/>
      <c r="X63" s="403"/>
    </row>
    <row r="64" spans="2:25" x14ac:dyDescent="0.25">
      <c r="B64" s="665"/>
      <c r="C64" s="686"/>
      <c r="D64" s="27" t="s">
        <v>209</v>
      </c>
      <c r="E64" s="225">
        <f>Weights!I83</f>
        <v>2.1799999999999997</v>
      </c>
      <c r="F64" s="92">
        <f>Weights!M83</f>
        <v>0.60499999999999998</v>
      </c>
      <c r="G64" s="288"/>
      <c r="H64" s="364"/>
      <c r="I64" s="288"/>
      <c r="J64" s="364"/>
      <c r="K64" s="364"/>
      <c r="L64" s="288"/>
      <c r="O64" s="30"/>
      <c r="R64" s="30"/>
      <c r="U64" s="30"/>
      <c r="V64" s="182"/>
      <c r="W64" s="182"/>
      <c r="X64" s="184"/>
    </row>
    <row r="65" spans="2:25" x14ac:dyDescent="0.25">
      <c r="B65" s="665"/>
      <c r="C65" s="686"/>
      <c r="D65" s="27" t="s">
        <v>210</v>
      </c>
      <c r="E65" s="225">
        <f>Weights!I84</f>
        <v>1.7549999999999999</v>
      </c>
      <c r="F65" s="92">
        <f>Weights!M84</f>
        <v>0.53</v>
      </c>
      <c r="G65" s="288"/>
      <c r="H65" s="364"/>
      <c r="I65" s="288"/>
      <c r="J65" s="364"/>
      <c r="K65" s="364"/>
      <c r="L65" s="288"/>
      <c r="O65" s="30"/>
      <c r="R65" s="30"/>
      <c r="U65" s="30"/>
      <c r="V65" s="182"/>
      <c r="W65" s="182"/>
      <c r="X65" s="184"/>
    </row>
    <row r="66" spans="2:25" x14ac:dyDescent="0.25">
      <c r="B66" s="665"/>
      <c r="C66" s="686"/>
      <c r="D66" s="27" t="s">
        <v>211</v>
      </c>
      <c r="E66" s="225">
        <f>Weights!I85</f>
        <v>1.6666666666666667</v>
      </c>
      <c r="F66" s="92">
        <f>Weights!M85</f>
        <v>0.56000000000000005</v>
      </c>
      <c r="G66" s="288"/>
      <c r="H66" s="364"/>
      <c r="I66" s="288"/>
      <c r="J66" s="364"/>
      <c r="K66" s="364"/>
      <c r="L66" s="288"/>
      <c r="O66" s="30"/>
      <c r="R66" s="30"/>
      <c r="U66" s="30"/>
      <c r="V66" s="182"/>
      <c r="W66" s="182"/>
      <c r="X66" s="184"/>
    </row>
    <row r="67" spans="2:25" x14ac:dyDescent="0.25">
      <c r="B67" s="665"/>
      <c r="C67" s="688"/>
      <c r="D67" s="61" t="s">
        <v>212</v>
      </c>
      <c r="E67" s="300">
        <f>Weights!I86</f>
        <v>2.1733333333333333</v>
      </c>
      <c r="F67" s="185">
        <f>Weights!M86</f>
        <v>0.64</v>
      </c>
      <c r="G67" s="366"/>
      <c r="H67" s="365"/>
      <c r="I67" s="366"/>
      <c r="J67" s="365"/>
      <c r="K67" s="365"/>
      <c r="L67" s="366"/>
      <c r="M67" s="60"/>
      <c r="N67" s="60"/>
      <c r="O67" s="90"/>
      <c r="P67" s="60"/>
      <c r="Q67" s="60"/>
      <c r="R67" s="90"/>
      <c r="S67" s="60"/>
      <c r="T67" s="60"/>
      <c r="U67" s="90"/>
      <c r="V67" s="186"/>
      <c r="W67" s="186"/>
      <c r="X67" s="188"/>
    </row>
    <row r="68" spans="2:25" x14ac:dyDescent="0.25">
      <c r="B68" s="665"/>
      <c r="C68" s="685" t="s">
        <v>284</v>
      </c>
      <c r="D68" s="161" t="s">
        <v>80</v>
      </c>
      <c r="E68" s="399">
        <f>Weights!I127</f>
        <v>1.5533333333333335</v>
      </c>
      <c r="F68" s="400">
        <f>Weights!M127</f>
        <v>0.49333333333333335</v>
      </c>
      <c r="G68" s="428">
        <f>'Alamar Blue (Analysis)'!L25</f>
        <v>2.6137931034482755</v>
      </c>
      <c r="H68" s="438"/>
      <c r="I68" s="439"/>
      <c r="J68" s="401">
        <f>DMMB!DG69</f>
        <v>177.05989999999991</v>
      </c>
      <c r="K68" s="401"/>
      <c r="L68" s="367">
        <f>J68/F68</f>
        <v>358.90520270270252</v>
      </c>
      <c r="M68" s="164">
        <f>OHP!CS51</f>
        <v>89.394386376815206</v>
      </c>
      <c r="N68" s="129"/>
      <c r="O68" s="367">
        <f t="shared" ref="O68:O77" si="28">M68/F68</f>
        <v>181.2048372503011</v>
      </c>
      <c r="P68" s="164">
        <f>Rx!CN18</f>
        <v>1.5901611428744601E-4</v>
      </c>
      <c r="Q68" s="164"/>
      <c r="R68" s="126">
        <f>P68/F68</f>
        <v>3.2232996139347166E-4</v>
      </c>
      <c r="S68" s="164">
        <f>Rx!CR18</f>
        <v>0.166090856901565</v>
      </c>
      <c r="T68" s="164"/>
      <c r="U68" s="126">
        <f>S68/F68</f>
        <v>0.33667065588155065</v>
      </c>
      <c r="V68" s="402"/>
      <c r="W68" s="402"/>
      <c r="X68" s="403"/>
    </row>
    <row r="69" spans="2:25" x14ac:dyDescent="0.25">
      <c r="B69" s="665"/>
      <c r="C69" s="686"/>
      <c r="D69" s="27" t="s">
        <v>79</v>
      </c>
      <c r="E69" s="225">
        <f>Weights!I128</f>
        <v>1.74</v>
      </c>
      <c r="F69" s="92">
        <f>Weights!M128</f>
        <v>0.57499999999999996</v>
      </c>
      <c r="G69" s="372">
        <f>'Alamar Blue (Analysis)'!L26</f>
        <v>2.6068965517241378</v>
      </c>
      <c r="H69" s="371"/>
      <c r="I69" s="370"/>
      <c r="J69" s="364">
        <f>DMMB!DG70</f>
        <v>195.89779999999999</v>
      </c>
      <c r="K69" s="364"/>
      <c r="L69" s="288">
        <f>J69/F69</f>
        <v>340.69182608695655</v>
      </c>
      <c r="M69">
        <f>OHP!CS52</f>
        <v>108.15500443881521</v>
      </c>
      <c r="O69" s="30">
        <f t="shared" si="28"/>
        <v>188.09565989359169</v>
      </c>
      <c r="P69">
        <f>Rx!CN19</f>
        <v>3.96797219764001E-4</v>
      </c>
      <c r="R69" s="30">
        <f>P69/F69</f>
        <v>6.9008212132869748E-4</v>
      </c>
      <c r="S69">
        <f>Rx!CR19</f>
        <v>0.211388363329265</v>
      </c>
      <c r="U69" s="30">
        <f>S69/F69</f>
        <v>0.36763193622480872</v>
      </c>
      <c r="V69" s="182"/>
      <c r="W69" s="182"/>
      <c r="X69" s="184"/>
    </row>
    <row r="70" spans="2:25" x14ac:dyDescent="0.25">
      <c r="B70" s="665"/>
      <c r="C70" s="686"/>
      <c r="D70" s="27" t="s">
        <v>81</v>
      </c>
      <c r="E70" s="225">
        <f>Weights!I129</f>
        <v>1.83</v>
      </c>
      <c r="F70" s="92">
        <f>Weights!M129</f>
        <v>0.66999999999999993</v>
      </c>
      <c r="G70" s="372">
        <f>'Alamar Blue (Analysis)'!L27</f>
        <v>2.5586206896551724</v>
      </c>
      <c r="H70" s="371"/>
      <c r="I70" s="370"/>
      <c r="J70" s="364">
        <f>DMMB!DG71</f>
        <v>154.03579999999991</v>
      </c>
      <c r="K70" s="364"/>
      <c r="L70" s="288">
        <f>J70/F70</f>
        <v>229.90417910447749</v>
      </c>
      <c r="M70">
        <f>OHP!CS53</f>
        <v>111.56872449756519</v>
      </c>
      <c r="O70" s="30">
        <f t="shared" si="28"/>
        <v>166.52048432472418</v>
      </c>
      <c r="P70">
        <f>Rx!CN20</f>
        <v>2.1400299492889901E-4</v>
      </c>
      <c r="R70" s="30">
        <f>P70/F70</f>
        <v>3.1940745511775974E-4</v>
      </c>
      <c r="S70">
        <f>Rx!CR20</f>
        <v>0.23655364467798701</v>
      </c>
      <c r="U70" s="30">
        <f>S70/F70</f>
        <v>0.35306514131042843</v>
      </c>
      <c r="V70" s="182"/>
      <c r="W70" s="182"/>
      <c r="X70" s="184"/>
    </row>
    <row r="71" spans="2:25" x14ac:dyDescent="0.25">
      <c r="B71" s="665"/>
      <c r="C71" s="686"/>
      <c r="D71" s="27" t="s">
        <v>82</v>
      </c>
      <c r="E71" s="225">
        <f>Weights!I130</f>
        <v>1.98</v>
      </c>
      <c r="F71" s="92">
        <f>Weights!M130</f>
        <v>0.61499999999999999</v>
      </c>
      <c r="G71" s="372">
        <f>'Alamar Blue (Analysis)'!L28</f>
        <v>2.3931034482758622</v>
      </c>
      <c r="H71" s="371"/>
      <c r="I71" s="370"/>
      <c r="J71" s="364">
        <f>DMMB!DG72</f>
        <v>118.45310000000013</v>
      </c>
      <c r="K71" s="364"/>
      <c r="L71" s="288">
        <f>J71/F71</f>
        <v>192.60666666666688</v>
      </c>
      <c r="M71">
        <f>OHP!CS54</f>
        <v>124.89707498781519</v>
      </c>
      <c r="O71" s="30">
        <f t="shared" si="28"/>
        <v>203.08467477693526</v>
      </c>
      <c r="P71">
        <f>Rx!CN21</f>
        <v>7.6684406516189002E-4</v>
      </c>
      <c r="R71" s="30">
        <f>P71/F71</f>
        <v>1.2469009189624229E-3</v>
      </c>
      <c r="S71">
        <f>Rx!CR21</f>
        <v>0.36238005142159702</v>
      </c>
      <c r="U71" s="30">
        <f>S71/F71</f>
        <v>0.58923585597007644</v>
      </c>
      <c r="V71" s="182"/>
      <c r="W71" s="182"/>
      <c r="X71" s="184"/>
    </row>
    <row r="72" spans="2:25" x14ac:dyDescent="0.25">
      <c r="B72" s="665"/>
      <c r="C72" s="688"/>
      <c r="D72" s="61" t="s">
        <v>83</v>
      </c>
      <c r="E72" s="300"/>
      <c r="F72" s="185"/>
      <c r="G72" s="429"/>
      <c r="H72" s="408"/>
      <c r="I72" s="407"/>
      <c r="J72" s="365"/>
      <c r="K72" s="365"/>
      <c r="L72" s="366"/>
      <c r="M72" s="60"/>
      <c r="N72" s="60"/>
      <c r="O72" s="90"/>
      <c r="P72" s="60"/>
      <c r="Q72" s="60"/>
      <c r="R72" s="90"/>
      <c r="S72" s="60"/>
      <c r="T72" s="60"/>
      <c r="U72" s="90"/>
      <c r="V72" s="186"/>
      <c r="W72" s="186"/>
      <c r="X72" s="188"/>
    </row>
    <row r="73" spans="2:25" x14ac:dyDescent="0.25">
      <c r="B73" s="665"/>
      <c r="C73" s="686" t="s">
        <v>299</v>
      </c>
      <c r="D73" s="27" t="s">
        <v>80</v>
      </c>
      <c r="E73" s="225">
        <f>Weights!I157</f>
        <v>1.88</v>
      </c>
      <c r="F73" s="92">
        <f>Weights!M157</f>
        <v>0.55666666666666675</v>
      </c>
      <c r="G73" s="288">
        <f>'Alamar Blue (Analysis)'!L31</f>
        <v>1.4571428571428571</v>
      </c>
      <c r="H73" s="364">
        <f>PicoGreen!EK46</f>
        <v>29.77903048571428</v>
      </c>
      <c r="I73" s="288">
        <f>H73/F73</f>
        <v>53.495264345594506</v>
      </c>
      <c r="J73" s="364">
        <f>DMMB!EK54</f>
        <v>192.77800000000013</v>
      </c>
      <c r="K73" s="364">
        <f>J73/H73*1000</f>
        <v>6473.6157240740395</v>
      </c>
      <c r="L73" s="288">
        <f>J73/F73</f>
        <v>346.30778443113792</v>
      </c>
      <c r="M73">
        <f>OHP!DW46</f>
        <v>91.94650317899999</v>
      </c>
      <c r="O73" s="30">
        <f t="shared" si="28"/>
        <v>165.17335900419158</v>
      </c>
      <c r="P73">
        <f>Rx!DL3</f>
        <v>3.6502002002132197E-4</v>
      </c>
      <c r="Q73">
        <f>P73/H73</f>
        <v>1.2257619340442628E-5</v>
      </c>
      <c r="R73" s="30">
        <f>P73/F73</f>
        <v>6.5572458686465019E-4</v>
      </c>
      <c r="S73">
        <f>Rx!DP3</f>
        <v>2.5352624589035901</v>
      </c>
      <c r="T73">
        <f>S73/H73</f>
        <v>8.5135829392424867E-2</v>
      </c>
      <c r="U73" s="30">
        <f>S73/F73</f>
        <v>4.5543636986292029</v>
      </c>
      <c r="V73" s="182"/>
      <c r="W73" s="182"/>
      <c r="X73" s="184"/>
    </row>
    <row r="74" spans="2:25" x14ac:dyDescent="0.25">
      <c r="B74" s="665"/>
      <c r="C74" s="686"/>
      <c r="D74" s="27" t="s">
        <v>79</v>
      </c>
      <c r="E74" s="225">
        <f>Weights!I158</f>
        <v>1.78</v>
      </c>
      <c r="F74" s="92">
        <f>Weights!M158</f>
        <v>0.59499999999999997</v>
      </c>
      <c r="G74" s="288">
        <f>'Alamar Blue (Analysis)'!L32</f>
        <v>1.819047619047619</v>
      </c>
      <c r="H74" s="364">
        <f>PicoGreen!EK47</f>
        <v>31.764955485714278</v>
      </c>
      <c r="I74" s="288">
        <f>H74/F74</f>
        <v>53.386479807923159</v>
      </c>
      <c r="J74" s="364">
        <f>DMMB!EK55</f>
        <v>185.99110000000024</v>
      </c>
      <c r="K74" s="364">
        <f>J74/H74*1000</f>
        <v>5855.229360659624</v>
      </c>
      <c r="L74" s="288">
        <f>J74/F74</f>
        <v>312.59008403361389</v>
      </c>
      <c r="M74">
        <f>OHP!DW47</f>
        <v>85.03513638299998</v>
      </c>
      <c r="O74" s="30">
        <f t="shared" si="28"/>
        <v>142.91619560168064</v>
      </c>
      <c r="P74">
        <f>Rx!DL4</f>
        <v>3.4317023009046899E-4</v>
      </c>
      <c r="Q74">
        <f>P74/H74</f>
        <v>1.0803422351553543E-5</v>
      </c>
      <c r="R74" s="30">
        <f>P74/F74</f>
        <v>5.7675668922767904E-4</v>
      </c>
      <c r="S74">
        <f>Rx!DP4</f>
        <v>5.0581878742115496</v>
      </c>
      <c r="T74">
        <f>S74/H74</f>
        <v>0.15923799661820334</v>
      </c>
      <c r="U74" s="30">
        <f>S74/F74</f>
        <v>8.5011560911118487</v>
      </c>
      <c r="V74" s="182"/>
      <c r="W74" s="182"/>
      <c r="X74" s="184"/>
    </row>
    <row r="75" spans="2:25" x14ac:dyDescent="0.25">
      <c r="B75" s="665"/>
      <c r="C75" s="686"/>
      <c r="D75" s="27" t="s">
        <v>81</v>
      </c>
      <c r="E75" s="225">
        <f>Weights!I159</f>
        <v>1.56</v>
      </c>
      <c r="F75" s="92">
        <f>Weights!M159</f>
        <v>0.52500000000000002</v>
      </c>
      <c r="G75" s="288">
        <f>'Alamar Blue (Analysis)'!L33</f>
        <v>1.9714285714285715</v>
      </c>
      <c r="H75" s="364">
        <f>PicoGreen!EK48</f>
        <v>31.367770485714281</v>
      </c>
      <c r="I75" s="288">
        <f>H75/F75</f>
        <v>59.748134258503391</v>
      </c>
      <c r="J75" s="364">
        <f>DMMB!EK56</f>
        <v>199.56490000000031</v>
      </c>
      <c r="K75" s="364">
        <f>J75/H75*1000</f>
        <v>6362.100235682592</v>
      </c>
      <c r="L75" s="288">
        <f>J75/F75</f>
        <v>380.12361904761963</v>
      </c>
      <c r="M75">
        <f>OHP!DW48</f>
        <v>77.250559265999996</v>
      </c>
      <c r="O75" s="30">
        <f t="shared" si="28"/>
        <v>147.14392241142855</v>
      </c>
      <c r="P75">
        <f>Rx!DL5</f>
        <v>4.5884558854793E-4</v>
      </c>
      <c r="Q75">
        <f>P75/H75</f>
        <v>1.462793119953809E-5</v>
      </c>
      <c r="R75" s="30">
        <f>P75/F75</f>
        <v>8.7399159723415239E-4</v>
      </c>
      <c r="S75">
        <f>Rx!DP5</f>
        <v>4.4721783034187501</v>
      </c>
      <c r="T75">
        <f>S75/H75</f>
        <v>0.14257239944596953</v>
      </c>
      <c r="U75" s="30">
        <f>S75/F75</f>
        <v>8.5184348636547611</v>
      </c>
      <c r="V75" s="182"/>
      <c r="W75" s="182"/>
      <c r="X75" s="184"/>
    </row>
    <row r="76" spans="2:25" x14ac:dyDescent="0.25">
      <c r="B76" s="665"/>
      <c r="C76" s="686"/>
      <c r="D76" s="27" t="s">
        <v>82</v>
      </c>
      <c r="E76" s="225">
        <f>Weights!I160</f>
        <v>1.645</v>
      </c>
      <c r="F76" s="92">
        <f>Weights!M160</f>
        <v>0.56000000000000005</v>
      </c>
      <c r="G76" s="288"/>
      <c r="H76" s="364">
        <f>PicoGreen!EK49</f>
        <v>36.531175485714279</v>
      </c>
      <c r="I76" s="288">
        <f>H76/F76</f>
        <v>65.234241938775497</v>
      </c>
      <c r="J76" s="364">
        <f>DMMB!EK57</f>
        <v>219.92559999999986</v>
      </c>
      <c r="K76" s="364">
        <f>J76/H76*1000</f>
        <v>6020.2168990155551</v>
      </c>
      <c r="L76" s="288">
        <f>J76/F76</f>
        <v>392.72428571428543</v>
      </c>
      <c r="M76">
        <f>OHP!DW49</f>
        <v>88.323609293999993</v>
      </c>
      <c r="O76" s="30">
        <f t="shared" si="28"/>
        <v>157.72073088214282</v>
      </c>
      <c r="P76">
        <f>Rx!DL6</f>
        <v>5.7066510172347604E-4</v>
      </c>
      <c r="Q76">
        <f>P76/H76</f>
        <v>1.5621317795991476E-5</v>
      </c>
      <c r="R76" s="30">
        <f>P76/F76</f>
        <v>1.0190448245062072E-3</v>
      </c>
      <c r="S76">
        <f>Rx!DP6</f>
        <v>2.1713196728322699</v>
      </c>
      <c r="T76">
        <f>S76/H76</f>
        <v>5.9437443333335296E-2</v>
      </c>
      <c r="U76" s="30">
        <f>S76/F76</f>
        <v>3.877356558629053</v>
      </c>
      <c r="V76" s="182"/>
      <c r="W76" s="182"/>
      <c r="X76" s="184"/>
    </row>
    <row r="77" spans="2:25" ht="15.75" thickBot="1" x14ac:dyDescent="0.3">
      <c r="B77" s="666"/>
      <c r="C77" s="687"/>
      <c r="D77" s="8" t="s">
        <v>83</v>
      </c>
      <c r="E77" s="226">
        <f>Weights!I161</f>
        <v>1.88</v>
      </c>
      <c r="F77" s="6">
        <f>Weights!M161</f>
        <v>0.64666666666666661</v>
      </c>
      <c r="G77" s="368"/>
      <c r="H77" s="369">
        <f>PicoGreen!EK50</f>
        <v>43.680505485714278</v>
      </c>
      <c r="I77" s="368">
        <f>H77/F77</f>
        <v>67.547173431516924</v>
      </c>
      <c r="J77" s="369">
        <f>DMMB!EK58</f>
        <v>224.4502</v>
      </c>
      <c r="K77" s="369">
        <f>J77/H77*1000</f>
        <v>5138.4524401487633</v>
      </c>
      <c r="L77" s="368">
        <f>J77/F77</f>
        <v>347.08793814432994</v>
      </c>
      <c r="M77" s="2">
        <f>OHP!DW50</f>
        <v>101.70044825400002</v>
      </c>
      <c r="N77" s="2"/>
      <c r="O77" s="9">
        <f t="shared" si="28"/>
        <v>157.26873441340211</v>
      </c>
      <c r="P77" s="2">
        <f>Rx!DL7</f>
        <v>6.9148158722349105E-4</v>
      </c>
      <c r="Q77" s="2">
        <f>P77/H77</f>
        <v>1.5830439220755821E-5</v>
      </c>
      <c r="R77" s="9">
        <f>P77/F77</f>
        <v>1.0693014235414811E-3</v>
      </c>
      <c r="S77" s="2">
        <f>Rx!DP7</f>
        <v>4.9101433510638897</v>
      </c>
      <c r="T77" s="2">
        <f>S77/H77</f>
        <v>0.11241040588849764</v>
      </c>
      <c r="U77" s="9">
        <f>S77/F77</f>
        <v>7.5930051820575617</v>
      </c>
      <c r="V77" s="197"/>
      <c r="W77" s="197"/>
      <c r="X77" s="198"/>
    </row>
    <row r="78" spans="2:25" x14ac:dyDescent="0.25">
      <c r="B78" s="649" t="s">
        <v>162</v>
      </c>
      <c r="C78" s="690" t="s">
        <v>158</v>
      </c>
      <c r="D78" s="25" t="s">
        <v>80</v>
      </c>
      <c r="E78" s="195">
        <v>1.9849999999999999</v>
      </c>
      <c r="F78" s="180">
        <v>0.56999999999999995</v>
      </c>
      <c r="G78" s="301">
        <v>1.9407407407407407</v>
      </c>
      <c r="H78" s="363">
        <v>61.440535714285716</v>
      </c>
      <c r="I78" s="301">
        <v>107.7904135338346</v>
      </c>
      <c r="J78" s="363">
        <v>271.40600000000035</v>
      </c>
      <c r="K78" s="363">
        <v>4417.3768481138904</v>
      </c>
      <c r="L78" s="301">
        <v>476.1508771929831</v>
      </c>
      <c r="M78" s="50">
        <v>105.57052857613634</v>
      </c>
      <c r="N78" s="50">
        <v>1718.2553398796265</v>
      </c>
      <c r="O78" s="28">
        <v>185.21145364234448</v>
      </c>
      <c r="P78" s="50">
        <v>8.0662138944976322E-4</v>
      </c>
      <c r="Q78" s="50">
        <v>1.3128488872570383E-5</v>
      </c>
      <c r="R78" s="28">
        <v>1.4151252446487075E-3</v>
      </c>
      <c r="S78" s="50">
        <v>4.3258401468168293</v>
      </c>
      <c r="T78" s="50">
        <v>7.0406940573127449E-2</v>
      </c>
      <c r="U78" s="28">
        <v>7.5891932400295259</v>
      </c>
      <c r="V78" s="181"/>
      <c r="W78" s="181"/>
      <c r="X78" s="192"/>
      <c r="Y78">
        <f t="shared" si="0"/>
        <v>3.4824561403508771</v>
      </c>
    </row>
    <row r="79" spans="2:25" x14ac:dyDescent="0.25">
      <c r="B79" s="647"/>
      <c r="C79" s="686"/>
      <c r="D79" s="27" t="s">
        <v>79</v>
      </c>
      <c r="E79" s="91">
        <v>1.72</v>
      </c>
      <c r="F79" s="92">
        <v>0.53</v>
      </c>
      <c r="G79" s="288">
        <v>1.6592592592592594</v>
      </c>
      <c r="H79" s="364">
        <v>42.379985714285723</v>
      </c>
      <c r="I79" s="288">
        <v>79.962237196765514</v>
      </c>
      <c r="J79" s="364">
        <v>265.19300000000015</v>
      </c>
      <c r="K79" s="364">
        <v>6257.5056487243501</v>
      </c>
      <c r="L79" s="288">
        <v>500.36415094339651</v>
      </c>
      <c r="M79">
        <v>104.09842056313633</v>
      </c>
      <c r="N79">
        <v>2456.3108931876341</v>
      </c>
      <c r="O79" s="30">
        <v>196.41211427006854</v>
      </c>
      <c r="P79">
        <v>5.5581013207766793E-4</v>
      </c>
      <c r="Q79">
        <v>1.3114920232035657E-5</v>
      </c>
      <c r="R79" s="30">
        <v>1.0486983624106942E-3</v>
      </c>
      <c r="S79">
        <v>2.340208604015662</v>
      </c>
      <c r="T79">
        <v>5.5219664768004134E-2</v>
      </c>
      <c r="U79" s="30">
        <v>4.4154879321050222</v>
      </c>
      <c r="V79" s="182"/>
      <c r="W79" s="182"/>
      <c r="X79" s="184"/>
      <c r="Y79">
        <f t="shared" si="0"/>
        <v>3.2452830188679243</v>
      </c>
    </row>
    <row r="80" spans="2:25" x14ac:dyDescent="0.25">
      <c r="B80" s="647"/>
      <c r="C80" s="686"/>
      <c r="D80" s="27" t="s">
        <v>81</v>
      </c>
      <c r="E80" s="91">
        <v>1.9566666666666668</v>
      </c>
      <c r="F80" s="92">
        <v>0.54500000000000004</v>
      </c>
      <c r="G80" s="288">
        <v>1.7555555555555555</v>
      </c>
      <c r="H80" s="364">
        <v>43.41028571428572</v>
      </c>
      <c r="I80" s="288">
        <v>79.651900393184803</v>
      </c>
      <c r="J80" s="364">
        <v>269.33500000000009</v>
      </c>
      <c r="K80" s="364">
        <v>6204.4051442712744</v>
      </c>
      <c r="L80" s="288">
        <v>494.19266055045887</v>
      </c>
      <c r="M80">
        <v>109.29409590313637</v>
      </c>
      <c r="N80">
        <v>2517.7004505908885</v>
      </c>
      <c r="O80" s="30">
        <v>200.53962551034195</v>
      </c>
      <c r="P80">
        <v>5.171046911251841E-4</v>
      </c>
      <c r="Q80">
        <v>1.1912031506279907E-5</v>
      </c>
      <c r="R80" s="30">
        <v>9.4881594701868633E-4</v>
      </c>
      <c r="S80">
        <v>2.5787422633781403</v>
      </c>
      <c r="T80">
        <v>5.9403945883947776E-2</v>
      </c>
      <c r="U80" s="30">
        <v>4.731637180510349</v>
      </c>
      <c r="V80" s="182"/>
      <c r="W80" s="182"/>
      <c r="X80" s="184"/>
      <c r="Y80">
        <f t="shared" si="0"/>
        <v>3.5902140672782874</v>
      </c>
    </row>
    <row r="81" spans="2:25" x14ac:dyDescent="0.25">
      <c r="B81" s="647"/>
      <c r="C81" s="686"/>
      <c r="D81" s="27" t="s">
        <v>82</v>
      </c>
      <c r="E81" s="91">
        <v>1.9449999999999998</v>
      </c>
      <c r="F81" s="92">
        <v>0.56000000000000005</v>
      </c>
      <c r="G81" s="288">
        <v>1.8888888888888888</v>
      </c>
      <c r="H81" s="364">
        <v>43.925435714285719</v>
      </c>
      <c r="I81" s="288">
        <v>78.438278061224494</v>
      </c>
      <c r="J81" s="364">
        <v>234.12800000000033</v>
      </c>
      <c r="K81" s="364">
        <v>5330.1235649178925</v>
      </c>
      <c r="L81" s="288">
        <v>418.08571428571486</v>
      </c>
      <c r="M81">
        <v>111.60328494313633</v>
      </c>
      <c r="N81">
        <v>2540.7439477450644</v>
      </c>
      <c r="O81" s="30">
        <v>199.29158025560056</v>
      </c>
      <c r="P81">
        <v>4.4124202685831576E-4</v>
      </c>
      <c r="Q81">
        <v>1.0045250995992104E-5</v>
      </c>
      <c r="R81" s="30">
        <v>7.8793219081842094E-4</v>
      </c>
      <c r="S81">
        <v>3.1009375717122132</v>
      </c>
      <c r="T81">
        <v>7.0595488042107357E-2</v>
      </c>
      <c r="U81" s="30">
        <v>5.537388520914666</v>
      </c>
      <c r="V81" s="182"/>
      <c r="W81" s="182"/>
      <c r="X81" s="184"/>
      <c r="Y81">
        <f t="shared" si="0"/>
        <v>3.4732142857142851</v>
      </c>
    </row>
    <row r="82" spans="2:25" x14ac:dyDescent="0.25">
      <c r="B82" s="647"/>
      <c r="C82" s="686"/>
      <c r="D82" s="27" t="s">
        <v>83</v>
      </c>
      <c r="E82" s="91">
        <v>2.125</v>
      </c>
      <c r="F82" s="92">
        <v>0.53500000000000003</v>
      </c>
      <c r="G82" s="288">
        <v>2.3851851851851853</v>
      </c>
      <c r="H82" s="364">
        <v>78.955635714285705</v>
      </c>
      <c r="I82" s="288">
        <v>147.58062750333775</v>
      </c>
      <c r="J82" s="364">
        <v>308.6840000000002</v>
      </c>
      <c r="K82" s="364">
        <v>3909.5879250092462</v>
      </c>
      <c r="L82" s="288">
        <v>576.97943925233676</v>
      </c>
      <c r="M82">
        <v>102.53971796113636</v>
      </c>
      <c r="N82">
        <v>1298.7004288356773</v>
      </c>
      <c r="O82" s="30">
        <v>191.66302422642309</v>
      </c>
      <c r="P82">
        <v>1.1487774874697203E-3</v>
      </c>
      <c r="Q82">
        <v>1.4549657881633245E-5</v>
      </c>
      <c r="R82" s="30">
        <v>2.1472476401303182E-3</v>
      </c>
      <c r="S82">
        <v>5.2026125163653978</v>
      </c>
      <c r="T82">
        <v>6.589285830326197E-2</v>
      </c>
      <c r="U82" s="30">
        <v>9.7245093763839208</v>
      </c>
      <c r="V82" s="182"/>
      <c r="W82" s="182"/>
      <c r="X82" s="184"/>
      <c r="Y82">
        <f t="shared" si="0"/>
        <v>3.9719626168224296</v>
      </c>
    </row>
    <row r="83" spans="2:25" x14ac:dyDescent="0.25">
      <c r="B83" s="647"/>
      <c r="C83" s="688"/>
      <c r="D83" s="61" t="s">
        <v>94</v>
      </c>
      <c r="E83" s="191">
        <v>2.3149999999999999</v>
      </c>
      <c r="F83" s="185">
        <v>0.57499999999999996</v>
      </c>
      <c r="G83" s="366">
        <v>1.925925925925926</v>
      </c>
      <c r="H83" s="365">
        <v>44.440585714285717</v>
      </c>
      <c r="I83" s="366">
        <v>77.287975155279511</v>
      </c>
      <c r="J83" s="365">
        <v>271.40600000000035</v>
      </c>
      <c r="K83" s="365">
        <v>6107.1652328100417</v>
      </c>
      <c r="L83" s="366">
        <v>472.01043478260931</v>
      </c>
      <c r="M83" s="60">
        <v>105.77258261713634</v>
      </c>
      <c r="N83" s="60">
        <v>2380.089751677936</v>
      </c>
      <c r="O83" s="90">
        <v>183.95231759501974</v>
      </c>
      <c r="P83" s="60">
        <v>5.2174934403948219E-4</v>
      </c>
      <c r="Q83" s="60">
        <v>1.1740379557413493E-5</v>
      </c>
      <c r="R83" s="90">
        <v>9.0739016354692557E-4</v>
      </c>
      <c r="S83" s="60">
        <v>3.3201306640993549</v>
      </c>
      <c r="T83" s="60">
        <v>7.4709426321356451E-2</v>
      </c>
      <c r="U83" s="90">
        <v>5.7741402853901826</v>
      </c>
      <c r="V83" s="186"/>
      <c r="W83" s="186"/>
      <c r="X83" s="188"/>
      <c r="Y83">
        <f t="shared" si="0"/>
        <v>4.0260869565217394</v>
      </c>
    </row>
    <row r="84" spans="2:25" x14ac:dyDescent="0.25">
      <c r="B84" s="647"/>
      <c r="C84" s="686" t="s">
        <v>159</v>
      </c>
      <c r="D84" s="27" t="s">
        <v>141</v>
      </c>
      <c r="E84" s="91">
        <v>1.8499999999999999</v>
      </c>
      <c r="F84" s="92">
        <v>0.53</v>
      </c>
      <c r="G84" s="373"/>
      <c r="H84" s="364">
        <v>42.371789999999997</v>
      </c>
      <c r="I84" s="288">
        <v>79.946773584905657</v>
      </c>
      <c r="J84" s="364">
        <v>297.40779999999984</v>
      </c>
      <c r="K84" s="364">
        <v>7019.0048614892085</v>
      </c>
      <c r="L84" s="288">
        <v>561.1467924528298</v>
      </c>
      <c r="M84">
        <v>117.21831788313585</v>
      </c>
      <c r="N84">
        <v>2766.4235540470645</v>
      </c>
      <c r="O84" s="30">
        <v>221.16663751535066</v>
      </c>
      <c r="P84" s="182"/>
      <c r="Q84" s="182"/>
      <c r="R84" s="183"/>
      <c r="S84" s="182"/>
      <c r="T84" s="182"/>
      <c r="U84" s="183"/>
      <c r="V84">
        <v>5.9417760195068545E-2</v>
      </c>
      <c r="W84">
        <v>1.4022952581202858E-3</v>
      </c>
      <c r="X84" s="27">
        <v>0.11210898150012932</v>
      </c>
      <c r="Y84">
        <f t="shared" si="0"/>
        <v>3.4905660377358485</v>
      </c>
    </row>
    <row r="85" spans="2:25" x14ac:dyDescent="0.25">
      <c r="B85" s="647"/>
      <c r="C85" s="686"/>
      <c r="D85" s="27" t="s">
        <v>149</v>
      </c>
      <c r="E85" s="91">
        <v>1.8766666666666667</v>
      </c>
      <c r="F85" s="92">
        <v>0.55000000000000004</v>
      </c>
      <c r="G85" s="373"/>
      <c r="H85" s="364">
        <v>46.102670000000003</v>
      </c>
      <c r="I85" s="288">
        <v>83.823036363636362</v>
      </c>
      <c r="J85" s="364">
        <v>187.23320000000015</v>
      </c>
      <c r="K85" s="364">
        <v>4061.2224845112037</v>
      </c>
      <c r="L85" s="288">
        <v>340.42400000000026</v>
      </c>
      <c r="M85">
        <v>90.420279254510874</v>
      </c>
      <c r="N85">
        <v>1961.2807512994555</v>
      </c>
      <c r="O85" s="30">
        <v>164.40050773547429</v>
      </c>
      <c r="P85" s="182"/>
      <c r="Q85" s="182"/>
      <c r="R85" s="183"/>
      <c r="S85" s="182"/>
      <c r="T85" s="182"/>
      <c r="U85" s="183"/>
      <c r="V85">
        <v>3.9225005753775723E-2</v>
      </c>
      <c r="W85">
        <v>8.508185264275522E-4</v>
      </c>
      <c r="X85" s="27">
        <v>7.1318192279592213E-2</v>
      </c>
      <c r="Y85">
        <f t="shared" si="0"/>
        <v>3.4121212121212121</v>
      </c>
    </row>
    <row r="86" spans="2:25" x14ac:dyDescent="0.25">
      <c r="B86" s="647"/>
      <c r="C86" s="686"/>
      <c r="D86" s="27" t="s">
        <v>142</v>
      </c>
      <c r="E86" s="91">
        <v>1.84</v>
      </c>
      <c r="F86" s="92">
        <v>0.495</v>
      </c>
      <c r="G86" s="373"/>
      <c r="H86" s="364">
        <v>49.367189999999994</v>
      </c>
      <c r="I86" s="288">
        <v>99.731696969696955</v>
      </c>
      <c r="J86" s="364">
        <v>208.78910000000005</v>
      </c>
      <c r="K86" s="364">
        <v>4229.3089803166849</v>
      </c>
      <c r="L86" s="288">
        <v>421.79616161616173</v>
      </c>
      <c r="M86">
        <v>96.910654595135867</v>
      </c>
      <c r="N86">
        <v>1963.0579458773304</v>
      </c>
      <c r="O86" s="30">
        <v>195.77910019219368</v>
      </c>
      <c r="P86" s="182"/>
      <c r="Q86" s="182"/>
      <c r="R86" s="183"/>
      <c r="S86" s="182"/>
      <c r="T86" s="182"/>
      <c r="U86" s="183"/>
      <c r="V86">
        <v>3.6265722775310386E-2</v>
      </c>
      <c r="W86">
        <v>7.346118500022057E-4</v>
      </c>
      <c r="X86" s="27">
        <v>7.3264086414768462E-2</v>
      </c>
      <c r="Y86">
        <f t="shared" si="0"/>
        <v>3.7171717171717176</v>
      </c>
    </row>
    <row r="87" spans="2:25" x14ac:dyDescent="0.25">
      <c r="B87" s="647"/>
      <c r="C87" s="686"/>
      <c r="D87" s="27" t="s">
        <v>143</v>
      </c>
      <c r="E87" s="91">
        <v>2.09</v>
      </c>
      <c r="F87" s="92">
        <v>0.56499999999999995</v>
      </c>
      <c r="G87" s="373"/>
      <c r="H87" s="364">
        <v>40.972709999999992</v>
      </c>
      <c r="I87" s="288">
        <v>72.518070796460165</v>
      </c>
      <c r="J87" s="364">
        <v>239.92539999999977</v>
      </c>
      <c r="K87" s="364">
        <v>5855.7366598401668</v>
      </c>
      <c r="L87" s="288">
        <v>424.64672566371644</v>
      </c>
      <c r="M87">
        <v>109.89140527638587</v>
      </c>
      <c r="N87">
        <v>2682.0633850283734</v>
      </c>
      <c r="O87" s="30">
        <v>194.4980624360812</v>
      </c>
      <c r="P87" s="182"/>
      <c r="Q87" s="182"/>
      <c r="R87" s="183"/>
      <c r="S87" s="182"/>
      <c r="T87" s="182"/>
      <c r="U87" s="183"/>
      <c r="V87">
        <v>5.3905370333221368E-2</v>
      </c>
      <c r="W87">
        <v>1.3156408334528368E-3</v>
      </c>
      <c r="X87" s="27">
        <v>9.5407735103046676E-2</v>
      </c>
      <c r="Y87">
        <f t="shared" si="0"/>
        <v>3.6991150442477876</v>
      </c>
    </row>
    <row r="88" spans="2:25" x14ac:dyDescent="0.25">
      <c r="B88" s="647"/>
      <c r="C88" s="688"/>
      <c r="D88" s="61" t="s">
        <v>144</v>
      </c>
      <c r="E88" s="191">
        <v>1.8433333333333335</v>
      </c>
      <c r="F88" s="185">
        <v>0.54</v>
      </c>
      <c r="G88" s="374"/>
      <c r="H88" s="365">
        <v>42.371789999999997</v>
      </c>
      <c r="I88" s="366">
        <v>78.466277777777762</v>
      </c>
      <c r="J88" s="365">
        <v>263.87639999999988</v>
      </c>
      <c r="K88" s="365">
        <v>6227.6434391844168</v>
      </c>
      <c r="L88" s="366">
        <v>488.65999999999974</v>
      </c>
      <c r="M88" s="60">
        <v>96.795270144635879</v>
      </c>
      <c r="N88" s="60">
        <v>2284.4272131207081</v>
      </c>
      <c r="O88" s="90">
        <v>179.25050026784422</v>
      </c>
      <c r="P88" s="186"/>
      <c r="Q88" s="186"/>
      <c r="R88" s="187"/>
      <c r="S88" s="186"/>
      <c r="T88" s="186"/>
      <c r="U88" s="187"/>
      <c r="V88" s="60">
        <v>7.1835143673334823E-2</v>
      </c>
      <c r="W88" s="60">
        <v>1.6953530562040175E-3</v>
      </c>
      <c r="X88" s="61">
        <v>0.13302804383950892</v>
      </c>
      <c r="Y88">
        <f t="shared" si="0"/>
        <v>3.4135802469135803</v>
      </c>
    </row>
    <row r="89" spans="2:25" x14ac:dyDescent="0.25">
      <c r="B89" s="647"/>
      <c r="C89" s="685" t="s">
        <v>145</v>
      </c>
      <c r="D89" s="161" t="s">
        <v>136</v>
      </c>
      <c r="E89" s="436">
        <v>2.3666666666666667</v>
      </c>
      <c r="F89" s="400">
        <v>0.59</v>
      </c>
      <c r="G89" s="404"/>
      <c r="H89" s="401">
        <v>19.058941153846153</v>
      </c>
      <c r="I89" s="367">
        <v>32.303290091264664</v>
      </c>
      <c r="J89" s="401">
        <v>275.06100000000015</v>
      </c>
      <c r="K89" s="401">
        <v>14432.1238929106</v>
      </c>
      <c r="L89" s="367">
        <v>466.20508474576297</v>
      </c>
      <c r="M89" s="164">
        <v>76.276007551329528</v>
      </c>
      <c r="N89" s="164">
        <v>4002.1114990397459</v>
      </c>
      <c r="O89" s="126">
        <v>129.281368731067</v>
      </c>
      <c r="P89" s="164">
        <v>3.81349836960846E-3</v>
      </c>
      <c r="Q89" s="164">
        <v>2.000897289532207E-4</v>
      </c>
      <c r="R89" s="126">
        <v>6.4635565586584074E-3</v>
      </c>
      <c r="S89" s="164">
        <v>4.8196797273940097</v>
      </c>
      <c r="T89" s="164">
        <v>0.25288286943587018</v>
      </c>
      <c r="U89" s="126">
        <v>8.168948690498322</v>
      </c>
      <c r="V89" s="402"/>
      <c r="W89" s="402"/>
      <c r="X89" s="403"/>
      <c r="Y89">
        <f t="shared" si="0"/>
        <v>4.0112994350282491</v>
      </c>
    </row>
    <row r="90" spans="2:25" x14ac:dyDescent="0.25">
      <c r="B90" s="647"/>
      <c r="C90" s="686"/>
      <c r="D90" s="27" t="s">
        <v>137</v>
      </c>
      <c r="E90" s="91">
        <v>1.9333333333333333</v>
      </c>
      <c r="F90" s="92">
        <v>0.48</v>
      </c>
      <c r="G90" s="373"/>
      <c r="H90" s="364">
        <v>30.086821153846152</v>
      </c>
      <c r="I90" s="288">
        <v>62.680877403846154</v>
      </c>
      <c r="J90" s="364">
        <v>318.71300000000031</v>
      </c>
      <c r="K90" s="364">
        <v>10593.109799479682</v>
      </c>
      <c r="L90" s="288">
        <v>663.98541666666733</v>
      </c>
      <c r="M90">
        <v>67.879766415579525</v>
      </c>
      <c r="N90">
        <v>2256.1295548134735</v>
      </c>
      <c r="O90" s="30">
        <v>141.41618003245736</v>
      </c>
      <c r="R90" s="30"/>
      <c r="U90" s="30"/>
      <c r="V90" s="182"/>
      <c r="W90" s="182"/>
      <c r="X90" s="184"/>
      <c r="Y90">
        <f t="shared" si="0"/>
        <v>4.0277777777777777</v>
      </c>
    </row>
    <row r="91" spans="2:25" x14ac:dyDescent="0.25">
      <c r="B91" s="647"/>
      <c r="C91" s="686"/>
      <c r="D91" s="27" t="s">
        <v>138</v>
      </c>
      <c r="E91" s="91">
        <v>2.0099999999999998</v>
      </c>
      <c r="F91" s="92">
        <v>0.52</v>
      </c>
      <c r="G91" s="373"/>
      <c r="H91" s="364">
        <v>15.382981153846151</v>
      </c>
      <c r="I91" s="288">
        <v>29.582656065088752</v>
      </c>
      <c r="J91" s="364">
        <v>251.05240000000009</v>
      </c>
      <c r="K91" s="364">
        <v>16320.139606829744</v>
      </c>
      <c r="L91" s="288">
        <v>482.79307692307708</v>
      </c>
      <c r="M91">
        <v>80.651220053829533</v>
      </c>
      <c r="N91">
        <v>5242.8862290886054</v>
      </c>
      <c r="O91" s="30">
        <v>155.09850010351832</v>
      </c>
      <c r="P91">
        <v>2.8974065824958098E-3</v>
      </c>
      <c r="Q91">
        <v>1.8835143549346297E-4</v>
      </c>
      <c r="R91" s="30">
        <v>5.5719357355688646E-3</v>
      </c>
      <c r="S91">
        <v>3.6284662270350001</v>
      </c>
      <c r="T91">
        <v>0.23587536061745665</v>
      </c>
      <c r="U91" s="30">
        <v>6.9778196673749999</v>
      </c>
      <c r="V91" s="182"/>
      <c r="W91" s="182"/>
      <c r="X91" s="184"/>
      <c r="Y91">
        <f t="shared" si="0"/>
        <v>3.865384615384615</v>
      </c>
    </row>
    <row r="92" spans="2:25" x14ac:dyDescent="0.25">
      <c r="B92" s="647"/>
      <c r="C92" s="686"/>
      <c r="D92" s="27" t="s">
        <v>139</v>
      </c>
      <c r="E92" s="91">
        <v>2.3533333333333335</v>
      </c>
      <c r="F92" s="92">
        <v>0.59499999999999997</v>
      </c>
      <c r="G92" s="373"/>
      <c r="H92" s="364">
        <v>27.023521153846151</v>
      </c>
      <c r="I92" s="288">
        <v>45.417682611506137</v>
      </c>
      <c r="J92" s="364">
        <v>279.42620000000034</v>
      </c>
      <c r="K92" s="364">
        <v>10340.110691320133</v>
      </c>
      <c r="L92" s="288">
        <v>469.62386554621906</v>
      </c>
      <c r="M92">
        <v>77.151050051829529</v>
      </c>
      <c r="N92">
        <v>2854.959189537331</v>
      </c>
      <c r="O92" s="30">
        <v>129.66563033920929</v>
      </c>
      <c r="P92">
        <v>6.1995979081344204E-3</v>
      </c>
      <c r="Q92">
        <v>2.2941488168176988E-4</v>
      </c>
      <c r="R92" s="30">
        <v>1.0419492282578859E-2</v>
      </c>
      <c r="S92">
        <v>4.3212640368672295</v>
      </c>
      <c r="T92">
        <v>0.15990751213604157</v>
      </c>
      <c r="U92" s="30">
        <v>7.2626286333903023</v>
      </c>
      <c r="V92" s="182"/>
      <c r="W92" s="182"/>
      <c r="X92" s="184"/>
      <c r="Y92">
        <f t="shared" si="0"/>
        <v>3.9551820728291323</v>
      </c>
    </row>
    <row r="93" spans="2:25" x14ac:dyDescent="0.25">
      <c r="B93" s="647"/>
      <c r="C93" s="688"/>
      <c r="D93" s="61" t="s">
        <v>140</v>
      </c>
      <c r="E93" s="191">
        <v>1.8766666666666667</v>
      </c>
      <c r="F93" s="185">
        <v>0.54499999999999993</v>
      </c>
      <c r="G93" s="374"/>
      <c r="H93" s="365">
        <v>23.347561153846151</v>
      </c>
      <c r="I93" s="366">
        <v>42.839561750176429</v>
      </c>
      <c r="J93" s="365">
        <v>237.95680000000047</v>
      </c>
      <c r="K93" s="365">
        <v>10191.933899734138</v>
      </c>
      <c r="L93" s="366">
        <v>436.61798165137708</v>
      </c>
      <c r="M93" s="60">
        <v>80.73455743482954</v>
      </c>
      <c r="N93" s="60">
        <v>3457.9439326805132</v>
      </c>
      <c r="O93" s="90">
        <v>148.13680263271476</v>
      </c>
      <c r="P93" s="60">
        <v>5.9439443861495E-3</v>
      </c>
      <c r="Q93" s="60">
        <v>2.5458523684690411E-4</v>
      </c>
      <c r="R93" s="90">
        <v>1.0906319974586239E-2</v>
      </c>
      <c r="S93" s="60">
        <v>4.6651708633307098</v>
      </c>
      <c r="T93" s="60">
        <v>0.19981405477814521</v>
      </c>
      <c r="U93" s="90">
        <v>8.559946538221487</v>
      </c>
      <c r="V93" s="186"/>
      <c r="W93" s="186"/>
      <c r="X93" s="188"/>
      <c r="Y93">
        <f t="shared" ref="Y93:Y173" si="29">E93/F93</f>
        <v>3.4434250764525998</v>
      </c>
    </row>
    <row r="94" spans="2:25" x14ac:dyDescent="0.25">
      <c r="B94" s="647"/>
      <c r="C94" s="686" t="s">
        <v>355</v>
      </c>
      <c r="D94" s="27" t="s">
        <v>80</v>
      </c>
      <c r="E94" s="91">
        <v>1.89</v>
      </c>
      <c r="F94" s="92">
        <v>0.54333333333333333</v>
      </c>
      <c r="G94" s="288">
        <v>2.1166666666666667</v>
      </c>
      <c r="H94" s="364">
        <v>42.532383999999993</v>
      </c>
      <c r="I94" s="288">
        <v>78.28046134969324</v>
      </c>
      <c r="J94" s="364">
        <v>353.09469999999988</v>
      </c>
      <c r="K94" s="364">
        <v>8301.7848235358724</v>
      </c>
      <c r="L94" s="288">
        <v>649.86754601226971</v>
      </c>
      <c r="O94" s="30"/>
      <c r="P94">
        <v>4.64496644140046E-4</v>
      </c>
      <c r="Q94">
        <v>1.0921011249687911E-5</v>
      </c>
      <c r="R94" s="30">
        <v>8.5490179903075945E-4</v>
      </c>
      <c r="S94">
        <v>4.7297679493771803</v>
      </c>
      <c r="T94">
        <v>0.11120392285974802</v>
      </c>
      <c r="U94" s="30">
        <v>8.705094385356773</v>
      </c>
      <c r="V94" s="182"/>
      <c r="W94" s="182"/>
      <c r="X94" s="184"/>
    </row>
    <row r="95" spans="2:25" x14ac:dyDescent="0.25">
      <c r="B95" s="647"/>
      <c r="C95" s="686"/>
      <c r="D95" s="27" t="s">
        <v>79</v>
      </c>
      <c r="E95" s="91">
        <v>1.8066666666666666</v>
      </c>
      <c r="F95" s="92">
        <v>0.5</v>
      </c>
      <c r="G95" s="288">
        <v>2.2333333333333334</v>
      </c>
      <c r="H95" s="364">
        <v>44.668858999999998</v>
      </c>
      <c r="I95" s="288">
        <v>89.337717999999995</v>
      </c>
      <c r="J95" s="364">
        <v>346.58799999999985</v>
      </c>
      <c r="K95" s="364">
        <v>7759.0520053355258</v>
      </c>
      <c r="L95" s="288">
        <v>693.1759999999997</v>
      </c>
      <c r="O95" s="30"/>
      <c r="P95">
        <v>4.76720240038469E-4</v>
      </c>
      <c r="Q95">
        <v>1.0672317375253955E-5</v>
      </c>
      <c r="R95" s="30">
        <v>9.5344048007693801E-4</v>
      </c>
      <c r="S95">
        <v>6.5078103451615599</v>
      </c>
      <c r="T95">
        <v>0.14569009575914085</v>
      </c>
      <c r="U95" s="30">
        <v>13.01562069032312</v>
      </c>
      <c r="V95" s="182"/>
      <c r="W95" s="182"/>
      <c r="X95" s="184"/>
    </row>
    <row r="96" spans="2:25" x14ac:dyDescent="0.25">
      <c r="B96" s="647"/>
      <c r="C96" s="686"/>
      <c r="D96" s="27" t="s">
        <v>81</v>
      </c>
      <c r="E96" s="91">
        <v>1.5750000000000002</v>
      </c>
      <c r="F96" s="92">
        <v>0.47</v>
      </c>
      <c r="G96" s="288">
        <v>1.7916666666666667</v>
      </c>
      <c r="H96" s="364">
        <v>37.832138999999998</v>
      </c>
      <c r="I96" s="288">
        <v>80.493912765957447</v>
      </c>
      <c r="J96" s="364">
        <v>333.57459999999975</v>
      </c>
      <c r="K96" s="364">
        <v>8817.2281244790247</v>
      </c>
      <c r="L96" s="288">
        <v>709.73319148936116</v>
      </c>
      <c r="O96" s="30"/>
      <c r="P96">
        <v>3.9543332731396E-4</v>
      </c>
      <c r="Q96">
        <v>1.0452312181290093E-5</v>
      </c>
      <c r="R96" s="30">
        <v>8.4134750492331919E-4</v>
      </c>
      <c r="S96">
        <v>5.6669627097167297</v>
      </c>
      <c r="T96">
        <v>0.14979228929447341</v>
      </c>
      <c r="U96" s="30">
        <v>12.057367467482404</v>
      </c>
      <c r="V96" s="182"/>
      <c r="W96" s="182"/>
      <c r="X96" s="184"/>
    </row>
    <row r="97" spans="2:25" x14ac:dyDescent="0.25">
      <c r="B97" s="647"/>
      <c r="C97" s="686"/>
      <c r="D97" s="27" t="s">
        <v>82</v>
      </c>
      <c r="E97" s="91">
        <v>1.7</v>
      </c>
      <c r="F97" s="92">
        <v>0.50666666666666671</v>
      </c>
      <c r="G97" s="288">
        <v>2.5249999999999999</v>
      </c>
      <c r="H97" s="364">
        <v>45.096153999999999</v>
      </c>
      <c r="I97" s="288">
        <v>89.005567105263154</v>
      </c>
      <c r="J97" s="364">
        <v>318.39229999999986</v>
      </c>
      <c r="K97" s="364">
        <v>7060.2983128006854</v>
      </c>
      <c r="L97" s="288">
        <v>628.4058552631576</v>
      </c>
      <c r="O97" s="30"/>
      <c r="P97">
        <v>5.2072518527278896E-4</v>
      </c>
      <c r="Q97">
        <v>1.1546997672413239E-5</v>
      </c>
      <c r="R97" s="30">
        <v>1.0277470761962939E-3</v>
      </c>
      <c r="S97">
        <v>6.42022204980272</v>
      </c>
      <c r="T97">
        <v>0.14236739678072591</v>
      </c>
      <c r="U97" s="30">
        <v>12.671490887768526</v>
      </c>
      <c r="V97" s="182"/>
      <c r="W97" s="182"/>
      <c r="X97" s="184"/>
    </row>
    <row r="98" spans="2:25" x14ac:dyDescent="0.25">
      <c r="B98" s="647"/>
      <c r="C98" s="686"/>
      <c r="D98" s="27" t="s">
        <v>83</v>
      </c>
      <c r="E98" s="91">
        <v>1.6333333333333335</v>
      </c>
      <c r="F98" s="92">
        <v>0.51</v>
      </c>
      <c r="G98" s="288"/>
      <c r="H98" s="364">
        <v>44.241563999999997</v>
      </c>
      <c r="I98" s="288">
        <v>86.748164705882346</v>
      </c>
      <c r="J98" s="364">
        <v>366.10810000000004</v>
      </c>
      <c r="K98" s="364">
        <v>8275.2069976549665</v>
      </c>
      <c r="L98" s="288">
        <v>717.85901960784315</v>
      </c>
      <c r="O98" s="30"/>
      <c r="P98">
        <v>3.8687681018506501E-4</v>
      </c>
      <c r="Q98">
        <v>8.74464587610567E-6</v>
      </c>
      <c r="R98" s="30">
        <v>7.5858198075502942E-4</v>
      </c>
      <c r="S98">
        <v>5.4830272894631698</v>
      </c>
      <c r="T98">
        <v>0.12393384848381875</v>
      </c>
      <c r="U98" s="30">
        <v>10.751033900908176</v>
      </c>
      <c r="V98" s="182"/>
      <c r="W98" s="182"/>
      <c r="X98" s="184"/>
    </row>
    <row r="99" spans="2:25" x14ac:dyDescent="0.25">
      <c r="B99" s="647"/>
      <c r="C99" s="686"/>
      <c r="D99" s="27" t="s">
        <v>94</v>
      </c>
      <c r="E99" s="91">
        <v>1.75</v>
      </c>
      <c r="F99" s="92">
        <v>0.51333333333333331</v>
      </c>
      <c r="G99" s="288">
        <v>2.3916666666666666</v>
      </c>
      <c r="H99" s="364">
        <v>44.241563999999997</v>
      </c>
      <c r="I99" s="288">
        <v>86.184864935064937</v>
      </c>
      <c r="J99" s="364">
        <v>355.26359999999983</v>
      </c>
      <c r="K99" s="364">
        <v>8030.0868206196292</v>
      </c>
      <c r="L99" s="288">
        <v>692.07194805194774</v>
      </c>
      <c r="O99" s="30"/>
      <c r="P99">
        <v>4.55940127011151E-4</v>
      </c>
      <c r="Q99">
        <v>1.0305696403751708E-5</v>
      </c>
      <c r="R99" s="30">
        <v>8.8819505261912535E-4</v>
      </c>
      <c r="S99">
        <v>5.0626034717407604</v>
      </c>
      <c r="T99">
        <v>0.11443093358410115</v>
      </c>
      <c r="U99" s="30">
        <v>9.8622145553391434</v>
      </c>
      <c r="V99" s="182"/>
      <c r="W99" s="182"/>
      <c r="X99" s="184"/>
    </row>
    <row r="100" spans="2:25" x14ac:dyDescent="0.25">
      <c r="B100" s="647"/>
      <c r="C100" s="686"/>
      <c r="D100" s="27" t="s">
        <v>209</v>
      </c>
      <c r="E100" s="91">
        <v>1.5066666666666666</v>
      </c>
      <c r="F100" s="92">
        <v>0.53333333333333333</v>
      </c>
      <c r="G100" s="288"/>
      <c r="H100" s="364">
        <v>45.950744</v>
      </c>
      <c r="I100" s="288">
        <v>86.157645000000002</v>
      </c>
      <c r="J100" s="364">
        <v>316.22339999999963</v>
      </c>
      <c r="K100" s="364">
        <v>6881.7906408653498</v>
      </c>
      <c r="L100" s="288">
        <v>592.91887499999928</v>
      </c>
      <c r="O100" s="30"/>
      <c r="P100">
        <v>5.2439226404231497E-4</v>
      </c>
      <c r="Q100">
        <v>1.1412051653446894E-5</v>
      </c>
      <c r="R100" s="30">
        <v>9.8323549507934064E-4</v>
      </c>
      <c r="S100">
        <v>6.2625631181568204</v>
      </c>
      <c r="T100">
        <v>0.13628861195711697</v>
      </c>
      <c r="U100" s="30">
        <v>11.742305846544038</v>
      </c>
      <c r="V100" s="182"/>
      <c r="W100" s="182"/>
      <c r="X100" s="184"/>
    </row>
    <row r="101" spans="2:25" ht="15.75" thickBot="1" x14ac:dyDescent="0.3">
      <c r="B101" s="648"/>
      <c r="C101" s="687"/>
      <c r="D101" s="8" t="s">
        <v>210</v>
      </c>
      <c r="E101" s="5">
        <v>1.7149999999999999</v>
      </c>
      <c r="F101" s="6">
        <v>0.53</v>
      </c>
      <c r="G101" s="368"/>
      <c r="H101" s="369">
        <v>57.060413999999994</v>
      </c>
      <c r="I101" s="368">
        <v>107.66115849056602</v>
      </c>
      <c r="J101" s="369">
        <v>366.10810000000004</v>
      </c>
      <c r="K101" s="369">
        <v>6416.1486805896657</v>
      </c>
      <c r="L101" s="368">
        <v>690.77</v>
      </c>
      <c r="M101" s="2"/>
      <c r="N101" s="2"/>
      <c r="O101" s="9"/>
      <c r="P101" s="2">
        <v>5.2255872465755196E-4</v>
      </c>
      <c r="Q101" s="2">
        <v>9.1579904179726417E-6</v>
      </c>
      <c r="R101" s="9">
        <v>9.8595985784443764E-4</v>
      </c>
      <c r="S101" s="2">
        <v>5.9384864253291196</v>
      </c>
      <c r="T101" s="2">
        <v>0.10407366524415894</v>
      </c>
      <c r="U101" s="9">
        <v>11.204691368545507</v>
      </c>
      <c r="V101" s="197"/>
      <c r="W101" s="197"/>
      <c r="X101" s="198"/>
    </row>
    <row r="102" spans="2:25" x14ac:dyDescent="0.25">
      <c r="B102" s="665" t="s">
        <v>133</v>
      </c>
      <c r="C102" s="681" t="s">
        <v>134</v>
      </c>
      <c r="D102" s="27" t="s">
        <v>80</v>
      </c>
      <c r="E102" s="91">
        <v>2.2266666666666666</v>
      </c>
      <c r="F102" s="92">
        <v>0.52500000000000002</v>
      </c>
      <c r="G102" s="375">
        <v>2.7185185185185183</v>
      </c>
      <c r="H102" s="364">
        <v>60.289263333333324</v>
      </c>
      <c r="I102" s="288"/>
      <c r="J102" s="364">
        <v>96.249999999999716</v>
      </c>
      <c r="K102" s="364">
        <v>1596.4699961225776</v>
      </c>
      <c r="L102" s="288"/>
      <c r="M102">
        <v>122.24103508774037</v>
      </c>
      <c r="N102">
        <v>2027.5755305199514</v>
      </c>
      <c r="O102" s="30"/>
      <c r="P102" s="182"/>
      <c r="Q102" s="182"/>
      <c r="R102" s="183"/>
      <c r="S102" s="182"/>
      <c r="T102" s="182"/>
      <c r="U102" s="183"/>
      <c r="V102" s="182"/>
      <c r="W102" s="182"/>
      <c r="X102" s="184"/>
      <c r="Y102">
        <f t="shared" si="29"/>
        <v>4.2412698412698413</v>
      </c>
    </row>
    <row r="103" spans="2:25" x14ac:dyDescent="0.25">
      <c r="B103" s="665"/>
      <c r="C103" s="681"/>
      <c r="D103" s="27" t="s">
        <v>79</v>
      </c>
      <c r="E103" s="91">
        <v>2.2866666666666666</v>
      </c>
      <c r="F103" s="92">
        <v>0.58000000000000007</v>
      </c>
      <c r="G103" s="375">
        <v>1.785185185185185</v>
      </c>
      <c r="H103" s="364">
        <v>36.140963333333325</v>
      </c>
      <c r="I103" s="288"/>
      <c r="J103" s="364">
        <v>175.66449999999975</v>
      </c>
      <c r="K103" s="364">
        <v>4860.5372906034818</v>
      </c>
      <c r="L103" s="288"/>
      <c r="M103">
        <v>150.60660238774037</v>
      </c>
      <c r="N103">
        <v>4167.1994461983186</v>
      </c>
      <c r="O103" s="30"/>
      <c r="P103" s="182"/>
      <c r="Q103" s="182"/>
      <c r="R103" s="183"/>
      <c r="S103" s="182"/>
      <c r="T103" s="182"/>
      <c r="U103" s="183"/>
      <c r="V103" s="182"/>
      <c r="W103" s="182"/>
      <c r="X103" s="184"/>
      <c r="Y103">
        <f t="shared" si="29"/>
        <v>3.9425287356321834</v>
      </c>
    </row>
    <row r="104" spans="2:25" x14ac:dyDescent="0.25">
      <c r="B104" s="665"/>
      <c r="C104" s="681"/>
      <c r="D104" s="27" t="s">
        <v>81</v>
      </c>
      <c r="E104" s="91">
        <v>1.9066666666666665</v>
      </c>
      <c r="F104" s="92">
        <v>0.49</v>
      </c>
      <c r="G104" s="375">
        <v>2.162962962962963</v>
      </c>
      <c r="H104" s="364">
        <v>44.92216333333333</v>
      </c>
      <c r="I104" s="288"/>
      <c r="J104" s="364">
        <v>204.54249999999973</v>
      </c>
      <c r="K104" s="364">
        <v>4553.2646876831122</v>
      </c>
      <c r="L104" s="288"/>
      <c r="M104">
        <v>101.98406745649039</v>
      </c>
      <c r="N104">
        <v>2270.2394517321864</v>
      </c>
      <c r="O104" s="30"/>
      <c r="P104" s="182"/>
      <c r="Q104" s="182"/>
      <c r="R104" s="183"/>
      <c r="S104" s="182"/>
      <c r="T104" s="182"/>
      <c r="U104" s="183"/>
      <c r="V104" s="182"/>
      <c r="W104" s="182"/>
      <c r="X104" s="184"/>
      <c r="Y104">
        <f t="shared" si="29"/>
        <v>3.8911564625850339</v>
      </c>
    </row>
    <row r="105" spans="2:25" x14ac:dyDescent="0.25">
      <c r="B105" s="665"/>
      <c r="C105" s="681"/>
      <c r="D105" s="27" t="s">
        <v>82</v>
      </c>
      <c r="E105" s="91">
        <v>2.4566666666666666</v>
      </c>
      <c r="F105" s="92">
        <v>0.55000000000000004</v>
      </c>
      <c r="G105" s="375">
        <v>1.8592592592592594</v>
      </c>
      <c r="H105" s="364">
        <v>47.117463333333333</v>
      </c>
      <c r="I105" s="288"/>
      <c r="J105" s="364">
        <v>209.35549999999995</v>
      </c>
      <c r="K105" s="364">
        <v>4443.2676377102634</v>
      </c>
      <c r="L105" s="288"/>
      <c r="M105">
        <v>145.72400473774039</v>
      </c>
      <c r="N105">
        <v>3092.7811989116076</v>
      </c>
      <c r="O105" s="30"/>
      <c r="P105" s="182"/>
      <c r="Q105" s="182"/>
      <c r="R105" s="183"/>
      <c r="S105" s="182"/>
      <c r="T105" s="182"/>
      <c r="U105" s="183"/>
      <c r="V105" s="182"/>
      <c r="W105" s="182"/>
      <c r="X105" s="184"/>
      <c r="Y105">
        <f t="shared" si="29"/>
        <v>4.4666666666666659</v>
      </c>
    </row>
    <row r="106" spans="2:25" x14ac:dyDescent="0.25">
      <c r="B106" s="665"/>
      <c r="C106" s="681"/>
      <c r="D106" s="27" t="s">
        <v>83</v>
      </c>
      <c r="E106" s="91">
        <v>2.1999999999999997</v>
      </c>
      <c r="F106" s="92">
        <v>0.61</v>
      </c>
      <c r="G106" s="375">
        <v>1.9851851851851852</v>
      </c>
      <c r="H106" s="364">
        <v>73.461063333333328</v>
      </c>
      <c r="I106" s="288"/>
      <c r="J106" s="364">
        <v>259.89199999999971</v>
      </c>
      <c r="K106" s="364">
        <v>3537.8197402442497</v>
      </c>
      <c r="L106" s="288"/>
      <c r="M106">
        <v>125.49610018774038</v>
      </c>
      <c r="N106">
        <v>1708.3349259225313</v>
      </c>
      <c r="O106" s="30"/>
      <c r="P106" s="182"/>
      <c r="Q106" s="182"/>
      <c r="R106" s="183"/>
      <c r="S106" s="182"/>
      <c r="T106" s="182"/>
      <c r="U106" s="183"/>
      <c r="V106" s="182"/>
      <c r="W106" s="182"/>
      <c r="X106" s="184"/>
      <c r="Y106">
        <f t="shared" si="29"/>
        <v>3.6065573770491799</v>
      </c>
    </row>
    <row r="107" spans="2:25" x14ac:dyDescent="0.25">
      <c r="B107" s="665"/>
      <c r="C107" s="682"/>
      <c r="D107" s="61" t="s">
        <v>94</v>
      </c>
      <c r="E107" s="191">
        <v>2.0133333333333332</v>
      </c>
      <c r="F107" s="185">
        <v>0.53</v>
      </c>
      <c r="G107" s="376">
        <v>2.5333333333333332</v>
      </c>
      <c r="H107" s="365">
        <v>67.972813333333335</v>
      </c>
      <c r="I107" s="366"/>
      <c r="J107" s="365">
        <v>259.89200000000022</v>
      </c>
      <c r="K107" s="365">
        <v>3823.4698146965065</v>
      </c>
      <c r="L107" s="366"/>
      <c r="M107" s="60">
        <v>106.80853894399038</v>
      </c>
      <c r="N107" s="60">
        <v>1571.3420367082601</v>
      </c>
      <c r="O107" s="90"/>
      <c r="P107" s="186"/>
      <c r="Q107" s="186"/>
      <c r="R107" s="187"/>
      <c r="S107" s="186"/>
      <c r="T107" s="186"/>
      <c r="U107" s="187"/>
      <c r="V107" s="186"/>
      <c r="W107" s="186"/>
      <c r="X107" s="188"/>
      <c r="Y107">
        <f t="shared" si="29"/>
        <v>3.7987421383647795</v>
      </c>
    </row>
    <row r="108" spans="2:25" x14ac:dyDescent="0.25">
      <c r="B108" s="665"/>
      <c r="C108" s="681" t="s">
        <v>135</v>
      </c>
      <c r="D108" s="27" t="s">
        <v>136</v>
      </c>
      <c r="E108" s="91">
        <v>1.9200000000000002</v>
      </c>
      <c r="F108" s="92">
        <v>0.52500000000000002</v>
      </c>
      <c r="G108" s="373"/>
      <c r="H108" s="364">
        <v>41.439069999999994</v>
      </c>
      <c r="I108" s="288"/>
      <c r="J108" s="364">
        <v>201.60379999999975</v>
      </c>
      <c r="K108" s="364">
        <v>4865.065745925277</v>
      </c>
      <c r="L108" s="288"/>
      <c r="M108">
        <v>104.5660509585767</v>
      </c>
      <c r="N108">
        <v>2523.368670160231</v>
      </c>
      <c r="O108" s="30"/>
      <c r="P108">
        <v>1.0962983476353423E-2</v>
      </c>
      <c r="Q108">
        <f>P108/H108</f>
        <v>2.64556696768374E-4</v>
      </c>
      <c r="R108" s="30"/>
      <c r="S108">
        <v>2.4038273281183695</v>
      </c>
      <c r="T108">
        <v>5.8008718055650617E-2</v>
      </c>
      <c r="U108" s="30"/>
      <c r="V108" s="182"/>
      <c r="W108" s="182"/>
      <c r="X108" s="184"/>
      <c r="Y108">
        <f t="shared" si="29"/>
        <v>3.6571428571428575</v>
      </c>
    </row>
    <row r="109" spans="2:25" x14ac:dyDescent="0.25">
      <c r="B109" s="665"/>
      <c r="C109" s="681"/>
      <c r="D109" s="27" t="s">
        <v>137</v>
      </c>
      <c r="E109" s="91">
        <v>2.1966666666666668</v>
      </c>
      <c r="F109" s="92">
        <v>0.64</v>
      </c>
      <c r="G109" s="373"/>
      <c r="H109" s="364">
        <v>25.582829999999994</v>
      </c>
      <c r="I109" s="288"/>
      <c r="J109" s="364">
        <v>187.23319999999973</v>
      </c>
      <c r="K109" s="364">
        <v>7318.7055536858024</v>
      </c>
      <c r="L109" s="288"/>
      <c r="M109">
        <v>98.144390385076704</v>
      </c>
      <c r="N109">
        <v>3836.3382934990668</v>
      </c>
      <c r="O109" s="30"/>
      <c r="P109">
        <v>1.7727981041968668E-3</v>
      </c>
      <c r="Q109">
        <f>P109/H109</f>
        <v>6.929640325940747E-5</v>
      </c>
      <c r="R109" s="30"/>
      <c r="S109">
        <v>0.25218724201241827</v>
      </c>
      <c r="T109">
        <v>9.8576757150173888E-3</v>
      </c>
      <c r="U109" s="30"/>
      <c r="V109" s="182"/>
      <c r="W109" s="182"/>
      <c r="X109" s="184"/>
      <c r="Y109">
        <f t="shared" si="29"/>
        <v>3.432291666666667</v>
      </c>
    </row>
    <row r="110" spans="2:25" x14ac:dyDescent="0.25">
      <c r="B110" s="665"/>
      <c r="C110" s="681"/>
      <c r="D110" s="27" t="s">
        <v>138</v>
      </c>
      <c r="E110" s="91">
        <v>2.1266666666666669</v>
      </c>
      <c r="F110" s="92">
        <v>0.6</v>
      </c>
      <c r="G110" s="373"/>
      <c r="H110" s="364">
        <v>23.251029999999997</v>
      </c>
      <c r="I110" s="288"/>
      <c r="J110" s="364">
        <v>182.44300000000024</v>
      </c>
      <c r="K110" s="364">
        <v>7846.6631370739387</v>
      </c>
      <c r="L110" s="288"/>
      <c r="M110">
        <v>73.814047091514212</v>
      </c>
      <c r="N110">
        <v>3174.6570836437877</v>
      </c>
      <c r="O110" s="30"/>
      <c r="P110">
        <v>1.5458799468596677E-3</v>
      </c>
      <c r="Q110">
        <f>P110/H110</f>
        <v>6.6486514655895591E-5</v>
      </c>
      <c r="R110" s="30"/>
      <c r="S110">
        <v>0.19316469600951183</v>
      </c>
      <c r="T110">
        <v>8.3077909240800024E-3</v>
      </c>
      <c r="U110" s="30"/>
      <c r="V110" s="182"/>
      <c r="W110" s="182"/>
      <c r="X110" s="184"/>
      <c r="Y110">
        <f t="shared" si="29"/>
        <v>3.5444444444444452</v>
      </c>
    </row>
    <row r="111" spans="2:25" x14ac:dyDescent="0.25">
      <c r="B111" s="665"/>
      <c r="C111" s="681"/>
      <c r="D111" s="27" t="s">
        <v>139</v>
      </c>
      <c r="E111" s="91">
        <v>2.2633333333333332</v>
      </c>
      <c r="F111" s="92">
        <v>0.59499999999999997</v>
      </c>
      <c r="G111" s="373"/>
      <c r="H111" s="364">
        <v>30.712789999999995</v>
      </c>
      <c r="I111" s="288"/>
      <c r="J111" s="364">
        <v>189.62829999999997</v>
      </c>
      <c r="K111" s="364">
        <v>6174.2453225512891</v>
      </c>
      <c r="L111" s="288"/>
      <c r="M111">
        <v>108.66262753132669</v>
      </c>
      <c r="N111">
        <v>3538.0252829953488</v>
      </c>
      <c r="O111" s="30"/>
      <c r="P111">
        <v>2.5953764245442127E-3</v>
      </c>
      <c r="Q111">
        <f>P111/H111</f>
        <v>8.4504742960317606E-5</v>
      </c>
      <c r="R111" s="30"/>
      <c r="S111">
        <v>0.33803821801664574</v>
      </c>
      <c r="T111">
        <v>1.1006431457925047E-2</v>
      </c>
      <c r="U111" s="30"/>
      <c r="V111" s="182"/>
      <c r="W111" s="182"/>
      <c r="X111" s="184"/>
      <c r="Y111">
        <f t="shared" si="29"/>
        <v>3.8039215686274508</v>
      </c>
    </row>
    <row r="112" spans="2:25" x14ac:dyDescent="0.25">
      <c r="B112" s="665"/>
      <c r="C112" s="681"/>
      <c r="D112" s="27" t="s">
        <v>140</v>
      </c>
      <c r="E112" s="91">
        <v>2.1666666666666665</v>
      </c>
      <c r="F112" s="92">
        <v>0.55499999999999994</v>
      </c>
      <c r="G112" s="373"/>
      <c r="H112" s="364">
        <v>30.712789999999995</v>
      </c>
      <c r="I112" s="288"/>
      <c r="J112" s="364">
        <v>326.14899999999977</v>
      </c>
      <c r="K112" s="364">
        <v>10619.321787437735</v>
      </c>
      <c r="L112" s="288"/>
      <c r="M112">
        <v>110.32340181757668</v>
      </c>
      <c r="N112">
        <v>3592.0996372383202</v>
      </c>
      <c r="O112" s="30"/>
      <c r="P112">
        <v>1.3118705971056813E-2</v>
      </c>
      <c r="Q112">
        <f>P112/H112</f>
        <v>4.2714146031854529E-4</v>
      </c>
      <c r="R112" s="30"/>
      <c r="S112">
        <v>4.0564586161997491</v>
      </c>
      <c r="T112">
        <v>0.13207717749510056</v>
      </c>
      <c r="U112" s="30"/>
      <c r="V112" s="182"/>
      <c r="W112" s="182"/>
      <c r="X112" s="184"/>
      <c r="Y112">
        <f t="shared" si="29"/>
        <v>3.9039039039039043</v>
      </c>
    </row>
    <row r="113" spans="2:25" x14ac:dyDescent="0.25">
      <c r="B113" s="665"/>
      <c r="C113" s="681"/>
      <c r="D113" s="27" t="s">
        <v>141</v>
      </c>
      <c r="E113" s="91">
        <v>2.5266666666666668</v>
      </c>
      <c r="F113" s="92">
        <v>0.48</v>
      </c>
      <c r="G113" s="373"/>
      <c r="H113" s="364">
        <v>34.443669999999997</v>
      </c>
      <c r="I113" s="288"/>
      <c r="J113" s="364">
        <v>290.22250000000014</v>
      </c>
      <c r="K113" s="364">
        <v>8426.003965314967</v>
      </c>
      <c r="L113" s="288"/>
      <c r="M113">
        <v>95.54251066995171</v>
      </c>
      <c r="N113">
        <v>2773.8771933987205</v>
      </c>
      <c r="O113" s="30"/>
      <c r="P113" s="182"/>
      <c r="Q113" s="182"/>
      <c r="R113" s="183"/>
      <c r="S113" s="182"/>
      <c r="T113" s="182"/>
      <c r="U113" s="183"/>
      <c r="V113">
        <v>3.3644343020490665E-2</v>
      </c>
      <c r="W113">
        <v>9.7679321107450715E-4</v>
      </c>
      <c r="X113" s="27">
        <v>7.0092381292688882E-2</v>
      </c>
      <c r="Y113">
        <f t="shared" si="29"/>
        <v>5.2638888888888893</v>
      </c>
    </row>
    <row r="114" spans="2:25" x14ac:dyDescent="0.25">
      <c r="B114" s="665"/>
      <c r="C114" s="681"/>
      <c r="D114" s="27" t="s">
        <v>142</v>
      </c>
      <c r="E114" s="91">
        <v>1.7033333333333334</v>
      </c>
      <c r="F114" s="92">
        <v>0.49</v>
      </c>
      <c r="G114" s="373"/>
      <c r="H114" s="364">
        <v>31.17915</v>
      </c>
      <c r="I114" s="288"/>
      <c r="J114" s="364">
        <v>196.81360000000026</v>
      </c>
      <c r="K114" s="364">
        <v>6312.3465521029366</v>
      </c>
      <c r="L114" s="288"/>
      <c r="M114">
        <v>82.67150995151421</v>
      </c>
      <c r="N114">
        <v>2651.4997987922766</v>
      </c>
      <c r="O114" s="30"/>
      <c r="P114" s="182"/>
      <c r="Q114" s="182"/>
      <c r="R114" s="183"/>
      <c r="S114" s="182"/>
      <c r="T114" s="182"/>
      <c r="U114" s="183"/>
      <c r="V114">
        <v>2.4216532613649876E-2</v>
      </c>
      <c r="W114">
        <v>7.7668995510300559E-4</v>
      </c>
      <c r="X114" s="27">
        <v>4.9421495129897706E-2</v>
      </c>
      <c r="Y114">
        <f t="shared" si="29"/>
        <v>3.4761904761904763</v>
      </c>
    </row>
    <row r="115" spans="2:25" x14ac:dyDescent="0.25">
      <c r="B115" s="665"/>
      <c r="C115" s="681"/>
      <c r="D115" s="27" t="s">
        <v>143</v>
      </c>
      <c r="E115" s="91">
        <v>1.8050000000000002</v>
      </c>
      <c r="F115" s="92">
        <v>0.5</v>
      </c>
      <c r="G115" s="373"/>
      <c r="H115" s="364">
        <v>30.712789999999995</v>
      </c>
      <c r="I115" s="288"/>
      <c r="J115" s="364">
        <v>203.99889999999999</v>
      </c>
      <c r="K115" s="364">
        <v>6642.1481083288108</v>
      </c>
      <c r="L115" s="288"/>
      <c r="M115">
        <v>99.057816242514178</v>
      </c>
      <c r="N115">
        <v>3225.295267623495</v>
      </c>
      <c r="O115" s="30"/>
      <c r="P115" s="182"/>
      <c r="Q115" s="182"/>
      <c r="R115" s="183"/>
      <c r="S115" s="182"/>
      <c r="T115" s="182"/>
      <c r="U115" s="183"/>
      <c r="V115">
        <v>2.0272873358500785E-2</v>
      </c>
      <c r="W115">
        <v>6.600791839002835E-4</v>
      </c>
      <c r="X115" s="27">
        <v>4.054574671700157E-2</v>
      </c>
      <c r="Y115">
        <f t="shared" si="29"/>
        <v>3.6100000000000003</v>
      </c>
    </row>
    <row r="116" spans="2:25" x14ac:dyDescent="0.25">
      <c r="B116" s="665"/>
      <c r="C116" s="682"/>
      <c r="D116" s="61" t="s">
        <v>144</v>
      </c>
      <c r="E116" s="60">
        <v>4.12</v>
      </c>
      <c r="F116" s="185">
        <v>0.71</v>
      </c>
      <c r="G116" s="374"/>
      <c r="H116" s="365">
        <v>19.053789999999999</v>
      </c>
      <c r="I116" s="366"/>
      <c r="J116" s="365">
        <v>256.69110000000018</v>
      </c>
      <c r="K116" s="365">
        <v>13471.918185305925</v>
      </c>
      <c r="L116" s="366"/>
      <c r="M116" s="60">
        <v>156.29916997526419</v>
      </c>
      <c r="N116" s="60">
        <v>8203.0488409531226</v>
      </c>
      <c r="O116" s="90"/>
      <c r="P116" s="186"/>
      <c r="Q116" s="186"/>
      <c r="R116" s="187"/>
      <c r="S116" s="186"/>
      <c r="T116" s="186"/>
      <c r="U116" s="187"/>
      <c r="V116" s="60">
        <v>1.5959496048181473E-2</v>
      </c>
      <c r="W116" s="60">
        <v>8.3760218036314424E-4</v>
      </c>
      <c r="X116" s="61">
        <v>2.2478163448142921E-2</v>
      </c>
      <c r="Y116">
        <f t="shared" si="29"/>
        <v>5.802816901408451</v>
      </c>
    </row>
    <row r="117" spans="2:25" x14ac:dyDescent="0.25">
      <c r="B117" s="665"/>
      <c r="C117" s="683" t="s">
        <v>145</v>
      </c>
      <c r="D117" s="161" t="s">
        <v>136</v>
      </c>
      <c r="E117" s="164">
        <v>1.78</v>
      </c>
      <c r="F117" s="400">
        <v>0.57499999999999996</v>
      </c>
      <c r="G117" s="404"/>
      <c r="H117" s="401">
        <v>15.382981153846151</v>
      </c>
      <c r="I117" s="367"/>
      <c r="J117" s="401">
        <v>205.21780000000021</v>
      </c>
      <c r="K117" s="401">
        <v>13340.574102484054</v>
      </c>
      <c r="L117" s="367"/>
      <c r="M117" s="164">
        <v>81.255416066079519</v>
      </c>
      <c r="N117" s="164">
        <v>5282.1631420749363</v>
      </c>
      <c r="O117" s="126"/>
      <c r="P117" s="164">
        <v>2.06653263604481E-3</v>
      </c>
      <c r="Q117" s="164">
        <v>1.3433889149166138E-4</v>
      </c>
      <c r="R117" s="126"/>
      <c r="S117" s="164">
        <v>0.16946133477910702</v>
      </c>
      <c r="T117" s="164">
        <v>1.1016156951914175E-2</v>
      </c>
      <c r="U117" s="126"/>
      <c r="V117" s="402"/>
      <c r="W117" s="402"/>
      <c r="X117" s="403"/>
    </row>
    <row r="118" spans="2:25" x14ac:dyDescent="0.25">
      <c r="B118" s="665"/>
      <c r="C118" s="681"/>
      <c r="D118" s="27" t="s">
        <v>137</v>
      </c>
      <c r="E118" s="1"/>
      <c r="F118" s="190"/>
      <c r="G118" s="370"/>
      <c r="H118" s="371"/>
      <c r="I118" s="370"/>
      <c r="J118" s="371"/>
      <c r="K118" s="371"/>
      <c r="L118" s="370"/>
      <c r="M118" s="1"/>
      <c r="N118" s="1"/>
      <c r="O118" s="95"/>
      <c r="P118" s="1"/>
      <c r="Q118" s="1"/>
      <c r="R118" s="95"/>
      <c r="S118" s="1"/>
      <c r="T118" s="1"/>
      <c r="U118" s="95"/>
      <c r="V118" s="1"/>
      <c r="W118" s="1"/>
      <c r="X118" s="96"/>
    </row>
    <row r="119" spans="2:25" x14ac:dyDescent="0.25">
      <c r="B119" s="665"/>
      <c r="C119" s="681"/>
      <c r="D119" s="27" t="s">
        <v>138</v>
      </c>
      <c r="E119" s="1"/>
      <c r="F119" s="190"/>
      <c r="G119" s="370"/>
      <c r="H119" s="371"/>
      <c r="I119" s="370"/>
      <c r="J119" s="371"/>
      <c r="K119" s="371"/>
      <c r="L119" s="370"/>
      <c r="M119" s="1"/>
      <c r="N119" s="1"/>
      <c r="O119" s="95"/>
      <c r="P119" s="1"/>
      <c r="Q119" s="1"/>
      <c r="R119" s="95"/>
      <c r="S119" s="1"/>
      <c r="T119" s="1"/>
      <c r="U119" s="95"/>
      <c r="V119" s="1"/>
      <c r="W119" s="1"/>
      <c r="X119" s="96"/>
    </row>
    <row r="120" spans="2:25" x14ac:dyDescent="0.25">
      <c r="B120" s="665"/>
      <c r="C120" s="681"/>
      <c r="D120" s="27" t="s">
        <v>139</v>
      </c>
      <c r="E120" s="1"/>
      <c r="F120" s="190"/>
      <c r="G120" s="370"/>
      <c r="H120" s="371"/>
      <c r="I120" s="370"/>
      <c r="J120" s="371"/>
      <c r="K120" s="371"/>
      <c r="L120" s="370"/>
      <c r="M120" s="1"/>
      <c r="N120" s="1"/>
      <c r="O120" s="95"/>
      <c r="P120" s="1"/>
      <c r="Q120" s="1"/>
      <c r="R120" s="95"/>
      <c r="S120" s="1"/>
      <c r="T120" s="1"/>
      <c r="U120" s="95"/>
      <c r="V120" s="1"/>
      <c r="W120" s="1"/>
      <c r="X120" s="96"/>
    </row>
    <row r="121" spans="2:25" x14ac:dyDescent="0.25">
      <c r="B121" s="665"/>
      <c r="C121" s="682"/>
      <c r="D121" s="61" t="s">
        <v>140</v>
      </c>
      <c r="E121" s="405"/>
      <c r="F121" s="406"/>
      <c r="G121" s="407"/>
      <c r="H121" s="408"/>
      <c r="I121" s="407"/>
      <c r="J121" s="408"/>
      <c r="K121" s="408"/>
      <c r="L121" s="407"/>
      <c r="M121" s="405"/>
      <c r="N121" s="1"/>
      <c r="O121" s="95"/>
      <c r="P121" s="405"/>
      <c r="Q121" s="405"/>
      <c r="R121" s="409"/>
      <c r="S121" s="405"/>
      <c r="T121" s="405"/>
      <c r="U121" s="409"/>
      <c r="V121" s="405"/>
      <c r="W121" s="405"/>
      <c r="X121" s="410"/>
    </row>
    <row r="122" spans="2:25" x14ac:dyDescent="0.25">
      <c r="B122" s="665"/>
      <c r="C122" s="683" t="s">
        <v>284</v>
      </c>
      <c r="D122" s="161" t="s">
        <v>80</v>
      </c>
      <c r="E122" s="436">
        <f>Weights!I122</f>
        <v>2.0699999999999998</v>
      </c>
      <c r="F122" s="400">
        <f>Weights!M122</f>
        <v>0.625</v>
      </c>
      <c r="G122" s="437">
        <f>'Alamar Blue (Analysis)'!R4</f>
        <v>2.5310344827586206</v>
      </c>
      <c r="H122" s="401">
        <f>PicoGreen!DG56</f>
        <v>0.8725659090909097</v>
      </c>
      <c r="I122" s="367"/>
      <c r="J122" s="401">
        <f>DMMB!DG64</f>
        <v>164.50129999999996</v>
      </c>
      <c r="K122" s="401">
        <f t="shared" ref="K122:K131" si="30">J122/H122*1000</f>
        <v>188525.93057570522</v>
      </c>
      <c r="L122" s="367">
        <f t="shared" ref="L122:L131" si="31">J122/F122</f>
        <v>263.20207999999991</v>
      </c>
      <c r="M122" s="164">
        <f>OHP!CS46</f>
        <v>114.35906958906523</v>
      </c>
      <c r="N122" s="129">
        <f t="shared" ref="N122:N131" si="32">M122/H122*1000</f>
        <v>131060.66647528231</v>
      </c>
      <c r="O122" s="367">
        <f t="shared" ref="O122:O131" si="33">M122/F122</f>
        <v>182.97451134250437</v>
      </c>
      <c r="P122" s="164">
        <f>Rx!CN13</f>
        <v>3.6113005394251802E-4</v>
      </c>
      <c r="Q122" s="164">
        <f t="shared" ref="Q122:Q131" si="34">P122/H122</f>
        <v>4.1387137656886513E-4</v>
      </c>
      <c r="R122" s="126">
        <f t="shared" ref="R122:R131" si="35">P122/F122</f>
        <v>5.7780808630802883E-4</v>
      </c>
      <c r="S122" s="164">
        <f>Rx!CR13</f>
        <v>0.221454475868754</v>
      </c>
      <c r="T122" s="164">
        <f t="shared" ref="T122:T131" si="36">S122/H122</f>
        <v>0.2537968462456644</v>
      </c>
      <c r="U122" s="126">
        <f t="shared" ref="U122:U129" si="37">S122/F122</f>
        <v>0.35432716139000642</v>
      </c>
      <c r="V122" s="402"/>
      <c r="W122" s="402"/>
      <c r="X122" s="403"/>
      <c r="Y122">
        <f>E117/F117</f>
        <v>3.0956521739130438</v>
      </c>
    </row>
    <row r="123" spans="2:25" x14ac:dyDescent="0.25">
      <c r="B123" s="665"/>
      <c r="C123" s="681"/>
      <c r="D123" s="27" t="s">
        <v>79</v>
      </c>
      <c r="E123" s="91">
        <f>Weights!I123</f>
        <v>1.64</v>
      </c>
      <c r="F123" s="92">
        <f>Weights!M123</f>
        <v>0.51500000000000001</v>
      </c>
      <c r="G123" s="375">
        <f>'Alamar Blue (Analysis)'!R5</f>
        <v>2.0551724137931031</v>
      </c>
      <c r="H123" s="364">
        <f>PicoGreen!DG57</f>
        <v>-1.4552840909090907</v>
      </c>
      <c r="I123" s="288"/>
      <c r="J123" s="364">
        <f>DMMB!DG65</f>
        <v>158.22200000000009</v>
      </c>
      <c r="K123" s="364">
        <f t="shared" si="30"/>
        <v>-108722.41439893811</v>
      </c>
      <c r="L123" s="288">
        <f t="shared" si="31"/>
        <v>307.22718446601959</v>
      </c>
      <c r="M123">
        <f>OHP!CS47</f>
        <v>96.51867171681522</v>
      </c>
      <c r="N123">
        <f t="shared" si="32"/>
        <v>-66322.907203995943</v>
      </c>
      <c r="O123" s="30">
        <f t="shared" si="33"/>
        <v>187.41489653750529</v>
      </c>
      <c r="P123">
        <f>Rx!CN14</f>
        <v>8.9167914553708096E-5</v>
      </c>
      <c r="Q123">
        <f t="shared" si="34"/>
        <v>-6.1271826656200473E-5</v>
      </c>
      <c r="R123" s="30">
        <f t="shared" si="35"/>
        <v>1.7314158165768561E-4</v>
      </c>
      <c r="S123">
        <f>Rx!CR14</f>
        <v>0.221454475868754</v>
      </c>
      <c r="T123">
        <f t="shared" si="36"/>
        <v>-0.15217267697224343</v>
      </c>
      <c r="U123" s="30">
        <f t="shared" si="37"/>
        <v>0.43000869100728928</v>
      </c>
      <c r="V123" s="182"/>
      <c r="W123" s="182"/>
      <c r="X123" s="184"/>
    </row>
    <row r="124" spans="2:25" x14ac:dyDescent="0.25">
      <c r="B124" s="665"/>
      <c r="C124" s="681"/>
      <c r="D124" s="27" t="s">
        <v>81</v>
      </c>
      <c r="E124" s="91">
        <f>Weights!I124</f>
        <v>1.915</v>
      </c>
      <c r="F124" s="92">
        <f>Weights!M124</f>
        <v>0.59</v>
      </c>
      <c r="G124" s="375">
        <f>'Alamar Blue (Analysis)'!R6</f>
        <v>2.4</v>
      </c>
      <c r="H124" s="364">
        <f>PicoGreen!DG58</f>
        <v>-0.1250840909090904</v>
      </c>
      <c r="I124" s="288"/>
      <c r="J124" s="364">
        <f>DMMB!DG66</f>
        <v>154.03580000000005</v>
      </c>
      <c r="K124" s="364">
        <f t="shared" si="30"/>
        <v>-1231457.9646419736</v>
      </c>
      <c r="L124" s="288">
        <f t="shared" si="31"/>
        <v>261.07762711864416</v>
      </c>
      <c r="M124">
        <f>OHP!CS48</f>
        <v>102.63368330031523</v>
      </c>
      <c r="N124">
        <f t="shared" si="32"/>
        <v>-820517.48191469163</v>
      </c>
      <c r="O124" s="30">
        <f t="shared" si="33"/>
        <v>173.95539542426312</v>
      </c>
      <c r="P124">
        <f>Rx!CN15</f>
        <v>1.8279422483510199E-4</v>
      </c>
      <c r="Q124">
        <f t="shared" si="34"/>
        <v>-1.4613706947588932E-3</v>
      </c>
      <c r="R124" s="30">
        <f t="shared" si="35"/>
        <v>3.0982072005949492E-4</v>
      </c>
      <c r="S124">
        <f>Rx!CR15</f>
        <v>0.75495844046166005</v>
      </c>
      <c r="T124">
        <f t="shared" si="36"/>
        <v>-6.0356072061182804</v>
      </c>
      <c r="U124" s="30">
        <f t="shared" si="37"/>
        <v>1.2795905770536611</v>
      </c>
      <c r="V124" s="182"/>
      <c r="W124" s="182"/>
      <c r="X124" s="184"/>
    </row>
    <row r="125" spans="2:25" x14ac:dyDescent="0.25">
      <c r="B125" s="665"/>
      <c r="C125" s="681"/>
      <c r="D125" s="27" t="s">
        <v>82</v>
      </c>
      <c r="E125" s="91">
        <f>Weights!I125</f>
        <v>1.885</v>
      </c>
      <c r="F125" s="92">
        <f>Weights!M125</f>
        <v>0.56000000000000005</v>
      </c>
      <c r="G125" s="375">
        <f>'Alamar Blue (Analysis)'!R7</f>
        <v>2.0344827586206895</v>
      </c>
      <c r="H125" s="364">
        <f>PicoGreen!DG59</f>
        <v>-0.1250840909090904</v>
      </c>
      <c r="I125" s="288"/>
      <c r="J125" s="364">
        <f>DMMB!DG67</f>
        <v>139.38410000000019</v>
      </c>
      <c r="K125" s="364">
        <f t="shared" si="30"/>
        <v>-1114323.1644166713</v>
      </c>
      <c r="L125" s="288">
        <f t="shared" si="31"/>
        <v>248.90017857142888</v>
      </c>
      <c r="M125">
        <f>OHP!CS49</f>
        <v>98.448165663065225</v>
      </c>
      <c r="N125">
        <f t="shared" si="32"/>
        <v>-787055.85136815009</v>
      </c>
      <c r="O125" s="30">
        <f t="shared" si="33"/>
        <v>175.80029582690216</v>
      </c>
      <c r="P125">
        <f>Rx!CN16</f>
        <v>1.8428035674433E-4</v>
      </c>
      <c r="Q125">
        <f t="shared" si="34"/>
        <v>-1.4732517573179049E-3</v>
      </c>
      <c r="R125" s="30">
        <f t="shared" si="35"/>
        <v>3.2907206561487499E-4</v>
      </c>
      <c r="S125">
        <f>Rx!CR16</f>
        <v>0.13085946301335399</v>
      </c>
      <c r="T125">
        <f t="shared" si="36"/>
        <v>-1.0461719157271652</v>
      </c>
      <c r="U125" s="30">
        <f t="shared" si="37"/>
        <v>0.23367761252384639</v>
      </c>
      <c r="V125" s="182"/>
      <c r="W125" s="182"/>
      <c r="X125" s="184"/>
    </row>
    <row r="126" spans="2:25" x14ac:dyDescent="0.25">
      <c r="B126" s="665"/>
      <c r="C126" s="682"/>
      <c r="D126" s="61" t="s">
        <v>83</v>
      </c>
      <c r="E126" s="191">
        <f>Weights!I126</f>
        <v>1.7949999999999999</v>
      </c>
      <c r="F126" s="185">
        <f>Weights!M126</f>
        <v>0.56000000000000005</v>
      </c>
      <c r="G126" s="376"/>
      <c r="H126" s="365">
        <f>PicoGreen!DG60</f>
        <v>6.1933659090909092</v>
      </c>
      <c r="I126" s="366"/>
      <c r="J126" s="365">
        <f>DMMB!DG68</f>
        <v>126.82550000000012</v>
      </c>
      <c r="K126" s="365">
        <f t="shared" si="30"/>
        <v>20477.63717849123</v>
      </c>
      <c r="L126" s="366">
        <f t="shared" si="31"/>
        <v>226.47410714285732</v>
      </c>
      <c r="M126" s="60">
        <f>OHP!CS50</f>
        <v>96.815516939315216</v>
      </c>
      <c r="N126" s="60">
        <f t="shared" si="32"/>
        <v>15632.132569013067</v>
      </c>
      <c r="O126" s="90">
        <f t="shared" si="33"/>
        <v>172.88485167734859</v>
      </c>
      <c r="P126" s="60">
        <f>Rx!CN17</f>
        <v>2.0508620347352901E-4</v>
      </c>
      <c r="Q126" s="60">
        <f t="shared" si="34"/>
        <v>3.3113852222503755E-5</v>
      </c>
      <c r="R126" s="90">
        <f t="shared" si="35"/>
        <v>3.6622536334558747E-4</v>
      </c>
      <c r="S126" s="60">
        <f>Rx!CR17</f>
        <v>0.23655364467798701</v>
      </c>
      <c r="T126" s="60">
        <f t="shared" si="36"/>
        <v>3.8194682528084223E-2</v>
      </c>
      <c r="U126" s="90">
        <f t="shared" si="37"/>
        <v>0.42241722263926246</v>
      </c>
      <c r="V126" s="186"/>
      <c r="W126" s="186"/>
      <c r="X126" s="188"/>
    </row>
    <row r="127" spans="2:25" x14ac:dyDescent="0.25">
      <c r="B127" s="665"/>
      <c r="C127" s="683" t="s">
        <v>299</v>
      </c>
      <c r="D127" s="161" t="s">
        <v>80</v>
      </c>
      <c r="E127" s="436">
        <f>Weights!I162</f>
        <v>1.49</v>
      </c>
      <c r="F127" s="400">
        <f>Weights!M162</f>
        <v>0.44999999999999996</v>
      </c>
      <c r="G127" s="437">
        <f>'Alamar Blue (Analysis)'!R11</f>
        <v>1.8952380952380952</v>
      </c>
      <c r="H127" s="401">
        <f>PicoGreen!EK51</f>
        <v>33.353695485714283</v>
      </c>
      <c r="I127" s="367">
        <f t="shared" ref="I127:I131" si="38">H127/F127</f>
        <v>74.119323301587301</v>
      </c>
      <c r="J127" s="401">
        <f>DMMB!EK59</f>
        <v>204.08950000000033</v>
      </c>
      <c r="K127" s="401">
        <f t="shared" si="30"/>
        <v>6118.9471519704275</v>
      </c>
      <c r="L127" s="367">
        <f t="shared" si="31"/>
        <v>453.53222222222297</v>
      </c>
      <c r="M127" s="164">
        <f>OHP!DW51</f>
        <v>78.495348447000012</v>
      </c>
      <c r="N127" s="164">
        <f t="shared" si="32"/>
        <v>2353.4228307810854</v>
      </c>
      <c r="O127" s="126">
        <f t="shared" si="33"/>
        <v>174.43410766000005</v>
      </c>
      <c r="P127" s="164">
        <f>Rx!DL8</f>
        <v>3.9201093699473E-4</v>
      </c>
      <c r="Q127" s="164">
        <f t="shared" si="34"/>
        <v>1.1753148527803528E-5</v>
      </c>
      <c r="R127" s="126">
        <f t="shared" si="35"/>
        <v>8.7113541554384455E-4</v>
      </c>
      <c r="S127" s="164">
        <f>Rx!DP8</f>
        <v>3.7813038620630199</v>
      </c>
      <c r="T127" s="164">
        <f t="shared" si="36"/>
        <v>0.11336986222958681</v>
      </c>
      <c r="U127" s="126">
        <f t="shared" si="37"/>
        <v>8.4028974712511566</v>
      </c>
      <c r="V127" s="402"/>
      <c r="W127" s="402"/>
      <c r="X127" s="403"/>
    </row>
    <row r="128" spans="2:25" x14ac:dyDescent="0.25">
      <c r="B128" s="665"/>
      <c r="C128" s="681"/>
      <c r="D128" s="27" t="s">
        <v>79</v>
      </c>
      <c r="E128" s="91">
        <f>Weights!I163</f>
        <v>1.1900000000000002</v>
      </c>
      <c r="F128" s="92">
        <f>Weights!M163</f>
        <v>0.52666666666666673</v>
      </c>
      <c r="G128" s="375">
        <f>'Alamar Blue (Analysis)'!R12</f>
        <v>1.6190476190476191</v>
      </c>
      <c r="H128" s="364">
        <f>PicoGreen!EK52</f>
        <v>29.77903048571428</v>
      </c>
      <c r="I128" s="288">
        <f t="shared" si="38"/>
        <v>56.542462947558754</v>
      </c>
      <c r="J128" s="364">
        <f>DMMB!EK60</f>
        <v>167.89270000000016</v>
      </c>
      <c r="K128" s="364">
        <f t="shared" si="30"/>
        <v>5637.9505061638038</v>
      </c>
      <c r="L128" s="288">
        <f t="shared" si="31"/>
        <v>318.783607594937</v>
      </c>
      <c r="M128">
        <f>OHP!DW52</f>
        <v>83.734610372999995</v>
      </c>
      <c r="N128">
        <f t="shared" si="32"/>
        <v>2811.864893088763</v>
      </c>
      <c r="O128" s="30">
        <f t="shared" si="33"/>
        <v>158.98976653101263</v>
      </c>
      <c r="P128">
        <f>Rx!DL9</f>
        <v>4.7812481495750699E-4</v>
      </c>
      <c r="Q128">
        <f t="shared" si="34"/>
        <v>1.605575491072065E-5</v>
      </c>
      <c r="R128" s="30">
        <f t="shared" si="35"/>
        <v>9.0783192713450687E-4</v>
      </c>
      <c r="S128">
        <f>Rx!DP9</f>
        <v>3.00407011553783</v>
      </c>
      <c r="T128">
        <f t="shared" si="36"/>
        <v>0.10087870782022118</v>
      </c>
      <c r="U128" s="30">
        <f t="shared" si="37"/>
        <v>5.7039305991224616</v>
      </c>
      <c r="V128" s="182"/>
      <c r="W128" s="182"/>
      <c r="X128" s="184"/>
    </row>
    <row r="129" spans="2:25" x14ac:dyDescent="0.25">
      <c r="B129" s="665"/>
      <c r="C129" s="681"/>
      <c r="D129" s="27" t="s">
        <v>81</v>
      </c>
      <c r="E129" s="91">
        <f>Weights!I164</f>
        <v>1.67</v>
      </c>
      <c r="F129" s="92">
        <f>Weights!M164</f>
        <v>0.57666666666666666</v>
      </c>
      <c r="G129" s="375">
        <f>'Alamar Blue (Analysis)'!R13</f>
        <v>1.7142857142857142</v>
      </c>
      <c r="H129" s="364">
        <f>PicoGreen!EK53</f>
        <v>26.998735485714285</v>
      </c>
      <c r="I129" s="288">
        <f t="shared" si="38"/>
        <v>46.818616449215526</v>
      </c>
      <c r="J129" s="364">
        <f>DMMB!EK61</f>
        <v>201.82720000000046</v>
      </c>
      <c r="K129" s="364">
        <f t="shared" si="30"/>
        <v>7475.4315848159758</v>
      </c>
      <c r="L129" s="288">
        <f t="shared" si="31"/>
        <v>349.98936416185052</v>
      </c>
      <c r="M129">
        <f>OHP!DW53</f>
        <v>85.555346786999991</v>
      </c>
      <c r="N129">
        <f t="shared" si="32"/>
        <v>3168.864957852174</v>
      </c>
      <c r="O129" s="30">
        <f t="shared" si="33"/>
        <v>148.36187304104044</v>
      </c>
      <c r="P129">
        <f>Rx!DL10</f>
        <v>3.7401699234579198E-4</v>
      </c>
      <c r="Q129">
        <f t="shared" si="34"/>
        <v>1.3853129993576693E-5</v>
      </c>
      <c r="R129" s="30">
        <f t="shared" si="35"/>
        <v>6.4858437979039077E-4</v>
      </c>
      <c r="S129">
        <f>Rx!DP10</f>
        <v>3.3310017708222399</v>
      </c>
      <c r="T129">
        <f t="shared" si="36"/>
        <v>0.12337621414101996</v>
      </c>
      <c r="U129" s="30">
        <f t="shared" si="37"/>
        <v>5.7763036488246939</v>
      </c>
      <c r="V129" s="182"/>
      <c r="W129" s="182"/>
      <c r="X129" s="184"/>
    </row>
    <row r="130" spans="2:25" x14ac:dyDescent="0.25">
      <c r="B130" s="665"/>
      <c r="C130" s="681"/>
      <c r="D130" s="27" t="s">
        <v>82</v>
      </c>
      <c r="E130" s="91">
        <f>Weights!I165</f>
        <v>1.3250000000000002</v>
      </c>
      <c r="F130" s="92">
        <f>Weights!M165</f>
        <v>0.435</v>
      </c>
      <c r="G130" s="375">
        <f>'Alamar Blue (Analysis)'!R14</f>
        <v>2.2666666666666666</v>
      </c>
      <c r="H130" s="364">
        <f>PicoGreen!EK54</f>
        <v>42.886135485714284</v>
      </c>
      <c r="I130" s="288">
        <f t="shared" si="38"/>
        <v>98.588817208538586</v>
      </c>
      <c r="J130" s="364">
        <f>DMMB!EK62</f>
        <v>267.43390000000016</v>
      </c>
      <c r="K130" s="364">
        <f t="shared" si="30"/>
        <v>6235.9057763338114</v>
      </c>
      <c r="L130" s="288">
        <f t="shared" si="31"/>
        <v>614.79057471264412</v>
      </c>
      <c r="M130">
        <f>OHP!DW54</f>
        <v>81.542295099</v>
      </c>
      <c r="N130">
        <f t="shared" si="32"/>
        <v>1901.3672874806448</v>
      </c>
      <c r="O130" s="30">
        <f t="shared" si="33"/>
        <v>187.45355195172414</v>
      </c>
      <c r="P130">
        <f>Rx!DL11</f>
        <v>5.88659046372414E-4</v>
      </c>
      <c r="Q130">
        <f t="shared" si="34"/>
        <v>1.3726092120575915E-5</v>
      </c>
      <c r="R130" s="30">
        <f t="shared" si="35"/>
        <v>1.3532391870630207E-3</v>
      </c>
      <c r="S130">
        <f>Rx!DP11</f>
        <v>6.0451513618625796</v>
      </c>
      <c r="T130">
        <f t="shared" si="36"/>
        <v>0.14095817432364052</v>
      </c>
      <c r="U130" s="30"/>
      <c r="V130" s="182"/>
      <c r="W130" s="182"/>
      <c r="X130" s="184"/>
    </row>
    <row r="131" spans="2:25" ht="15.75" thickBot="1" x14ac:dyDescent="0.3">
      <c r="B131" s="665"/>
      <c r="C131" s="682"/>
      <c r="D131" s="61" t="s">
        <v>83</v>
      </c>
      <c r="E131" s="191">
        <f>Weights!I166</f>
        <v>1.7866666666666664</v>
      </c>
      <c r="F131" s="185">
        <f>Weights!M166</f>
        <v>0.56000000000000005</v>
      </c>
      <c r="G131" s="376">
        <f>'Alamar Blue (Analysis)'!R15</f>
        <v>2.019047619047619</v>
      </c>
      <c r="H131" s="365">
        <f>PicoGreen!EK55</f>
        <v>32.559325485714282</v>
      </c>
      <c r="I131" s="366">
        <f t="shared" si="38"/>
        <v>58.141652653061215</v>
      </c>
      <c r="J131" s="365">
        <f>DMMB!EK63</f>
        <v>185.99109999999996</v>
      </c>
      <c r="K131" s="365">
        <f t="shared" si="30"/>
        <v>5712.3757088151397</v>
      </c>
      <c r="L131" s="366">
        <f t="shared" si="31"/>
        <v>332.12696428571417</v>
      </c>
      <c r="M131" s="60">
        <f>OHP!DW55</f>
        <v>95.550818121000006</v>
      </c>
      <c r="N131" s="60">
        <f t="shared" si="32"/>
        <v>2934.6682308552076</v>
      </c>
      <c r="O131" s="90">
        <f t="shared" si="33"/>
        <v>170.62646093035713</v>
      </c>
      <c r="P131" s="60">
        <f>Rx!DL12</f>
        <v>5.0768629545219096E-4</v>
      </c>
      <c r="Q131" s="60">
        <f t="shared" si="34"/>
        <v>1.5592653959460652E-5</v>
      </c>
      <c r="R131" s="90">
        <f t="shared" si="35"/>
        <v>9.0658267045034093E-4</v>
      </c>
      <c r="S131" s="60">
        <f>Rx!DP12</f>
        <v>5.2432435281461203</v>
      </c>
      <c r="T131" s="60">
        <f t="shared" si="36"/>
        <v>0.16103661393251661</v>
      </c>
      <c r="U131" s="90">
        <f>S131/F131</f>
        <v>9.3629348716895002</v>
      </c>
      <c r="V131" s="186"/>
      <c r="W131" s="186"/>
      <c r="X131" s="188"/>
    </row>
    <row r="132" spans="2:25" x14ac:dyDescent="0.25">
      <c r="B132" s="667" t="s">
        <v>199</v>
      </c>
      <c r="C132" s="689" t="s">
        <v>200</v>
      </c>
      <c r="D132" s="25" t="s">
        <v>80</v>
      </c>
      <c r="E132" s="195">
        <v>2.3766666666666665</v>
      </c>
      <c r="F132" s="180">
        <v>0.57000000000000006</v>
      </c>
      <c r="G132" s="301">
        <v>1.1408450704225352</v>
      </c>
      <c r="H132" s="363">
        <v>62.484563333333327</v>
      </c>
      <c r="I132" s="301">
        <v>109.62204093567249</v>
      </c>
      <c r="J132" s="363">
        <v>223.7944999999998</v>
      </c>
      <c r="K132" s="363">
        <v>3581.5966066072078</v>
      </c>
      <c r="L132" s="301">
        <v>392.62192982456099</v>
      </c>
      <c r="M132" s="50">
        <v>100.53740570013584</v>
      </c>
      <c r="N132" s="50">
        <v>1608.9958917341532</v>
      </c>
      <c r="O132" s="28">
        <v>176.38141350901023</v>
      </c>
      <c r="P132" s="181"/>
      <c r="Q132" s="181"/>
      <c r="R132" s="278"/>
      <c r="S132" s="181"/>
      <c r="T132" s="181"/>
      <c r="U132" s="278"/>
      <c r="V132" s="181"/>
      <c r="W132" s="181"/>
      <c r="X132" s="192"/>
      <c r="Y132">
        <f t="shared" si="29"/>
        <v>4.1695906432748533</v>
      </c>
    </row>
    <row r="133" spans="2:25" x14ac:dyDescent="0.25">
      <c r="B133" s="665"/>
      <c r="C133" s="681"/>
      <c r="D133" s="27" t="s">
        <v>79</v>
      </c>
      <c r="E133" s="91">
        <v>1.8933333333333333</v>
      </c>
      <c r="F133" s="92">
        <v>0.56000000000000005</v>
      </c>
      <c r="G133" s="288">
        <v>1.112676056338028</v>
      </c>
      <c r="H133" s="364">
        <v>71.265763333333325</v>
      </c>
      <c r="I133" s="288">
        <v>127.26029166666665</v>
      </c>
      <c r="J133" s="364">
        <v>199.72949999999983</v>
      </c>
      <c r="K133" s="364">
        <v>2802.6010058406237</v>
      </c>
      <c r="L133" s="288">
        <v>356.65982142857109</v>
      </c>
      <c r="M133">
        <v>97.072754265635851</v>
      </c>
      <c r="N133">
        <v>1362.1232654394619</v>
      </c>
      <c r="O133" s="30">
        <v>173.3442040457783</v>
      </c>
      <c r="P133" s="182"/>
      <c r="Q133" s="182"/>
      <c r="R133" s="183"/>
      <c r="S133" s="182"/>
      <c r="T133" s="182"/>
      <c r="U133" s="183"/>
      <c r="V133" s="182"/>
      <c r="W133" s="182"/>
      <c r="X133" s="184"/>
      <c r="Y133">
        <f t="shared" si="29"/>
        <v>3.3809523809523805</v>
      </c>
    </row>
    <row r="134" spans="2:25" x14ac:dyDescent="0.25">
      <c r="B134" s="665"/>
      <c r="C134" s="681"/>
      <c r="D134" s="27" t="s">
        <v>81</v>
      </c>
      <c r="E134" s="91">
        <v>1.6966666666666665</v>
      </c>
      <c r="F134" s="92">
        <v>0.47</v>
      </c>
      <c r="G134" s="288">
        <v>1.112676056338028</v>
      </c>
      <c r="H134" s="364">
        <v>76.754013333333319</v>
      </c>
      <c r="I134" s="288">
        <v>163.3064113475177</v>
      </c>
      <c r="J134" s="364">
        <v>211.76200000000009</v>
      </c>
      <c r="K134" s="364">
        <v>2758.9697372610804</v>
      </c>
      <c r="L134" s="288">
        <v>450.55744680851086</v>
      </c>
      <c r="M134">
        <v>77.653941790010862</v>
      </c>
      <c r="N134">
        <v>1011.7248391008463</v>
      </c>
      <c r="O134" s="30">
        <v>165.22115274470397</v>
      </c>
      <c r="P134" s="182"/>
      <c r="Q134" s="182"/>
      <c r="R134" s="183"/>
      <c r="S134" s="182"/>
      <c r="T134" s="182"/>
      <c r="U134" s="183"/>
      <c r="V134" s="182"/>
      <c r="W134" s="182"/>
      <c r="X134" s="184"/>
      <c r="Y134">
        <f t="shared" si="29"/>
        <v>3.6099290780141842</v>
      </c>
    </row>
    <row r="135" spans="2:25" x14ac:dyDescent="0.25">
      <c r="B135" s="665"/>
      <c r="C135" s="681"/>
      <c r="D135" s="27" t="s">
        <v>82</v>
      </c>
      <c r="E135" s="91">
        <v>1.8733333333333333</v>
      </c>
      <c r="F135" s="92">
        <v>0.53</v>
      </c>
      <c r="G135" s="288">
        <v>1.112676056338028</v>
      </c>
      <c r="H135" s="364">
        <v>105.29291333333333</v>
      </c>
      <c r="I135" s="288">
        <v>198.66587421383647</v>
      </c>
      <c r="J135" s="364">
        <v>271.92449999999997</v>
      </c>
      <c r="K135" s="364">
        <v>2582.5527226048825</v>
      </c>
      <c r="L135" s="288">
        <v>513.06509433962253</v>
      </c>
      <c r="M135">
        <v>105.90202727613585</v>
      </c>
      <c r="N135">
        <v>1005.7849471870362</v>
      </c>
      <c r="O135" s="30">
        <v>199.8151458040299</v>
      </c>
      <c r="P135" s="182"/>
      <c r="Q135" s="182"/>
      <c r="R135" s="183"/>
      <c r="S135" s="182"/>
      <c r="T135" s="182"/>
      <c r="U135" s="183"/>
      <c r="V135" s="182"/>
      <c r="W135" s="182"/>
      <c r="X135" s="184"/>
      <c r="Y135">
        <f t="shared" si="29"/>
        <v>3.5345911949685531</v>
      </c>
    </row>
    <row r="136" spans="2:25" x14ac:dyDescent="0.25">
      <c r="B136" s="665"/>
      <c r="C136" s="681"/>
      <c r="D136" s="27" t="s">
        <v>83</v>
      </c>
      <c r="E136" s="91">
        <v>2.0166666666666666</v>
      </c>
      <c r="F136" s="92">
        <v>0.54</v>
      </c>
      <c r="G136" s="288">
        <v>1.056338028169014</v>
      </c>
      <c r="H136" s="364">
        <v>77.851663333333335</v>
      </c>
      <c r="I136" s="288">
        <v>144.16974691358024</v>
      </c>
      <c r="J136" s="364">
        <v>211.76199999999966</v>
      </c>
      <c r="K136" s="364">
        <v>2720.0703354700277</v>
      </c>
      <c r="L136" s="288">
        <v>392.15185185185118</v>
      </c>
      <c r="M136">
        <v>102.29767215476086</v>
      </c>
      <c r="N136">
        <v>1314.0075340042299</v>
      </c>
      <c r="O136" s="30">
        <v>189.44013361992751</v>
      </c>
      <c r="P136" s="182"/>
      <c r="Q136" s="182"/>
      <c r="R136" s="183"/>
      <c r="S136" s="182"/>
      <c r="T136" s="182"/>
      <c r="U136" s="183"/>
      <c r="V136" s="182"/>
      <c r="W136" s="182"/>
      <c r="X136" s="184"/>
      <c r="Y136">
        <f t="shared" si="29"/>
        <v>3.7345679012345676</v>
      </c>
    </row>
    <row r="137" spans="2:25" ht="15.75" thickBot="1" x14ac:dyDescent="0.3">
      <c r="B137" s="666"/>
      <c r="C137" s="684"/>
      <c r="D137" s="8" t="s">
        <v>94</v>
      </c>
      <c r="E137" s="2">
        <v>1.89</v>
      </c>
      <c r="F137" s="6">
        <v>0.52500000000000002</v>
      </c>
      <c r="G137" s="368">
        <v>0.75352112676056326</v>
      </c>
      <c r="H137" s="369">
        <v>70.168113333333324</v>
      </c>
      <c r="I137" s="368">
        <v>133.65354920634917</v>
      </c>
      <c r="J137" s="369">
        <v>267.11149999999986</v>
      </c>
      <c r="K137" s="369">
        <v>3806.7362411625327</v>
      </c>
      <c r="L137" s="368">
        <v>508.78380952380923</v>
      </c>
      <c r="M137" s="2">
        <v>93.636043568510843</v>
      </c>
      <c r="N137" s="2">
        <v>1334.4529177190957</v>
      </c>
      <c r="O137" s="9">
        <v>178.35436870192541</v>
      </c>
      <c r="P137" s="197"/>
      <c r="Q137" s="197"/>
      <c r="R137" s="196"/>
      <c r="S137" s="197"/>
      <c r="T137" s="197"/>
      <c r="U137" s="196"/>
      <c r="V137" s="197"/>
      <c r="W137" s="197"/>
      <c r="X137" s="198"/>
      <c r="Y137">
        <f t="shared" si="29"/>
        <v>3.5999999999999996</v>
      </c>
    </row>
    <row r="138" spans="2:25" x14ac:dyDescent="0.25">
      <c r="B138" s="667" t="s">
        <v>185</v>
      </c>
      <c r="C138" s="689" t="s">
        <v>184</v>
      </c>
      <c r="D138" s="25" t="s">
        <v>80</v>
      </c>
      <c r="E138" s="195">
        <f>Weights!I44</f>
        <v>1.8333333333333333</v>
      </c>
      <c r="F138" s="180">
        <f>Weights!M44</f>
        <v>0.505</v>
      </c>
      <c r="G138" s="301">
        <f>'Alamar Blue (Analysis)'!X16</f>
        <v>1.2162162162162162</v>
      </c>
      <c r="H138" s="377"/>
      <c r="I138" s="378"/>
      <c r="J138" s="377"/>
      <c r="K138" s="377"/>
      <c r="L138" s="378"/>
      <c r="M138" s="97"/>
      <c r="N138" s="97"/>
      <c r="O138" s="98"/>
      <c r="P138" s="97"/>
      <c r="Q138" s="97"/>
      <c r="R138" s="98"/>
      <c r="S138" s="97"/>
      <c r="T138" s="97"/>
      <c r="U138" s="98"/>
      <c r="V138" s="97"/>
      <c r="W138" s="97"/>
      <c r="X138" s="99"/>
      <c r="Y138">
        <f t="shared" si="29"/>
        <v>3.6303630363036303</v>
      </c>
    </row>
    <row r="139" spans="2:25" x14ac:dyDescent="0.25">
      <c r="B139" s="665"/>
      <c r="C139" s="681"/>
      <c r="D139" s="27" t="s">
        <v>79</v>
      </c>
      <c r="E139" s="91">
        <f>Weights!I45</f>
        <v>1.645</v>
      </c>
      <c r="F139" s="92">
        <f>Weights!M45</f>
        <v>0.47</v>
      </c>
      <c r="G139" s="288">
        <f>'Alamar Blue (Analysis)'!X17</f>
        <v>1.2648648648648648</v>
      </c>
      <c r="H139" s="364">
        <f>PicoGreen!AJ49</f>
        <v>45.293626470588229</v>
      </c>
      <c r="I139" s="288">
        <f t="shared" ref="I139:I148" si="39">H139/F139</f>
        <v>96.369418022528151</v>
      </c>
      <c r="J139" s="364">
        <f>DMMB!AJ57</f>
        <v>221.83199999999943</v>
      </c>
      <c r="K139" s="364">
        <f t="shared" ref="K139:K149" si="40">J139/H139*1000</f>
        <v>4897.6427211905357</v>
      </c>
      <c r="L139" s="288">
        <f t="shared" ref="L139:L159" si="41">J139/F139</f>
        <v>471.98297872340305</v>
      </c>
      <c r="M139">
        <f>OHP!AK55</f>
        <v>111.48670776756907</v>
      </c>
      <c r="N139" s="89">
        <f>M139/H139*1000</f>
        <v>2461.4215388552257</v>
      </c>
      <c r="O139" s="206">
        <f>M139/F139</f>
        <v>237.20576120759378</v>
      </c>
      <c r="P139">
        <f>Rx!AE6</f>
        <v>1.5222482643710501E-3</v>
      </c>
      <c r="Q139">
        <f t="shared" ref="Q139:Q159" si="42">P139/H139</f>
        <v>3.3608443019229958E-5</v>
      </c>
      <c r="R139" s="30">
        <f t="shared" ref="R139:R159" si="43">P139/F139</f>
        <v>3.2388260944064898E-3</v>
      </c>
      <c r="S139">
        <f>Rx!AI6</f>
        <v>0.89011146687690501</v>
      </c>
      <c r="T139">
        <f t="shared" ref="T139:T159" si="44">S139/H139</f>
        <v>1.9652024715991902E-2</v>
      </c>
      <c r="U139" s="30">
        <f t="shared" ref="U139:U159" si="45">S139/F139</f>
        <v>1.8938541848444788</v>
      </c>
      <c r="X139" s="27"/>
      <c r="Y139">
        <f t="shared" si="29"/>
        <v>3.5000000000000004</v>
      </c>
    </row>
    <row r="140" spans="2:25" x14ac:dyDescent="0.25">
      <c r="B140" s="665"/>
      <c r="C140" s="681"/>
      <c r="D140" s="27" t="s">
        <v>81</v>
      </c>
      <c r="E140">
        <f>Weights!I46</f>
        <v>2.0099999999999998</v>
      </c>
      <c r="F140" s="92">
        <f>Weights!M46</f>
        <v>0.55000000000000004</v>
      </c>
      <c r="G140" s="288">
        <f>'Alamar Blue (Analysis)'!X18</f>
        <v>1.2972972972972974</v>
      </c>
      <c r="H140" s="364">
        <f>PicoGreen!AJ50</f>
        <v>50.901976470588231</v>
      </c>
      <c r="I140" s="288">
        <f t="shared" si="39"/>
        <v>92.549048128342235</v>
      </c>
      <c r="J140" s="364">
        <f>DMMB!AJ58</f>
        <v>233.81699999999938</v>
      </c>
      <c r="K140" s="364">
        <f t="shared" si="40"/>
        <v>4593.4758571722978</v>
      </c>
      <c r="L140" s="288">
        <f t="shared" si="41"/>
        <v>425.12181818181705</v>
      </c>
      <c r="M140">
        <f>OHP!AK56</f>
        <v>112.96696415781908</v>
      </c>
      <c r="N140">
        <f t="shared" ref="N140:N154" si="46">M140/H140*1000</f>
        <v>2219.304081897345</v>
      </c>
      <c r="O140" s="30">
        <f t="shared" ref="O140:O154" si="47">M140/F140</f>
        <v>205.39448028694378</v>
      </c>
      <c r="P140">
        <f>Rx!AE7</f>
        <v>1.5558891099925099E-3</v>
      </c>
      <c r="Q140">
        <f t="shared" si="42"/>
        <v>3.0566379104974855E-5</v>
      </c>
      <c r="R140" s="30">
        <f t="shared" si="43"/>
        <v>2.8288892908954724E-3</v>
      </c>
      <c r="S140">
        <f>Rx!AI7</f>
        <v>0.66502580858619298</v>
      </c>
      <c r="T140">
        <f t="shared" si="44"/>
        <v>1.3064832737299558E-2</v>
      </c>
      <c r="U140" s="30">
        <f t="shared" si="45"/>
        <v>1.209137833793078</v>
      </c>
      <c r="X140" s="27"/>
      <c r="Y140">
        <f t="shared" si="29"/>
        <v>3.6545454545454539</v>
      </c>
    </row>
    <row r="141" spans="2:25" x14ac:dyDescent="0.25">
      <c r="B141" s="665"/>
      <c r="C141" s="681"/>
      <c r="D141" s="27" t="s">
        <v>82</v>
      </c>
      <c r="E141">
        <f>Weights!I47</f>
        <v>2.06</v>
      </c>
      <c r="F141" s="92">
        <f>Weights!M47</f>
        <v>0.57999999999999996</v>
      </c>
      <c r="G141" s="288">
        <f>'Alamar Blue (Analysis)'!X19</f>
        <v>1.2216216216216216</v>
      </c>
      <c r="H141" s="364">
        <f>PicoGreen!AJ51</f>
        <v>34.700076470588229</v>
      </c>
      <c r="I141" s="288">
        <f t="shared" si="39"/>
        <v>59.827718052738327</v>
      </c>
      <c r="J141" s="364">
        <f>DMMB!AJ59</f>
        <v>221.83199999999943</v>
      </c>
      <c r="K141" s="364">
        <f t="shared" si="40"/>
        <v>6392.8389376324321</v>
      </c>
      <c r="L141" s="288">
        <f t="shared" si="41"/>
        <v>382.46896551724041</v>
      </c>
      <c r="M141">
        <f>OHP!AK57</f>
        <v>96.067370369131595</v>
      </c>
      <c r="N141">
        <f t="shared" si="46"/>
        <v>2768.5060132521107</v>
      </c>
      <c r="O141" s="30">
        <f t="shared" si="47"/>
        <v>165.63339718815794</v>
      </c>
      <c r="P141">
        <f>Rx!AE8</f>
        <v>1.0849172712920701E-3</v>
      </c>
      <c r="Q141">
        <f t="shared" si="42"/>
        <v>3.1265558512865113E-5</v>
      </c>
      <c r="R141" s="30">
        <f t="shared" si="43"/>
        <v>1.8705470194690865E-3</v>
      </c>
      <c r="S141">
        <f>Rx!AI8</f>
        <v>0.5115583142970721</v>
      </c>
      <c r="T141">
        <f t="shared" si="44"/>
        <v>1.4742282044555974E-2</v>
      </c>
      <c r="U141" s="30">
        <f t="shared" si="45"/>
        <v>0.8819970936156416</v>
      </c>
      <c r="X141" s="27"/>
      <c r="Y141">
        <f t="shared" si="29"/>
        <v>3.5517241379310347</v>
      </c>
    </row>
    <row r="142" spans="2:25" x14ac:dyDescent="0.25">
      <c r="B142" s="665"/>
      <c r="C142" s="681"/>
      <c r="D142" s="27" t="s">
        <v>83</v>
      </c>
      <c r="E142" s="91">
        <f>Weights!I48</f>
        <v>1.9000000000000001</v>
      </c>
      <c r="F142" s="92">
        <f>Weights!M48</f>
        <v>0.47</v>
      </c>
      <c r="G142" s="288">
        <f>'Alamar Blue (Analysis)'!X20</f>
        <v>1.2972972972972974</v>
      </c>
      <c r="H142" s="364">
        <f>PicoGreen!AJ52</f>
        <v>44.670476470588234</v>
      </c>
      <c r="I142" s="288">
        <f t="shared" si="39"/>
        <v>95.043566958698378</v>
      </c>
      <c r="J142" s="364">
        <f>DMMB!AJ60</f>
        <v>212.24399999999946</v>
      </c>
      <c r="K142" s="364">
        <f t="shared" si="40"/>
        <v>4751.3260831176576</v>
      </c>
      <c r="L142" s="288">
        <f t="shared" si="41"/>
        <v>451.58297872340313</v>
      </c>
      <c r="M142">
        <f>OHP!AK58</f>
        <v>71.72537639613158</v>
      </c>
      <c r="N142">
        <f t="shared" si="46"/>
        <v>1605.6550559373759</v>
      </c>
      <c r="O142" s="30">
        <f t="shared" si="47"/>
        <v>152.60718382155656</v>
      </c>
      <c r="P142">
        <f>Rx!AE9</f>
        <v>1.7913750293427199E-3</v>
      </c>
      <c r="Q142">
        <f t="shared" si="42"/>
        <v>4.0101990640780163E-5</v>
      </c>
      <c r="R142" s="30">
        <f t="shared" si="43"/>
        <v>3.8114362326440851E-3</v>
      </c>
      <c r="S142">
        <f>Rx!AI9</f>
        <v>0.97707638030740696</v>
      </c>
      <c r="T142">
        <f t="shared" si="44"/>
        <v>2.1872978698822026E-2</v>
      </c>
      <c r="U142" s="30">
        <f t="shared" si="45"/>
        <v>2.0788859155476747</v>
      </c>
      <c r="X142" s="27"/>
      <c r="Y142">
        <f t="shared" si="29"/>
        <v>4.042553191489362</v>
      </c>
    </row>
    <row r="143" spans="2:25" x14ac:dyDescent="0.25">
      <c r="B143" s="665"/>
      <c r="C143" s="682"/>
      <c r="D143" s="61" t="s">
        <v>94</v>
      </c>
      <c r="E143" s="191">
        <f>Weights!I49</f>
        <v>1.7650000000000001</v>
      </c>
      <c r="F143" s="185">
        <f>Weights!M49</f>
        <v>0.495</v>
      </c>
      <c r="G143" s="366">
        <f>'Alamar Blue (Analysis)'!X21</f>
        <v>1.2540540540540541</v>
      </c>
      <c r="H143" s="365">
        <f>PicoGreen!AJ53</f>
        <v>49.03252647058823</v>
      </c>
      <c r="I143" s="366">
        <f t="shared" si="39"/>
        <v>99.055609031491372</v>
      </c>
      <c r="J143" s="365">
        <f>DMMB!AJ61</f>
        <v>248.1989999999999</v>
      </c>
      <c r="K143" s="365">
        <f t="shared" si="40"/>
        <v>5061.9255801326099</v>
      </c>
      <c r="L143" s="366">
        <f t="shared" si="41"/>
        <v>501.41212121212101</v>
      </c>
      <c r="M143" s="60">
        <f>OHP!AK59</f>
        <v>75.179307973381583</v>
      </c>
      <c r="N143" s="60">
        <f t="shared" si="46"/>
        <v>1533.2538089481743</v>
      </c>
      <c r="O143" s="90">
        <f t="shared" si="47"/>
        <v>151.87738984521533</v>
      </c>
      <c r="P143" s="60">
        <f>Rx!AE10</f>
        <v>1.6736320696676102E-3</v>
      </c>
      <c r="Q143" s="60">
        <f t="shared" si="42"/>
        <v>3.4133098784365623E-5</v>
      </c>
      <c r="R143" s="90">
        <f t="shared" si="43"/>
        <v>3.3810748882173946E-3</v>
      </c>
      <c r="S143" s="60">
        <f>Rx!AI10</f>
        <v>0.869649134305022</v>
      </c>
      <c r="T143" s="60">
        <f t="shared" si="44"/>
        <v>1.773616815006818E-2</v>
      </c>
      <c r="U143" s="90">
        <f t="shared" si="45"/>
        <v>1.7568669379899435</v>
      </c>
      <c r="V143" s="60"/>
      <c r="W143" s="60"/>
      <c r="X143" s="61"/>
      <c r="Y143">
        <f t="shared" si="29"/>
        <v>3.5656565656565657</v>
      </c>
    </row>
    <row r="144" spans="2:25" x14ac:dyDescent="0.25">
      <c r="B144" s="665"/>
      <c r="C144" s="681" t="s">
        <v>208</v>
      </c>
      <c r="D144" s="27" t="s">
        <v>80</v>
      </c>
      <c r="E144" s="91">
        <f>Weights!I57</f>
        <v>2.0049999999999999</v>
      </c>
      <c r="F144" s="92">
        <f>Weights!M57</f>
        <v>0.53</v>
      </c>
      <c r="G144" s="288" cm="1">
        <f t="array" ref="G144:G148">'Alamar Blue (Analysis)'!X24:X28</f>
        <v>1.2569832402234637</v>
      </c>
      <c r="H144" s="364">
        <f>PicoGreen!AY53</f>
        <v>24.895378999999998</v>
      </c>
      <c r="I144" s="288">
        <f t="shared" si="39"/>
        <v>46.972413207547163</v>
      </c>
      <c r="J144" s="364">
        <f>DMMB!AY61</f>
        <v>209.55010000000016</v>
      </c>
      <c r="K144" s="364">
        <f t="shared" si="40"/>
        <v>8417.228755585531</v>
      </c>
      <c r="L144" s="288">
        <f t="shared" si="41"/>
        <v>395.37754716981158</v>
      </c>
      <c r="M144">
        <f>OHP!AZ52</f>
        <v>88.054869916343748</v>
      </c>
      <c r="N144">
        <f>M144/H144*1000</f>
        <v>3536.9965613435229</v>
      </c>
      <c r="O144" s="30">
        <f>M144/F144</f>
        <v>166.1412639931014</v>
      </c>
      <c r="P144">
        <f>Rx!AQ10</f>
        <v>1.4144212915567501E-5</v>
      </c>
      <c r="Q144">
        <f t="shared" si="42"/>
        <v>5.6814611721988659E-7</v>
      </c>
      <c r="R144" s="30">
        <f t="shared" si="43"/>
        <v>2.668719418031604E-5</v>
      </c>
      <c r="S144">
        <f>Rx!AU10</f>
        <v>0.56476820600082001</v>
      </c>
      <c r="T144">
        <f t="shared" si="44"/>
        <v>2.2685664114646339E-2</v>
      </c>
      <c r="U144" s="30">
        <f t="shared" si="45"/>
        <v>1.0656003886807923</v>
      </c>
      <c r="X144" s="27"/>
      <c r="Y144">
        <f t="shared" si="29"/>
        <v>3.783018867924528</v>
      </c>
    </row>
    <row r="145" spans="2:25" x14ac:dyDescent="0.25">
      <c r="B145" s="665"/>
      <c r="C145" s="681"/>
      <c r="D145" s="27" t="s">
        <v>79</v>
      </c>
      <c r="E145" s="91">
        <f>Weights!I58</f>
        <v>1.8633333333333333</v>
      </c>
      <c r="F145" s="92">
        <f>Weights!M58</f>
        <v>0.53</v>
      </c>
      <c r="G145" s="288">
        <v>1.3910614525139666</v>
      </c>
      <c r="H145" s="364">
        <f>PicoGreen!AY54</f>
        <v>39.282479000000002</v>
      </c>
      <c r="I145" s="288">
        <f t="shared" si="39"/>
        <v>74.117884905660375</v>
      </c>
      <c r="J145" s="364">
        <f>DMMB!AY62</f>
        <v>180.88520000000017</v>
      </c>
      <c r="K145" s="364">
        <f t="shared" si="40"/>
        <v>4604.7297575084349</v>
      </c>
      <c r="L145" s="288">
        <f t="shared" si="41"/>
        <v>341.29283018867955</v>
      </c>
      <c r="M145">
        <f>OHP!AZ53</f>
        <v>162.15304649309374</v>
      </c>
      <c r="N145">
        <f>M145/H145*1000</f>
        <v>4127.8720340713153</v>
      </c>
      <c r="O145" s="30">
        <f>M145/F145</f>
        <v>305.94914432659192</v>
      </c>
      <c r="P145">
        <f>Rx!AQ11</f>
        <v>1.9963034684630099E-5</v>
      </c>
      <c r="Q145">
        <f t="shared" si="42"/>
        <v>5.0819182477333213E-7</v>
      </c>
      <c r="R145" s="30">
        <f t="shared" si="43"/>
        <v>3.7666103178547352E-5</v>
      </c>
      <c r="S145">
        <f>Rx!AU11</f>
        <v>0.69333332606604703</v>
      </c>
      <c r="T145">
        <f t="shared" si="44"/>
        <v>1.764993818404503E-2</v>
      </c>
      <c r="U145" s="30">
        <f t="shared" si="45"/>
        <v>1.3081760869170698</v>
      </c>
      <c r="X145" s="27"/>
      <c r="Y145">
        <f t="shared" si="29"/>
        <v>3.5157232704402515</v>
      </c>
    </row>
    <row r="146" spans="2:25" x14ac:dyDescent="0.25">
      <c r="B146" s="665"/>
      <c r="C146" s="681"/>
      <c r="D146" s="27" t="s">
        <v>81</v>
      </c>
      <c r="E146" s="91">
        <f>Weights!I59</f>
        <v>2.3299999999999996</v>
      </c>
      <c r="F146" s="92">
        <f>Weights!M59</f>
        <v>0.54</v>
      </c>
      <c r="G146" s="288">
        <v>1.1452513966480447</v>
      </c>
      <c r="H146" s="364">
        <f>PicoGreen!AY55</f>
        <v>24.415809000000003</v>
      </c>
      <c r="I146" s="288">
        <f t="shared" si="39"/>
        <v>45.214461111111113</v>
      </c>
      <c r="J146" s="364">
        <f>DMMB!AY63</f>
        <v>186.09700000000004</v>
      </c>
      <c r="K146" s="364">
        <f t="shared" si="40"/>
        <v>7621.987868597761</v>
      </c>
      <c r="L146" s="288">
        <f t="shared" si="41"/>
        <v>344.62407407407414</v>
      </c>
      <c r="M146">
        <f>OHP!AZ54</f>
        <v>118.29810378678123</v>
      </c>
      <c r="N146">
        <f>M146/H146*1000</f>
        <v>4845.1437258040969</v>
      </c>
      <c r="O146" s="30">
        <f>M146/F146</f>
        <v>219.07056256811336</v>
      </c>
      <c r="P146">
        <f>Rx!AQ12</f>
        <v>1.13690825333992E-5</v>
      </c>
      <c r="Q146">
        <f t="shared" si="42"/>
        <v>4.6564430993866306E-7</v>
      </c>
      <c r="R146" s="30">
        <f t="shared" si="43"/>
        <v>2.105385654333185E-5</v>
      </c>
      <c r="S146">
        <f>Rx!AU12</f>
        <v>0.477527588813701</v>
      </c>
      <c r="T146">
        <f t="shared" si="44"/>
        <v>1.9558130914838864E-2</v>
      </c>
      <c r="U146" s="30">
        <f t="shared" si="45"/>
        <v>0.88431034965500177</v>
      </c>
      <c r="X146" s="27"/>
      <c r="Y146">
        <f t="shared" si="29"/>
        <v>4.314814814814814</v>
      </c>
    </row>
    <row r="147" spans="2:25" x14ac:dyDescent="0.25">
      <c r="B147" s="665"/>
      <c r="C147" s="681"/>
      <c r="D147" s="27" t="s">
        <v>82</v>
      </c>
      <c r="E147" s="91">
        <f>Weights!I60</f>
        <v>2.0299999999999998</v>
      </c>
      <c r="F147" s="92">
        <f>Weights!M60</f>
        <v>0.49</v>
      </c>
      <c r="G147" s="288">
        <v>1.2681564245810057</v>
      </c>
      <c r="H147" s="364">
        <f>PicoGreen!AY56</f>
        <v>23.936239</v>
      </c>
      <c r="I147" s="288">
        <f t="shared" si="39"/>
        <v>48.849467346938781</v>
      </c>
      <c r="J147" s="364">
        <f>DMMB!AY64</f>
        <v>175.67340000000002</v>
      </c>
      <c r="K147" s="364">
        <f t="shared" si="40"/>
        <v>7339.2231753701999</v>
      </c>
      <c r="L147" s="288">
        <f t="shared" si="41"/>
        <v>358.51714285714291</v>
      </c>
      <c r="M147">
        <f>OHP!AZ55</f>
        <v>109.86966156059374</v>
      </c>
      <c r="N147">
        <f>M147/H147*1000</f>
        <v>4590.097114279054</v>
      </c>
      <c r="O147" s="30">
        <f>M147/F147</f>
        <v>224.22379910325253</v>
      </c>
      <c r="P147">
        <f>Rx!AQ13</f>
        <v>1.38756519108415E-5</v>
      </c>
      <c r="Q147">
        <f t="shared" si="42"/>
        <v>5.7969223614626759E-7</v>
      </c>
      <c r="R147" s="30">
        <f t="shared" si="43"/>
        <v>2.8317656960901021E-5</v>
      </c>
      <c r="S147">
        <f>Rx!AU13</f>
        <v>0.62445915460253298</v>
      </c>
      <c r="T147">
        <f t="shared" si="44"/>
        <v>2.6088440819902116E-2</v>
      </c>
      <c r="U147" s="30">
        <f t="shared" si="45"/>
        <v>1.2744064379643532</v>
      </c>
      <c r="X147" s="27"/>
      <c r="Y147">
        <f t="shared" si="29"/>
        <v>4.1428571428571423</v>
      </c>
    </row>
    <row r="148" spans="2:25" ht="15.75" thickBot="1" x14ac:dyDescent="0.3">
      <c r="B148" s="666"/>
      <c r="C148" s="684"/>
      <c r="D148" s="8" t="s">
        <v>83</v>
      </c>
      <c r="E148" s="5">
        <f>Weights!I61</f>
        <v>2.54</v>
      </c>
      <c r="F148" s="6">
        <f>Weights!M61</f>
        <v>0.59</v>
      </c>
      <c r="G148" s="368">
        <v>1.229050279329609</v>
      </c>
      <c r="H148" s="369">
        <f>PicoGreen!AY57</f>
        <v>27.772799000000003</v>
      </c>
      <c r="I148" s="368">
        <f t="shared" si="39"/>
        <v>47.07254067796611</v>
      </c>
      <c r="J148" s="369">
        <f>DMMB!AY65</f>
        <v>204.33830000000029</v>
      </c>
      <c r="K148" s="369">
        <f t="shared" si="40"/>
        <v>7357.4975284270149</v>
      </c>
      <c r="L148" s="368">
        <f t="shared" si="41"/>
        <v>346.33610169491578</v>
      </c>
      <c r="M148" s="2">
        <f>OHP!AZ56</f>
        <v>142.5017052598437</v>
      </c>
      <c r="N148" s="2">
        <f>M148/H148*1000</f>
        <v>5130.9810458731108</v>
      </c>
      <c r="O148" s="9">
        <f>M148/F148</f>
        <v>241.5283139997351</v>
      </c>
      <c r="P148" s="2">
        <f>Rx!AQ14</f>
        <v>1.06529198541299E-5</v>
      </c>
      <c r="Q148" s="2">
        <f t="shared" si="42"/>
        <v>3.8357386499394242E-7</v>
      </c>
      <c r="R148" s="9">
        <f t="shared" si="43"/>
        <v>1.8055796362932035E-5</v>
      </c>
      <c r="S148" s="2">
        <f>Rx!AU14</f>
        <v>0.51426048026090898</v>
      </c>
      <c r="T148" s="2">
        <f t="shared" si="44"/>
        <v>1.8516696147943493E-2</v>
      </c>
      <c r="U148" s="9">
        <f t="shared" si="45"/>
        <v>0.87162793264560845</v>
      </c>
      <c r="V148" s="2"/>
      <c r="W148" s="2"/>
      <c r="X148" s="8"/>
      <c r="Y148">
        <f t="shared" si="29"/>
        <v>4.3050847457627119</v>
      </c>
    </row>
    <row r="149" spans="2:25" x14ac:dyDescent="0.25">
      <c r="B149" s="667" t="s">
        <v>187</v>
      </c>
      <c r="C149" s="681" t="s">
        <v>181</v>
      </c>
      <c r="D149" s="27" t="s">
        <v>80</v>
      </c>
      <c r="E149" s="91">
        <f>Weights!I35</f>
        <v>1.8766666666666669</v>
      </c>
      <c r="F149" s="92">
        <f>Weights!M35</f>
        <v>0.57499999999999996</v>
      </c>
      <c r="G149" s="288">
        <f>'Alamar Blue (Analysis)'!AD12</f>
        <v>1.5950920245398774</v>
      </c>
      <c r="H149" s="364">
        <f>PicoGreen!U63</f>
        <v>61.115899444444452</v>
      </c>
      <c r="I149" s="288">
        <f>H149/F149</f>
        <v>106.28852077294688</v>
      </c>
      <c r="J149" s="364">
        <f>DMMB!U71</f>
        <v>248.21930000000012</v>
      </c>
      <c r="K149" s="364">
        <f t="shared" si="40"/>
        <v>4061.4521304008022</v>
      </c>
      <c r="L149" s="288">
        <f t="shared" si="41"/>
        <v>431.68573913043502</v>
      </c>
      <c r="M149">
        <f>OHP!AK46</f>
        <v>113.37814648844407</v>
      </c>
      <c r="N149">
        <f t="shared" si="46"/>
        <v>1855.1334025854767</v>
      </c>
      <c r="O149" s="30">
        <f t="shared" si="47"/>
        <v>197.17938519729407</v>
      </c>
      <c r="P149">
        <f>Rx!S20</f>
        <v>8.6856237022680301E-4</v>
      </c>
      <c r="Q149">
        <f t="shared" si="42"/>
        <v>1.4211725232258804E-5</v>
      </c>
      <c r="R149" s="30">
        <f t="shared" si="43"/>
        <v>1.5105432525683532E-3</v>
      </c>
      <c r="S149">
        <f>Rx!W20</f>
        <v>1.9299924671806798</v>
      </c>
      <c r="T149">
        <f t="shared" si="44"/>
        <v>3.1579220542030648E-2</v>
      </c>
      <c r="U149" s="30">
        <f t="shared" si="45"/>
        <v>3.3565086385750957</v>
      </c>
      <c r="X149" s="27"/>
      <c r="Y149">
        <f t="shared" si="29"/>
        <v>3.2637681159420295</v>
      </c>
    </row>
    <row r="150" spans="2:25" x14ac:dyDescent="0.25">
      <c r="B150" s="665"/>
      <c r="C150" s="681"/>
      <c r="D150" s="27" t="s">
        <v>79</v>
      </c>
      <c r="E150" s="91">
        <f>Weights!I36</f>
        <v>1.8166666666666667</v>
      </c>
      <c r="F150" s="92">
        <f>Weights!M36</f>
        <v>0.52</v>
      </c>
      <c r="G150" s="288">
        <f>'Alamar Blue (Analysis)'!AD13</f>
        <v>1.4478527607361964</v>
      </c>
      <c r="H150" s="364">
        <f>PicoGreen!U64</f>
        <v>35.848074444444443</v>
      </c>
      <c r="I150" s="288">
        <f t="shared" ref="I150:I159" si="48">H150/F150</f>
        <v>68.938604700854697</v>
      </c>
      <c r="J150" s="364">
        <f>DMMB!U72</f>
        <v>232.50360000000001</v>
      </c>
      <c r="K150" s="364">
        <f t="shared" ref="K150:K177" si="49">J150/H150*1000</f>
        <v>6485.8044289191175</v>
      </c>
      <c r="L150" s="288">
        <f t="shared" si="41"/>
        <v>447.12230769230769</v>
      </c>
      <c r="M150">
        <f>OHP!AK47</f>
        <v>82.662826390756592</v>
      </c>
      <c r="N150">
        <f t="shared" si="46"/>
        <v>2305.9209642867518</v>
      </c>
      <c r="O150" s="30">
        <f t="shared" si="47"/>
        <v>158.96697382837806</v>
      </c>
      <c r="P150">
        <f>Rx!S21</f>
        <v>7.1544195237526896E-4</v>
      </c>
      <c r="Q150">
        <f t="shared" si="42"/>
        <v>1.9957611767516974E-5</v>
      </c>
      <c r="R150" s="30">
        <f t="shared" si="43"/>
        <v>1.3758499084139788E-3</v>
      </c>
      <c r="S150">
        <f>Rx!W21</f>
        <v>1.5886332552983899</v>
      </c>
      <c r="T150">
        <f t="shared" si="44"/>
        <v>4.4315720716335112E-2</v>
      </c>
      <c r="U150" s="30">
        <f t="shared" si="45"/>
        <v>3.0550639524969037</v>
      </c>
      <c r="X150" s="27"/>
      <c r="Y150">
        <f t="shared" si="29"/>
        <v>3.4935897435897436</v>
      </c>
    </row>
    <row r="151" spans="2:25" x14ac:dyDescent="0.25">
      <c r="B151" s="665"/>
      <c r="C151" s="681"/>
      <c r="D151" s="27" t="s">
        <v>81</v>
      </c>
      <c r="E151" s="91">
        <f>Weights!I37</f>
        <v>1.8233333333333333</v>
      </c>
      <c r="F151" s="92">
        <f>Weights!M37</f>
        <v>0.56499999999999995</v>
      </c>
      <c r="G151" s="288">
        <f>'Alamar Blue (Analysis)'!AD14</f>
        <v>1.6687116564417177</v>
      </c>
      <c r="H151" s="364">
        <f>PicoGreen!U65</f>
        <v>54.224674444444439</v>
      </c>
      <c r="I151" s="288">
        <f t="shared" si="48"/>
        <v>95.972875122910523</v>
      </c>
      <c r="J151" s="364">
        <f>DMMB!U73</f>
        <v>232.50359999999972</v>
      </c>
      <c r="K151" s="364">
        <f t="shared" si="49"/>
        <v>4287.7823127958081</v>
      </c>
      <c r="L151" s="288">
        <f t="shared" si="41"/>
        <v>411.51079646017655</v>
      </c>
      <c r="M151">
        <f>OHP!AK48</f>
        <v>101.74168653175659</v>
      </c>
      <c r="N151">
        <f t="shared" si="46"/>
        <v>1876.2987067076892</v>
      </c>
      <c r="O151" s="30">
        <f t="shared" si="47"/>
        <v>180.07378147213558</v>
      </c>
      <c r="P151">
        <f>Rx!S22</f>
        <v>6.7320183710588006E-4</v>
      </c>
      <c r="Q151">
        <f t="shared" si="42"/>
        <v>1.2415046175991428E-5</v>
      </c>
      <c r="R151" s="30">
        <f t="shared" si="43"/>
        <v>1.1915076762935932E-3</v>
      </c>
      <c r="S151">
        <f>Rx!W22</f>
        <v>1.48359965164229</v>
      </c>
      <c r="T151">
        <f t="shared" si="44"/>
        <v>2.736023160751851E-2</v>
      </c>
      <c r="U151" s="30">
        <f t="shared" si="45"/>
        <v>2.6258400914022832</v>
      </c>
      <c r="X151" s="27"/>
      <c r="Y151">
        <f t="shared" si="29"/>
        <v>3.2271386430678466</v>
      </c>
    </row>
    <row r="152" spans="2:25" x14ac:dyDescent="0.25">
      <c r="B152" s="665"/>
      <c r="C152" s="681"/>
      <c r="D152" s="27" t="s">
        <v>82</v>
      </c>
      <c r="E152" s="91">
        <f>Weights!I38</f>
        <v>1.5649999999999999</v>
      </c>
      <c r="F152" s="92">
        <f>Weights!M38</f>
        <v>0.44</v>
      </c>
      <c r="G152" s="288">
        <f>'Alamar Blue (Analysis)'!AD15</f>
        <v>1.5766871165644172</v>
      </c>
      <c r="H152" s="364">
        <f>PicoGreen!U66</f>
        <v>41.820469444444448</v>
      </c>
      <c r="I152" s="288">
        <f t="shared" si="48"/>
        <v>95.046521464646474</v>
      </c>
      <c r="J152" s="364">
        <f>DMMB!U74</f>
        <v>219.03299999999999</v>
      </c>
      <c r="K152" s="364">
        <f t="shared" si="49"/>
        <v>5237.459141652389</v>
      </c>
      <c r="L152" s="288">
        <f t="shared" si="41"/>
        <v>497.80227272727268</v>
      </c>
      <c r="M152">
        <f>OHP!AK49</f>
        <v>90.598645371819075</v>
      </c>
      <c r="N152">
        <f t="shared" si="46"/>
        <v>2166.3708364673666</v>
      </c>
      <c r="O152" s="30">
        <f t="shared" si="47"/>
        <v>205.90601220867973</v>
      </c>
      <c r="P152">
        <f>Rx!S23</f>
        <v>5.3592146248036799E-4</v>
      </c>
      <c r="Q152">
        <f t="shared" si="42"/>
        <v>1.2814812210377073E-5</v>
      </c>
      <c r="R152" s="30">
        <f t="shared" si="43"/>
        <v>1.2180033238190181E-3</v>
      </c>
      <c r="S152">
        <f>Rx!W23</f>
        <v>1.54924565392735</v>
      </c>
      <c r="T152">
        <f t="shared" si="44"/>
        <v>3.704515215893054E-2</v>
      </c>
      <c r="U152" s="30">
        <f t="shared" si="45"/>
        <v>3.5210128498348863</v>
      </c>
      <c r="X152" s="27"/>
      <c r="Y152">
        <f t="shared" si="29"/>
        <v>3.5568181818181817</v>
      </c>
    </row>
    <row r="153" spans="2:25" x14ac:dyDescent="0.25">
      <c r="B153" s="665"/>
      <c r="C153" s="681"/>
      <c r="D153" s="27" t="s">
        <v>83</v>
      </c>
      <c r="E153" s="91">
        <f>Weights!I39</f>
        <v>1.8666666666666665</v>
      </c>
      <c r="F153" s="92">
        <f>Weights!M39</f>
        <v>0.48499999999999999</v>
      </c>
      <c r="G153" s="288">
        <f>'Alamar Blue (Analysis)'!AD16</f>
        <v>1.6503067484662577</v>
      </c>
      <c r="H153" s="364">
        <f>PicoGreen!U67</f>
        <v>43.658129444444441</v>
      </c>
      <c r="I153" s="288">
        <f t="shared" si="48"/>
        <v>90.016761741122565</v>
      </c>
      <c r="J153" s="364">
        <f>DMMB!U75</f>
        <v>243.72909999999993</v>
      </c>
      <c r="K153" s="364">
        <f t="shared" si="49"/>
        <v>5582.6739052150297</v>
      </c>
      <c r="L153" s="288">
        <f t="shared" si="41"/>
        <v>502.53422680412359</v>
      </c>
      <c r="M153">
        <f>OHP!AK50</f>
        <v>51.454087496319076</v>
      </c>
      <c r="N153">
        <f t="shared" si="46"/>
        <v>1178.5683021943278</v>
      </c>
      <c r="O153" s="30">
        <f t="shared" si="47"/>
        <v>106.09090205426614</v>
      </c>
      <c r="P153">
        <f>Rx!S24</f>
        <v>7.2336197398827897E-4</v>
      </c>
      <c r="Q153">
        <f t="shared" si="42"/>
        <v>1.656878073323702E-5</v>
      </c>
      <c r="R153" s="30">
        <f t="shared" si="43"/>
        <v>1.491467987604699E-3</v>
      </c>
      <c r="S153">
        <f>Rx!W24</f>
        <v>1.1728752408263601</v>
      </c>
      <c r="T153">
        <f t="shared" si="44"/>
        <v>2.686499068446942E-2</v>
      </c>
      <c r="U153" s="30">
        <f t="shared" si="45"/>
        <v>2.4182994656213612</v>
      </c>
      <c r="X153" s="27"/>
      <c r="Y153">
        <f t="shared" si="29"/>
        <v>3.8487972508591062</v>
      </c>
    </row>
    <row r="154" spans="2:25" x14ac:dyDescent="0.25">
      <c r="B154" s="665"/>
      <c r="C154" s="682"/>
      <c r="D154" s="61" t="s">
        <v>94</v>
      </c>
      <c r="E154" s="191">
        <f>Weights!I40</f>
        <v>1.81</v>
      </c>
      <c r="F154" s="185">
        <f>Weights!M40</f>
        <v>0.49</v>
      </c>
      <c r="G154" s="366">
        <f>'Alamar Blue (Analysis)'!AD17</f>
        <v>1.3312883435582821</v>
      </c>
      <c r="H154" s="365">
        <f>PicoGreen!U68</f>
        <v>34.010414444444443</v>
      </c>
      <c r="I154" s="366">
        <f t="shared" si="48"/>
        <v>69.409009070294786</v>
      </c>
      <c r="J154" s="365">
        <f>DMMB!U76</f>
        <v>275.16049999999979</v>
      </c>
      <c r="K154" s="365">
        <f t="shared" si="49"/>
        <v>8090.4777108632652</v>
      </c>
      <c r="L154" s="366">
        <f t="shared" si="41"/>
        <v>561.5520408163261</v>
      </c>
      <c r="M154" s="60">
        <f>OHP!AK51</f>
        <v>96.231843301381573</v>
      </c>
      <c r="N154" s="60">
        <f t="shared" si="46"/>
        <v>2829.4816418240066</v>
      </c>
      <c r="O154" s="90">
        <f t="shared" si="47"/>
        <v>196.39151694159506</v>
      </c>
      <c r="P154" s="60">
        <f>Rx!S25</f>
        <v>5.57041520115062E-4</v>
      </c>
      <c r="Q154" s="60">
        <f t="shared" si="42"/>
        <v>1.6378557251190865E-5</v>
      </c>
      <c r="R154" s="90">
        <f t="shared" si="43"/>
        <v>1.136819428806249E-3</v>
      </c>
      <c r="S154" s="60">
        <f>Rx!W25</f>
        <v>0.708976824678619</v>
      </c>
      <c r="T154" s="60">
        <f t="shared" si="44"/>
        <v>2.0845874308198249E-2</v>
      </c>
      <c r="U154" s="90">
        <f t="shared" si="45"/>
        <v>1.4468914789359573</v>
      </c>
      <c r="V154" s="60"/>
      <c r="W154" s="60"/>
      <c r="X154" s="61"/>
      <c r="Y154">
        <f t="shared" si="29"/>
        <v>3.6938775510204085</v>
      </c>
    </row>
    <row r="155" spans="2:25" x14ac:dyDescent="0.25">
      <c r="B155" s="665"/>
      <c r="C155" s="683" t="s">
        <v>225</v>
      </c>
      <c r="D155" s="27" t="s">
        <v>80</v>
      </c>
      <c r="E155" s="91">
        <f>Weights!I67</f>
        <v>1.8066666666666666</v>
      </c>
      <c r="F155" s="92">
        <f>Weights!M67</f>
        <v>0.54500000000000004</v>
      </c>
      <c r="G155" s="288"/>
      <c r="H155" s="364">
        <f>PicoGreen!BN50</f>
        <v>24.375503030303033</v>
      </c>
      <c r="I155" s="288">
        <f t="shared" si="48"/>
        <v>44.725693633583546</v>
      </c>
      <c r="J155" s="364">
        <f>DMMB!BN58</f>
        <v>173.74869999999959</v>
      </c>
      <c r="K155" s="364">
        <f>J155/H155*1000</f>
        <v>7128.0046932364612</v>
      </c>
      <c r="L155" s="288">
        <f t="shared" si="41"/>
        <v>318.80495412843959</v>
      </c>
      <c r="M155">
        <f>OHP!AZ61</f>
        <v>111.17674618390622</v>
      </c>
      <c r="N155">
        <f>M155/H155*1000</f>
        <v>4561.0031532762214</v>
      </c>
      <c r="O155" s="30">
        <f>M155/F155</f>
        <v>203.99402969524076</v>
      </c>
      <c r="P155">
        <f>Rx!BC7</f>
        <v>2.0259770094939498E-5</v>
      </c>
      <c r="Q155">
        <f t="shared" si="42"/>
        <v>8.3115290255766385E-7</v>
      </c>
      <c r="R155" s="30">
        <f t="shared" si="43"/>
        <v>3.7173890082457789E-5</v>
      </c>
      <c r="S155">
        <f>Rx!BG7</f>
        <v>0.26934280906783398</v>
      </c>
      <c r="T155">
        <f t="shared" si="44"/>
        <v>1.1049733362753316E-2</v>
      </c>
      <c r="U155" s="30">
        <f t="shared" si="45"/>
        <v>0.49420698911529165</v>
      </c>
      <c r="X155" s="27"/>
    </row>
    <row r="156" spans="2:25" x14ac:dyDescent="0.25">
      <c r="B156" s="665"/>
      <c r="C156" s="681"/>
      <c r="D156" s="27" t="s">
        <v>79</v>
      </c>
      <c r="E156" s="91">
        <f>Weights!I68</f>
        <v>1.3149999999999999</v>
      </c>
      <c r="F156" s="92">
        <f>Weights!M68</f>
        <v>0.435</v>
      </c>
      <c r="G156" s="288"/>
      <c r="H156" s="364">
        <f>PicoGreen!BN51</f>
        <v>20.928753030303032</v>
      </c>
      <c r="I156" s="288">
        <f t="shared" si="48"/>
        <v>48.112075931731106</v>
      </c>
      <c r="J156" s="364">
        <f>DMMB!BN59</f>
        <v>144.87309999999979</v>
      </c>
      <c r="K156" s="364">
        <f>J156/H156*1000</f>
        <v>6922.2040983634342</v>
      </c>
      <c r="L156" s="288">
        <f t="shared" si="41"/>
        <v>333.0416091954018</v>
      </c>
      <c r="M156">
        <f>OHP!AZ62</f>
        <v>85.981563272468733</v>
      </c>
      <c r="N156">
        <f>M156/H156*1000</f>
        <v>4108.298432686116</v>
      </c>
      <c r="O156" s="30">
        <f>M156/F156</f>
        <v>197.65876614360627</v>
      </c>
      <c r="P156">
        <f>Rx!BC8</f>
        <v>1.2436690553329201E-5</v>
      </c>
      <c r="Q156">
        <f t="shared" si="42"/>
        <v>5.9423944347386316E-7</v>
      </c>
      <c r="R156" s="30">
        <f t="shared" si="43"/>
        <v>2.8590093226044139E-5</v>
      </c>
      <c r="S156">
        <f>Rx!BG8</f>
        <v>0.23738688256825999</v>
      </c>
      <c r="T156">
        <f t="shared" si="44"/>
        <v>1.134261951605737E-2</v>
      </c>
      <c r="U156" s="30">
        <f t="shared" si="45"/>
        <v>0.54571697142128728</v>
      </c>
      <c r="X156" s="27"/>
    </row>
    <row r="157" spans="2:25" x14ac:dyDescent="0.25">
      <c r="B157" s="665"/>
      <c r="C157" s="681"/>
      <c r="D157" s="27" t="s">
        <v>81</v>
      </c>
      <c r="E157" s="91">
        <f>Weights!I69</f>
        <v>1.6233333333333333</v>
      </c>
      <c r="F157" s="92">
        <f>Weights!M69</f>
        <v>0.435</v>
      </c>
      <c r="G157" s="288"/>
      <c r="H157" s="364">
        <f>PicoGreen!BN52</f>
        <v>26.443553030303029</v>
      </c>
      <c r="I157" s="288">
        <f t="shared" si="48"/>
        <v>60.789777081156387</v>
      </c>
      <c r="J157" s="364">
        <f>DMMB!BN60</f>
        <v>161.71719999999937</v>
      </c>
      <c r="K157" s="364">
        <f>J157/H157*1000</f>
        <v>6115.56245163724</v>
      </c>
      <c r="L157" s="288">
        <f t="shared" si="41"/>
        <v>371.76367816091806</v>
      </c>
      <c r="M157">
        <f>OHP!AZ63</f>
        <v>112.43875892365627</v>
      </c>
      <c r="N157">
        <f>M157/H157*1000</f>
        <v>4252.0291730391482</v>
      </c>
      <c r="O157" s="30">
        <f>M157/F157</f>
        <v>258.47990557162359</v>
      </c>
      <c r="P157">
        <f>Rx!BC9</f>
        <v>8.6254466740831305E-6</v>
      </c>
      <c r="Q157">
        <f t="shared" si="42"/>
        <v>3.2618334851594211E-7</v>
      </c>
      <c r="R157" s="30">
        <f t="shared" si="43"/>
        <v>1.9828613043869267E-5</v>
      </c>
      <c r="S157">
        <f>Rx!BG9</f>
        <v>0.18717042664035899</v>
      </c>
      <c r="T157">
        <f t="shared" si="44"/>
        <v>7.0781118719511994E-3</v>
      </c>
      <c r="U157" s="30">
        <f t="shared" si="45"/>
        <v>0.4302768428514</v>
      </c>
      <c r="X157" s="27"/>
    </row>
    <row r="158" spans="2:25" x14ac:dyDescent="0.25">
      <c r="B158" s="665"/>
      <c r="C158" s="681"/>
      <c r="D158" s="27" t="s">
        <v>82</v>
      </c>
      <c r="E158" s="91">
        <f>Weights!I70</f>
        <v>1.73</v>
      </c>
      <c r="F158" s="92">
        <f>Weights!M70</f>
        <v>0.53500000000000003</v>
      </c>
      <c r="G158" s="288"/>
      <c r="H158" s="364">
        <f>PicoGreen!BN53</f>
        <v>40.230553030303028</v>
      </c>
      <c r="I158" s="288">
        <f t="shared" si="48"/>
        <v>75.197295383743977</v>
      </c>
      <c r="J158" s="364">
        <f>DMMB!BN61</f>
        <v>159.31089999999955</v>
      </c>
      <c r="K158" s="364">
        <f>J158/H158*1000</f>
        <v>3959.9480494339996</v>
      </c>
      <c r="L158" s="288">
        <f t="shared" si="41"/>
        <v>297.77738317756922</v>
      </c>
      <c r="M158">
        <f>OHP!AZ64</f>
        <v>123.25601097865624</v>
      </c>
      <c r="N158">
        <f>M158/H158*1000</f>
        <v>3063.7414028540848</v>
      </c>
      <c r="O158" s="30">
        <f>M158/F158</f>
        <v>230.38506724982471</v>
      </c>
      <c r="P158">
        <f>Rx!BC10</f>
        <v>2.9888175684613598E-5</v>
      </c>
      <c r="Q158">
        <f t="shared" si="42"/>
        <v>7.4292231732685358E-7</v>
      </c>
      <c r="R158" s="30">
        <f t="shared" si="43"/>
        <v>5.5865748943202982E-5</v>
      </c>
      <c r="S158">
        <f>Rx!BG10</f>
        <v>0.419992176851537</v>
      </c>
      <c r="T158">
        <f t="shared" si="44"/>
        <v>1.0439632200312646E-2</v>
      </c>
      <c r="U158" s="30">
        <f t="shared" si="45"/>
        <v>0.78503210626455511</v>
      </c>
      <c r="X158" s="27"/>
    </row>
    <row r="159" spans="2:25" ht="15.75" thickBot="1" x14ac:dyDescent="0.3">
      <c r="B159" s="666"/>
      <c r="C159" s="684"/>
      <c r="D159" s="27" t="s">
        <v>83</v>
      </c>
      <c r="E159" s="91">
        <f>Weights!I71</f>
        <v>2.13</v>
      </c>
      <c r="F159" s="92">
        <f>Weights!M71</f>
        <v>0.52</v>
      </c>
      <c r="G159" s="288"/>
      <c r="H159" s="364">
        <f>PicoGreen!BN54</f>
        <v>30.579653030303028</v>
      </c>
      <c r="I159" s="288">
        <f t="shared" si="48"/>
        <v>58.807025058275052</v>
      </c>
      <c r="J159" s="364">
        <f>DMMB!BN62</f>
        <v>195.40539999999936</v>
      </c>
      <c r="K159" s="364">
        <f>J159/H159*1000</f>
        <v>6390.0463424605114</v>
      </c>
      <c r="L159" s="288">
        <f t="shared" si="41"/>
        <v>375.77961538461415</v>
      </c>
      <c r="M159">
        <f>OHP!AZ65</f>
        <v>84.944909950531255</v>
      </c>
      <c r="N159">
        <f>M159/H159*1000</f>
        <v>2777.8245183604522</v>
      </c>
      <c r="O159" s="30">
        <f>M159/F159</f>
        <v>163.35559605871396</v>
      </c>
      <c r="P159">
        <f>Rx!BC11</f>
        <v>2.7280482504076901E-5</v>
      </c>
      <c r="Q159">
        <f t="shared" si="42"/>
        <v>8.9211223152346425E-7</v>
      </c>
      <c r="R159" s="30">
        <f t="shared" si="43"/>
        <v>5.2462466353994037E-5</v>
      </c>
      <c r="S159">
        <f>Rx!BG11</f>
        <v>0.43825270627986501</v>
      </c>
      <c r="T159">
        <f t="shared" si="44"/>
        <v>1.4331513370854037E-2</v>
      </c>
      <c r="U159" s="30">
        <f t="shared" si="45"/>
        <v>0.84279366592281735</v>
      </c>
      <c r="X159" s="27"/>
    </row>
    <row r="160" spans="2:25" x14ac:dyDescent="0.25">
      <c r="B160" s="667" t="s">
        <v>91</v>
      </c>
      <c r="C160" s="689" t="s">
        <v>12</v>
      </c>
      <c r="D160" s="25" t="s">
        <v>80</v>
      </c>
      <c r="E160" s="93"/>
      <c r="F160" s="94"/>
      <c r="G160" s="301">
        <f>'Alamar Blue (Analysis)'!X4</f>
        <v>3.046875</v>
      </c>
      <c r="H160" s="377"/>
      <c r="I160" s="378"/>
      <c r="J160" s="377"/>
      <c r="K160" s="377"/>
      <c r="L160" s="378"/>
      <c r="M160" s="97"/>
      <c r="N160" s="97"/>
      <c r="O160" s="98"/>
      <c r="P160" s="97"/>
      <c r="Q160" s="97"/>
      <c r="R160" s="98"/>
      <c r="S160" s="97"/>
      <c r="T160" s="97"/>
      <c r="U160" s="98"/>
      <c r="V160" s="97"/>
      <c r="W160" s="97"/>
      <c r="X160" s="99"/>
    </row>
    <row r="161" spans="2:25" x14ac:dyDescent="0.25">
      <c r="B161" s="665"/>
      <c r="C161" s="682"/>
      <c r="D161" s="61" t="s">
        <v>79</v>
      </c>
      <c r="E161" s="191">
        <f>Weights!I3</f>
        <v>1.7149999999999999</v>
      </c>
      <c r="F161" s="90">
        <f>Weights!M3</f>
        <v>0.51</v>
      </c>
      <c r="G161" s="366">
        <f>'Alamar Blue (Analysis)'!X6</f>
        <v>2.1614583333333335</v>
      </c>
      <c r="H161" s="365">
        <f>PicoGreen!F46</f>
        <v>12.277247962962964</v>
      </c>
      <c r="I161" s="366">
        <f t="shared" ref="I161:I170" si="50">H161/F161</f>
        <v>24.073035221496006</v>
      </c>
      <c r="J161" s="365">
        <f>DMMB!G54</f>
        <v>217.27740000000011</v>
      </c>
      <c r="K161" s="365">
        <f t="shared" si="49"/>
        <v>17697.56550128054</v>
      </c>
      <c r="L161" s="366">
        <f t="shared" ref="L161:L170" si="51">J161/F161</f>
        <v>426.03411764705902</v>
      </c>
      <c r="M161" s="60">
        <f>OHP!H46</f>
        <v>73.594657616820669</v>
      </c>
      <c r="N161" s="60">
        <f>M161/H161*1000</f>
        <v>5994.3936816162095</v>
      </c>
      <c r="O161" s="90">
        <f t="shared" ref="O161:O170" si="52">M161/F161</f>
        <v>144.30325022906013</v>
      </c>
      <c r="P161" s="60">
        <f>Rx!G3</f>
        <v>1.0543323604586901E-4</v>
      </c>
      <c r="Q161" s="60">
        <f t="shared" ref="Q161:Q170" si="53">P161/H161</f>
        <v>8.5876929719047557E-6</v>
      </c>
      <c r="R161" s="90">
        <f t="shared" ref="R161:R170" si="54">P161/F161</f>
        <v>2.0673183538405689E-4</v>
      </c>
      <c r="S161" s="60">
        <f>Rx!K3</f>
        <v>0.69290589770523492</v>
      </c>
      <c r="T161" s="60">
        <f t="shared" ref="T161:T170" si="55">S161/H161</f>
        <v>5.6438209914431881E-2</v>
      </c>
      <c r="U161" s="90">
        <f t="shared" ref="U161:U170" si="56">S161/F161</f>
        <v>1.3586390151083036</v>
      </c>
      <c r="V161" s="186"/>
      <c r="W161" s="186"/>
      <c r="X161" s="188"/>
      <c r="Y161">
        <f t="shared" si="29"/>
        <v>3.3627450980392153</v>
      </c>
    </row>
    <row r="162" spans="2:25" x14ac:dyDescent="0.25">
      <c r="B162" s="665"/>
      <c r="C162" s="681" t="s">
        <v>70</v>
      </c>
      <c r="D162" s="27" t="s">
        <v>80</v>
      </c>
      <c r="E162" s="91">
        <f>Weights!I9</f>
        <v>2.0466666666666664</v>
      </c>
      <c r="F162" s="30">
        <f>Weights!M9</f>
        <v>0.55000000000000004</v>
      </c>
      <c r="G162" s="288">
        <f>'Alamar Blue (Analysis)'!X9</f>
        <v>2.7952380952380951</v>
      </c>
      <c r="H162" s="364">
        <f>PicoGreen!F52</f>
        <v>17.269172962962962</v>
      </c>
      <c r="I162" s="288">
        <f t="shared" si="50"/>
        <v>31.39849629629629</v>
      </c>
      <c r="J162" s="364">
        <f>DMMB!F60</f>
        <v>219.27229999999994</v>
      </c>
      <c r="K162" s="364">
        <f t="shared" si="49"/>
        <v>12697.324907815288</v>
      </c>
      <c r="L162" s="288">
        <f t="shared" si="51"/>
        <v>398.67690909090896</v>
      </c>
      <c r="M162">
        <f>OHP!G52</f>
        <v>89.034783823883146</v>
      </c>
      <c r="N162">
        <f t="shared" ref="N162:N177" si="57">M162/H162*1000</f>
        <v>5155.7062990124214</v>
      </c>
      <c r="O162" s="30">
        <f t="shared" si="52"/>
        <v>161.88142513433297</v>
      </c>
      <c r="P162">
        <f>Rx!G9</f>
        <v>6.60165663600328E-4</v>
      </c>
      <c r="Q162">
        <f t="shared" si="53"/>
        <v>3.8227983761363636E-5</v>
      </c>
      <c r="R162" s="30">
        <f t="shared" si="54"/>
        <v>1.2003012065460509E-3</v>
      </c>
      <c r="S162">
        <f>Rx!K9</f>
        <v>0.436402804496138</v>
      </c>
      <c r="T162">
        <f t="shared" si="55"/>
        <v>2.5270625607380685E-2</v>
      </c>
      <c r="U162" s="30">
        <f t="shared" si="56"/>
        <v>0.79345964453843265</v>
      </c>
      <c r="V162" s="182"/>
      <c r="W162" s="182"/>
      <c r="X162" s="184"/>
      <c r="Y162">
        <f t="shared" si="29"/>
        <v>3.7212121212121203</v>
      </c>
    </row>
    <row r="163" spans="2:25" x14ac:dyDescent="0.25">
      <c r="B163" s="665"/>
      <c r="C163" s="681"/>
      <c r="D163" s="27" t="s">
        <v>79</v>
      </c>
      <c r="E163" s="91">
        <f>Weights!I10</f>
        <v>1.375</v>
      </c>
      <c r="F163" s="30">
        <f>Weights!M10</f>
        <v>0.42</v>
      </c>
      <c r="G163" s="288">
        <f>'Alamar Blue (Analysis)'!X10</f>
        <v>2.5809523809523807</v>
      </c>
      <c r="H163" s="364">
        <f>PicoGreen!F53</f>
        <v>17.934762962962964</v>
      </c>
      <c r="I163" s="288">
        <f t="shared" si="50"/>
        <v>42.701816578483246</v>
      </c>
      <c r="J163" s="364">
        <f>DMMB!F61</f>
        <v>193.33859999999973</v>
      </c>
      <c r="K163" s="364">
        <f t="shared" si="49"/>
        <v>10780.103444871997</v>
      </c>
      <c r="L163" s="288">
        <f t="shared" si="51"/>
        <v>460.32999999999936</v>
      </c>
      <c r="M163">
        <f>OHP!G53</f>
        <v>68.117899423133181</v>
      </c>
      <c r="N163">
        <f t="shared" si="57"/>
        <v>3798.093097957486</v>
      </c>
      <c r="O163" s="30">
        <f t="shared" si="52"/>
        <v>162.18547481698377</v>
      </c>
      <c r="P163">
        <f>Rx!G10</f>
        <v>2.6296292449818097E-4</v>
      </c>
      <c r="Q163">
        <f t="shared" si="53"/>
        <v>1.466219124508225E-5</v>
      </c>
      <c r="R163" s="30">
        <f t="shared" si="54"/>
        <v>6.2610220118614513E-4</v>
      </c>
      <c r="S163">
        <f>Rx!K10</f>
        <v>0.22968568657691502</v>
      </c>
      <c r="T163">
        <f t="shared" si="55"/>
        <v>1.2806731098216262E-2</v>
      </c>
      <c r="U163" s="30">
        <f t="shared" si="56"/>
        <v>0.54687068232598812</v>
      </c>
      <c r="V163" s="182"/>
      <c r="W163" s="182"/>
      <c r="X163" s="184"/>
      <c r="Y163">
        <f t="shared" si="29"/>
        <v>3.2738095238095237</v>
      </c>
    </row>
    <row r="164" spans="2:25" x14ac:dyDescent="0.25">
      <c r="B164" s="665"/>
      <c r="C164" s="681"/>
      <c r="D164" s="27" t="s">
        <v>81</v>
      </c>
      <c r="E164" s="91">
        <f>Weights!I11</f>
        <v>1.395</v>
      </c>
      <c r="F164" s="30">
        <f>Weights!M11</f>
        <v>0.4</v>
      </c>
      <c r="G164" s="288">
        <f>'Alamar Blue (Analysis)'!X11</f>
        <v>2.7047619047619049</v>
      </c>
      <c r="H164" s="364">
        <f>PicoGreen!F54</f>
        <v>13.275632962962963</v>
      </c>
      <c r="I164" s="288">
        <f t="shared" si="50"/>
        <v>33.189082407407405</v>
      </c>
      <c r="J164" s="364">
        <f>DMMB!F62</f>
        <v>175.38449999999997</v>
      </c>
      <c r="K164" s="364">
        <f t="shared" si="49"/>
        <v>13211.008506283399</v>
      </c>
      <c r="L164" s="288">
        <f t="shared" si="51"/>
        <v>438.46124999999989</v>
      </c>
      <c r="M164">
        <f>OHP!G54</f>
        <v>53.915458683570655</v>
      </c>
      <c r="N164">
        <f t="shared" si="57"/>
        <v>4061.2345064063425</v>
      </c>
      <c r="O164" s="30">
        <f t="shared" si="52"/>
        <v>134.78864670892662</v>
      </c>
      <c r="P164">
        <f>Rx!G11</f>
        <v>4.9098671916793203E-4</v>
      </c>
      <c r="Q164">
        <f t="shared" si="53"/>
        <v>3.6984053456261692E-5</v>
      </c>
      <c r="R164" s="30">
        <f t="shared" si="54"/>
        <v>1.22746679791983E-3</v>
      </c>
      <c r="S164">
        <f>Rx!K11</f>
        <v>0.32730210337210403</v>
      </c>
      <c r="T164">
        <f t="shared" si="55"/>
        <v>2.4654350137972941E-2</v>
      </c>
      <c r="U164" s="30">
        <f t="shared" si="56"/>
        <v>0.81825525843026004</v>
      </c>
      <c r="V164" s="182"/>
      <c r="W164" s="182"/>
      <c r="X164" s="184"/>
      <c r="Y164">
        <f t="shared" si="29"/>
        <v>3.4874999999999998</v>
      </c>
    </row>
    <row r="165" spans="2:25" x14ac:dyDescent="0.25">
      <c r="B165" s="665"/>
      <c r="C165" s="681"/>
      <c r="D165" s="27" t="s">
        <v>82</v>
      </c>
      <c r="E165">
        <f>Weights!I12</f>
        <v>1.3399999999999999</v>
      </c>
      <c r="F165" s="30">
        <f>Weights!M12</f>
        <v>0.38500000000000001</v>
      </c>
      <c r="G165" s="288">
        <f>'Alamar Blue (Analysis)'!X12</f>
        <v>2.7809523809523808</v>
      </c>
      <c r="H165" s="364">
        <f>PicoGreen!F55</f>
        <v>5.6213479629629628</v>
      </c>
      <c r="I165" s="288">
        <f t="shared" si="50"/>
        <v>14.600903799903799</v>
      </c>
      <c r="J165" s="364">
        <f>DMMB!F63</f>
        <v>245.20599999999973</v>
      </c>
      <c r="K165" s="364">
        <f t="shared" si="49"/>
        <v>43620.49843126128</v>
      </c>
      <c r="L165" s="288">
        <f t="shared" si="51"/>
        <v>636.89870129870064</v>
      </c>
      <c r="M165">
        <f>OHP!G55</f>
        <v>55.957639704945656</v>
      </c>
      <c r="N165">
        <f t="shared" si="57"/>
        <v>9954.487797878799</v>
      </c>
      <c r="O165" s="30">
        <f t="shared" si="52"/>
        <v>145.34451871414456</v>
      </c>
      <c r="P165">
        <f>Rx!G12</f>
        <v>5.0937573486710506E-4</v>
      </c>
      <c r="Q165">
        <f t="shared" si="53"/>
        <v>9.0614517767481813E-5</v>
      </c>
      <c r="R165" s="30">
        <f t="shared" si="54"/>
        <v>1.3230538567976754E-3</v>
      </c>
      <c r="S165">
        <f>Rx!K12</f>
        <v>0.41917637800287</v>
      </c>
      <c r="T165">
        <f t="shared" si="55"/>
        <v>7.4568658756702516E-2</v>
      </c>
      <c r="U165" s="30">
        <f t="shared" si="56"/>
        <v>1.0887698129944674</v>
      </c>
      <c r="V165" s="182"/>
      <c r="W165" s="182"/>
      <c r="X165" s="184"/>
      <c r="Y165">
        <f t="shared" si="29"/>
        <v>3.4805194805194799</v>
      </c>
    </row>
    <row r="166" spans="2:25" x14ac:dyDescent="0.25">
      <c r="B166" s="665"/>
      <c r="C166" s="682"/>
      <c r="D166" s="61" t="s">
        <v>83</v>
      </c>
      <c r="E166" s="191">
        <f>Weights!I13</f>
        <v>1.585</v>
      </c>
      <c r="F166" s="90">
        <f>Weights!M13</f>
        <v>0.47</v>
      </c>
      <c r="G166" s="366">
        <f>'Alamar Blue (Analysis)'!X13</f>
        <v>2.7761904761904765</v>
      </c>
      <c r="H166" s="365">
        <f>PicoGreen!F56</f>
        <v>16.936377962962961</v>
      </c>
      <c r="I166" s="366">
        <f t="shared" si="50"/>
        <v>36.034846729708427</v>
      </c>
      <c r="J166" s="365">
        <f>DMMB!F64</f>
        <v>227.25189999999998</v>
      </c>
      <c r="K166" s="365">
        <f t="shared" si="49"/>
        <v>13417.975230415974</v>
      </c>
      <c r="L166" s="366">
        <f t="shared" si="51"/>
        <v>483.51468085106382</v>
      </c>
      <c r="M166" s="60">
        <f>OHP!G56</f>
        <v>73.656541890195655</v>
      </c>
      <c r="N166" s="60">
        <f t="shared" si="57"/>
        <v>4349.013824046101</v>
      </c>
      <c r="O166" s="90">
        <f t="shared" si="52"/>
        <v>156.71604657488439</v>
      </c>
      <c r="P166" s="60">
        <f>Rx!G13</f>
        <v>3.5674690456396503E-4</v>
      </c>
      <c r="Q166" s="60">
        <f t="shared" si="53"/>
        <v>2.1063943267215169E-5</v>
      </c>
      <c r="R166" s="90">
        <f t="shared" si="54"/>
        <v>7.5903596715737244E-4</v>
      </c>
      <c r="S166" s="60">
        <f>Rx!K13</f>
        <v>0.350270672029795</v>
      </c>
      <c r="T166" s="60">
        <f t="shared" si="55"/>
        <v>2.0681557343357516E-2</v>
      </c>
      <c r="U166" s="90">
        <f t="shared" si="56"/>
        <v>0.74525674899956385</v>
      </c>
      <c r="V166" s="186"/>
      <c r="W166" s="186"/>
      <c r="X166" s="188"/>
      <c r="Y166">
        <f t="shared" si="29"/>
        <v>3.3723404255319149</v>
      </c>
    </row>
    <row r="167" spans="2:25" x14ac:dyDescent="0.25">
      <c r="B167" s="665"/>
      <c r="C167" s="681" t="s">
        <v>208</v>
      </c>
      <c r="D167" s="27" t="s">
        <v>94</v>
      </c>
      <c r="E167">
        <f>Weights!I62</f>
        <v>2.2899999999999996</v>
      </c>
      <c r="F167" s="30">
        <f>Weights!M62</f>
        <v>0.63</v>
      </c>
      <c r="G167" s="288">
        <f>'Alamar Blue (Analysis)'!X31</f>
        <v>3.3856209150326797</v>
      </c>
      <c r="H167" s="364">
        <f>PicoGreen!BN46</f>
        <v>16.103303030303032</v>
      </c>
      <c r="I167" s="288">
        <f t="shared" si="50"/>
        <v>25.560798460798463</v>
      </c>
      <c r="J167" s="364">
        <f>DMMB!BN54</f>
        <v>241.12509999999983</v>
      </c>
      <c r="K167" s="364">
        <f>J167/H167*1000</f>
        <v>14973.642335752675</v>
      </c>
      <c r="L167" s="288">
        <f t="shared" si="51"/>
        <v>382.73825396825367</v>
      </c>
      <c r="M167">
        <f>OHP!AZ57</f>
        <v>143.49328669821872</v>
      </c>
      <c r="N167">
        <f>M167/H167*1000</f>
        <v>8910.798388889194</v>
      </c>
      <c r="O167" s="30">
        <f t="shared" si="52"/>
        <v>227.76712174320431</v>
      </c>
      <c r="P167">
        <f>Rx!BC3</f>
        <v>4.1187320657078402E-4</v>
      </c>
      <c r="Q167">
        <f t="shared" si="53"/>
        <v>2.5576939451224709E-5</v>
      </c>
      <c r="R167" s="30">
        <f t="shared" si="54"/>
        <v>6.5376699455680005E-4</v>
      </c>
      <c r="S167">
        <f>Rx!BG3</f>
        <v>4.1265543878431696</v>
      </c>
      <c r="T167">
        <f t="shared" si="55"/>
        <v>0.25625515337306026</v>
      </c>
      <c r="U167" s="30">
        <f t="shared" si="56"/>
        <v>6.5500863299097931</v>
      </c>
      <c r="V167" s="182"/>
      <c r="W167" s="182"/>
      <c r="X167" s="184"/>
    </row>
    <row r="168" spans="2:25" x14ac:dyDescent="0.25">
      <c r="B168" s="665"/>
      <c r="C168" s="681"/>
      <c r="D168" s="27" t="s">
        <v>209</v>
      </c>
      <c r="E168" s="91">
        <f>Weights!I63</f>
        <v>2.0350000000000001</v>
      </c>
      <c r="F168" s="30">
        <f>Weights!M63</f>
        <v>0.56499999999999995</v>
      </c>
      <c r="G168" s="288">
        <f>'Alamar Blue (Analysis)'!X32</f>
        <v>2.261437908496732</v>
      </c>
      <c r="H168" s="364">
        <f>PicoGreen!BN47</f>
        <v>20.239403030303031</v>
      </c>
      <c r="I168" s="288">
        <f t="shared" si="50"/>
        <v>35.821952266023068</v>
      </c>
      <c r="J168" s="364">
        <f>DMMB!BN55</f>
        <v>197.81169999999975</v>
      </c>
      <c r="K168" s="364">
        <f>J168/H168*1000</f>
        <v>9773.5936037159918</v>
      </c>
      <c r="L168" s="288">
        <f t="shared" si="51"/>
        <v>350.1092035398226</v>
      </c>
      <c r="M168">
        <f>OHP!AZ58</f>
        <v>127.44769614996873</v>
      </c>
      <c r="N168">
        <f>M168/H168*1000</f>
        <v>6297.0086597490199</v>
      </c>
      <c r="O168" s="30">
        <f t="shared" si="52"/>
        <v>225.57114362826326</v>
      </c>
      <c r="P168">
        <f>Rx!BC4</f>
        <v>3.7644325331738401E-4</v>
      </c>
      <c r="Q168">
        <f t="shared" si="53"/>
        <v>1.8599523550855826E-5</v>
      </c>
      <c r="R168" s="30">
        <f t="shared" si="54"/>
        <v>6.6627124480952927E-4</v>
      </c>
      <c r="S168">
        <f>Rx!BG4</f>
        <v>4.8882660400794604</v>
      </c>
      <c r="T168">
        <f t="shared" si="55"/>
        <v>0.24152224414725101</v>
      </c>
      <c r="U168" s="30">
        <f t="shared" si="56"/>
        <v>8.651798301025595</v>
      </c>
      <c r="V168" s="182"/>
      <c r="W168" s="182"/>
      <c r="X168" s="184"/>
    </row>
    <row r="169" spans="2:25" x14ac:dyDescent="0.25">
      <c r="B169" s="665"/>
      <c r="C169" s="681"/>
      <c r="D169" s="27" t="s">
        <v>210</v>
      </c>
      <c r="E169">
        <f>Weights!I64</f>
        <v>1.83</v>
      </c>
      <c r="F169" s="30">
        <f>Weights!M64</f>
        <v>0.495</v>
      </c>
      <c r="G169" s="288">
        <f>'Alamar Blue (Analysis)'!X33</f>
        <v>2.4640522875816995</v>
      </c>
      <c r="H169" s="364">
        <f>PicoGreen!BN48</f>
        <v>10.588503030303031</v>
      </c>
      <c r="I169" s="288">
        <f t="shared" si="50"/>
        <v>21.390915212733397</v>
      </c>
      <c r="J169" s="364">
        <f>DMMB!BN56</f>
        <v>176.1549999999994</v>
      </c>
      <c r="K169" s="364">
        <f>J169/H169*1000</f>
        <v>16636.44043882925</v>
      </c>
      <c r="L169" s="288">
        <f t="shared" si="51"/>
        <v>355.86868686868564</v>
      </c>
      <c r="M169">
        <f>OHP!AZ59</f>
        <v>102.61308830703123</v>
      </c>
      <c r="N169">
        <f>M169/H169*1000</f>
        <v>9690.9910695935814</v>
      </c>
      <c r="O169" s="30">
        <f t="shared" si="52"/>
        <v>207.29916829703279</v>
      </c>
      <c r="P169">
        <f>Rx!BC5</f>
        <v>3.6168077279513297E-4</v>
      </c>
      <c r="Q169">
        <f t="shared" si="53"/>
        <v>3.4157875930152336E-5</v>
      </c>
      <c r="R169" s="30">
        <f t="shared" si="54"/>
        <v>7.3066822786895555E-4</v>
      </c>
      <c r="S169">
        <f>Rx!BG5</f>
        <v>3.5867004983941602</v>
      </c>
      <c r="T169">
        <f t="shared" si="55"/>
        <v>0.33873537063071635</v>
      </c>
      <c r="U169" s="30">
        <f t="shared" si="56"/>
        <v>7.2458595927154752</v>
      </c>
      <c r="V169" s="182"/>
      <c r="W169" s="182"/>
      <c r="X169" s="184"/>
    </row>
    <row r="170" spans="2:25" x14ac:dyDescent="0.25">
      <c r="B170" s="665"/>
      <c r="C170" s="681"/>
      <c r="D170" s="27" t="s">
        <v>211</v>
      </c>
      <c r="E170" s="91">
        <f>Weights!I65</f>
        <v>1.8466666666666667</v>
      </c>
      <c r="F170" s="30">
        <f>Weights!M65</f>
        <v>0.54500000000000004</v>
      </c>
      <c r="G170" s="288">
        <f>'Alamar Blue (Analysis)'!X34</f>
        <v>2.1568627450980391</v>
      </c>
      <c r="H170" s="364">
        <f>PicoGreen!BN49</f>
        <v>19.550053030303033</v>
      </c>
      <c r="I170" s="288">
        <f t="shared" si="50"/>
        <v>35.871656936335839</v>
      </c>
      <c r="J170" s="364">
        <f>DMMB!BN57</f>
        <v>161.71719999999937</v>
      </c>
      <c r="K170" s="364">
        <f>J170/H170*1000</f>
        <v>8271.9571015656056</v>
      </c>
      <c r="L170" s="288">
        <f t="shared" si="51"/>
        <v>296.72880733944834</v>
      </c>
      <c r="M170">
        <f>OHP!AZ60</f>
        <v>102.02715382071874</v>
      </c>
      <c r="N170">
        <f>M170/H170*1000</f>
        <v>5218.7660904333252</v>
      </c>
      <c r="O170" s="30">
        <f t="shared" si="52"/>
        <v>187.20578682700685</v>
      </c>
      <c r="P170">
        <f>Rx!BC6</f>
        <v>3.4839454032510803E-4</v>
      </c>
      <c r="Q170">
        <f t="shared" si="53"/>
        <v>1.7820644260406274E-5</v>
      </c>
      <c r="R170" s="30">
        <f t="shared" si="54"/>
        <v>6.3925603729377619E-4</v>
      </c>
      <c r="S170">
        <f>Rx!BG6</f>
        <v>4.2596690455155404</v>
      </c>
      <c r="T170">
        <f t="shared" si="55"/>
        <v>0.21788529365689982</v>
      </c>
      <c r="U170" s="30">
        <f t="shared" si="56"/>
        <v>7.8159065055331007</v>
      </c>
      <c r="V170" s="182"/>
      <c r="W170" s="182"/>
      <c r="X170" s="184"/>
    </row>
    <row r="171" spans="2:25" ht="15.75" thickBot="1" x14ac:dyDescent="0.3">
      <c r="B171" s="666"/>
      <c r="C171" s="684"/>
      <c r="D171" s="303" t="s">
        <v>212</v>
      </c>
      <c r="E171" s="2"/>
      <c r="F171" s="9"/>
      <c r="G171" s="368"/>
      <c r="H171" s="369"/>
      <c r="I171" s="368"/>
      <c r="J171" s="369"/>
      <c r="K171" s="369"/>
      <c r="L171" s="368"/>
      <c r="M171" s="2"/>
      <c r="N171" s="2"/>
      <c r="O171" s="9"/>
      <c r="P171" s="2"/>
      <c r="Q171" s="2"/>
      <c r="R171" s="9"/>
      <c r="S171" s="2"/>
      <c r="T171" s="2"/>
      <c r="U171" s="9"/>
      <c r="V171" s="197"/>
      <c r="W171" s="197"/>
      <c r="X171" s="198"/>
    </row>
    <row r="172" spans="2:25" x14ac:dyDescent="0.25">
      <c r="B172" s="667" t="s">
        <v>93</v>
      </c>
      <c r="C172" s="690" t="s">
        <v>78</v>
      </c>
      <c r="D172" s="25" t="s">
        <v>80</v>
      </c>
      <c r="E172" s="50">
        <f>Weights!I14</f>
        <v>1.5449999999999999</v>
      </c>
      <c r="F172" s="28">
        <f>Weights!M14</f>
        <v>0.505</v>
      </c>
      <c r="G172" s="301">
        <f>'Alamar Blue (Analysis)'!AD4</f>
        <v>3.094736842105263</v>
      </c>
      <c r="H172" s="363">
        <f>PicoGreen!F57</f>
        <v>13.608427962962963</v>
      </c>
      <c r="I172" s="301">
        <f>H172/F172</f>
        <v>26.947382104877153</v>
      </c>
      <c r="J172" s="363">
        <f>DMMB!F65</f>
        <v>229.24680000000006</v>
      </c>
      <c r="K172" s="363">
        <f t="shared" si="49"/>
        <v>16845.942868928276</v>
      </c>
      <c r="L172" s="301">
        <f>J172/F172</f>
        <v>453.95405940594071</v>
      </c>
      <c r="M172" s="50">
        <f>OHP!G57</f>
        <v>65.890065581633138</v>
      </c>
      <c r="N172" s="50">
        <f t="shared" si="57"/>
        <v>4841.8572491224695</v>
      </c>
      <c r="O172" s="28">
        <f>M172/F172</f>
        <v>130.47537738937254</v>
      </c>
      <c r="P172" s="50">
        <f>Rx!G14</f>
        <v>3.90563392692843E-4</v>
      </c>
      <c r="Q172" s="50">
        <f>P172/H172</f>
        <v>2.8700110972098325E-5</v>
      </c>
      <c r="R172" s="28">
        <f>P172/F172</f>
        <v>7.7339285681751085E-4</v>
      </c>
      <c r="S172" s="50">
        <f>Rx!K14</f>
        <v>0.31899372842346296</v>
      </c>
      <c r="T172" s="50">
        <f>S172/H172</f>
        <v>2.3440894811042411E-2</v>
      </c>
      <c r="U172" s="28">
        <f>S172/F172</f>
        <v>0.63167074935339196</v>
      </c>
      <c r="V172" s="181"/>
      <c r="W172" s="181"/>
      <c r="X172" s="192"/>
      <c r="Y172">
        <f t="shared" si="29"/>
        <v>3.0594059405940595</v>
      </c>
    </row>
    <row r="173" spans="2:25" x14ac:dyDescent="0.25">
      <c r="B173" s="665"/>
      <c r="C173" s="686"/>
      <c r="D173" s="27" t="s">
        <v>79</v>
      </c>
      <c r="E173">
        <f>Weights!I15</f>
        <v>1.4249999999999998</v>
      </c>
      <c r="F173" s="30">
        <f>Weights!M15</f>
        <v>0.41499999999999998</v>
      </c>
      <c r="G173" s="288">
        <f>'Alamar Blue (Analysis)'!AD5</f>
        <v>2.2947368421052632</v>
      </c>
      <c r="H173" s="364">
        <f>PicoGreen!F58</f>
        <v>11.611657962962962</v>
      </c>
      <c r="I173" s="288">
        <f>H173/F173</f>
        <v>27.979898705934851</v>
      </c>
      <c r="J173" s="364">
        <f>DMMB!F66</f>
        <v>203.31309999999988</v>
      </c>
      <c r="K173" s="364">
        <f t="shared" si="49"/>
        <v>17509.394493748954</v>
      </c>
      <c r="L173" s="288">
        <f>J173/F173</f>
        <v>489.91108433734911</v>
      </c>
      <c r="M173">
        <f>OHP!G58</f>
        <v>62.393604135945644</v>
      </c>
      <c r="N173">
        <f t="shared" si="57"/>
        <v>5373.3587688303378</v>
      </c>
      <c r="O173" s="30">
        <f>M173/F173</f>
        <v>150.34603406251964</v>
      </c>
      <c r="P173">
        <f>Rx!G15</f>
        <v>1.1702273938362302E-4</v>
      </c>
      <c r="Q173">
        <f>P173/H173</f>
        <v>1.0078038791435619E-5</v>
      </c>
      <c r="R173" s="30">
        <f>P173/F173</f>
        <v>2.8198250453885065E-4</v>
      </c>
      <c r="S173">
        <f>Rx!K15</f>
        <v>0.26203056263355901</v>
      </c>
      <c r="T173">
        <f>S173/H173</f>
        <v>2.2566162684893306E-2</v>
      </c>
      <c r="U173" s="30">
        <f>S173/F173</f>
        <v>0.6313989461049615</v>
      </c>
      <c r="V173" s="182"/>
      <c r="W173" s="182"/>
      <c r="X173" s="184"/>
      <c r="Y173">
        <f t="shared" si="29"/>
        <v>3.4337349397590358</v>
      </c>
    </row>
    <row r="174" spans="2:25" x14ac:dyDescent="0.25">
      <c r="B174" s="665"/>
      <c r="C174" s="686"/>
      <c r="D174" s="27" t="s">
        <v>81</v>
      </c>
      <c r="E174" s="1"/>
      <c r="F174" s="95"/>
      <c r="G174" s="370"/>
      <c r="H174" s="371"/>
      <c r="I174" s="370"/>
      <c r="J174" s="371"/>
      <c r="K174" s="371"/>
      <c r="L174" s="370"/>
      <c r="M174" s="1"/>
      <c r="N174" s="1"/>
      <c r="O174" s="95"/>
      <c r="P174" s="1"/>
      <c r="Q174" s="1"/>
      <c r="R174" s="95"/>
      <c r="S174" s="1"/>
      <c r="T174" s="1"/>
      <c r="U174" s="95"/>
      <c r="V174" s="1"/>
      <c r="W174" s="1"/>
      <c r="X174" s="96"/>
    </row>
    <row r="175" spans="2:25" x14ac:dyDescent="0.25">
      <c r="B175" s="665"/>
      <c r="C175" s="686"/>
      <c r="D175" s="27" t="s">
        <v>82</v>
      </c>
      <c r="E175" s="1"/>
      <c r="F175" s="95"/>
      <c r="G175" s="370"/>
      <c r="H175" s="371"/>
      <c r="I175" s="370"/>
      <c r="J175" s="371"/>
      <c r="K175" s="371"/>
      <c r="L175" s="370"/>
      <c r="M175" s="1"/>
      <c r="N175" s="1"/>
      <c r="O175" s="95"/>
      <c r="P175" s="1"/>
      <c r="Q175" s="1"/>
      <c r="R175" s="95"/>
      <c r="S175" s="1"/>
      <c r="T175" s="1"/>
      <c r="U175" s="95"/>
      <c r="V175" s="1"/>
      <c r="W175" s="1"/>
      <c r="X175" s="96"/>
    </row>
    <row r="176" spans="2:25" x14ac:dyDescent="0.25">
      <c r="B176" s="665"/>
      <c r="C176" s="686"/>
      <c r="D176" s="27" t="s">
        <v>83</v>
      </c>
      <c r="E176">
        <f>Weights!I16</f>
        <v>1.55</v>
      </c>
      <c r="F176" s="30">
        <f>Weights!M16</f>
        <v>0.49</v>
      </c>
      <c r="G176" s="288">
        <f>'Alamar Blue (Analysis)'!AD8</f>
        <v>3.426315789473684</v>
      </c>
      <c r="H176" s="364">
        <f>PicoGreen!F59</f>
        <v>8.9492979629629641</v>
      </c>
      <c r="I176" s="288">
        <f t="shared" ref="I176:I183" si="58">H176/F176</f>
        <v>18.263873393801969</v>
      </c>
      <c r="J176" s="364">
        <f>DMMB!F67</f>
        <v>281.11419999999964</v>
      </c>
      <c r="K176" s="364">
        <f t="shared" si="49"/>
        <v>31411.87176507054</v>
      </c>
      <c r="L176" s="288">
        <f t="shared" ref="L176:L183" si="59">J176/F176</f>
        <v>573.70244897959117</v>
      </c>
      <c r="M176">
        <f>OHP!G59</f>
        <v>68.117899423133153</v>
      </c>
      <c r="N176">
        <f t="shared" si="57"/>
        <v>7611.5355310597397</v>
      </c>
      <c r="O176" s="30">
        <f>M176/F176</f>
        <v>139.01612127170031</v>
      </c>
      <c r="P176">
        <f>Rx!G16</f>
        <v>1.7260854059084402E-4</v>
      </c>
      <c r="Q176">
        <f>P176/H176</f>
        <v>1.9287383357352892E-5</v>
      </c>
      <c r="R176" s="30">
        <f>P176/F176</f>
        <v>3.522623277364164E-4</v>
      </c>
      <c r="S176">
        <f>Rx!K16</f>
        <v>1.4867386271165</v>
      </c>
      <c r="T176">
        <f>S176/H176</f>
        <v>0.16612907886958603</v>
      </c>
      <c r="U176" s="30">
        <f>S176/F176</f>
        <v>3.0341604635030612</v>
      </c>
      <c r="V176" s="182"/>
      <c r="W176" s="182"/>
      <c r="X176" s="184"/>
      <c r="Y176">
        <f t="shared" ref="Y176:Y222" si="60">E176/F176</f>
        <v>3.1632653061224492</v>
      </c>
    </row>
    <row r="177" spans="2:25" ht="15.75" thickBot="1" x14ac:dyDescent="0.3">
      <c r="B177" s="665"/>
      <c r="C177" s="688"/>
      <c r="D177" s="61" t="s">
        <v>94</v>
      </c>
      <c r="E177" s="191">
        <f>Weights!I17</f>
        <v>2.3633333333333337</v>
      </c>
      <c r="F177" s="90">
        <f>Weights!M17</f>
        <v>0.495</v>
      </c>
      <c r="G177" s="366">
        <f>'Alamar Blue (Analysis)'!AD9</f>
        <v>2.4368421052631581</v>
      </c>
      <c r="H177" s="365">
        <f>PicoGreen!F60</f>
        <v>10.613272962962963</v>
      </c>
      <c r="I177" s="366">
        <f t="shared" si="58"/>
        <v>21.440955480733258</v>
      </c>
      <c r="J177" s="365">
        <f>DMMB!F68</f>
        <v>179.37429999999992</v>
      </c>
      <c r="K177" s="365">
        <f t="shared" si="49"/>
        <v>16900.940984554029</v>
      </c>
      <c r="L177" s="366">
        <f t="shared" si="59"/>
        <v>362.37232323232308</v>
      </c>
      <c r="M177" s="60">
        <f>OHP!G60</f>
        <v>79.628374270883143</v>
      </c>
      <c r="N177" s="60">
        <f t="shared" si="57"/>
        <v>7502.716131843732</v>
      </c>
      <c r="O177" s="90">
        <f>M177/F177</f>
        <v>160.8654025674407</v>
      </c>
      <c r="P177" s="60">
        <f>Rx!G17</f>
        <v>1.0385768120296599E-4</v>
      </c>
      <c r="Q177" s="60">
        <f>P177/H177</f>
        <v>9.7856412028030509E-6</v>
      </c>
      <c r="R177" s="90">
        <f>P177/F177</f>
        <v>2.0981349737972927E-4</v>
      </c>
      <c r="S177" s="60">
        <f>Rx!K17</f>
        <v>0.24494161289658697</v>
      </c>
      <c r="T177" s="60">
        <f>S177/H177</f>
        <v>2.3078800832821069E-2</v>
      </c>
      <c r="U177" s="90">
        <f>S177/F177</f>
        <v>0.49483154120522621</v>
      </c>
      <c r="V177" s="186"/>
      <c r="W177" s="186"/>
      <c r="X177" s="188"/>
      <c r="Y177">
        <f t="shared" si="60"/>
        <v>4.7744107744107751</v>
      </c>
    </row>
    <row r="178" spans="2:25" x14ac:dyDescent="0.25">
      <c r="B178" s="665"/>
      <c r="C178" s="685" t="s">
        <v>289</v>
      </c>
      <c r="D178" s="27" t="s">
        <v>80</v>
      </c>
      <c r="E178" s="50">
        <f>Weights!I131</f>
        <v>1.8766666666666667</v>
      </c>
      <c r="F178" s="28">
        <f>Weights!M131</f>
        <v>0.52</v>
      </c>
      <c r="G178" s="28">
        <f>'Alamar Blue (Analysis)'!AD20</f>
        <v>1.270440251572327</v>
      </c>
      <c r="H178" s="50">
        <f>PicoGreen!DV46</f>
        <v>10.146212500000001</v>
      </c>
      <c r="I178" s="28">
        <f t="shared" si="58"/>
        <v>19.511947115384615</v>
      </c>
      <c r="J178" s="50">
        <f>DMMB!DV54</f>
        <v>183.72880000000038</v>
      </c>
      <c r="K178" s="50">
        <f t="shared" ref="K178:K183" si="61">J178/H178*1000</f>
        <v>18108.116698718892</v>
      </c>
      <c r="L178" s="28">
        <f t="shared" si="59"/>
        <v>353.3246153846161</v>
      </c>
      <c r="M178" s="50">
        <f>OHP!CS55</f>
        <v>101.03071909881523</v>
      </c>
      <c r="N178" s="50">
        <f t="shared" ref="N178:N183" si="62">M178/H178*1000</f>
        <v>9957.4810895016471</v>
      </c>
      <c r="O178" s="28">
        <f t="shared" ref="O178:O183" si="63">M178/F178</f>
        <v>194.28984442079852</v>
      </c>
      <c r="P178" s="50">
        <f>Rx!CZ3</f>
        <v>1.00272581023454E-4</v>
      </c>
      <c r="Q178" s="50">
        <f t="shared" ref="Q178:Q183" si="64">P178/H178</f>
        <v>9.8827598006107196E-6</v>
      </c>
      <c r="R178" s="28">
        <f t="shared" ref="R178:R183" si="65">P178/F178</f>
        <v>1.9283188658356538E-4</v>
      </c>
      <c r="S178" s="50">
        <f>Rx!DD3</f>
        <v>1.15556233719407</v>
      </c>
      <c r="T178" s="50">
        <f t="shared" ref="T178:T183" si="66">S178/H178</f>
        <v>0.11389100486453146</v>
      </c>
      <c r="U178" s="28">
        <f t="shared" ref="U178:U183" si="67">S178/F178</f>
        <v>2.22223526383475</v>
      </c>
      <c r="V178" s="181"/>
      <c r="W178" s="181"/>
      <c r="X178" s="192"/>
    </row>
    <row r="179" spans="2:25" x14ac:dyDescent="0.25">
      <c r="B179" s="665"/>
      <c r="C179" s="686"/>
      <c r="D179" s="27" t="s">
        <v>79</v>
      </c>
      <c r="E179">
        <f>Weights!I132</f>
        <v>2.14</v>
      </c>
      <c r="F179" s="30">
        <f>Weights!M132</f>
        <v>0.56499999999999995</v>
      </c>
      <c r="G179" s="30">
        <f>'Alamar Blue (Analysis)'!AD21</f>
        <v>2.1572327044025155</v>
      </c>
      <c r="H179">
        <f>PicoGreen!DV47</f>
        <v>32.068412500000001</v>
      </c>
      <c r="I179" s="30">
        <f t="shared" si="58"/>
        <v>56.758252212389387</v>
      </c>
      <c r="J179">
        <f>DMMB!DV55</f>
        <v>185.99110000000024</v>
      </c>
      <c r="K179">
        <f t="shared" si="61"/>
        <v>5799.8224888743789</v>
      </c>
      <c r="L179" s="30">
        <f t="shared" si="59"/>
        <v>329.18778761061992</v>
      </c>
      <c r="M179">
        <f>OHP!CS56</f>
        <v>94.559493248315221</v>
      </c>
      <c r="N179">
        <f t="shared" si="62"/>
        <v>2948.6802082365384</v>
      </c>
      <c r="O179" s="30">
        <f t="shared" si="63"/>
        <v>167.36193495277033</v>
      </c>
      <c r="P179">
        <f>Rx!CZ4</f>
        <v>2.5952903323717602E-4</v>
      </c>
      <c r="Q179">
        <f t="shared" si="64"/>
        <v>8.0929803817752445E-6</v>
      </c>
      <c r="R179" s="30">
        <f t="shared" si="65"/>
        <v>4.5934342165871865E-4</v>
      </c>
      <c r="S179">
        <f>Rx!DD4</f>
        <v>4.2288664254761601</v>
      </c>
      <c r="T179">
        <f t="shared" si="66"/>
        <v>0.13187015183480505</v>
      </c>
      <c r="U179" s="30">
        <f t="shared" si="67"/>
        <v>7.4847193371259477</v>
      </c>
      <c r="V179" s="182"/>
      <c r="W179" s="182"/>
      <c r="X179" s="184"/>
    </row>
    <row r="180" spans="2:25" x14ac:dyDescent="0.25">
      <c r="B180" s="665"/>
      <c r="C180" s="686"/>
      <c r="D180" s="27" t="s">
        <v>81</v>
      </c>
      <c r="E180">
        <f>Weights!I133</f>
        <v>1.7149999999999999</v>
      </c>
      <c r="F180" s="30">
        <f>Weights!M133</f>
        <v>0.52500000000000002</v>
      </c>
      <c r="G180" s="30">
        <f>'Alamar Blue (Analysis)'!AD22</f>
        <v>2.2138364779874213</v>
      </c>
      <c r="H180">
        <f>PicoGreen!DV48</f>
        <v>30.914612499999997</v>
      </c>
      <c r="I180" s="30">
        <f t="shared" si="58"/>
        <v>58.884976190476181</v>
      </c>
      <c r="J180">
        <f>DMMB!DV56</f>
        <v>190.51570000000027</v>
      </c>
      <c r="K180">
        <f t="shared" si="61"/>
        <v>6162.6423426785723</v>
      </c>
      <c r="L180" s="30">
        <f t="shared" si="59"/>
        <v>362.88704761904813</v>
      </c>
      <c r="M180">
        <f>OHP!CS57</f>
        <v>95.509397960315226</v>
      </c>
      <c r="N180">
        <f t="shared" si="62"/>
        <v>3089.458034135645</v>
      </c>
      <c r="O180" s="30">
        <f t="shared" si="63"/>
        <v>181.92266278155282</v>
      </c>
      <c r="P180">
        <f>Rx!CZ5</f>
        <v>2.8017338815376899E-4</v>
      </c>
      <c r="Q180">
        <f t="shared" si="64"/>
        <v>9.0628141676939674E-6</v>
      </c>
      <c r="R180" s="30">
        <f t="shared" si="65"/>
        <v>5.3366359648336951E-4</v>
      </c>
      <c r="S180">
        <f>Rx!DD5</f>
        <v>4.60585839363877</v>
      </c>
      <c r="T180">
        <f t="shared" si="66"/>
        <v>0.14898645078080053</v>
      </c>
      <c r="U180" s="30">
        <f t="shared" si="67"/>
        <v>8.7730636069309895</v>
      </c>
      <c r="V180" s="182"/>
      <c r="W180" s="182"/>
      <c r="X180" s="184"/>
    </row>
    <row r="181" spans="2:25" x14ac:dyDescent="0.25">
      <c r="B181" s="665"/>
      <c r="C181" s="686"/>
      <c r="D181" s="27" t="s">
        <v>82</v>
      </c>
      <c r="E181">
        <f>Weights!I134</f>
        <v>2.0566666666666666</v>
      </c>
      <c r="F181" s="30">
        <f>Weights!M134</f>
        <v>0.63500000000000001</v>
      </c>
      <c r="G181" s="30">
        <f>'Alamar Blue (Analysis)'!AD23</f>
        <v>2.1069182389937109</v>
      </c>
      <c r="H181">
        <f>PicoGreen!DV49</f>
        <v>18.222812500000003</v>
      </c>
      <c r="I181" s="30">
        <f t="shared" si="58"/>
        <v>28.697342519685044</v>
      </c>
      <c r="J181">
        <f>DMMB!DV57</f>
        <v>176.9419000000002</v>
      </c>
      <c r="K181">
        <f t="shared" si="61"/>
        <v>9709.9116835011155</v>
      </c>
      <c r="L181" s="30">
        <f t="shared" si="59"/>
        <v>278.64866141732313</v>
      </c>
      <c r="M181">
        <f>OHP!CS58</f>
        <v>116.02140283506522</v>
      </c>
      <c r="N181">
        <f t="shared" si="62"/>
        <v>6366.8219620360578</v>
      </c>
      <c r="O181" s="30">
        <f t="shared" si="63"/>
        <v>182.71087060640193</v>
      </c>
      <c r="P181">
        <f>Rx!CZ6</f>
        <v>2.37410081540825E-4</v>
      </c>
      <c r="Q181">
        <f t="shared" si="64"/>
        <v>1.3028180010128785E-5</v>
      </c>
      <c r="R181" s="30">
        <f t="shared" si="65"/>
        <v>3.7387414415877954E-4</v>
      </c>
      <c r="S181">
        <f>Rx!DD6</f>
        <v>2.9995447901633301</v>
      </c>
      <c r="T181">
        <f t="shared" si="66"/>
        <v>0.16460383325369393</v>
      </c>
      <c r="U181" s="30">
        <f t="shared" si="67"/>
        <v>4.7236925829343779</v>
      </c>
      <c r="V181" s="182"/>
      <c r="W181" s="182"/>
      <c r="X181" s="184"/>
    </row>
    <row r="182" spans="2:25" x14ac:dyDescent="0.25">
      <c r="B182" s="665"/>
      <c r="C182" s="686"/>
      <c r="D182" s="27" t="s">
        <v>83</v>
      </c>
      <c r="E182">
        <f>Weights!I135</f>
        <v>1.6766666666666667</v>
      </c>
      <c r="F182" s="30">
        <f>Weights!M135</f>
        <v>0.52</v>
      </c>
      <c r="G182" s="30">
        <f>'Alamar Blue (Analysis)'!AD24</f>
        <v>2.3773584905660377</v>
      </c>
      <c r="H182">
        <f>PicoGreen!DV50</f>
        <v>19.3766125</v>
      </c>
      <c r="I182" s="30">
        <f t="shared" si="58"/>
        <v>37.262716346153844</v>
      </c>
      <c r="J182">
        <f>DMMB!DV58</f>
        <v>185.99110000000024</v>
      </c>
      <c r="K182">
        <f t="shared" si="61"/>
        <v>9598.741782135563</v>
      </c>
      <c r="L182" s="30">
        <f t="shared" si="59"/>
        <v>357.67519230769278</v>
      </c>
      <c r="M182">
        <f>OHP!CS59</f>
        <v>88.741326887315196</v>
      </c>
      <c r="N182">
        <f t="shared" si="62"/>
        <v>4579.816357854872</v>
      </c>
      <c r="O182" s="30">
        <f t="shared" si="63"/>
        <v>170.65639786022152</v>
      </c>
      <c r="P182">
        <f>Rx!CZ7</f>
        <v>3.642254045999E-4</v>
      </c>
      <c r="Q182">
        <f t="shared" si="64"/>
        <v>1.8797166150682944E-5</v>
      </c>
      <c r="R182" s="30">
        <f t="shared" si="65"/>
        <v>7.0043347038442302E-4</v>
      </c>
      <c r="S182">
        <f>Rx!DD7</f>
        <v>4.6960086468950397</v>
      </c>
      <c r="T182">
        <f t="shared" si="66"/>
        <v>0.24235446969355659</v>
      </c>
      <c r="U182" s="30">
        <f t="shared" si="67"/>
        <v>9.0307858594135375</v>
      </c>
      <c r="V182" s="182"/>
      <c r="W182" s="182"/>
      <c r="X182" s="184"/>
    </row>
    <row r="183" spans="2:25" ht="15.75" thickBot="1" x14ac:dyDescent="0.3">
      <c r="B183" s="666"/>
      <c r="C183" s="687"/>
      <c r="D183" s="8" t="s">
        <v>94</v>
      </c>
      <c r="E183" s="2">
        <f>Weights!I136</f>
        <v>1.605</v>
      </c>
      <c r="F183" s="9">
        <f>Weights!M136</f>
        <v>0.5</v>
      </c>
      <c r="G183" s="9">
        <f>'Alamar Blue (Analysis)'!AD25</f>
        <v>1.1572327044025157</v>
      </c>
      <c r="H183" s="2">
        <f>PicoGreen!DV51</f>
        <v>17.069012500000003</v>
      </c>
      <c r="I183" s="9">
        <f t="shared" si="58"/>
        <v>34.138025000000006</v>
      </c>
      <c r="J183" s="2">
        <f>DMMB!DV59</f>
        <v>129.43359999999984</v>
      </c>
      <c r="K183" s="2">
        <f t="shared" si="61"/>
        <v>7582.9577135759801</v>
      </c>
      <c r="L183" s="9">
        <f t="shared" si="59"/>
        <v>258.86719999999968</v>
      </c>
      <c r="M183" s="2">
        <f>OHP!CS60</f>
        <v>81.40924989156521</v>
      </c>
      <c r="N183" s="2">
        <f t="shared" si="62"/>
        <v>4769.417673785475</v>
      </c>
      <c r="O183" s="9">
        <f t="shared" si="63"/>
        <v>162.81849978313042</v>
      </c>
      <c r="P183" s="2">
        <f>Rx!CZ8</f>
        <v>7.2992540597955596E-5</v>
      </c>
      <c r="Q183" s="2">
        <f t="shared" si="64"/>
        <v>4.2763188906186336E-6</v>
      </c>
      <c r="R183" s="9">
        <f t="shared" si="65"/>
        <v>1.4598508119591119E-4</v>
      </c>
      <c r="S183" s="2">
        <f>Rx!DD8</f>
        <v>0.80315680173772097</v>
      </c>
      <c r="T183" s="2">
        <f t="shared" si="66"/>
        <v>4.7053501292926042E-2</v>
      </c>
      <c r="U183" s="9">
        <f t="shared" si="67"/>
        <v>1.6063136034754419</v>
      </c>
      <c r="V183" s="197"/>
      <c r="W183" s="197"/>
      <c r="X183" s="198"/>
    </row>
    <row r="184" spans="2:25" x14ac:dyDescent="0.25">
      <c r="B184" s="667" t="s">
        <v>163</v>
      </c>
      <c r="C184" s="686" t="s">
        <v>160</v>
      </c>
      <c r="D184" s="27" t="s">
        <v>80</v>
      </c>
      <c r="E184" s="91">
        <v>2.1966666666666668</v>
      </c>
      <c r="F184" s="30">
        <v>0.56499999999999995</v>
      </c>
      <c r="G184" s="288">
        <v>1.3913043478260871</v>
      </c>
      <c r="H184" s="364">
        <v>31.750363333333336</v>
      </c>
      <c r="I184" s="288">
        <v>56.195333333333345</v>
      </c>
      <c r="J184" s="364">
        <v>305.6155</v>
      </c>
      <c r="K184" s="364">
        <v>9625.5748884343466</v>
      </c>
      <c r="L184" s="288">
        <v>540.91238938053107</v>
      </c>
      <c r="M184">
        <v>109.36667871063587</v>
      </c>
      <c r="N184">
        <v>3444.5803836145874</v>
      </c>
      <c r="O184" s="30">
        <v>193.56934285068297</v>
      </c>
      <c r="P184" s="182"/>
      <c r="Q184" s="182"/>
      <c r="R184" s="183"/>
      <c r="S184" s="182"/>
      <c r="T184" s="182"/>
      <c r="U184" s="183"/>
      <c r="V184" s="182"/>
      <c r="W184" s="182"/>
      <c r="X184" s="184"/>
      <c r="Y184">
        <f t="shared" si="60"/>
        <v>3.8879056047197644</v>
      </c>
    </row>
    <row r="185" spans="2:25" x14ac:dyDescent="0.25">
      <c r="B185" s="665"/>
      <c r="C185" s="686"/>
      <c r="D185" s="27" t="s">
        <v>79</v>
      </c>
      <c r="E185" s="91">
        <v>1.4233333333333336</v>
      </c>
      <c r="F185" s="30">
        <v>0.42</v>
      </c>
      <c r="G185" s="288">
        <v>1.8633540372670809</v>
      </c>
      <c r="H185" s="364">
        <v>42.726863333333327</v>
      </c>
      <c r="I185" s="288">
        <v>101.73062698412697</v>
      </c>
      <c r="J185" s="364">
        <v>192.51000000000005</v>
      </c>
      <c r="K185" s="364">
        <v>4505.5963621325218</v>
      </c>
      <c r="L185" s="288">
        <v>458.357142857143</v>
      </c>
      <c r="M185">
        <v>84.695007608510849</v>
      </c>
      <c r="N185">
        <v>1982.242575303582</v>
      </c>
      <c r="O185" s="30">
        <v>201.65478002026393</v>
      </c>
      <c r="P185" s="182"/>
      <c r="Q185" s="182"/>
      <c r="R185" s="183"/>
      <c r="S185" s="182"/>
      <c r="T185" s="182"/>
      <c r="U185" s="183"/>
      <c r="V185" s="182"/>
      <c r="W185" s="182"/>
      <c r="X185" s="184"/>
      <c r="Y185">
        <f t="shared" si="60"/>
        <v>3.3888888888888897</v>
      </c>
    </row>
    <row r="186" spans="2:25" x14ac:dyDescent="0.25">
      <c r="B186" s="665"/>
      <c r="C186" s="686"/>
      <c r="D186" s="27" t="s">
        <v>81</v>
      </c>
      <c r="E186" s="91">
        <v>1.27</v>
      </c>
      <c r="F186" s="30">
        <v>0.435</v>
      </c>
      <c r="G186" s="288">
        <v>1.4037267080745341</v>
      </c>
      <c r="H186" s="364">
        <v>20.773863333333331</v>
      </c>
      <c r="I186" s="288">
        <v>47.756007662835245</v>
      </c>
      <c r="J186" s="364">
        <v>175.66449999999975</v>
      </c>
      <c r="K186" s="364">
        <v>8456.0342571490764</v>
      </c>
      <c r="L186" s="288">
        <v>403.82643678160861</v>
      </c>
      <c r="M186">
        <v>85.924400053010842</v>
      </c>
      <c r="N186">
        <v>4136.1781713052023</v>
      </c>
      <c r="O186" s="30">
        <v>197.5273564437031</v>
      </c>
      <c r="P186" s="182"/>
      <c r="Q186" s="182"/>
      <c r="R186" s="183"/>
      <c r="S186" s="182"/>
      <c r="T186" s="182"/>
      <c r="U186" s="183"/>
      <c r="V186" s="182"/>
      <c r="W186" s="182"/>
      <c r="X186" s="184"/>
      <c r="Y186">
        <f t="shared" si="60"/>
        <v>2.9195402298850577</v>
      </c>
    </row>
    <row r="187" spans="2:25" x14ac:dyDescent="0.25">
      <c r="B187" s="665"/>
      <c r="C187" s="686"/>
      <c r="D187" s="27" t="s">
        <v>82</v>
      </c>
      <c r="E187" s="91">
        <v>1.7433333333333334</v>
      </c>
      <c r="F187" s="30">
        <v>0.51</v>
      </c>
      <c r="G187" s="288">
        <v>1.8322981366459627</v>
      </c>
      <c r="H187" s="364">
        <v>25.164463333333334</v>
      </c>
      <c r="I187" s="288">
        <v>49.342084967320261</v>
      </c>
      <c r="J187" s="364">
        <v>259.89199999999971</v>
      </c>
      <c r="K187" s="364">
        <v>10327.738627183109</v>
      </c>
      <c r="L187" s="288">
        <v>509.5921568627445</v>
      </c>
      <c r="M187">
        <v>92.322828911885864</v>
      </c>
      <c r="N187">
        <v>3668.7779782528987</v>
      </c>
      <c r="O187" s="30">
        <v>181.02515472918796</v>
      </c>
      <c r="P187" s="182"/>
      <c r="Q187" s="182"/>
      <c r="R187" s="183"/>
      <c r="S187" s="182"/>
      <c r="T187" s="182"/>
      <c r="U187" s="183"/>
      <c r="V187" s="182"/>
      <c r="W187" s="182"/>
      <c r="X187" s="184"/>
      <c r="Y187">
        <f t="shared" si="60"/>
        <v>3.4183006535947715</v>
      </c>
    </row>
    <row r="188" spans="2:25" x14ac:dyDescent="0.25">
      <c r="B188" s="665"/>
      <c r="C188" s="688"/>
      <c r="D188" s="61" t="s">
        <v>83</v>
      </c>
      <c r="E188" s="191">
        <v>1.4466666666666665</v>
      </c>
      <c r="F188" s="90">
        <v>0.42</v>
      </c>
      <c r="G188" s="366">
        <v>1.6956521739130435</v>
      </c>
      <c r="H188" s="365">
        <v>21.871513333333333</v>
      </c>
      <c r="I188" s="366">
        <v>52.075031746031748</v>
      </c>
      <c r="J188" s="365">
        <v>178.07099999999991</v>
      </c>
      <c r="K188" s="365">
        <v>8141.68627868152</v>
      </c>
      <c r="L188" s="366">
        <v>423.97857142857123</v>
      </c>
      <c r="M188" s="60">
        <v>76.955423355635872</v>
      </c>
      <c r="N188" s="60">
        <v>3518.5230296045297</v>
      </c>
      <c r="O188" s="90">
        <v>183.22719846579972</v>
      </c>
      <c r="P188" s="186"/>
      <c r="Q188" s="186"/>
      <c r="R188" s="187"/>
      <c r="S188" s="186"/>
      <c r="T188" s="186"/>
      <c r="U188" s="187"/>
      <c r="V188" s="186"/>
      <c r="W188" s="186"/>
      <c r="X188" s="188"/>
      <c r="Y188">
        <f t="shared" si="60"/>
        <v>3.4444444444444442</v>
      </c>
    </row>
    <row r="189" spans="2:25" x14ac:dyDescent="0.25">
      <c r="B189" s="665"/>
      <c r="C189" s="686" t="s">
        <v>161</v>
      </c>
      <c r="D189" s="27" t="s">
        <v>136</v>
      </c>
      <c r="E189" s="91">
        <v>1.9</v>
      </c>
      <c r="F189" s="30">
        <v>0.57000000000000006</v>
      </c>
      <c r="G189" s="373"/>
      <c r="H189" s="364">
        <v>41.439070000000001</v>
      </c>
      <c r="I189" s="288">
        <v>72.700122807017536</v>
      </c>
      <c r="J189" s="364">
        <v>398.00200000000018</v>
      </c>
      <c r="K189" s="364">
        <v>9604.5109120450852</v>
      </c>
      <c r="L189" s="288">
        <v>698.24912280701778</v>
      </c>
      <c r="M189">
        <v>106.89140956338586</v>
      </c>
      <c r="N189">
        <v>2579.4837954468057</v>
      </c>
      <c r="O189" s="30">
        <v>187.52878870769447</v>
      </c>
      <c r="R189" s="30"/>
      <c r="U189" s="30"/>
      <c r="V189" s="182"/>
      <c r="W189" s="182"/>
      <c r="X189" s="184"/>
      <c r="Y189">
        <f t="shared" si="60"/>
        <v>3.3333333333333326</v>
      </c>
    </row>
    <row r="190" spans="2:25" x14ac:dyDescent="0.25">
      <c r="B190" s="665"/>
      <c r="C190" s="686"/>
      <c r="D190" s="27" t="s">
        <v>137</v>
      </c>
      <c r="E190" s="91">
        <v>2.2899999999999996</v>
      </c>
      <c r="F190" s="30">
        <v>0.65500000000000003</v>
      </c>
      <c r="G190" s="373"/>
      <c r="H190" s="364">
        <v>30.712789999999995</v>
      </c>
      <c r="I190" s="288">
        <v>46.889755725190831</v>
      </c>
      <c r="J190" s="364">
        <v>208.78910000000005</v>
      </c>
      <c r="K190" s="364">
        <v>6798.115703587986</v>
      </c>
      <c r="L190" s="288">
        <v>318.76198473282449</v>
      </c>
      <c r="M190">
        <v>122.20869536726087</v>
      </c>
      <c r="N190">
        <v>3979.0815281601217</v>
      </c>
      <c r="O190" s="30">
        <v>186.57816086604711</v>
      </c>
      <c r="R190" s="30"/>
      <c r="U190" s="30"/>
      <c r="V190" s="182"/>
      <c r="W190" s="182"/>
      <c r="X190" s="184"/>
      <c r="Y190">
        <f t="shared" si="60"/>
        <v>3.4961832061068696</v>
      </c>
    </row>
    <row r="191" spans="2:25" x14ac:dyDescent="0.25">
      <c r="B191" s="665"/>
      <c r="C191" s="686"/>
      <c r="D191" s="27" t="s">
        <v>138</v>
      </c>
      <c r="E191" s="91">
        <v>1.9049999999999998</v>
      </c>
      <c r="F191" s="30">
        <v>0.56000000000000005</v>
      </c>
      <c r="G191" s="373"/>
      <c r="H191" s="364">
        <v>24.650109999999998</v>
      </c>
      <c r="I191" s="288">
        <v>44.018053571428567</v>
      </c>
      <c r="J191" s="364">
        <v>196.81360000000026</v>
      </c>
      <c r="K191" s="364">
        <v>7984.2889139237222</v>
      </c>
      <c r="L191" s="288">
        <v>351.45285714285757</v>
      </c>
      <c r="M191">
        <v>128.20868679326088</v>
      </c>
      <c r="N191">
        <v>5201.1405544746412</v>
      </c>
      <c r="O191" s="30">
        <v>228.94408355939441</v>
      </c>
      <c r="R191" s="30"/>
      <c r="U191" s="30"/>
      <c r="V191" s="182"/>
      <c r="W191" s="182"/>
      <c r="X191" s="184"/>
      <c r="Y191">
        <f t="shared" si="60"/>
        <v>3.4017857142857135</v>
      </c>
    </row>
    <row r="192" spans="2:25" x14ac:dyDescent="0.25">
      <c r="B192" s="665"/>
      <c r="C192" s="686"/>
      <c r="D192" s="27" t="s">
        <v>139</v>
      </c>
      <c r="E192" s="91">
        <v>2.0699999999999998</v>
      </c>
      <c r="F192" s="30">
        <v>0.59</v>
      </c>
      <c r="G192" s="373"/>
      <c r="H192" s="364">
        <v>31.17915</v>
      </c>
      <c r="I192" s="288">
        <v>52.846016949152542</v>
      </c>
      <c r="J192" s="364">
        <v>381.23629999999963</v>
      </c>
      <c r="K192" s="364">
        <v>12227.283296690244</v>
      </c>
      <c r="L192" s="288">
        <v>646.16322033898246</v>
      </c>
      <c r="M192">
        <v>130.77599081688587</v>
      </c>
      <c r="N192">
        <v>4194.3411163192668</v>
      </c>
      <c r="O192" s="30">
        <v>221.65422172353539</v>
      </c>
      <c r="R192" s="30"/>
      <c r="U192" s="30"/>
      <c r="V192" s="182"/>
      <c r="W192" s="182"/>
      <c r="X192" s="184"/>
      <c r="Y192">
        <f t="shared" si="60"/>
        <v>3.5084745762711864</v>
      </c>
    </row>
    <row r="193" spans="2:25" x14ac:dyDescent="0.25">
      <c r="B193" s="665"/>
      <c r="C193" s="686"/>
      <c r="D193" s="27" t="s">
        <v>140</v>
      </c>
      <c r="E193" s="91">
        <v>2.25</v>
      </c>
      <c r="F193" s="30">
        <v>0.65500000000000003</v>
      </c>
      <c r="G193" s="373"/>
      <c r="H193" s="364">
        <v>34.910029999999992</v>
      </c>
      <c r="I193" s="288">
        <v>53.297755725190825</v>
      </c>
      <c r="J193" s="364">
        <v>306.98820000000001</v>
      </c>
      <c r="K193" s="364">
        <v>8793.6962529106986</v>
      </c>
      <c r="L193" s="288">
        <v>468.68427480916029</v>
      </c>
      <c r="M193">
        <v>112.77601653888586</v>
      </c>
      <c r="N193">
        <v>3230.4760705987901</v>
      </c>
      <c r="O193" s="30">
        <v>172.17712448684864</v>
      </c>
      <c r="R193" s="30"/>
      <c r="U193" s="30"/>
      <c r="V193" s="182"/>
      <c r="W193" s="182"/>
      <c r="X193" s="184"/>
      <c r="Y193">
        <f t="shared" si="60"/>
        <v>3.4351145038167936</v>
      </c>
    </row>
    <row r="194" spans="2:25" x14ac:dyDescent="0.25">
      <c r="B194" s="665"/>
      <c r="C194" s="686"/>
      <c r="D194" s="27" t="s">
        <v>141</v>
      </c>
      <c r="E194" s="91">
        <v>1.5366666666666668</v>
      </c>
      <c r="F194" s="30">
        <v>0.48</v>
      </c>
      <c r="G194" s="373"/>
      <c r="H194" s="364">
        <v>30.246429999999997</v>
      </c>
      <c r="I194" s="288">
        <v>63.013395833333327</v>
      </c>
      <c r="J194" s="364">
        <v>237.5303000000001</v>
      </c>
      <c r="K194" s="364">
        <v>7853.1681259573488</v>
      </c>
      <c r="L194" s="288">
        <v>494.85479166666687</v>
      </c>
      <c r="M194">
        <v>86.901053514260866</v>
      </c>
      <c r="N194">
        <v>2873.1011730726859</v>
      </c>
      <c r="O194" s="30">
        <v>181.04386148804349</v>
      </c>
      <c r="P194" s="182"/>
      <c r="Q194" s="182"/>
      <c r="R194" s="183"/>
      <c r="S194" s="182"/>
      <c r="T194" s="182"/>
      <c r="U194" s="183"/>
      <c r="V194">
        <v>2.7445898996354901E-2</v>
      </c>
      <c r="W194">
        <v>9.0740953548418453E-4</v>
      </c>
      <c r="X194" s="27">
        <v>5.717895624240605E-2</v>
      </c>
      <c r="Y194">
        <f t="shared" si="60"/>
        <v>3.2013888888888893</v>
      </c>
    </row>
    <row r="195" spans="2:25" x14ac:dyDescent="0.25">
      <c r="B195" s="665"/>
      <c r="C195" s="686"/>
      <c r="D195" s="27" t="s">
        <v>149</v>
      </c>
      <c r="E195" s="91">
        <v>1.96</v>
      </c>
      <c r="F195" s="30">
        <v>0.57499999999999996</v>
      </c>
      <c r="G195" s="373"/>
      <c r="H195" s="364">
        <v>23.717389999999998</v>
      </c>
      <c r="I195" s="288">
        <v>41.247634782608692</v>
      </c>
      <c r="J195" s="364">
        <v>175.25769999999994</v>
      </c>
      <c r="K195" s="364">
        <v>7389.4176382814449</v>
      </c>
      <c r="L195" s="288">
        <v>304.79599999999994</v>
      </c>
      <c r="M195">
        <v>104.06449052613586</v>
      </c>
      <c r="N195">
        <v>4387.6872845678154</v>
      </c>
      <c r="O195" s="30">
        <v>180.98172265414934</v>
      </c>
      <c r="P195" s="182"/>
      <c r="Q195" s="182"/>
      <c r="R195" s="183"/>
      <c r="S195" s="182"/>
      <c r="T195" s="182"/>
      <c r="U195" s="183"/>
      <c r="V195">
        <v>1.7871748183672959E-2</v>
      </c>
      <c r="W195">
        <v>7.5352929574767544E-4</v>
      </c>
      <c r="X195" s="27">
        <v>3.1081301188996453E-2</v>
      </c>
      <c r="Y195">
        <f t="shared" si="60"/>
        <v>3.4086956521739133</v>
      </c>
    </row>
    <row r="196" spans="2:25" x14ac:dyDescent="0.25">
      <c r="B196" s="665"/>
      <c r="C196" s="686"/>
      <c r="D196" s="27" t="s">
        <v>142</v>
      </c>
      <c r="E196" s="91">
        <v>1.5550000000000002</v>
      </c>
      <c r="F196" s="30">
        <v>0.48</v>
      </c>
      <c r="G196" s="373"/>
      <c r="H196" s="364">
        <v>27.448269999999997</v>
      </c>
      <c r="I196" s="288">
        <v>57.183895833333331</v>
      </c>
      <c r="J196" s="364">
        <v>201.60380000000046</v>
      </c>
      <c r="K196" s="364">
        <v>7344.8636289281794</v>
      </c>
      <c r="L196" s="288">
        <v>420.00791666666765</v>
      </c>
      <c r="M196">
        <v>95.987578991135862</v>
      </c>
      <c r="N196">
        <v>3497.035659847993</v>
      </c>
      <c r="O196" s="30">
        <v>199.97412289819971</v>
      </c>
      <c r="P196" s="182"/>
      <c r="Q196" s="182"/>
      <c r="R196" s="183"/>
      <c r="S196" s="182"/>
      <c r="T196" s="182"/>
      <c r="U196" s="183"/>
      <c r="V196">
        <v>3.5221269959381456E-2</v>
      </c>
      <c r="W196">
        <v>1.2831872449295151E-3</v>
      </c>
      <c r="X196" s="27">
        <v>7.3377645748711362E-2</v>
      </c>
      <c r="Y196">
        <f t="shared" si="60"/>
        <v>3.2395833333333339</v>
      </c>
    </row>
    <row r="197" spans="2:25" x14ac:dyDescent="0.25">
      <c r="B197" s="665"/>
      <c r="C197" s="686"/>
      <c r="D197" s="27" t="s">
        <v>143</v>
      </c>
      <c r="E197" s="91">
        <v>1.79</v>
      </c>
      <c r="F197" s="30">
        <v>0.52</v>
      </c>
      <c r="G197" s="373"/>
      <c r="H197" s="364">
        <v>43.770870000000002</v>
      </c>
      <c r="I197" s="288">
        <v>84.174750000000003</v>
      </c>
      <c r="J197" s="379"/>
      <c r="K197" s="379"/>
      <c r="L197" s="380"/>
      <c r="M197">
        <v>103.54526049888587</v>
      </c>
      <c r="N197">
        <v>2365.6203429103844</v>
      </c>
      <c r="O197" s="30">
        <v>199.12550095939588</v>
      </c>
      <c r="P197" s="182"/>
      <c r="Q197" s="182"/>
      <c r="R197" s="183"/>
      <c r="S197" s="182"/>
      <c r="T197" s="182"/>
      <c r="U197" s="183"/>
      <c r="V197">
        <v>7.3982074461633199E-2</v>
      </c>
      <c r="W197">
        <v>1.6902125651519651E-3</v>
      </c>
      <c r="X197" s="27">
        <v>0.14227322011852539</v>
      </c>
      <c r="Y197">
        <f t="shared" si="60"/>
        <v>3.4423076923076921</v>
      </c>
    </row>
    <row r="198" spans="2:25" x14ac:dyDescent="0.25">
      <c r="B198" s="665"/>
      <c r="C198" s="688"/>
      <c r="D198" s="61" t="s">
        <v>144</v>
      </c>
      <c r="E198" s="191">
        <v>2.33</v>
      </c>
      <c r="F198" s="90">
        <v>0.62</v>
      </c>
      <c r="G198" s="374"/>
      <c r="H198" s="365">
        <v>22.31831</v>
      </c>
      <c r="I198" s="366">
        <v>35.997274193548385</v>
      </c>
      <c r="J198" s="365">
        <v>237.53029999999995</v>
      </c>
      <c r="K198" s="365">
        <v>10642.844373073049</v>
      </c>
      <c r="L198" s="366">
        <v>383.11338709677415</v>
      </c>
      <c r="M198" s="60">
        <v>107.98756184313585</v>
      </c>
      <c r="N198" s="60">
        <v>4838.5187697068395</v>
      </c>
      <c r="O198" s="90">
        <v>174.17348684376751</v>
      </c>
      <c r="P198" s="186"/>
      <c r="Q198" s="186"/>
      <c r="R198" s="187"/>
      <c r="S198" s="186"/>
      <c r="T198" s="186"/>
      <c r="U198" s="187"/>
      <c r="V198" s="60">
        <v>2.8200226030081363E-2</v>
      </c>
      <c r="W198" s="60">
        <v>1.2635466587784363E-3</v>
      </c>
      <c r="X198" s="61">
        <v>4.5484235532389297E-2</v>
      </c>
      <c r="Y198">
        <f t="shared" si="60"/>
        <v>3.7580645161290325</v>
      </c>
    </row>
    <row r="199" spans="2:25" x14ac:dyDescent="0.25">
      <c r="B199" s="665"/>
      <c r="C199" s="686" t="s">
        <v>145</v>
      </c>
      <c r="D199" s="27" t="s">
        <v>136</v>
      </c>
      <c r="E199" s="91">
        <v>1.6900000000000002</v>
      </c>
      <c r="F199" s="30">
        <v>0.53500000000000003</v>
      </c>
      <c r="G199" s="373"/>
      <c r="H199" s="364">
        <v>13.545001153846153</v>
      </c>
      <c r="I199" s="288">
        <v>25.317759166067574</v>
      </c>
      <c r="J199" s="364">
        <v>194.30480000000045</v>
      </c>
      <c r="K199" s="364">
        <v>14345.129822659845</v>
      </c>
      <c r="L199" s="288">
        <v>363.18654205607561</v>
      </c>
      <c r="M199">
        <v>80.255367494079522</v>
      </c>
      <c r="N199">
        <v>5925.091226093452</v>
      </c>
      <c r="O199" s="30">
        <v>150.01003269921404</v>
      </c>
      <c r="P199">
        <v>3.1956690248115603E-3</v>
      </c>
      <c r="Q199">
        <v>2.3592977132409754E-4</v>
      </c>
      <c r="R199" s="30">
        <v>5.9732131304888973E-3</v>
      </c>
      <c r="S199">
        <v>3.89262654301419</v>
      </c>
      <c r="T199">
        <v>0.28738473321642088</v>
      </c>
      <c r="U199" s="30">
        <v>7.2759374635779244</v>
      </c>
      <c r="V199" s="182"/>
      <c r="W199" s="182"/>
      <c r="X199" s="184"/>
      <c r="Y199">
        <f t="shared" si="60"/>
        <v>3.1588785046728973</v>
      </c>
    </row>
    <row r="200" spans="2:25" x14ac:dyDescent="0.25">
      <c r="B200" s="665"/>
      <c r="C200" s="686"/>
      <c r="D200" s="27" t="s">
        <v>137</v>
      </c>
      <c r="E200" s="91">
        <v>1.91</v>
      </c>
      <c r="F200" s="30">
        <v>0.57999999999999996</v>
      </c>
      <c r="G200" s="373"/>
      <c r="H200" s="364">
        <v>15.076651153846152</v>
      </c>
      <c r="I200" s="288">
        <v>25.994226127320953</v>
      </c>
      <c r="J200" s="364">
        <v>207.40039999999993</v>
      </c>
      <c r="K200" s="364">
        <v>13756.397086039278</v>
      </c>
      <c r="L200" s="288">
        <v>357.58689655172407</v>
      </c>
      <c r="M200">
        <v>81.69293731632952</v>
      </c>
      <c r="N200">
        <v>5418.5068343568537</v>
      </c>
      <c r="O200" s="30">
        <v>140.84989192470607</v>
      </c>
      <c r="P200">
        <v>3.1104511841499199E-3</v>
      </c>
      <c r="Q200">
        <v>2.0630915661641635E-4</v>
      </c>
      <c r="R200" s="30">
        <v>5.3628468692240002E-3</v>
      </c>
      <c r="S200">
        <v>3.2446861453293701</v>
      </c>
      <c r="T200">
        <v>0.21521265645929796</v>
      </c>
      <c r="U200" s="30">
        <v>5.5942864574644311</v>
      </c>
      <c r="V200" s="182"/>
      <c r="W200" s="182"/>
      <c r="X200" s="184"/>
      <c r="Y200">
        <f t="shared" si="60"/>
        <v>3.2931034482758621</v>
      </c>
    </row>
    <row r="201" spans="2:25" x14ac:dyDescent="0.25">
      <c r="B201" s="665"/>
      <c r="C201" s="686"/>
      <c r="D201" s="27" t="s">
        <v>138</v>
      </c>
      <c r="E201" s="91">
        <v>2.27</v>
      </c>
      <c r="F201" s="30">
        <v>0.61499999999999999</v>
      </c>
      <c r="G201" s="373"/>
      <c r="H201" s="364">
        <v>15.382981153846151</v>
      </c>
      <c r="I201" s="288">
        <v>25.012977485928701</v>
      </c>
      <c r="J201" s="364">
        <v>170.29620000000008</v>
      </c>
      <c r="K201" s="364">
        <v>11070.428956315891</v>
      </c>
      <c r="L201" s="288">
        <v>276.90439024390258</v>
      </c>
      <c r="M201">
        <v>84.213893091579507</v>
      </c>
      <c r="N201">
        <v>5474.4845780769756</v>
      </c>
      <c r="O201" s="30">
        <v>136.93315949850327</v>
      </c>
      <c r="P201">
        <v>2.7269709011725303E-3</v>
      </c>
      <c r="Q201">
        <v>1.7727193928796536E-4</v>
      </c>
      <c r="R201" s="30">
        <v>4.4340990262967976E-3</v>
      </c>
      <c r="S201">
        <v>2.9057634757711597</v>
      </c>
      <c r="T201">
        <v>0.18889469126370489</v>
      </c>
      <c r="U201" s="30">
        <v>4.724818659790504</v>
      </c>
      <c r="V201" s="182"/>
      <c r="W201" s="182"/>
      <c r="X201" s="184"/>
      <c r="Y201">
        <f t="shared" si="60"/>
        <v>3.6910569105691056</v>
      </c>
    </row>
    <row r="202" spans="2:25" x14ac:dyDescent="0.25">
      <c r="B202" s="665"/>
      <c r="C202" s="686"/>
      <c r="D202" s="27" t="s">
        <v>139</v>
      </c>
      <c r="E202" s="91">
        <v>2.44</v>
      </c>
      <c r="F202" s="30">
        <v>0.62</v>
      </c>
      <c r="G202" s="373"/>
      <c r="H202" s="364">
        <v>12.319681153846153</v>
      </c>
      <c r="I202" s="288">
        <v>19.870453473945407</v>
      </c>
      <c r="J202" s="364">
        <v>203.03519999999992</v>
      </c>
      <c r="K202" s="364">
        <v>16480.55639302103</v>
      </c>
      <c r="L202" s="288">
        <v>327.47612903225792</v>
      </c>
      <c r="M202">
        <v>101.83974917307951</v>
      </c>
      <c r="N202">
        <v>8266.4273451010195</v>
      </c>
      <c r="O202" s="30">
        <v>164.25765995657986</v>
      </c>
      <c r="P202">
        <v>1.98131479538317E-3</v>
      </c>
      <c r="Q202">
        <v>1.6082516833356615E-4</v>
      </c>
      <c r="R202" s="30">
        <v>3.1956690248115646E-3</v>
      </c>
      <c r="S202">
        <v>3.0901772812660697</v>
      </c>
      <c r="T202">
        <v>0.2508325696644616</v>
      </c>
      <c r="U202" s="30">
        <v>4.984156905267854</v>
      </c>
      <c r="V202" s="182"/>
      <c r="W202" s="182"/>
      <c r="X202" s="184"/>
      <c r="Y202">
        <f t="shared" si="60"/>
        <v>3.935483870967742</v>
      </c>
    </row>
    <row r="203" spans="2:25" x14ac:dyDescent="0.25">
      <c r="B203" s="665"/>
      <c r="C203" s="686"/>
      <c r="D203" s="27" t="s">
        <v>140</v>
      </c>
      <c r="E203" s="91">
        <v>1.8999999999999997</v>
      </c>
      <c r="F203" s="280">
        <v>0.59333333333333327</v>
      </c>
      <c r="G203" s="373"/>
      <c r="H203" s="364">
        <v>13.851331153846152</v>
      </c>
      <c r="I203" s="288">
        <v>23.344940146931719</v>
      </c>
      <c r="J203" s="364">
        <v>203.03519999999992</v>
      </c>
      <c r="K203" s="364">
        <v>14658.172398370705</v>
      </c>
      <c r="L203" s="288">
        <v>342.19415730337067</v>
      </c>
      <c r="M203">
        <v>86.33899630707954</v>
      </c>
      <c r="N203">
        <v>6233.2634566393608</v>
      </c>
      <c r="O203" s="30">
        <v>145.5151623153026</v>
      </c>
      <c r="P203">
        <v>3.5578448476235301E-3</v>
      </c>
      <c r="Q203">
        <v>2.5685941720017357E-4</v>
      </c>
      <c r="R203" s="30">
        <v>5.9963677207138157E-3</v>
      </c>
      <c r="S203">
        <v>4.38107391973044</v>
      </c>
      <c r="T203">
        <v>0.31629262711793088</v>
      </c>
      <c r="U203" s="30">
        <v>7.3838324489838882</v>
      </c>
      <c r="V203" s="182"/>
      <c r="W203" s="182"/>
      <c r="X203" s="184"/>
      <c r="Y203">
        <f t="shared" si="60"/>
        <v>3.2022471910112356</v>
      </c>
    </row>
    <row r="204" spans="2:25" x14ac:dyDescent="0.25">
      <c r="B204" s="665"/>
      <c r="C204" s="685" t="s">
        <v>343</v>
      </c>
      <c r="D204" s="161" t="s">
        <v>80</v>
      </c>
      <c r="E204" s="436">
        <v>1.635</v>
      </c>
      <c r="F204" s="465">
        <v>0.54500000000000004</v>
      </c>
      <c r="G204" s="367">
        <v>1.9285714285714288</v>
      </c>
      <c r="H204" s="401">
        <v>23.304109</v>
      </c>
      <c r="I204" s="367">
        <v>42.75983302752293</v>
      </c>
      <c r="J204" s="401">
        <v>303.20999999999981</v>
      </c>
      <c r="K204" s="401">
        <v>13011.010204251956</v>
      </c>
      <c r="L204" s="367">
        <v>556.3486238532106</v>
      </c>
      <c r="M204" s="164"/>
      <c r="N204" s="164"/>
      <c r="O204" s="126"/>
      <c r="P204" s="164">
        <v>3.3688689877000498E-4</v>
      </c>
      <c r="Q204" s="164">
        <v>1.4456115819317743E-5</v>
      </c>
      <c r="R204" s="126">
        <v>6.1814109866055954E-4</v>
      </c>
      <c r="S204" s="164">
        <v>4.2344080073723704</v>
      </c>
      <c r="T204" s="164">
        <v>0.18170220570854567</v>
      </c>
      <c r="U204" s="126">
        <v>7.7695559768300368</v>
      </c>
      <c r="V204" s="402"/>
      <c r="W204" s="402"/>
      <c r="X204" s="403"/>
    </row>
    <row r="205" spans="2:25" x14ac:dyDescent="0.25">
      <c r="B205" s="665"/>
      <c r="C205" s="686"/>
      <c r="D205" s="27" t="s">
        <v>79</v>
      </c>
      <c r="E205" s="91">
        <v>1.635</v>
      </c>
      <c r="F205" s="280">
        <v>0.53</v>
      </c>
      <c r="G205" s="288">
        <v>1.9285714285714284</v>
      </c>
      <c r="H205" s="364">
        <v>28.004353999999999</v>
      </c>
      <c r="I205" s="288">
        <v>52.838403773584901</v>
      </c>
      <c r="J205" s="364">
        <v>294.53440000000012</v>
      </c>
      <c r="K205" s="364">
        <v>10517.450250771724</v>
      </c>
      <c r="L205" s="288">
        <v>555.72528301886814</v>
      </c>
      <c r="O205" s="30"/>
      <c r="P205">
        <v>2.92125702429934E-4</v>
      </c>
      <c r="Q205">
        <v>1.0431438712349302E-5</v>
      </c>
      <c r="R205" s="30">
        <v>5.5118057062251698E-4</v>
      </c>
      <c r="S205">
        <v>3.9794329015521002</v>
      </c>
      <c r="T205">
        <v>0.14210050699802254</v>
      </c>
      <c r="U205" s="30">
        <v>7.5083639651926415</v>
      </c>
      <c r="V205" s="182"/>
      <c r="W205" s="182"/>
      <c r="X205" s="184"/>
    </row>
    <row r="206" spans="2:25" x14ac:dyDescent="0.25">
      <c r="B206" s="665"/>
      <c r="C206" s="686"/>
      <c r="D206" s="27" t="s">
        <v>81</v>
      </c>
      <c r="E206" s="91">
        <v>1.415</v>
      </c>
      <c r="F206" s="280">
        <v>0.48499999999999999</v>
      </c>
      <c r="G206" s="288">
        <v>1.6516483516483516</v>
      </c>
      <c r="H206" s="364">
        <v>23.731403999999998</v>
      </c>
      <c r="I206" s="288">
        <v>48.930729896907216</v>
      </c>
      <c r="J206" s="364">
        <v>262.00089999999989</v>
      </c>
      <c r="K206" s="364">
        <v>11040.261250451085</v>
      </c>
      <c r="L206" s="288">
        <v>540.20804123711321</v>
      </c>
      <c r="O206" s="30"/>
      <c r="P206">
        <v>2.0495916218874399E-4</v>
      </c>
      <c r="Q206">
        <v>8.6366218445711853E-6</v>
      </c>
      <c r="R206" s="30">
        <v>4.2259621069844124E-4</v>
      </c>
      <c r="S206">
        <v>1.6755506953903601</v>
      </c>
      <c r="T206">
        <v>7.0604785767852604E-2</v>
      </c>
      <c r="U206" s="30">
        <v>3.454743701835794</v>
      </c>
      <c r="V206" s="182"/>
      <c r="W206" s="182"/>
      <c r="X206" s="184"/>
    </row>
    <row r="207" spans="2:25" x14ac:dyDescent="0.25">
      <c r="B207" s="665"/>
      <c r="C207" s="686"/>
      <c r="D207" s="27" t="s">
        <v>82</v>
      </c>
      <c r="E207" s="91">
        <v>1.3699999999999999</v>
      </c>
      <c r="F207" s="280">
        <v>0.45499999999999996</v>
      </c>
      <c r="G207" s="288">
        <v>1.898901098901099</v>
      </c>
      <c r="H207" s="364">
        <v>29.286239000000002</v>
      </c>
      <c r="I207" s="288">
        <v>64.365360439560448</v>
      </c>
      <c r="J207" s="364">
        <v>331.40569999999997</v>
      </c>
      <c r="K207" s="364">
        <v>11316.089443919376</v>
      </c>
      <c r="L207" s="288">
        <v>728.36417582417585</v>
      </c>
      <c r="O207" s="30"/>
      <c r="P207">
        <v>2.8898456584466599E-4</v>
      </c>
      <c r="Q207">
        <v>9.8675888646768865E-6</v>
      </c>
      <c r="R207" s="30">
        <v>6.3513091394432086E-4</v>
      </c>
      <c r="S207">
        <v>3.7882015721869</v>
      </c>
      <c r="T207">
        <v>0.12935090682647574</v>
      </c>
      <c r="U207" s="30">
        <v>8.3257177410701111</v>
      </c>
      <c r="V207" s="182"/>
      <c r="W207" s="182"/>
      <c r="X207" s="184"/>
    </row>
    <row r="208" spans="2:25" ht="15.75" thickBot="1" x14ac:dyDescent="0.3">
      <c r="B208" s="666"/>
      <c r="C208" s="687"/>
      <c r="D208" s="27" t="s">
        <v>83</v>
      </c>
      <c r="E208" s="91">
        <v>1.6133333333333333</v>
      </c>
      <c r="F208" s="280"/>
      <c r="G208" s="288">
        <v>1.9582417582417582</v>
      </c>
      <c r="H208" s="364"/>
      <c r="I208" s="288"/>
      <c r="J208" s="364"/>
      <c r="K208" s="364"/>
      <c r="L208" s="288"/>
      <c r="O208" s="30"/>
      <c r="R208" s="30"/>
      <c r="U208" s="30"/>
      <c r="V208" s="182"/>
      <c r="W208" s="182"/>
      <c r="X208" s="184"/>
    </row>
    <row r="209" spans="1:25" x14ac:dyDescent="0.25">
      <c r="B209" s="649" t="s">
        <v>146</v>
      </c>
      <c r="C209" s="690" t="s">
        <v>147</v>
      </c>
      <c r="D209" s="25" t="s">
        <v>80</v>
      </c>
      <c r="E209" s="195">
        <v>1.34</v>
      </c>
      <c r="F209" s="180">
        <v>0.3666666666666667</v>
      </c>
      <c r="G209" s="381">
        <v>2.6256983240223462</v>
      </c>
      <c r="H209" s="363">
        <v>29.501235714285713</v>
      </c>
      <c r="I209" s="301">
        <v>80.457915584415574</v>
      </c>
      <c r="J209" s="363">
        <v>184.42399999999992</v>
      </c>
      <c r="K209" s="363">
        <v>6251.3991544664086</v>
      </c>
      <c r="L209" s="301">
        <v>502.97454545454519</v>
      </c>
      <c r="M209" s="50">
        <v>62.73507</v>
      </c>
      <c r="N209" s="50">
        <f>M209/H209*1000</f>
        <v>2126.523465239834</v>
      </c>
      <c r="O209" s="28">
        <f>M209/F209</f>
        <v>171.09564545454543</v>
      </c>
      <c r="P209" s="50">
        <v>1.5306787200865578E-3</v>
      </c>
      <c r="Q209" s="50">
        <v>5.1885240839092723E-5</v>
      </c>
      <c r="R209" s="28"/>
      <c r="S209" s="50">
        <v>1.5932451150469624</v>
      </c>
      <c r="T209" s="50">
        <v>5.4006046745880804E-2</v>
      </c>
      <c r="U209" s="28"/>
      <c r="V209" s="181"/>
      <c r="W209" s="181"/>
      <c r="X209" s="192"/>
      <c r="Y209">
        <f t="shared" si="60"/>
        <v>3.6545454545454543</v>
      </c>
    </row>
    <row r="210" spans="1:25" x14ac:dyDescent="0.25">
      <c r="B210" s="647"/>
      <c r="C210" s="686"/>
      <c r="D210" s="27" t="s">
        <v>79</v>
      </c>
      <c r="E210" s="91">
        <v>1.5599999999999998</v>
      </c>
      <c r="F210" s="92">
        <v>0.45500000000000002</v>
      </c>
      <c r="G210" s="382"/>
      <c r="H210" s="466"/>
      <c r="I210" s="373"/>
      <c r="J210" s="466"/>
      <c r="K210" s="466"/>
      <c r="L210" s="373"/>
      <c r="M210" s="182"/>
      <c r="N210" s="182"/>
      <c r="O210" s="183"/>
      <c r="P210" s="182"/>
      <c r="Q210" s="182"/>
      <c r="R210" s="183"/>
      <c r="S210" s="182"/>
      <c r="T210" s="182"/>
      <c r="U210" s="183"/>
      <c r="V210" s="182"/>
      <c r="W210" s="182"/>
      <c r="X210" s="184"/>
      <c r="Y210">
        <f t="shared" si="60"/>
        <v>3.4285714285714279</v>
      </c>
    </row>
    <row r="211" spans="1:25" x14ac:dyDescent="0.25">
      <c r="B211" s="647"/>
      <c r="C211" s="686"/>
      <c r="D211" s="27" t="s">
        <v>81</v>
      </c>
      <c r="E211" s="91">
        <v>1.7349999999999999</v>
      </c>
      <c r="F211" s="92">
        <v>0.47499999999999998</v>
      </c>
      <c r="G211" s="92">
        <v>1.8491620111731844</v>
      </c>
      <c r="H211">
        <v>24.864885714285712</v>
      </c>
      <c r="I211" s="30">
        <v>52.347127819548874</v>
      </c>
      <c r="J211">
        <v>169.92699999999999</v>
      </c>
      <c r="K211">
        <v>6834.014921788731</v>
      </c>
      <c r="L211" s="30">
        <v>357.74105263157895</v>
      </c>
      <c r="M211">
        <v>78.985989753136352</v>
      </c>
      <c r="N211">
        <f t="shared" ref="N211:N222" si="68">M211/H211*1000</f>
        <v>3176.607793847862</v>
      </c>
      <c r="O211" s="30">
        <f t="shared" ref="O211:O222" si="69">M211/F211</f>
        <v>166.28629421712918</v>
      </c>
      <c r="P211">
        <v>3.002485181708248E-4</v>
      </c>
      <c r="Q211">
        <v>1.2075202018657256E-5</v>
      </c>
      <c r="R211" s="30"/>
      <c r="S211">
        <v>0.10971448397029981</v>
      </c>
      <c r="T211">
        <v>4.4124266337273029E-3</v>
      </c>
      <c r="U211" s="30"/>
      <c r="V211" s="182"/>
      <c r="W211" s="182"/>
      <c r="X211" s="184"/>
      <c r="Y211">
        <f t="shared" si="60"/>
        <v>3.6526315789473682</v>
      </c>
    </row>
    <row r="212" spans="1:25" x14ac:dyDescent="0.25">
      <c r="B212" s="647"/>
      <c r="C212" s="688"/>
      <c r="D212" s="61" t="s">
        <v>82</v>
      </c>
      <c r="E212" s="191">
        <v>1.41</v>
      </c>
      <c r="F212" s="185">
        <v>0.435</v>
      </c>
      <c r="G212" s="185">
        <v>2.441340782122905</v>
      </c>
      <c r="H212" s="60">
        <v>40.834535714285707</v>
      </c>
      <c r="I212" s="90">
        <v>93.872495894909676</v>
      </c>
      <c r="J212" s="60">
        <v>194.77900000000005</v>
      </c>
      <c r="K212" s="60">
        <v>4769.9575027091059</v>
      </c>
      <c r="L212" s="90">
        <v>447.76781609195416</v>
      </c>
      <c r="M212" s="60">
        <v>78.726205986136364</v>
      </c>
      <c r="N212" s="60">
        <f t="shared" si="68"/>
        <v>1927.9319480200309</v>
      </c>
      <c r="O212" s="90">
        <f t="shared" si="69"/>
        <v>180.97978387617556</v>
      </c>
      <c r="P212" s="60">
        <v>1.0479262006746436E-3</v>
      </c>
      <c r="Q212" s="60">
        <v>2.5662743125252021E-5</v>
      </c>
      <c r="R212" s="90"/>
      <c r="S212" s="60">
        <v>1.0112813305088504</v>
      </c>
      <c r="T212" s="60">
        <v>2.4765344158304215E-2</v>
      </c>
      <c r="U212" s="90"/>
      <c r="V212" s="186"/>
      <c r="W212" s="186"/>
      <c r="X212" s="188"/>
      <c r="Y212">
        <f t="shared" si="60"/>
        <v>3.2413793103448274</v>
      </c>
    </row>
    <row r="213" spans="1:25" x14ac:dyDescent="0.25">
      <c r="B213" s="647"/>
      <c r="C213" s="686" t="s">
        <v>148</v>
      </c>
      <c r="D213" s="27" t="s">
        <v>136</v>
      </c>
      <c r="E213" s="91">
        <v>2.0499999999999998</v>
      </c>
      <c r="F213" s="92">
        <v>0.52666666666666673</v>
      </c>
      <c r="G213" s="92">
        <v>1.802139037433155</v>
      </c>
      <c r="H213">
        <v>18.121069999999996</v>
      </c>
      <c r="I213" s="30">
        <v>34.407094936708852</v>
      </c>
      <c r="J213">
        <v>235.13519999999986</v>
      </c>
      <c r="K213">
        <v>12975.790060962179</v>
      </c>
      <c r="L213" s="30">
        <v>446.4592405063288</v>
      </c>
      <c r="M213">
        <v>90.477149096889207</v>
      </c>
      <c r="N213">
        <f t="shared" si="68"/>
        <v>4992.9253127375605</v>
      </c>
      <c r="O213" s="30">
        <f t="shared" si="69"/>
        <v>171.79205524725796</v>
      </c>
      <c r="P213">
        <v>1.8643014607627143E-3</v>
      </c>
      <c r="Q213">
        <v>1.0288031891950722E-4</v>
      </c>
      <c r="R213" s="30"/>
      <c r="S213">
        <v>2.1140802841041015</v>
      </c>
      <c r="T213">
        <v>0.11666420824510373</v>
      </c>
      <c r="U213" s="30"/>
      <c r="V213" s="182"/>
      <c r="W213" s="182"/>
      <c r="X213" s="184"/>
      <c r="Y213">
        <f t="shared" si="60"/>
        <v>3.8924050632911387</v>
      </c>
    </row>
    <row r="214" spans="1:25" x14ac:dyDescent="0.25">
      <c r="B214" s="647"/>
      <c r="C214" s="686"/>
      <c r="D214" s="27" t="s">
        <v>137</v>
      </c>
      <c r="E214" s="91">
        <v>1.89</v>
      </c>
      <c r="F214" s="92">
        <v>0.47</v>
      </c>
      <c r="G214" s="92">
        <v>2.6149732620320854</v>
      </c>
      <c r="H214">
        <v>23.251029999999997</v>
      </c>
      <c r="I214" s="30">
        <v>49.470276595744679</v>
      </c>
      <c r="J214">
        <v>112.98509999999993</v>
      </c>
      <c r="K214">
        <v>4859.3589187231682</v>
      </c>
      <c r="L214" s="30">
        <v>240.3938297872339</v>
      </c>
      <c r="M214">
        <v>64.762827231451709</v>
      </c>
      <c r="N214">
        <f t="shared" si="68"/>
        <v>2785.3745503511768</v>
      </c>
      <c r="O214" s="30">
        <f t="shared" si="69"/>
        <v>137.79324942862067</v>
      </c>
      <c r="P214" s="143">
        <v>1.7586325520555159E-3</v>
      </c>
      <c r="Q214">
        <v>7.5636758976076166E-5</v>
      </c>
      <c r="R214" s="30"/>
      <c r="S214">
        <v>1.8028704960887774</v>
      </c>
      <c r="T214">
        <v>7.7539381958080036E-2</v>
      </c>
      <c r="U214" s="30"/>
      <c r="V214" s="182"/>
      <c r="W214" s="182"/>
      <c r="X214" s="184"/>
      <c r="Y214">
        <f t="shared" si="60"/>
        <v>4.0212765957446805</v>
      </c>
    </row>
    <row r="215" spans="1:25" x14ac:dyDescent="0.25">
      <c r="B215" s="647"/>
      <c r="C215" s="686"/>
      <c r="D215" s="27" t="s">
        <v>141</v>
      </c>
      <c r="E215" s="91">
        <v>1.92</v>
      </c>
      <c r="F215" s="92">
        <v>0.51</v>
      </c>
      <c r="G215" s="183"/>
      <c r="H215">
        <v>26.981909999999999</v>
      </c>
      <c r="I215" s="30">
        <v>52.90570588235294</v>
      </c>
      <c r="J215">
        <v>184.83810000000005</v>
      </c>
      <c r="K215">
        <v>6850.4453539426995</v>
      </c>
      <c r="L215" s="30">
        <v>362.42764705882365</v>
      </c>
      <c r="M215">
        <v>94.601405241075994</v>
      </c>
      <c r="N215">
        <f t="shared" si="68"/>
        <v>3506.1048399122224</v>
      </c>
      <c r="O215" s="30">
        <f t="shared" si="69"/>
        <v>185.49295145309017</v>
      </c>
      <c r="P215" s="182"/>
      <c r="Q215" s="182"/>
      <c r="R215" s="183"/>
      <c r="S215" s="182"/>
      <c r="T215" s="182"/>
      <c r="U215" s="183"/>
      <c r="V215">
        <v>1.2878512255096244E-2</v>
      </c>
      <c r="W215">
        <v>4.7730172753138102E-4</v>
      </c>
      <c r="X215" s="27">
        <v>2.5251984813914205E-2</v>
      </c>
      <c r="Y215">
        <f t="shared" si="60"/>
        <v>3.7647058823529411</v>
      </c>
    </row>
    <row r="216" spans="1:25" x14ac:dyDescent="0.25">
      <c r="B216" s="647"/>
      <c r="C216" s="686"/>
      <c r="D216" s="27" t="s">
        <v>149</v>
      </c>
      <c r="E216" s="91">
        <v>2.186666666666667</v>
      </c>
      <c r="F216" s="92">
        <v>0.61499999999999999</v>
      </c>
      <c r="G216" s="183"/>
      <c r="H216">
        <v>34.443669999999997</v>
      </c>
      <c r="I216" s="30">
        <v>56.005967479674794</v>
      </c>
      <c r="J216">
        <v>201.60379999999975</v>
      </c>
      <c r="K216">
        <v>5853.1451497473927</v>
      </c>
      <c r="L216" s="30">
        <v>327.81105691056871</v>
      </c>
      <c r="M216">
        <v>130.11429539538921</v>
      </c>
      <c r="N216">
        <f t="shared" si="68"/>
        <v>3777.5967367992207</v>
      </c>
      <c r="O216" s="30">
        <f t="shared" si="69"/>
        <v>211.56795999250278</v>
      </c>
      <c r="P216" s="182"/>
      <c r="Q216" s="182"/>
      <c r="R216" s="183"/>
      <c r="S216" s="182"/>
      <c r="T216" s="182"/>
      <c r="U216" s="183"/>
      <c r="V216">
        <v>3.1056316634299079E-2</v>
      </c>
      <c r="W216">
        <v>9.0165527176108359E-4</v>
      </c>
      <c r="X216" s="27">
        <v>5.0498075828128583E-2</v>
      </c>
      <c r="Y216">
        <f t="shared" si="60"/>
        <v>3.5555555555555562</v>
      </c>
    </row>
    <row r="217" spans="1:25" x14ac:dyDescent="0.25">
      <c r="B217" s="647"/>
      <c r="C217" s="686"/>
      <c r="D217" s="27" t="s">
        <v>142</v>
      </c>
      <c r="E217" s="91">
        <v>2.5649999999999999</v>
      </c>
      <c r="F217" s="92">
        <v>0.66</v>
      </c>
      <c r="G217" s="183"/>
      <c r="H217">
        <v>32.111869999999996</v>
      </c>
      <c r="I217" s="30">
        <v>48.654348484848477</v>
      </c>
      <c r="J217">
        <v>239.92539999999991</v>
      </c>
      <c r="K217">
        <v>7471.5486827768027</v>
      </c>
      <c r="L217" s="30">
        <v>363.5233333333332</v>
      </c>
      <c r="M217">
        <v>122.47473367863918</v>
      </c>
      <c r="N217">
        <f t="shared" si="68"/>
        <v>3814.0019151372744</v>
      </c>
      <c r="O217" s="30">
        <f t="shared" si="69"/>
        <v>185.56777830096846</v>
      </c>
      <c r="P217" s="182"/>
      <c r="Q217" s="182"/>
      <c r="R217" s="183"/>
      <c r="S217" s="182"/>
      <c r="T217" s="182"/>
      <c r="U217" s="183"/>
      <c r="V217">
        <v>4.2394336992852714E-2</v>
      </c>
      <c r="W217">
        <v>1.3202076675339282E-3</v>
      </c>
      <c r="X217" s="27">
        <v>6.423384392856471E-2</v>
      </c>
      <c r="Y217">
        <f t="shared" si="60"/>
        <v>3.8863636363636362</v>
      </c>
    </row>
    <row r="218" spans="1:25" x14ac:dyDescent="0.25">
      <c r="B218" s="647"/>
      <c r="C218" s="686"/>
      <c r="D218" s="27" t="s">
        <v>143</v>
      </c>
      <c r="E218" s="91">
        <v>2.3066666666666666</v>
      </c>
      <c r="F218" s="92">
        <v>0.65</v>
      </c>
      <c r="G218" s="183"/>
      <c r="H218">
        <v>26.515549999999998</v>
      </c>
      <c r="I218" s="30">
        <v>40.793153846153842</v>
      </c>
      <c r="J218">
        <v>263.87639999999988</v>
      </c>
      <c r="K218">
        <v>9951.7603821153953</v>
      </c>
      <c r="L218" s="30">
        <v>405.9636923076921</v>
      </c>
      <c r="M218">
        <v>53.774037370764212</v>
      </c>
      <c r="N218">
        <f t="shared" si="68"/>
        <v>2028.018931184313</v>
      </c>
      <c r="O218" s="30"/>
      <c r="P218" s="182"/>
      <c r="Q218" s="182"/>
      <c r="R218" s="183"/>
      <c r="S218" s="182"/>
      <c r="T218" s="182"/>
      <c r="U218" s="183"/>
      <c r="V218">
        <v>2.2429562013660444E-2</v>
      </c>
      <c r="W218">
        <v>8.4590219752788255E-4</v>
      </c>
      <c r="X218" s="27">
        <v>3.4507018482554531E-2</v>
      </c>
      <c r="Y218">
        <f t="shared" si="60"/>
        <v>3.5487179487179485</v>
      </c>
    </row>
    <row r="219" spans="1:25" x14ac:dyDescent="0.25">
      <c r="B219" s="647"/>
      <c r="C219" s="688"/>
      <c r="D219" s="61" t="s">
        <v>144</v>
      </c>
      <c r="E219" s="191">
        <v>1.9633333333333332</v>
      </c>
      <c r="F219" s="185">
        <v>0.52</v>
      </c>
      <c r="G219" s="187"/>
      <c r="H219" s="60">
        <v>19.053789999999999</v>
      </c>
      <c r="I219" s="90">
        <v>36.641903846153845</v>
      </c>
      <c r="J219" s="60">
        <v>235.13519999999986</v>
      </c>
      <c r="K219" s="60">
        <v>12340.599954129853</v>
      </c>
      <c r="L219" s="90">
        <v>452.18307692307661</v>
      </c>
      <c r="M219" s="60">
        <v>86.657368238514195</v>
      </c>
      <c r="N219" s="60">
        <f t="shared" si="68"/>
        <v>4548.0383817872562</v>
      </c>
      <c r="O219" s="90">
        <f t="shared" si="69"/>
        <v>166.64878507406576</v>
      </c>
      <c r="P219" s="186"/>
      <c r="Q219" s="186"/>
      <c r="R219" s="187"/>
      <c r="S219" s="186"/>
      <c r="T219" s="186"/>
      <c r="U219" s="187"/>
      <c r="V219" s="60">
        <v>1.2755272903372835E-2</v>
      </c>
      <c r="W219" s="60">
        <v>6.6943494724004172E-4</v>
      </c>
      <c r="X219" s="61">
        <v>2.452937096802468E-2</v>
      </c>
      <c r="Y219">
        <f t="shared" si="60"/>
        <v>3.7756410256410251</v>
      </c>
    </row>
    <row r="220" spans="1:25" x14ac:dyDescent="0.25">
      <c r="B220" s="647"/>
      <c r="C220" s="685" t="s">
        <v>145</v>
      </c>
      <c r="D220" s="27" t="s">
        <v>136</v>
      </c>
      <c r="E220" s="91">
        <v>1.855</v>
      </c>
      <c r="F220" s="92">
        <v>0.53500000000000003</v>
      </c>
      <c r="G220" s="183"/>
      <c r="H220">
        <v>13.851331153846152</v>
      </c>
      <c r="I220" s="30">
        <v>25.890338605319908</v>
      </c>
      <c r="J220">
        <v>224.86120000000057</v>
      </c>
      <c r="K220">
        <v>16233.905427751071</v>
      </c>
      <c r="L220" s="30">
        <v>420.30130841121598</v>
      </c>
      <c r="M220">
        <v>85.630628568579525</v>
      </c>
      <c r="N220">
        <f t="shared" si="68"/>
        <v>6182.1226868005497</v>
      </c>
      <c r="O220" s="30">
        <f t="shared" si="69"/>
        <v>160.0572496608963</v>
      </c>
      <c r="P220">
        <v>3.0039288833228601E-3</v>
      </c>
      <c r="Q220">
        <v>2.1686932829475728E-4</v>
      </c>
      <c r="R220" s="30">
        <f>P220/F220</f>
        <v>5.6148203426595513E-3</v>
      </c>
      <c r="S220">
        <v>0.20933459002124999</v>
      </c>
      <c r="T220">
        <v>1.5112958292324364E-2</v>
      </c>
      <c r="U220" s="30">
        <f>S220/F220</f>
        <v>0.3912796075163551</v>
      </c>
      <c r="V220" s="182"/>
      <c r="W220" s="182"/>
      <c r="X220" s="184"/>
      <c r="Y220">
        <f t="shared" si="60"/>
        <v>3.4672897196261681</v>
      </c>
    </row>
    <row r="221" spans="1:25" x14ac:dyDescent="0.25">
      <c r="A221" s="356" t="s">
        <v>739</v>
      </c>
      <c r="B221" s="647"/>
      <c r="C221" s="686"/>
      <c r="D221" s="27" t="s">
        <v>137</v>
      </c>
      <c r="E221" s="91">
        <v>1.8733333333333333</v>
      </c>
      <c r="F221" s="92">
        <v>0.51666666666666661</v>
      </c>
      <c r="G221" s="183"/>
      <c r="H221">
        <v>5.8867511538461539</v>
      </c>
      <c r="I221" s="30">
        <v>11.393711910669976</v>
      </c>
      <c r="J221">
        <v>183.39180000000013</v>
      </c>
      <c r="K221">
        <v>31153.312787848983</v>
      </c>
      <c r="L221" s="30">
        <v>354.95187096774225</v>
      </c>
      <c r="M221">
        <v>75.546805467579517</v>
      </c>
      <c r="N221">
        <f t="shared" si="68"/>
        <v>12833.361474473137</v>
      </c>
      <c r="O221" s="30">
        <f t="shared" si="69"/>
        <v>146.21962348563778</v>
      </c>
      <c r="P221">
        <v>2.9826244231574502E-3</v>
      </c>
      <c r="Q221">
        <v>5.0666731873127166E-4</v>
      </c>
      <c r="R221" s="30">
        <f t="shared" ref="R221:R222" si="70">P221/F221</f>
        <v>5.7728214641757109E-3</v>
      </c>
      <c r="S221">
        <v>0.229271217642321</v>
      </c>
      <c r="T221">
        <v>3.8946986487194198E-2</v>
      </c>
      <c r="U221" s="30">
        <f t="shared" ref="U221:U222" si="71">S221/F221</f>
        <v>0.44375074382384716</v>
      </c>
      <c r="V221" s="182"/>
      <c r="W221" s="182"/>
      <c r="X221" s="184"/>
      <c r="Y221">
        <f t="shared" si="60"/>
        <v>3.6258064516129034</v>
      </c>
    </row>
    <row r="222" spans="1:25" x14ac:dyDescent="0.25">
      <c r="B222" s="647"/>
      <c r="C222" s="686"/>
      <c r="D222" s="27" t="s">
        <v>138</v>
      </c>
      <c r="E222" s="91">
        <v>1.74</v>
      </c>
      <c r="F222" s="92">
        <v>0.52500000000000002</v>
      </c>
      <c r="G222" s="183"/>
      <c r="H222">
        <v>7.418401153846153</v>
      </c>
      <c r="I222" s="30">
        <v>14.13028791208791</v>
      </c>
      <c r="J222">
        <v>198.6699999999999</v>
      </c>
      <c r="K222">
        <v>26780.703264745564</v>
      </c>
      <c r="L222" s="30">
        <v>378.41904761904743</v>
      </c>
      <c r="M222">
        <v>72.85917493032953</v>
      </c>
      <c r="N222">
        <f t="shared" si="68"/>
        <v>9821.4121101492165</v>
      </c>
      <c r="O222" s="30">
        <f t="shared" si="69"/>
        <v>138.77938081967528</v>
      </c>
      <c r="P222">
        <v>1.74696573356365E-3</v>
      </c>
      <c r="Q222">
        <v>2.3549086889941453E-4</v>
      </c>
      <c r="R222" s="30">
        <f t="shared" si="70"/>
        <v>3.3275537782164761E-3</v>
      </c>
      <c r="S222">
        <v>0.13457223644223198</v>
      </c>
      <c r="T222">
        <v>1.8140328845988804E-2</v>
      </c>
      <c r="U222" s="30">
        <f t="shared" si="71"/>
        <v>0.25632806941377517</v>
      </c>
      <c r="V222" s="182"/>
      <c r="W222" s="182"/>
      <c r="X222" s="184"/>
      <c r="Y222">
        <f t="shared" si="60"/>
        <v>3.3142857142857141</v>
      </c>
    </row>
    <row r="223" spans="1:25" x14ac:dyDescent="0.25">
      <c r="B223" s="647"/>
      <c r="C223" s="686"/>
      <c r="D223" s="27" t="s">
        <v>139</v>
      </c>
      <c r="E223" s="1"/>
      <c r="F223" s="95"/>
      <c r="G223" s="95"/>
      <c r="H223" s="1"/>
      <c r="I223" s="95"/>
      <c r="J223" s="1"/>
      <c r="K223" s="1"/>
      <c r="L223" s="95"/>
      <c r="M223" s="1"/>
      <c r="N223" s="1"/>
      <c r="O223" s="95"/>
      <c r="P223" s="1"/>
      <c r="Q223" s="1"/>
      <c r="R223" s="95"/>
      <c r="S223" s="1"/>
      <c r="T223" s="1"/>
      <c r="U223" s="95"/>
      <c r="V223" s="1"/>
      <c r="W223" s="1"/>
      <c r="X223" s="96"/>
    </row>
    <row r="224" spans="1:25" ht="15.75" thickBot="1" x14ac:dyDescent="0.3">
      <c r="B224" s="647"/>
      <c r="C224" s="686"/>
      <c r="D224" s="27" t="s">
        <v>140</v>
      </c>
      <c r="E224" s="1"/>
      <c r="F224" s="95"/>
      <c r="G224" s="95"/>
      <c r="H224" s="1"/>
      <c r="I224" s="95"/>
      <c r="J224" s="1"/>
      <c r="K224" s="1"/>
      <c r="L224" s="95"/>
      <c r="M224" s="1"/>
      <c r="N224" s="1"/>
      <c r="O224" s="95"/>
      <c r="P224" s="1"/>
      <c r="Q224" s="1"/>
      <c r="R224" s="95"/>
      <c r="S224" s="1"/>
      <c r="T224" s="1"/>
      <c r="U224" s="95"/>
      <c r="V224" s="1"/>
      <c r="W224" s="1"/>
      <c r="X224" s="96"/>
    </row>
    <row r="225" spans="2:25" x14ac:dyDescent="0.25">
      <c r="B225" s="647"/>
      <c r="C225" s="685" t="s">
        <v>343</v>
      </c>
      <c r="D225" s="161" t="s">
        <v>80</v>
      </c>
      <c r="E225" s="475">
        <v>1.5449999999999999</v>
      </c>
      <c r="F225" s="180">
        <v>0.49333333333333335</v>
      </c>
      <c r="G225" s="381">
        <v>1.7802197802197803</v>
      </c>
      <c r="H225" s="363">
        <v>24.585993999999999</v>
      </c>
      <c r="I225" s="301">
        <v>49.836474324324321</v>
      </c>
      <c r="J225" s="363">
        <v>251.15640000000027</v>
      </c>
      <c r="K225" s="363">
        <v>10215.425904683792</v>
      </c>
      <c r="L225" s="301">
        <v>509.10081081081137</v>
      </c>
      <c r="M225" s="50"/>
      <c r="N225" s="50"/>
      <c r="O225" s="28"/>
      <c r="P225" s="50">
        <v>1.7747421706764801E-4</v>
      </c>
      <c r="Q225" s="50">
        <v>7.2185089229114765E-6</v>
      </c>
      <c r="R225" s="28">
        <v>3.5974503459658381E-4</v>
      </c>
      <c r="S225" s="50">
        <v>1.2566630215427701</v>
      </c>
      <c r="T225" s="50">
        <v>5.1112963809507563E-2</v>
      </c>
      <c r="U225" s="28">
        <v>2.5472899085326421</v>
      </c>
      <c r="V225" s="181"/>
      <c r="W225" s="181"/>
      <c r="X225" s="192"/>
    </row>
    <row r="226" spans="2:25" x14ac:dyDescent="0.25">
      <c r="B226" s="647"/>
      <c r="C226" s="686"/>
      <c r="D226" s="27" t="s">
        <v>79</v>
      </c>
      <c r="E226" s="467">
        <v>1.4350000000000001</v>
      </c>
      <c r="F226" s="92">
        <v>0.47</v>
      </c>
      <c r="G226" s="375">
        <v>2.2153846153846151</v>
      </c>
      <c r="H226" s="364">
        <v>33.131894000000003</v>
      </c>
      <c r="I226" s="288">
        <v>70.493391489361713</v>
      </c>
      <c r="J226" s="364">
        <v>298.87220000000013</v>
      </c>
      <c r="K226" s="364">
        <v>9020.6795904876471</v>
      </c>
      <c r="L226" s="288">
        <v>635.89829787234078</v>
      </c>
      <c r="O226" s="30"/>
      <c r="P226">
        <v>3.0390496462468901E-4</v>
      </c>
      <c r="Q226">
        <v>9.1725804937287621E-6</v>
      </c>
      <c r="R226" s="30">
        <v>6.4660630771210437E-4</v>
      </c>
      <c r="S226">
        <v>4.2175458323917798</v>
      </c>
      <c r="T226">
        <v>0.15144156360007005</v>
      </c>
      <c r="U226" s="30">
        <f>S226/F226</f>
        <v>8.9735017710463403</v>
      </c>
      <c r="V226" s="182"/>
      <c r="W226" s="182"/>
      <c r="X226" s="184"/>
    </row>
    <row r="227" spans="2:25" x14ac:dyDescent="0.25">
      <c r="B227" s="647"/>
      <c r="C227" s="686"/>
      <c r="D227" s="27" t="s">
        <v>81</v>
      </c>
      <c r="E227" s="467">
        <v>1.76</v>
      </c>
      <c r="F227" s="92">
        <v>0.505</v>
      </c>
      <c r="G227" s="92">
        <v>2.2351648351648357</v>
      </c>
      <c r="H227">
        <v>34.413778999999998</v>
      </c>
      <c r="I227" s="30">
        <v>68.146097029702972</v>
      </c>
      <c r="J227">
        <v>275.01429999999999</v>
      </c>
      <c r="K227">
        <v>7991.4007700229613</v>
      </c>
      <c r="L227" s="30">
        <v>544.58277227722772</v>
      </c>
      <c r="O227" s="30"/>
      <c r="P227">
        <v>2.34014675602474E-4</v>
      </c>
      <c r="Q227">
        <v>6.8000284305444636E-6</v>
      </c>
      <c r="R227" s="30">
        <v>4.6339539723262176E-4</v>
      </c>
      <c r="S227">
        <v>3.7426703032904198</v>
      </c>
      <c r="T227">
        <v>0.10875499326273991</v>
      </c>
      <c r="U227" s="30">
        <v>7.4112283233473661</v>
      </c>
      <c r="V227" s="182"/>
      <c r="W227" s="182"/>
      <c r="X227" s="184"/>
    </row>
    <row r="228" spans="2:25" x14ac:dyDescent="0.25">
      <c r="B228" s="647"/>
      <c r="C228" s="686"/>
      <c r="D228" s="27" t="s">
        <v>82</v>
      </c>
      <c r="E228" s="467">
        <v>1.57</v>
      </c>
      <c r="F228" s="92">
        <v>0.44999999999999996</v>
      </c>
      <c r="G228" s="92">
        <v>1.9582417582417582</v>
      </c>
      <c r="H228">
        <v>29.286239000000002</v>
      </c>
      <c r="I228" s="30">
        <v>65.080531111111128</v>
      </c>
      <c r="J228">
        <v>262.0009</v>
      </c>
      <c r="K228">
        <v>8946.2119051886439</v>
      </c>
      <c r="L228" s="30">
        <v>582.22422222222224</v>
      </c>
      <c r="O228" s="30"/>
      <c r="P228">
        <v>2.8898456584466599E-4</v>
      </c>
      <c r="Q228">
        <v>9.8675888646768865E-6</v>
      </c>
      <c r="R228" s="30">
        <v>6.4218792409925785E-4</v>
      </c>
      <c r="S228">
        <v>3.8428390948626698</v>
      </c>
      <c r="T228">
        <v>0.13121654490570364</v>
      </c>
      <c r="U228" s="30">
        <v>8.5396424330281562</v>
      </c>
      <c r="V228" s="182"/>
      <c r="W228" s="182"/>
      <c r="X228" s="184"/>
    </row>
    <row r="229" spans="2:25" ht="15.75" thickBot="1" x14ac:dyDescent="0.3">
      <c r="B229" s="648"/>
      <c r="C229" s="687"/>
      <c r="D229" s="8" t="s">
        <v>83</v>
      </c>
      <c r="E229" s="476">
        <v>0.98666666666666669</v>
      </c>
      <c r="F229" s="6">
        <v>0.33</v>
      </c>
      <c r="G229" s="459">
        <v>1.6912087912087912</v>
      </c>
      <c r="H229" s="369">
        <v>28.858943999999997</v>
      </c>
      <c r="I229" s="368">
        <v>87.451345454545447</v>
      </c>
      <c r="J229" s="369">
        <v>242.48079999999959</v>
      </c>
      <c r="K229" s="369">
        <v>8402.2755648993807</v>
      </c>
      <c r="L229" s="368">
        <v>734.79030303030174</v>
      </c>
      <c r="M229" s="2"/>
      <c r="N229" s="2"/>
      <c r="O229" s="9"/>
      <c r="P229" s="2">
        <v>2.6778189389410601E-4</v>
      </c>
      <c r="Q229" s="2">
        <v>9.2789914244300147E-6</v>
      </c>
      <c r="R229" s="9">
        <v>8.1146028452759394E-4</v>
      </c>
      <c r="S229" s="2">
        <v>3.0883703637591502</v>
      </c>
      <c r="T229" s="2">
        <v>0.13473709792566044</v>
      </c>
      <c r="U229" s="9">
        <f>S229/F229</f>
        <v>9.3586980719974235</v>
      </c>
      <c r="V229" s="197"/>
      <c r="W229" s="197"/>
      <c r="X229" s="198"/>
    </row>
    <row r="230" spans="2:25" ht="15.75" thickBot="1" x14ac:dyDescent="0.3">
      <c r="B230" s="68"/>
      <c r="C230" s="68"/>
    </row>
    <row r="231" spans="2:25" x14ac:dyDescent="0.25">
      <c r="B231" s="649" t="s">
        <v>219</v>
      </c>
      <c r="C231" s="689" t="s">
        <v>218</v>
      </c>
      <c r="D231" s="55" t="s">
        <v>80</v>
      </c>
      <c r="E231" s="195">
        <f>Weights!I87</f>
        <v>1.8733333333333331</v>
      </c>
      <c r="F231" s="28">
        <f>Weights!M87</f>
        <v>0.51500000000000001</v>
      </c>
      <c r="G231" s="28">
        <f>'Alamar Blue (Analysis)'!AJ4</f>
        <v>1.6791044776119404</v>
      </c>
      <c r="H231" s="50">
        <f>PicoGreen!CC56</f>
        <v>50.571984090909105</v>
      </c>
      <c r="I231" s="28">
        <f>H231/F231</f>
        <v>98.198027360988547</v>
      </c>
      <c r="J231" s="50">
        <f>DMMB!CC64</f>
        <v>240.09599999999978</v>
      </c>
      <c r="K231" s="50">
        <f t="shared" ref="K231:K255" si="72">J231/H231*1000</f>
        <v>4747.6088651850978</v>
      </c>
      <c r="L231" s="28">
        <f>J231/F231</f>
        <v>466.20582524271799</v>
      </c>
      <c r="M231" s="50">
        <f>OHP!BO56</f>
        <v>113.78750003484373</v>
      </c>
      <c r="N231" s="50">
        <f>M231/H231*1000</f>
        <v>2250.0105953979833</v>
      </c>
      <c r="O231" s="28">
        <f>M231/F231</f>
        <v>220.9466020094053</v>
      </c>
      <c r="P231" s="50">
        <f>Rx!BP13</f>
        <v>5.3222845341630303E-4</v>
      </c>
      <c r="Q231" s="50">
        <f>P231/H231</f>
        <v>1.0524175845257715E-5</v>
      </c>
      <c r="R231" s="28">
        <f>P231/F231</f>
        <v>1.0334533076044718E-3</v>
      </c>
      <c r="S231" s="50">
        <f>Rx!BT3</f>
        <v>0.85139033288072097</v>
      </c>
      <c r="T231" s="50">
        <f>S231/H231</f>
        <v>1.6835217130303736E-2</v>
      </c>
      <c r="U231" s="28">
        <f>S231/F231</f>
        <v>1.6531851123897494</v>
      </c>
      <c r="V231" s="181"/>
      <c r="W231" s="181"/>
      <c r="X231" s="192"/>
      <c r="Y231">
        <f t="shared" ref="Y231:Y256" si="73">E231/F231</f>
        <v>3.6375404530744331</v>
      </c>
    </row>
    <row r="232" spans="2:25" x14ac:dyDescent="0.25">
      <c r="B232" s="647"/>
      <c r="C232" s="681"/>
      <c r="D232" s="58" t="s">
        <v>79</v>
      </c>
      <c r="E232" s="91">
        <f>Weights!I88</f>
        <v>1.9266666666666667</v>
      </c>
      <c r="F232" s="30">
        <f>Weights!M88</f>
        <v>0.56999999999999995</v>
      </c>
      <c r="G232" s="30">
        <f>'Alamar Blue (Analysis)'!AJ5</f>
        <v>1.6791044776119404</v>
      </c>
      <c r="H232">
        <f>PicoGreen!CC57</f>
        <v>50.097034090909105</v>
      </c>
      <c r="I232" s="30">
        <f t="shared" ref="I232:I272" si="74">H232/F232</f>
        <v>87.889533492823006</v>
      </c>
      <c r="J232">
        <f>DMMB!CC65</f>
        <v>246.61199999999994</v>
      </c>
      <c r="K232">
        <f t="shared" si="72"/>
        <v>4922.6866315575271</v>
      </c>
      <c r="L232" s="30">
        <f t="shared" ref="L232:L255" si="75">J232/F232</f>
        <v>432.65263157894731</v>
      </c>
      <c r="M232">
        <f>OHP!BO57</f>
        <v>112.66209984871873</v>
      </c>
      <c r="N232">
        <f t="shared" ref="N232:N240" si="76">M232/H232*1000</f>
        <v>2248.8776410251207</v>
      </c>
      <c r="O232" s="30">
        <f t="shared" ref="O232:O240" si="77">M232/F232</f>
        <v>197.65280675213813</v>
      </c>
      <c r="P232">
        <f>Rx!BP14</f>
        <v>4.24693804260579E-4</v>
      </c>
      <c r="Q232">
        <f t="shared" ref="Q232:Q240" si="78">P232/H232</f>
        <v>8.4774241023910505E-6</v>
      </c>
      <c r="R232" s="30">
        <f t="shared" ref="R232:R240" si="79">P232/F232</f>
        <v>7.4507684957996324E-4</v>
      </c>
      <c r="S232">
        <f>Rx!BT4</f>
        <v>1.1957025998545401</v>
      </c>
      <c r="T232">
        <f t="shared" ref="T232:T240" si="80">S232/H232</f>
        <v>2.3867732322930452E-2</v>
      </c>
      <c r="U232" s="30">
        <f t="shared" ref="U232:U240" si="81">S232/F232</f>
        <v>2.09772385939393</v>
      </c>
      <c r="V232" s="182"/>
      <c r="W232" s="182"/>
      <c r="X232" s="184"/>
      <c r="Y232">
        <f t="shared" si="73"/>
        <v>3.3801169590643281</v>
      </c>
    </row>
    <row r="233" spans="2:25" x14ac:dyDescent="0.25">
      <c r="B233" s="647"/>
      <c r="C233" s="681"/>
      <c r="D233" s="58" t="s">
        <v>81</v>
      </c>
      <c r="E233" s="91">
        <f>Weights!I89</f>
        <v>1.9566666666666668</v>
      </c>
      <c r="F233" s="30">
        <f>Weights!M89</f>
        <v>0.53500000000000003</v>
      </c>
      <c r="G233" s="30">
        <f>'Alamar Blue (Analysis)'!AJ6</f>
        <v>1.455223880597015</v>
      </c>
      <c r="H233">
        <f>PicoGreen!CC58</f>
        <v>36.79843409090909</v>
      </c>
      <c r="I233" s="30">
        <f t="shared" si="74"/>
        <v>68.782119796091749</v>
      </c>
      <c r="J233">
        <f>DMMB!CC66</f>
        <v>237.92400000000004</v>
      </c>
      <c r="K233">
        <f t="shared" si="72"/>
        <v>6465.6012104270003</v>
      </c>
      <c r="L233" s="30">
        <f t="shared" si="75"/>
        <v>444.71775700934586</v>
      </c>
      <c r="M233">
        <f>OHP!BO58</f>
        <v>119.75701406559371</v>
      </c>
      <c r="N233">
        <f t="shared" si="76"/>
        <v>3254.4051676149775</v>
      </c>
      <c r="O233" s="30">
        <f t="shared" si="77"/>
        <v>223.84488610391347</v>
      </c>
      <c r="P233">
        <f>Rx!BP15</f>
        <v>3.4574431500700999E-4</v>
      </c>
      <c r="Q233">
        <f t="shared" si="78"/>
        <v>9.3956257527932359E-6</v>
      </c>
      <c r="R233" s="30">
        <f t="shared" si="79"/>
        <v>6.4625105608786908E-4</v>
      </c>
      <c r="S233">
        <f>Rx!BT5</f>
        <v>1.5212341977207</v>
      </c>
      <c r="T233">
        <f t="shared" si="80"/>
        <v>4.1339644887131627E-2</v>
      </c>
      <c r="U233" s="30">
        <f t="shared" si="81"/>
        <v>2.8434284069545792</v>
      </c>
      <c r="V233" s="182"/>
      <c r="W233" s="182"/>
      <c r="X233" s="184"/>
      <c r="Y233">
        <f t="shared" si="73"/>
        <v>3.6573208722741435</v>
      </c>
    </row>
    <row r="234" spans="2:25" x14ac:dyDescent="0.25">
      <c r="B234" s="647"/>
      <c r="C234" s="681"/>
      <c r="D234" s="58" t="s">
        <v>82</v>
      </c>
      <c r="E234" s="91">
        <f>Weights!I90</f>
        <v>1.87</v>
      </c>
      <c r="F234" s="30">
        <f>Weights!M90</f>
        <v>0.5</v>
      </c>
      <c r="G234" s="30">
        <f>'Alamar Blue (Analysis)'!AJ7</f>
        <v>1.4626865671641791</v>
      </c>
      <c r="H234">
        <f>PicoGreen!CC59</f>
        <v>28.249334090909088</v>
      </c>
      <c r="I234" s="30">
        <f t="shared" si="74"/>
        <v>56.498668181818175</v>
      </c>
      <c r="J234">
        <f>DMMB!CC67</f>
        <v>216.20400000000018</v>
      </c>
      <c r="K234">
        <f t="shared" si="72"/>
        <v>7653.4193444785215</v>
      </c>
      <c r="L234" s="30">
        <f t="shared" si="75"/>
        <v>432.40800000000036</v>
      </c>
      <c r="M234">
        <f>OHP!BO59</f>
        <v>113.29819560609373</v>
      </c>
      <c r="N234">
        <f t="shared" si="76"/>
        <v>4010.6501357337906</v>
      </c>
      <c r="O234" s="30">
        <f t="shared" si="77"/>
        <v>226.59639121218746</v>
      </c>
      <c r="P234">
        <f>Rx!BP16</f>
        <v>2.8721279711212198E-4</v>
      </c>
      <c r="Q234">
        <f t="shared" si="78"/>
        <v>1.0167064334608505E-5</v>
      </c>
      <c r="R234" s="30">
        <f t="shared" si="79"/>
        <v>5.7442559422424396E-4</v>
      </c>
      <c r="S234">
        <f>Rx!BT6</f>
        <v>1.72782155790499</v>
      </c>
      <c r="T234">
        <f t="shared" si="80"/>
        <v>6.1163266799305546E-2</v>
      </c>
      <c r="U234" s="30">
        <f t="shared" si="81"/>
        <v>3.4556431158099801</v>
      </c>
      <c r="V234" s="182"/>
      <c r="W234" s="182"/>
      <c r="X234" s="184"/>
      <c r="Y234">
        <f t="shared" si="73"/>
        <v>3.74</v>
      </c>
    </row>
    <row r="235" spans="2:25" ht="15.75" thickBot="1" x14ac:dyDescent="0.3">
      <c r="B235" s="648"/>
      <c r="C235" s="684"/>
      <c r="D235" s="56" t="s">
        <v>83</v>
      </c>
      <c r="E235" s="5">
        <f>Weights!I91</f>
        <v>1.9849999999999999</v>
      </c>
      <c r="F235" s="9">
        <f>Weights!M91</f>
        <v>0.45999999999999996</v>
      </c>
      <c r="G235" s="9">
        <f>'Alamar Blue (Analysis)'!AJ8</f>
        <v>1.291044776119403</v>
      </c>
      <c r="H235" s="2">
        <f>PicoGreen!CC60</f>
        <v>16.37558409090909</v>
      </c>
      <c r="I235" s="9">
        <f t="shared" si="74"/>
        <v>35.599095849802374</v>
      </c>
      <c r="J235" s="2">
        <f>DMMB!CC68</f>
        <v>198.82800000000003</v>
      </c>
      <c r="K235" s="2">
        <f t="shared" si="72"/>
        <v>12141.734847209478</v>
      </c>
      <c r="L235" s="9">
        <f t="shared" si="75"/>
        <v>432.23478260869575</v>
      </c>
      <c r="M235" s="2">
        <f>OHP!BO60</f>
        <v>102.31331118065624</v>
      </c>
      <c r="N235" s="2">
        <f t="shared" si="76"/>
        <v>6247.9182795962379</v>
      </c>
      <c r="O235" s="9">
        <f t="shared" si="77"/>
        <v>222.42024169707881</v>
      </c>
      <c r="P235" s="2">
        <f>Rx!BP17</f>
        <v>3.3349353219180096E-4</v>
      </c>
      <c r="Q235" s="2">
        <f t="shared" si="78"/>
        <v>2.0365290809806289E-5</v>
      </c>
      <c r="R235" s="9">
        <f t="shared" si="79"/>
        <v>7.2498593954739348E-4</v>
      </c>
      <c r="S235" s="2">
        <f>Rx!BT7</f>
        <v>0.90773234020370996</v>
      </c>
      <c r="T235" s="2">
        <f t="shared" si="80"/>
        <v>5.5432058799517132E-2</v>
      </c>
      <c r="U235" s="9">
        <f t="shared" si="81"/>
        <v>1.9733311743558914</v>
      </c>
      <c r="V235" s="197"/>
      <c r="W235" s="197"/>
      <c r="X235" s="198"/>
      <c r="Y235">
        <f t="shared" si="73"/>
        <v>4.3152173913043477</v>
      </c>
    </row>
    <row r="236" spans="2:25" x14ac:dyDescent="0.25">
      <c r="B236" s="649" t="s">
        <v>232</v>
      </c>
      <c r="C236" s="689" t="s">
        <v>218</v>
      </c>
      <c r="D236" s="55" t="s">
        <v>94</v>
      </c>
      <c r="E236" s="195">
        <f>Weights!I92</f>
        <v>1.92</v>
      </c>
      <c r="F236" s="28">
        <f>Weights!M92</f>
        <v>0.51500000000000001</v>
      </c>
      <c r="G236" s="28">
        <f>'Alamar Blue (Analysis)'!AJ11</f>
        <v>1.9760479041916168</v>
      </c>
      <c r="H236" s="50">
        <f>PicoGreen!CC61</f>
        <v>17.800434090909089</v>
      </c>
      <c r="I236" s="28">
        <f t="shared" si="74"/>
        <v>34.563949691085611</v>
      </c>
      <c r="J236" s="50">
        <f>DMMB!CC69</f>
        <v>198.82800000000003</v>
      </c>
      <c r="K236" s="50">
        <f t="shared" si="72"/>
        <v>11169.83995921448</v>
      </c>
      <c r="L236" s="28">
        <f t="shared" si="75"/>
        <v>386.07378640776705</v>
      </c>
      <c r="M236" s="50">
        <f>OHP!BO61</f>
        <v>120.85794903028125</v>
      </c>
      <c r="N236" s="50">
        <f t="shared" si="76"/>
        <v>6789.6068384087866</v>
      </c>
      <c r="O236" s="28">
        <f t="shared" si="77"/>
        <v>234.67562918501213</v>
      </c>
      <c r="P236" s="50">
        <f>Rx!BP18</f>
        <v>5.1699119248141206E-4</v>
      </c>
      <c r="Q236" s="50">
        <f t="shared" si="78"/>
        <v>2.9043740722336996E-5</v>
      </c>
      <c r="R236" s="28">
        <f t="shared" si="79"/>
        <v>1.0038663931677904E-3</v>
      </c>
      <c r="S236" s="50">
        <f>Rx!BT8</f>
        <v>0.136012992691872</v>
      </c>
      <c r="T236" s="50">
        <f t="shared" si="80"/>
        <v>7.6409930228238413E-3</v>
      </c>
      <c r="U236" s="28">
        <f t="shared" si="81"/>
        <v>0.26410289843081941</v>
      </c>
      <c r="V236" s="181"/>
      <c r="W236" s="181"/>
      <c r="X236" s="192"/>
      <c r="Y236">
        <f t="shared" si="73"/>
        <v>3.7281553398058249</v>
      </c>
    </row>
    <row r="237" spans="2:25" x14ac:dyDescent="0.25">
      <c r="B237" s="647"/>
      <c r="C237" s="681"/>
      <c r="D237" s="58" t="s">
        <v>209</v>
      </c>
      <c r="E237" s="91">
        <f>Weights!I93</f>
        <v>2.0499999999999998</v>
      </c>
      <c r="F237" s="30">
        <f>Weights!M93</f>
        <v>0.57499999999999996</v>
      </c>
      <c r="G237" s="30">
        <f>'Alamar Blue (Analysis)'!AJ12</f>
        <v>1.9281437125748504</v>
      </c>
      <c r="H237">
        <f>PicoGreen!CC62</f>
        <v>5.9266840909090899</v>
      </c>
      <c r="I237" s="30">
        <f t="shared" si="74"/>
        <v>10.307276679841896</v>
      </c>
      <c r="J237">
        <f>DMMB!CC70</f>
        <v>194.48400000000049</v>
      </c>
      <c r="K237">
        <f t="shared" si="72"/>
        <v>32814.976640701752</v>
      </c>
      <c r="L237" s="30">
        <f t="shared" si="75"/>
        <v>338.23304347826178</v>
      </c>
      <c r="M237">
        <f>OHP!BO62</f>
        <v>120.78455336596872</v>
      </c>
      <c r="N237">
        <f t="shared" si="76"/>
        <v>20379.78598374081</v>
      </c>
      <c r="O237" s="30">
        <f t="shared" si="77"/>
        <v>210.06009281038041</v>
      </c>
      <c r="P237">
        <f>Rx!BP19</f>
        <v>5.0919735540882799E-4</v>
      </c>
      <c r="Q237">
        <f t="shared" si="78"/>
        <v>8.5916061595029704E-5</v>
      </c>
      <c r="R237" s="30">
        <f t="shared" si="79"/>
        <v>8.8556061810230965E-4</v>
      </c>
      <c r="S237">
        <f>Rx!BT9</f>
        <v>1.43431883202337</v>
      </c>
      <c r="T237">
        <f t="shared" si="80"/>
        <v>0.24201034001853822</v>
      </c>
      <c r="U237" s="30">
        <f t="shared" si="81"/>
        <v>2.4944675339536873</v>
      </c>
      <c r="V237" s="182"/>
      <c r="W237" s="182"/>
      <c r="X237" s="184"/>
      <c r="Y237">
        <f t="shared" si="73"/>
        <v>3.5652173913043477</v>
      </c>
    </row>
    <row r="238" spans="2:25" x14ac:dyDescent="0.25">
      <c r="B238" s="647"/>
      <c r="C238" s="681"/>
      <c r="D238" s="58" t="s">
        <v>210</v>
      </c>
      <c r="E238" s="91">
        <f>Weights!I94</f>
        <v>1.9766666666666668</v>
      </c>
      <c r="F238" s="30">
        <f>Weights!M94</f>
        <v>0.56000000000000005</v>
      </c>
      <c r="G238" s="30">
        <f>'Alamar Blue (Analysis)'!AJ13</f>
        <v>2.0119760479041915</v>
      </c>
      <c r="H238">
        <f>PicoGreen!CC63</f>
        <v>9.2513340909090882</v>
      </c>
      <c r="I238" s="30">
        <f t="shared" si="74"/>
        <v>16.520239448051942</v>
      </c>
      <c r="J238">
        <f>DMMB!CC71</f>
        <v>205.34399999999977</v>
      </c>
      <c r="K238">
        <f t="shared" si="72"/>
        <v>22196.150088427032</v>
      </c>
      <c r="L238" s="30">
        <f t="shared" si="75"/>
        <v>366.68571428571386</v>
      </c>
      <c r="M238">
        <f>OHP!BO63</f>
        <v>130.88868981965626</v>
      </c>
      <c r="N238">
        <f t="shared" si="76"/>
        <v>14148.088106371089</v>
      </c>
      <c r="O238" s="30">
        <f t="shared" si="77"/>
        <v>233.72980324938615</v>
      </c>
      <c r="P238">
        <f>Rx!BP20</f>
        <v>8.3783748530279092E-4</v>
      </c>
      <c r="Q238">
        <f t="shared" si="78"/>
        <v>9.0563963755897645E-5</v>
      </c>
      <c r="R238" s="30">
        <f t="shared" si="79"/>
        <v>1.4961383666121264E-3</v>
      </c>
      <c r="S238">
        <f>Rx!BT10</f>
        <v>0.247296350348857</v>
      </c>
      <c r="T238">
        <f t="shared" si="80"/>
        <v>2.673088528841101E-2</v>
      </c>
      <c r="U238" s="30">
        <f t="shared" si="81"/>
        <v>0.44160062562295888</v>
      </c>
      <c r="V238" s="182"/>
      <c r="W238" s="182"/>
      <c r="X238" s="184"/>
      <c r="Y238">
        <f t="shared" si="73"/>
        <v>3.5297619047619047</v>
      </c>
    </row>
    <row r="239" spans="2:25" x14ac:dyDescent="0.25">
      <c r="B239" s="647"/>
      <c r="C239" s="681"/>
      <c r="D239" s="58" t="s">
        <v>211</v>
      </c>
      <c r="E239" s="91">
        <f>Weights!I95</f>
        <v>1.97</v>
      </c>
      <c r="F239" s="280">
        <f>Weights!M95</f>
        <v>0.51333333333333331</v>
      </c>
      <c r="G239" s="30">
        <f>'Alamar Blue (Analysis)'!AJ14</f>
        <v>2.5748502994011977</v>
      </c>
      <c r="H239">
        <f>PicoGreen!CC64</f>
        <v>24.924684090909093</v>
      </c>
      <c r="I239" s="30">
        <f t="shared" si="74"/>
        <v>48.554579397874861</v>
      </c>
      <c r="J239">
        <f>DMMB!CC72</f>
        <v>211.86000000000007</v>
      </c>
      <c r="K239">
        <f t="shared" si="72"/>
        <v>8500.0074314792564</v>
      </c>
      <c r="L239" s="30">
        <f t="shared" si="75"/>
        <v>412.71428571428589</v>
      </c>
      <c r="M239">
        <f>OHP!BO64</f>
        <v>114.81503933521871</v>
      </c>
      <c r="N239">
        <f t="shared" si="76"/>
        <v>4606.479220215906</v>
      </c>
      <c r="O239" s="30">
        <f t="shared" si="77"/>
        <v>223.66566104263387</v>
      </c>
      <c r="P239">
        <f>Rx!BP21</f>
        <v>1.1898591264145101E-3</v>
      </c>
      <c r="Q239">
        <f t="shared" si="78"/>
        <v>4.7738182842144565E-5</v>
      </c>
      <c r="R239" s="30">
        <f t="shared" si="79"/>
        <v>2.3179073891191754E-3</v>
      </c>
      <c r="S239">
        <f>Rx!BT11</f>
        <v>0.197837080279086</v>
      </c>
      <c r="T239">
        <f t="shared" si="80"/>
        <v>7.9373956980760343E-3</v>
      </c>
      <c r="U239" s="30">
        <f t="shared" si="81"/>
        <v>0.38539690963458312</v>
      </c>
      <c r="V239" s="182"/>
      <c r="W239" s="182"/>
      <c r="X239" s="184"/>
      <c r="Y239">
        <f t="shared" si="73"/>
        <v>3.837662337662338</v>
      </c>
    </row>
    <row r="240" spans="2:25" ht="15.75" thickBot="1" x14ac:dyDescent="0.3">
      <c r="B240" s="648"/>
      <c r="C240" s="684"/>
      <c r="D240" s="56" t="s">
        <v>212</v>
      </c>
      <c r="E240" s="5">
        <f>Weights!I96</f>
        <v>2.39</v>
      </c>
      <c r="F240" s="9">
        <f>Weights!M96</f>
        <v>0.62</v>
      </c>
      <c r="G240" s="9">
        <f>'Alamar Blue (Analysis)'!AJ15</f>
        <v>1.874251497005988</v>
      </c>
      <c r="H240" s="2">
        <f>PicoGreen!CC65</f>
        <v>11.626084090909089</v>
      </c>
      <c r="I240" s="9">
        <f t="shared" si="74"/>
        <v>18.751748533724339</v>
      </c>
      <c r="J240" s="2">
        <f>DMMB!CC73</f>
        <v>205.34400000000005</v>
      </c>
      <c r="K240" s="2">
        <f t="shared" si="72"/>
        <v>17662.352894949978</v>
      </c>
      <c r="L240" s="9">
        <f t="shared" si="75"/>
        <v>331.2000000000001</v>
      </c>
      <c r="M240" s="2">
        <f>OHP!BO65</f>
        <v>125.23722366759372</v>
      </c>
      <c r="N240" s="2">
        <f t="shared" si="76"/>
        <v>10772.089956369904</v>
      </c>
      <c r="O240" s="9">
        <f t="shared" si="77"/>
        <v>201.995522044506</v>
      </c>
      <c r="P240" s="2">
        <f>Rx!BP22</f>
        <v>5.6895010629864006E-4</v>
      </c>
      <c r="Q240" s="2">
        <f t="shared" si="78"/>
        <v>4.8937380965920027E-5</v>
      </c>
      <c r="R240" s="9">
        <f t="shared" si="79"/>
        <v>9.1766146177200015E-4</v>
      </c>
      <c r="S240" s="2">
        <f>Rx!BT12</f>
        <v>0.15456021896803601</v>
      </c>
      <c r="T240" s="2">
        <f t="shared" si="80"/>
        <v>1.3294262948682177E-2</v>
      </c>
      <c r="U240" s="9">
        <f t="shared" si="81"/>
        <v>0.2492906757548968</v>
      </c>
      <c r="V240" s="197"/>
      <c r="W240" s="197"/>
      <c r="X240" s="198"/>
      <c r="Y240">
        <f t="shared" si="73"/>
        <v>3.8548387096774195</v>
      </c>
    </row>
    <row r="241" spans="2:25" ht="15.75" thickBot="1" x14ac:dyDescent="0.3"/>
    <row r="242" spans="2:25" ht="15" customHeight="1" x14ac:dyDescent="0.25">
      <c r="B242" s="649" t="s">
        <v>239</v>
      </c>
      <c r="C242" s="689" t="s">
        <v>235</v>
      </c>
      <c r="D242" s="55" t="s">
        <v>80</v>
      </c>
      <c r="E242" s="195">
        <f>Weights!I97</f>
        <v>2.0649999999999999</v>
      </c>
      <c r="F242" s="28">
        <f>Weights!M97</f>
        <v>0.60499999999999998</v>
      </c>
      <c r="G242" s="28">
        <f>'Alamar Blue (Analysis)'!AP4</f>
        <v>2.25609756097561</v>
      </c>
      <c r="H242" s="50">
        <f>PicoGreen!CR46</f>
        <v>58.365092857142848</v>
      </c>
      <c r="I242" s="28">
        <f t="shared" si="74"/>
        <v>96.471227863046039</v>
      </c>
      <c r="J242" s="50">
        <f>DMMB!CR54</f>
        <v>228.87289999999979</v>
      </c>
      <c r="K242" s="50">
        <f t="shared" si="72"/>
        <v>3921.4004261108585</v>
      </c>
      <c r="L242" s="28">
        <f t="shared" si="75"/>
        <v>378.30231404958641</v>
      </c>
      <c r="M242" s="50">
        <f>OHP!CD46</f>
        <v>130.40596013177341</v>
      </c>
      <c r="N242" s="50">
        <f t="shared" ref="N242:N255" si="82">M242/H242*1000</f>
        <v>2234.3142749890108</v>
      </c>
      <c r="O242" s="28">
        <f t="shared" ref="O242:O255" si="83">M242/F242</f>
        <v>215.54704154012134</v>
      </c>
      <c r="P242" s="50">
        <f>Rx!CB3</f>
        <v>3.2619771629127198E-4</v>
      </c>
      <c r="Q242" s="50">
        <f>P242/H242</f>
        <v>5.5889179700217193E-6</v>
      </c>
      <c r="R242" s="28">
        <f>P242/F242</f>
        <v>5.3916977899383801E-4</v>
      </c>
      <c r="S242" s="50">
        <f>Rx!CF3</f>
        <v>1.5523331722565801</v>
      </c>
      <c r="T242" s="50">
        <f>S242/H242</f>
        <v>2.6596945130476259E-2</v>
      </c>
      <c r="U242" s="28">
        <f>S242/F242</f>
        <v>2.5658399541431076</v>
      </c>
      <c r="V242" s="181"/>
      <c r="W242" s="181"/>
      <c r="X242" s="192"/>
      <c r="Y242">
        <f t="shared" si="73"/>
        <v>3.4132231404958677</v>
      </c>
    </row>
    <row r="243" spans="2:25" x14ac:dyDescent="0.25">
      <c r="B243" s="647"/>
      <c r="C243" s="681"/>
      <c r="D243" s="58" t="s">
        <v>79</v>
      </c>
      <c r="E243" s="91">
        <f>Weights!I98</f>
        <v>1.9550000000000001</v>
      </c>
      <c r="F243" s="30">
        <f>Weights!M98</f>
        <v>0.66</v>
      </c>
      <c r="G243" s="30">
        <f>'Alamar Blue (Analysis)'!AP5</f>
        <v>2.024390243902439</v>
      </c>
      <c r="H243">
        <f>PicoGreen!CR47</f>
        <v>79.135292857142844</v>
      </c>
      <c r="I243" s="30">
        <f t="shared" si="74"/>
        <v>119.90195887445884</v>
      </c>
      <c r="J243">
        <f>DMMB!CR55</f>
        <v>228.87289999999979</v>
      </c>
      <c r="K243">
        <f t="shared" si="72"/>
        <v>2892.1722753104268</v>
      </c>
      <c r="L243" s="30">
        <f t="shared" si="75"/>
        <v>346.7771212121209</v>
      </c>
      <c r="M243">
        <f>OHP!CD47</f>
        <v>129.59590643102339</v>
      </c>
      <c r="N243">
        <f t="shared" si="82"/>
        <v>1637.6499252359297</v>
      </c>
      <c r="O243" s="30">
        <f t="shared" si="83"/>
        <v>196.35743398639906</v>
      </c>
      <c r="P243">
        <f>Rx!CB4</f>
        <v>3.8999284161760902E-4</v>
      </c>
      <c r="Q243">
        <f t="shared" ref="Q243:Q252" si="84">P243/H243</f>
        <v>4.9281784086101078E-6</v>
      </c>
      <c r="R243" s="30">
        <f t="shared" ref="R243:R252" si="85">P243/F243</f>
        <v>5.9089824487516514E-4</v>
      </c>
      <c r="S243">
        <f>Rx!CF4</f>
        <v>1.83403069772399</v>
      </c>
      <c r="T243">
        <f t="shared" ref="T243:T252" si="86">S243/H243</f>
        <v>2.3175888172105856E-2</v>
      </c>
      <c r="U243" s="30">
        <f t="shared" ref="U243:U252" si="87">S243/F243</f>
        <v>2.7788343904908936</v>
      </c>
      <c r="V243" s="182"/>
      <c r="W243" s="182"/>
      <c r="X243" s="184"/>
      <c r="Y243">
        <f t="shared" si="73"/>
        <v>2.9621212121212119</v>
      </c>
    </row>
    <row r="244" spans="2:25" x14ac:dyDescent="0.25">
      <c r="B244" s="647"/>
      <c r="C244" s="681"/>
      <c r="D244" s="58" t="s">
        <v>81</v>
      </c>
      <c r="E244" s="91">
        <f>Weights!I99</f>
        <v>2.13</v>
      </c>
      <c r="F244" s="30">
        <f>Weights!M99</f>
        <v>0.61</v>
      </c>
      <c r="G244" s="30">
        <f>'Alamar Blue (Analysis)'!AP6</f>
        <v>1.5975609756097562</v>
      </c>
      <c r="H244">
        <f>PicoGreen!CR48</f>
        <v>67.806092857142858</v>
      </c>
      <c r="I244" s="30">
        <f t="shared" si="74"/>
        <v>111.15752927400469</v>
      </c>
      <c r="J244">
        <f>DMMB!CR56</f>
        <v>193.76840000000016</v>
      </c>
      <c r="K244">
        <f t="shared" si="72"/>
        <v>2857.684196732007</v>
      </c>
      <c r="L244" s="30">
        <f t="shared" si="75"/>
        <v>317.65311475409862</v>
      </c>
      <c r="M244">
        <f>OHP!CD48</f>
        <v>128.49654783714843</v>
      </c>
      <c r="N244">
        <f t="shared" si="82"/>
        <v>1895.0590193697067</v>
      </c>
      <c r="O244" s="30">
        <f t="shared" si="83"/>
        <v>210.65007842155481</v>
      </c>
      <c r="P244">
        <f>Rx!CB5</f>
        <v>2.3351423232659301E-4</v>
      </c>
      <c r="Q244">
        <f t="shared" si="84"/>
        <v>3.4438532362950338E-6</v>
      </c>
      <c r="R244" s="30">
        <f t="shared" si="85"/>
        <v>3.8281021692884102E-4</v>
      </c>
      <c r="S244">
        <f>Rx!CF5</f>
        <v>0.875060398260465</v>
      </c>
      <c r="T244">
        <f t="shared" si="86"/>
        <v>1.2905335809631213E-2</v>
      </c>
      <c r="U244" s="30">
        <f t="shared" si="87"/>
        <v>1.4345252430499427</v>
      </c>
      <c r="V244" s="182"/>
      <c r="W244" s="182"/>
      <c r="X244" s="184"/>
      <c r="Y244">
        <f t="shared" si="73"/>
        <v>3.4918032786885247</v>
      </c>
    </row>
    <row r="245" spans="2:25" x14ac:dyDescent="0.25">
      <c r="B245" s="647"/>
      <c r="C245" s="681"/>
      <c r="D245" s="58" t="s">
        <v>82</v>
      </c>
      <c r="E245" s="91">
        <f>Weights!I100</f>
        <v>1.79</v>
      </c>
      <c r="F245" s="30">
        <f>Weights!M100</f>
        <v>0.55500000000000005</v>
      </c>
      <c r="G245" s="30">
        <f>'Alamar Blue (Analysis)'!AP7</f>
        <v>1.2804878048780488</v>
      </c>
      <c r="H245">
        <f>PicoGreen!CR49</f>
        <v>26.895092857142856</v>
      </c>
      <c r="I245" s="30">
        <f t="shared" si="74"/>
        <v>48.459626769626766</v>
      </c>
      <c r="J245">
        <f>DMMB!CR57</f>
        <v>139.94150000000019</v>
      </c>
      <c r="K245">
        <f t="shared" si="72"/>
        <v>5203.2354282366505</v>
      </c>
      <c r="L245" s="30">
        <f t="shared" si="75"/>
        <v>252.14684684684715</v>
      </c>
      <c r="M245">
        <f>OHP!CD49</f>
        <v>121.69788284871092</v>
      </c>
      <c r="N245">
        <f t="shared" si="82"/>
        <v>4524.9103059478794</v>
      </c>
      <c r="O245" s="30">
        <f t="shared" si="83"/>
        <v>219.2754645922719</v>
      </c>
      <c r="P245">
        <f>Rx!CB6</f>
        <v>7.2220896595853605E-6</v>
      </c>
      <c r="Q245">
        <f t="shared" si="84"/>
        <v>2.6852815485510778E-7</v>
      </c>
      <c r="R245" s="30">
        <f t="shared" si="85"/>
        <v>1.3012774161415063E-5</v>
      </c>
      <c r="S245">
        <f>Rx!CF6</f>
        <v>0.20378118863599901</v>
      </c>
      <c r="T245">
        <f t="shared" si="86"/>
        <v>7.5768910603288128E-3</v>
      </c>
      <c r="U245" s="30">
        <f t="shared" si="87"/>
        <v>0.36717331285765581</v>
      </c>
      <c r="V245" s="182"/>
      <c r="W245" s="182"/>
      <c r="X245" s="184"/>
      <c r="Y245">
        <f t="shared" si="73"/>
        <v>3.2252252252252251</v>
      </c>
    </row>
    <row r="246" spans="2:25" ht="15.75" thickBot="1" x14ac:dyDescent="0.3">
      <c r="B246" s="648"/>
      <c r="C246" s="684"/>
      <c r="D246" s="56" t="s">
        <v>83</v>
      </c>
      <c r="E246" s="5">
        <f>Weights!I101</f>
        <v>1.8900000000000001</v>
      </c>
      <c r="F246" s="9">
        <f>Weights!M101</f>
        <v>0.51500000000000001</v>
      </c>
      <c r="G246" s="9">
        <f>'Alamar Blue (Analysis)'!AP8</f>
        <v>1.4146341463414633</v>
      </c>
      <c r="H246" s="2">
        <f>PicoGreen!CR50</f>
        <v>44.518292857142853</v>
      </c>
      <c r="I246" s="9">
        <f t="shared" si="74"/>
        <v>86.443287101248259</v>
      </c>
      <c r="J246" s="2">
        <f>DMMB!CR58</f>
        <v>177.38629999999972</v>
      </c>
      <c r="K246" s="2">
        <f t="shared" si="72"/>
        <v>3984.5710294692603</v>
      </c>
      <c r="L246" s="9">
        <f t="shared" si="75"/>
        <v>344.43941747572762</v>
      </c>
      <c r="M246" s="2">
        <f>OHP!CD50</f>
        <v>116.98221309077343</v>
      </c>
      <c r="N246" s="2">
        <f t="shared" si="82"/>
        <v>2627.7335805792004</v>
      </c>
      <c r="O246" s="9">
        <f t="shared" si="83"/>
        <v>227.14992833159889</v>
      </c>
      <c r="P246" s="2">
        <f>Rx!CB7</f>
        <v>2.8767990477348302E-4</v>
      </c>
      <c r="Q246" s="2">
        <f t="shared" si="84"/>
        <v>6.4620605668019333E-6</v>
      </c>
      <c r="R246" s="9">
        <f t="shared" si="85"/>
        <v>5.5860175684171456E-4</v>
      </c>
      <c r="S246" s="2">
        <f>Rx!CF7</f>
        <v>1.73214010340599</v>
      </c>
      <c r="T246" s="2">
        <f t="shared" si="86"/>
        <v>3.8908502375963688E-2</v>
      </c>
      <c r="U246" s="9">
        <f t="shared" si="87"/>
        <v>3.3633788415650292</v>
      </c>
      <c r="V246" s="197"/>
      <c r="W246" s="197"/>
      <c r="X246" s="198"/>
      <c r="Y246">
        <f t="shared" si="73"/>
        <v>3.6699029126213594</v>
      </c>
    </row>
    <row r="247" spans="2:25" x14ac:dyDescent="0.25">
      <c r="B247" s="649" t="s">
        <v>240</v>
      </c>
      <c r="C247" s="690" t="s">
        <v>246</v>
      </c>
      <c r="D247" s="25" t="s">
        <v>80</v>
      </c>
      <c r="E247" s="195">
        <f>Weights!I102</f>
        <v>2.2666666666666671</v>
      </c>
      <c r="F247" s="28">
        <f>Weights!M102</f>
        <v>0.64500000000000002</v>
      </c>
      <c r="G247" s="28">
        <f>'Alamar Blue (Analysis)'!AP11</f>
        <v>1.6190476190476188</v>
      </c>
      <c r="H247" s="50">
        <f>PicoGreen!CR51</f>
        <v>35.706692857142855</v>
      </c>
      <c r="I247" s="28">
        <f t="shared" si="74"/>
        <v>55.359213732004427</v>
      </c>
      <c r="J247" s="50">
        <f>DMMB!CR59</f>
        <v>172.70570000000049</v>
      </c>
      <c r="K247" s="50">
        <f t="shared" si="72"/>
        <v>4836.7879011077894</v>
      </c>
      <c r="L247" s="28">
        <f t="shared" si="75"/>
        <v>267.76077519379919</v>
      </c>
      <c r="M247" s="50">
        <f>OHP!CD51</f>
        <v>137.32034707746095</v>
      </c>
      <c r="N247" s="50">
        <f t="shared" si="82"/>
        <v>3845.7873325558085</v>
      </c>
      <c r="O247" s="28">
        <f t="shared" si="83"/>
        <v>212.89976291079216</v>
      </c>
      <c r="P247" s="50">
        <f>Rx!CB8</f>
        <v>3.7668386011344802E-4</v>
      </c>
      <c r="Q247" s="50">
        <f t="shared" si="84"/>
        <v>1.0549390883678415E-5</v>
      </c>
      <c r="R247" s="28">
        <f t="shared" si="85"/>
        <v>5.840059846720124E-4</v>
      </c>
      <c r="S247" s="50">
        <f>Rx!CF8</f>
        <v>2.3239189378028802</v>
      </c>
      <c r="T247" s="50">
        <f t="shared" si="86"/>
        <v>6.5083567024830133E-2</v>
      </c>
      <c r="U247" s="28">
        <f t="shared" si="87"/>
        <v>3.6029750973688062</v>
      </c>
      <c r="V247" s="181"/>
      <c r="W247" s="181"/>
      <c r="X247" s="192"/>
      <c r="Y247">
        <f t="shared" si="73"/>
        <v>3.5142118863049099</v>
      </c>
    </row>
    <row r="248" spans="2:25" x14ac:dyDescent="0.25">
      <c r="B248" s="647"/>
      <c r="C248" s="686"/>
      <c r="D248" s="27" t="s">
        <v>79</v>
      </c>
      <c r="E248" s="91">
        <f>Weights!I103</f>
        <v>2.2733333333333334</v>
      </c>
      <c r="F248" s="30">
        <f>Weights!M103</f>
        <v>0.61</v>
      </c>
      <c r="G248" s="30">
        <f>'Alamar Blue (Analysis)'!AP12</f>
        <v>1.707482993197279</v>
      </c>
      <c r="H248">
        <f>PicoGreen!CR52</f>
        <v>42.630092857142856</v>
      </c>
      <c r="I248" s="30">
        <f t="shared" si="74"/>
        <v>69.885398126463699</v>
      </c>
      <c r="J248">
        <f>DMMB!CR60</f>
        <v>217.17139999999972</v>
      </c>
      <c r="K248">
        <f t="shared" si="72"/>
        <v>5094.3215330954108</v>
      </c>
      <c r="L248" s="30">
        <f t="shared" si="75"/>
        <v>356.01868852458972</v>
      </c>
      <c r="M248">
        <f>OHP!CD52</f>
        <v>128.03366000814844</v>
      </c>
      <c r="N248">
        <f t="shared" si="82"/>
        <v>3003.3633855126791</v>
      </c>
      <c r="O248" s="30">
        <f t="shared" si="83"/>
        <v>209.89124591499746</v>
      </c>
      <c r="P248">
        <f>Rx!CB9</f>
        <v>4.6783867323698796E-4</v>
      </c>
      <c r="Q248">
        <f t="shared" si="84"/>
        <v>1.0974376124508009E-5</v>
      </c>
      <c r="R248" s="30">
        <f t="shared" si="85"/>
        <v>7.6694864465079991E-4</v>
      </c>
      <c r="S248">
        <f>Rx!CF9</f>
        <v>3.9785063843030999</v>
      </c>
      <c r="T248">
        <f t="shared" si="86"/>
        <v>9.332624251219486E-2</v>
      </c>
      <c r="U248" s="30">
        <f t="shared" si="87"/>
        <v>6.5221416136116392</v>
      </c>
      <c r="V248" s="182"/>
      <c r="W248" s="182"/>
      <c r="X248" s="184"/>
      <c r="Y248">
        <f t="shared" si="73"/>
        <v>3.7267759562841531</v>
      </c>
    </row>
    <row r="249" spans="2:25" x14ac:dyDescent="0.25">
      <c r="B249" s="647"/>
      <c r="C249" s="686"/>
      <c r="D249" s="27" t="s">
        <v>81</v>
      </c>
      <c r="E249" s="91">
        <f>Weights!I104</f>
        <v>1.9733333333333334</v>
      </c>
      <c r="F249" s="30">
        <f>Weights!M104</f>
        <v>0.57499999999999996</v>
      </c>
      <c r="G249" s="30">
        <f>'Alamar Blue (Analysis)'!AP13</f>
        <v>1.9523809523809526</v>
      </c>
      <c r="H249">
        <f>PicoGreen!CR53</f>
        <v>44.51829285714286</v>
      </c>
      <c r="I249" s="30">
        <f t="shared" si="74"/>
        <v>77.423118012422378</v>
      </c>
      <c r="J249">
        <f>DMMB!CR61</f>
        <v>226.53259999999992</v>
      </c>
      <c r="K249">
        <f t="shared" si="72"/>
        <v>5088.5284556380575</v>
      </c>
      <c r="L249" s="30">
        <f t="shared" si="75"/>
        <v>393.96973913043468</v>
      </c>
      <c r="M249">
        <f>OHP!CD53</f>
        <v>132.86505172333591</v>
      </c>
      <c r="N249">
        <f t="shared" si="82"/>
        <v>2984.5046428373548</v>
      </c>
      <c r="O249" s="30">
        <f t="shared" si="83"/>
        <v>231.06965517101898</v>
      </c>
      <c r="P249">
        <f>Rx!CB10</f>
        <v>8.40500997477339E-4</v>
      </c>
      <c r="Q249">
        <f t="shared" si="84"/>
        <v>1.8879901800692759E-5</v>
      </c>
      <c r="R249" s="30">
        <f t="shared" si="85"/>
        <v>1.4617408651779809E-3</v>
      </c>
      <c r="S249">
        <f>Rx!CF10</f>
        <v>5.9436636427677501</v>
      </c>
      <c r="T249">
        <f t="shared" si="86"/>
        <v>0.13351059219275752</v>
      </c>
      <c r="U249" s="30">
        <f t="shared" si="87"/>
        <v>10.336806335248262</v>
      </c>
      <c r="V249" s="182"/>
      <c r="W249" s="182"/>
      <c r="X249" s="184"/>
      <c r="Y249">
        <f t="shared" si="73"/>
        <v>3.4318840579710148</v>
      </c>
    </row>
    <row r="250" spans="2:25" x14ac:dyDescent="0.25">
      <c r="B250" s="647"/>
      <c r="C250" s="686"/>
      <c r="D250" s="27" t="s">
        <v>82</v>
      </c>
      <c r="E250" s="91">
        <f>Weights!I105</f>
        <v>1.76</v>
      </c>
      <c r="F250" s="30">
        <f>Weights!M105</f>
        <v>0.52500000000000002</v>
      </c>
      <c r="G250" s="30">
        <f>'Alamar Blue (Analysis)'!AP14</f>
        <v>1.5782312925170068</v>
      </c>
      <c r="H250">
        <f>PicoGreen!CR54</f>
        <v>26.895092857142856</v>
      </c>
      <c r="I250" s="30">
        <f t="shared" si="74"/>
        <v>51.228748299319726</v>
      </c>
      <c r="J250">
        <f>DMMB!CR62</f>
        <v>161.00420000000042</v>
      </c>
      <c r="K250">
        <f t="shared" si="72"/>
        <v>5986.3782904635182</v>
      </c>
      <c r="L250" s="30">
        <f t="shared" si="75"/>
        <v>306.67466666666746</v>
      </c>
      <c r="M250">
        <f>OHP!CD54</f>
        <v>125.63242939521091</v>
      </c>
      <c r="N250">
        <f t="shared" si="82"/>
        <v>4671.2026637173394</v>
      </c>
      <c r="O250" s="30">
        <f t="shared" si="83"/>
        <v>239.29986551468744</v>
      </c>
      <c r="P250">
        <f>Rx!CB11</f>
        <v>3.27084917678582E-4</v>
      </c>
      <c r="Q250">
        <f t="shared" si="84"/>
        <v>1.2161509142799411E-5</v>
      </c>
      <c r="R250" s="30">
        <f t="shared" si="85"/>
        <v>6.2301889081634661E-4</v>
      </c>
      <c r="S250">
        <f>Rx!CF11</f>
        <v>2.0401223854905499</v>
      </c>
      <c r="T250">
        <f t="shared" si="86"/>
        <v>7.585481843572553E-2</v>
      </c>
      <c r="U250" s="30">
        <f t="shared" si="87"/>
        <v>3.8859474009343806</v>
      </c>
      <c r="V250" s="182"/>
      <c r="W250" s="182"/>
      <c r="X250" s="184"/>
      <c r="Y250">
        <f t="shared" si="73"/>
        <v>3.3523809523809525</v>
      </c>
    </row>
    <row r="251" spans="2:25" x14ac:dyDescent="0.25">
      <c r="B251" s="647"/>
      <c r="C251" s="686"/>
      <c r="D251" s="27" t="s">
        <v>83</v>
      </c>
      <c r="E251" s="91">
        <f>Weights!I106</f>
        <v>1.8800000000000001</v>
      </c>
      <c r="F251" s="30">
        <f>Weights!M106</f>
        <v>0.57000000000000006</v>
      </c>
      <c r="G251" s="30">
        <f>'Alamar Blue (Analysis)'!AP15</f>
        <v>1.9115646258503403</v>
      </c>
      <c r="H251">
        <f>PicoGreen!CR55</f>
        <v>22.489292857142857</v>
      </c>
      <c r="I251" s="30">
        <f t="shared" si="74"/>
        <v>39.454899749373432</v>
      </c>
      <c r="J251">
        <f>DMMB!CR63</f>
        <v>224.19229999999999</v>
      </c>
      <c r="K251">
        <f t="shared" si="72"/>
        <v>9968.8461270934949</v>
      </c>
      <c r="L251" s="30">
        <f t="shared" si="75"/>
        <v>393.31982456140344</v>
      </c>
      <c r="M251">
        <f>OHP!CD55</f>
        <v>117.24258749458592</v>
      </c>
      <c r="N251">
        <f t="shared" si="82"/>
        <v>5213.2625173827255</v>
      </c>
      <c r="O251" s="30">
        <f t="shared" si="83"/>
        <v>205.68874999050158</v>
      </c>
      <c r="P251">
        <f>Rx!CB12</f>
        <v>7.2119543324211796E-4</v>
      </c>
      <c r="Q251">
        <f t="shared" si="84"/>
        <v>3.2068390848183474E-5</v>
      </c>
      <c r="R251" s="30">
        <f t="shared" si="85"/>
        <v>1.2652551460388033E-3</v>
      </c>
      <c r="S251">
        <f>Rx!CF12</f>
        <v>5.1351112012741202</v>
      </c>
      <c r="T251">
        <f t="shared" si="86"/>
        <v>0.22833582335796521</v>
      </c>
      <c r="U251" s="30">
        <f t="shared" si="87"/>
        <v>9.008967019779158</v>
      </c>
      <c r="V251" s="182"/>
      <c r="W251" s="182"/>
      <c r="X251" s="184"/>
      <c r="Y251">
        <f t="shared" si="73"/>
        <v>3.2982456140350878</v>
      </c>
    </row>
    <row r="252" spans="2:25" x14ac:dyDescent="0.25">
      <c r="B252" s="647"/>
      <c r="C252" s="686"/>
      <c r="D252" s="27" t="s">
        <v>94</v>
      </c>
      <c r="E252" s="91">
        <f>Weights!I107</f>
        <v>2.29</v>
      </c>
      <c r="F252">
        <f>Weights!M107</f>
        <v>0.54500000000000004</v>
      </c>
      <c r="G252" s="48">
        <f>'Alamar Blue (Analysis)'!AP16</f>
        <v>1.6734693877551021</v>
      </c>
      <c r="H252">
        <f>PicoGreen!CR56</f>
        <v>16.824692857142857</v>
      </c>
      <c r="I252" s="30">
        <f t="shared" si="74"/>
        <v>30.870996068152028</v>
      </c>
      <c r="J252">
        <f>DMMB!CR64</f>
        <v>182.06690000000037</v>
      </c>
      <c r="K252">
        <f t="shared" si="72"/>
        <v>10821.410027862981</v>
      </c>
      <c r="L252" s="30">
        <f t="shared" si="75"/>
        <v>334.067706422019</v>
      </c>
      <c r="M252">
        <f>OHP!CD56</f>
        <v>131.67890166152341</v>
      </c>
      <c r="N252">
        <f t="shared" si="82"/>
        <v>7826.5263312441184</v>
      </c>
      <c r="O252" s="30">
        <f t="shared" si="83"/>
        <v>241.61266359912551</v>
      </c>
      <c r="P252">
        <f>Rx!CB13</f>
        <v>2.88210070905308E-4</v>
      </c>
      <c r="Q252">
        <f t="shared" si="84"/>
        <v>1.7130183198735157E-5</v>
      </c>
      <c r="R252" s="30">
        <f t="shared" si="85"/>
        <v>5.2882581817487704E-4</v>
      </c>
      <c r="S252">
        <f>Rx!CF13</f>
        <v>2.7897736557495501</v>
      </c>
      <c r="T252">
        <f t="shared" si="86"/>
        <v>0.16581423978656246</v>
      </c>
      <c r="U252" s="30">
        <f t="shared" si="87"/>
        <v>5.118850744494587</v>
      </c>
      <c r="V252" s="182"/>
      <c r="W252" s="182"/>
      <c r="X252" s="184"/>
      <c r="Y252">
        <f t="shared" si="73"/>
        <v>4.2018348623853212</v>
      </c>
    </row>
    <row r="253" spans="2:25" x14ac:dyDescent="0.25">
      <c r="B253" s="647"/>
      <c r="C253" s="686"/>
      <c r="D253" s="27" t="s">
        <v>209</v>
      </c>
      <c r="E253">
        <f>Weights!I108</f>
        <v>1.87</v>
      </c>
      <c r="F253">
        <f>Weights!M108</f>
        <v>0.54</v>
      </c>
      <c r="G253" s="348"/>
      <c r="H253">
        <f>PicoGreen!CR57</f>
        <v>30.042092857142858</v>
      </c>
      <c r="I253" s="30">
        <f t="shared" si="74"/>
        <v>55.633505291005292</v>
      </c>
      <c r="J253">
        <f>DMMB!CR65</f>
        <v>149.30270000000036</v>
      </c>
      <c r="K253">
        <f t="shared" si="72"/>
        <v>4969.7835869814216</v>
      </c>
      <c r="L253" s="30">
        <f t="shared" si="75"/>
        <v>276.48648148148214</v>
      </c>
      <c r="M253">
        <f>OHP!CD57</f>
        <v>109.46028586952342</v>
      </c>
      <c r="N253">
        <f t="shared" si="82"/>
        <v>3643.5639284530725</v>
      </c>
      <c r="O253" s="30">
        <f t="shared" si="83"/>
        <v>202.70423309171002</v>
      </c>
      <c r="P253" s="182"/>
      <c r="Q253" s="182"/>
      <c r="R253" s="183"/>
      <c r="S253" s="182"/>
      <c r="T253" s="182"/>
      <c r="U253" s="183"/>
      <c r="V253" s="182"/>
      <c r="W253" s="182"/>
      <c r="X253" s="184"/>
      <c r="Y253">
        <f t="shared" si="73"/>
        <v>3.4629629629629628</v>
      </c>
    </row>
    <row r="254" spans="2:25" x14ac:dyDescent="0.25">
      <c r="B254" s="647"/>
      <c r="C254" s="686"/>
      <c r="D254" s="27" t="s">
        <v>210</v>
      </c>
      <c r="E254" s="91">
        <f>Weights!I109</f>
        <v>2.0249999999999999</v>
      </c>
      <c r="F254">
        <f>Weights!M109</f>
        <v>0.57999999999999996</v>
      </c>
      <c r="G254" s="348"/>
      <c r="H254">
        <f>PicoGreen!CR58</f>
        <v>16.195292857142856</v>
      </c>
      <c r="I254" s="30">
        <f t="shared" si="74"/>
        <v>27.922918719211822</v>
      </c>
      <c r="J254">
        <f>DMMB!CR66</f>
        <v>146.96240000000017</v>
      </c>
      <c r="K254">
        <f t="shared" si="72"/>
        <v>9074.3897808049278</v>
      </c>
      <c r="L254" s="30">
        <f t="shared" si="75"/>
        <v>253.38344827586238</v>
      </c>
      <c r="M254">
        <f>OHP!CD58</f>
        <v>133.12542612714842</v>
      </c>
      <c r="N254">
        <f t="shared" si="82"/>
        <v>8220.0073380231643</v>
      </c>
      <c r="O254" s="30">
        <f t="shared" si="83"/>
        <v>229.52659677094556</v>
      </c>
      <c r="P254" s="182"/>
      <c r="Q254" s="182"/>
      <c r="R254" s="183"/>
      <c r="S254" s="182"/>
      <c r="T254" s="182"/>
      <c r="U254" s="183"/>
      <c r="V254" s="182"/>
      <c r="W254" s="182"/>
      <c r="X254" s="184"/>
      <c r="Y254">
        <f t="shared" si="73"/>
        <v>3.4913793103448278</v>
      </c>
    </row>
    <row r="255" spans="2:25" x14ac:dyDescent="0.25">
      <c r="B255" s="647"/>
      <c r="C255" s="686"/>
      <c r="D255" s="27" t="s">
        <v>211</v>
      </c>
      <c r="E255" s="91">
        <f>Weights!I110</f>
        <v>1.9666666666666668</v>
      </c>
      <c r="F255">
        <f>Weights!M110</f>
        <v>0.56999999999999995</v>
      </c>
      <c r="G255" s="348"/>
      <c r="H255">
        <f>PicoGreen!CR59</f>
        <v>24.377492857142855</v>
      </c>
      <c r="I255" s="30">
        <f t="shared" si="74"/>
        <v>42.7675313283208</v>
      </c>
      <c r="J255">
        <f>DMMB!CR67</f>
        <v>175.04599999999982</v>
      </c>
      <c r="K255">
        <f t="shared" si="72"/>
        <v>7180.6399872950651</v>
      </c>
      <c r="L255" s="30">
        <f t="shared" si="75"/>
        <v>307.09824561403479</v>
      </c>
      <c r="M255">
        <f>OHP!CD59</f>
        <v>142.8171400468359</v>
      </c>
      <c r="N255">
        <f t="shared" si="82"/>
        <v>5858.5655581471756</v>
      </c>
      <c r="O255" s="30">
        <f t="shared" si="83"/>
        <v>250.55638604708057</v>
      </c>
      <c r="P255" s="182"/>
      <c r="Q255" s="182"/>
      <c r="R255" s="183"/>
      <c r="S255" s="182"/>
      <c r="T255" s="182"/>
      <c r="U255" s="183"/>
      <c r="V255" s="182"/>
      <c r="W255" s="182"/>
      <c r="X255" s="184"/>
      <c r="Y255">
        <f t="shared" si="73"/>
        <v>3.4502923976608191</v>
      </c>
    </row>
    <row r="256" spans="2:25" ht="15.75" thickBot="1" x14ac:dyDescent="0.3">
      <c r="B256" s="648"/>
      <c r="C256" s="687"/>
      <c r="D256" s="8" t="s">
        <v>212</v>
      </c>
      <c r="E256" s="2">
        <f>Weights!I111</f>
        <v>1.95</v>
      </c>
      <c r="F256" s="2">
        <f>Weights!M111</f>
        <v>0.48</v>
      </c>
      <c r="G256" s="349"/>
      <c r="H256" s="193"/>
      <c r="I256" s="194"/>
      <c r="J256" s="193"/>
      <c r="K256" s="193"/>
      <c r="L256" s="194"/>
      <c r="M256" s="193"/>
      <c r="N256" s="193"/>
      <c r="O256" s="194"/>
      <c r="P256" s="197"/>
      <c r="Q256" s="197"/>
      <c r="R256" s="196"/>
      <c r="S256" s="197"/>
      <c r="T256" s="197"/>
      <c r="U256" s="196"/>
      <c r="V256" s="197"/>
      <c r="W256" s="197"/>
      <c r="X256" s="198"/>
      <c r="Y256">
        <f t="shared" si="73"/>
        <v>4.0625</v>
      </c>
    </row>
    <row r="257" spans="2:25" ht="15" customHeight="1" x14ac:dyDescent="0.25">
      <c r="B257" s="695" t="s">
        <v>274</v>
      </c>
      <c r="C257" s="690" t="s">
        <v>260</v>
      </c>
      <c r="D257" s="25" t="s">
        <v>80</v>
      </c>
      <c r="E257" s="195">
        <f>Weights!I112</f>
        <v>1.9833333333333332</v>
      </c>
      <c r="F257" s="28">
        <f>Weights!M112</f>
        <v>0.56000000000000005</v>
      </c>
      <c r="G257" s="28">
        <f>'Alamar Blue (Analysis)'!AP19</f>
        <v>1.4630872483221478</v>
      </c>
      <c r="H257" s="50">
        <f>PicoGreen!DG46</f>
        <v>42.108765909090906</v>
      </c>
      <c r="I257" s="28">
        <f t="shared" si="74"/>
        <v>75.194224837662318</v>
      </c>
      <c r="J257" s="50">
        <f>DMMB!DG54</f>
        <v>237.75979999999996</v>
      </c>
      <c r="K257" s="50">
        <f>J257/H257*1000</f>
        <v>5646.3255302542539</v>
      </c>
      <c r="L257" s="28">
        <f>J257/F257</f>
        <v>424.57107142857132</v>
      </c>
      <c r="M257" s="50"/>
      <c r="N257" s="50"/>
      <c r="O257" s="28"/>
      <c r="P257" s="50">
        <f>Rx!CN3</f>
        <v>2.0053455796926399E-4</v>
      </c>
      <c r="Q257" s="50">
        <f>P257/H257</f>
        <v>4.7622995744449105E-6</v>
      </c>
      <c r="R257" s="28">
        <f>P257/F257</f>
        <v>3.5809742494511424E-4</v>
      </c>
      <c r="S257" s="50">
        <f>Rx!CR3</f>
        <v>0.86040084265833705</v>
      </c>
      <c r="T257" s="50">
        <f>S257/H257</f>
        <v>2.0432820199857347E-2</v>
      </c>
      <c r="U257" s="28">
        <f>S257/F257</f>
        <v>1.5364300761756018</v>
      </c>
      <c r="V257" s="181"/>
      <c r="W257" s="181"/>
      <c r="X257" s="192"/>
      <c r="Y257">
        <f t="shared" ref="Y257:Y271" si="88">E257/F257</f>
        <v>3.5416666666666661</v>
      </c>
    </row>
    <row r="258" spans="2:25" x14ac:dyDescent="0.25">
      <c r="B258" s="696"/>
      <c r="C258" s="686"/>
      <c r="D258" s="27" t="s">
        <v>79</v>
      </c>
      <c r="E258" s="91">
        <f>Weights!I113</f>
        <v>1.79</v>
      </c>
      <c r="F258" s="30">
        <f>Weights!M113</f>
        <v>0.52</v>
      </c>
      <c r="G258" s="30">
        <f>'Alamar Blue (Analysis)'!AP20</f>
        <v>1.7046979865771814</v>
      </c>
      <c r="H258">
        <f>PicoGreen!DG47</f>
        <v>50.422515909090905</v>
      </c>
      <c r="I258" s="30">
        <f t="shared" si="74"/>
        <v>96.966376748251733</v>
      </c>
      <c r="J258">
        <f>DMMB!DG55</f>
        <v>250.31840000000003</v>
      </c>
      <c r="K258">
        <f t="shared" ref="K258:K271" si="89">J258/H258*1000</f>
        <v>4964.4170959519497</v>
      </c>
      <c r="L258" s="30">
        <f t="shared" ref="L258:L271" si="90">J258/F258</f>
        <v>481.38153846153847</v>
      </c>
      <c r="O258" s="30"/>
      <c r="P258">
        <f>Rx!CN4</f>
        <v>4.6224915057321798E-4</v>
      </c>
      <c r="Q258">
        <f t="shared" ref="Q258:Q271" si="91">P258/H258</f>
        <v>9.167514596190091E-6</v>
      </c>
      <c r="R258" s="30">
        <f t="shared" ref="R258:R271" si="92">P258/F258</f>
        <v>8.8894067417926532E-4</v>
      </c>
      <c r="S258">
        <f>Rx!CR4</f>
        <v>1.4847160882457899</v>
      </c>
      <c r="T258">
        <f t="shared" ref="T258:T271" si="93">S258/H258</f>
        <v>2.9445497938314968E-2</v>
      </c>
      <c r="U258" s="30">
        <f t="shared" ref="U258:U271" si="94">S258/F258</f>
        <v>2.8552232466265188</v>
      </c>
      <c r="V258" s="182"/>
      <c r="W258" s="182"/>
      <c r="X258" s="184"/>
      <c r="Y258">
        <f t="shared" si="88"/>
        <v>3.4423076923076921</v>
      </c>
    </row>
    <row r="259" spans="2:25" x14ac:dyDescent="0.25">
      <c r="B259" s="696"/>
      <c r="C259" s="686"/>
      <c r="D259" s="27" t="s">
        <v>81</v>
      </c>
      <c r="E259" s="91">
        <f>Weights!I114</f>
        <v>1.865</v>
      </c>
      <c r="F259" s="30">
        <f>Weights!M114</f>
        <v>0.5033333333333333</v>
      </c>
      <c r="G259" s="30">
        <f>'Alamar Blue (Analysis)'!AP21</f>
        <v>1.5302013422818792</v>
      </c>
      <c r="H259">
        <f>PicoGreen!DG48</f>
        <v>37.120515909090912</v>
      </c>
      <c r="I259" s="30">
        <f t="shared" si="74"/>
        <v>73.749369355809762</v>
      </c>
      <c r="J259">
        <f>DMMB!DG56</f>
        <v>241.94599999999997</v>
      </c>
      <c r="K259">
        <f t="shared" si="89"/>
        <v>6517.851222556601</v>
      </c>
      <c r="L259" s="30">
        <f t="shared" si="90"/>
        <v>480.68741721854303</v>
      </c>
      <c r="O259" s="30"/>
      <c r="P259">
        <f>Rx!CN5</f>
        <v>2.2319383005618601E-4</v>
      </c>
      <c r="Q259">
        <f t="shared" si="91"/>
        <v>6.0126812515966474E-6</v>
      </c>
      <c r="R259" s="30">
        <f t="shared" si="92"/>
        <v>4.4343145044275367E-4</v>
      </c>
      <c r="S259">
        <f>Rx!CR5</f>
        <v>1.09124009312765</v>
      </c>
      <c r="T259">
        <f t="shared" si="93"/>
        <v>2.9397223244421622E-2</v>
      </c>
      <c r="U259" s="30">
        <f t="shared" si="94"/>
        <v>2.1680266750880466</v>
      </c>
      <c r="V259" s="182"/>
      <c r="W259" s="182"/>
      <c r="X259" s="184"/>
      <c r="Y259">
        <f t="shared" si="88"/>
        <v>3.7052980132450335</v>
      </c>
    </row>
    <row r="260" spans="2:25" x14ac:dyDescent="0.25">
      <c r="B260" s="696"/>
      <c r="C260" s="686"/>
      <c r="D260" s="27" t="s">
        <v>82</v>
      </c>
      <c r="E260" s="91">
        <f>Weights!I115</f>
        <v>2.0099999999999998</v>
      </c>
      <c r="F260" s="30">
        <f>Weights!M115</f>
        <v>0.505</v>
      </c>
      <c r="G260" s="30">
        <f>'Alamar Blue (Analysis)'!AP22</f>
        <v>1.4966442953020134</v>
      </c>
      <c r="H260">
        <f>PicoGreen!DG49</f>
        <v>33.129915909090911</v>
      </c>
      <c r="I260" s="30">
        <f t="shared" si="74"/>
        <v>65.603793879387936</v>
      </c>
      <c r="J260">
        <f>DMMB!DG57</f>
        <v>206.36330000000004</v>
      </c>
      <c r="K260">
        <f t="shared" si="89"/>
        <v>6228.9110713792534</v>
      </c>
      <c r="L260" s="30">
        <f t="shared" si="90"/>
        <v>408.64019801980203</v>
      </c>
      <c r="O260" s="30"/>
      <c r="P260">
        <f>Rx!CN6</f>
        <v>2.05066412386648E-4</v>
      </c>
      <c r="Q260">
        <f t="shared" si="91"/>
        <v>6.1897655565849893E-6</v>
      </c>
      <c r="R260" s="30">
        <f t="shared" si="92"/>
        <v>4.0607210373593661E-4</v>
      </c>
      <c r="S260">
        <f>Rx!CR6</f>
        <v>0.92335700187724001</v>
      </c>
      <c r="T260">
        <f t="shared" si="93"/>
        <v>2.7870792199139544E-2</v>
      </c>
      <c r="U260" s="30">
        <f t="shared" si="94"/>
        <v>1.8284297066876041</v>
      </c>
      <c r="V260" s="182"/>
      <c r="W260" s="182"/>
      <c r="X260" s="184"/>
      <c r="Y260">
        <f t="shared" si="88"/>
        <v>3.9801980198019797</v>
      </c>
    </row>
    <row r="261" spans="2:25" x14ac:dyDescent="0.25">
      <c r="B261" s="696"/>
      <c r="C261" s="688"/>
      <c r="D261" s="61" t="s">
        <v>83</v>
      </c>
      <c r="E261" s="191">
        <f>Weights!I116</f>
        <v>1.87</v>
      </c>
      <c r="F261" s="90">
        <f>Weights!M116</f>
        <v>0.52333333333333332</v>
      </c>
      <c r="G261" s="90">
        <f>'Alamar Blue (Analysis)'!AP23</f>
        <v>1.3624161073825505</v>
      </c>
      <c r="H261" s="60">
        <f>PicoGreen!DG50</f>
        <v>32.464815909090909</v>
      </c>
      <c r="I261" s="90">
        <f t="shared" si="74"/>
        <v>62.034680081065432</v>
      </c>
      <c r="J261" s="60">
        <f>DMMB!DG58</f>
        <v>214.73569999999995</v>
      </c>
      <c r="K261" s="60">
        <f t="shared" si="89"/>
        <v>6614.4129879346992</v>
      </c>
      <c r="L261" s="90">
        <f t="shared" si="90"/>
        <v>410.32299363057319</v>
      </c>
      <c r="M261" s="60"/>
      <c r="O261" s="30"/>
      <c r="P261" s="60">
        <f>Rx!CN7</f>
        <v>3.0250128236041499E-4</v>
      </c>
      <c r="Q261" s="60">
        <f t="shared" si="91"/>
        <v>9.3178191186264368E-6</v>
      </c>
      <c r="R261" s="90">
        <f t="shared" si="92"/>
        <v>5.7802792807722613E-4</v>
      </c>
      <c r="S261" s="60">
        <f>Rx!CR7</f>
        <v>1.12796451933867</v>
      </c>
      <c r="T261" s="60">
        <f t="shared" si="93"/>
        <v>3.4744214244036835E-2</v>
      </c>
      <c r="U261" s="90">
        <f t="shared" si="94"/>
        <v>2.1553462152968219</v>
      </c>
      <c r="V261" s="186"/>
      <c r="W261" s="186"/>
      <c r="X261" s="188"/>
      <c r="Y261">
        <f t="shared" si="88"/>
        <v>3.5732484076433124</v>
      </c>
    </row>
    <row r="262" spans="2:25" x14ac:dyDescent="0.25">
      <c r="B262" s="696"/>
      <c r="C262" s="686" t="s">
        <v>298</v>
      </c>
      <c r="D262" s="27" t="s">
        <v>80</v>
      </c>
      <c r="E262" s="91">
        <f>Weights!I147</f>
        <v>1.6933333333333334</v>
      </c>
      <c r="F262">
        <f>Weights!M147</f>
        <v>0.47</v>
      </c>
      <c r="G262" s="282">
        <f>'Alamar Blue (Analysis)'!AP33</f>
        <v>1.4081632653061225</v>
      </c>
      <c r="H262">
        <f>PicoGreen!DV62</f>
        <v>31.491512499999999</v>
      </c>
      <c r="I262">
        <f t="shared" si="74"/>
        <v>67.003218085106383</v>
      </c>
      <c r="J262" s="160">
        <f>DMMB!DV70</f>
        <v>206.35179999999991</v>
      </c>
      <c r="K262">
        <f>J262/H262*1000</f>
        <v>6552.6163597254954</v>
      </c>
      <c r="L262" s="30">
        <f>J262/F262</f>
        <v>439.04638297872322</v>
      </c>
      <c r="M262">
        <f>OHP!DH56</f>
        <v>101.09523198324999</v>
      </c>
      <c r="N262" s="164">
        <f>M262/H262*1000</f>
        <v>3210.2374245520914</v>
      </c>
      <c r="O262" s="126">
        <f>M262/F262</f>
        <v>215.09623826223404</v>
      </c>
      <c r="P262">
        <f>Rx!CZ19</f>
        <v>2.1644386376711499E-4</v>
      </c>
      <c r="Q262">
        <f>P262/H262</f>
        <v>6.8730856851386542E-6</v>
      </c>
      <c r="R262" s="30">
        <f>P262/F262</f>
        <v>4.605188590789681E-4</v>
      </c>
      <c r="S262">
        <f>Rx!DD19</f>
        <v>0.63909644150015199</v>
      </c>
      <c r="T262">
        <f>S262/H262</f>
        <v>2.0294244091964526E-2</v>
      </c>
      <c r="U262" s="30">
        <f>S262/F262</f>
        <v>1.3597796627662808</v>
      </c>
      <c r="V262" s="182"/>
      <c r="W262" s="182"/>
      <c r="X262" s="184"/>
    </row>
    <row r="263" spans="2:25" x14ac:dyDescent="0.25">
      <c r="B263" s="696"/>
      <c r="C263" s="686"/>
      <c r="D263" s="27" t="s">
        <v>79</v>
      </c>
      <c r="E263" s="91">
        <f>Weights!I148</f>
        <v>2.4533333333333336</v>
      </c>
      <c r="F263">
        <f>Weights!M148</f>
        <v>0.5</v>
      </c>
      <c r="G263" s="48">
        <f>'Alamar Blue (Analysis)'!AP34</f>
        <v>1.6938775510204083</v>
      </c>
      <c r="H263">
        <f>PicoGreen!DV63</f>
        <v>48.798512500000001</v>
      </c>
      <c r="I263">
        <f t="shared" si="74"/>
        <v>97.597025000000002</v>
      </c>
      <c r="J263" s="143">
        <f>DMMB!DV71</f>
        <v>219.92559999999986</v>
      </c>
      <c r="K263">
        <f>J263/H263*1000</f>
        <v>4506.8095057200744</v>
      </c>
      <c r="L263" s="30">
        <f>J263/F263</f>
        <v>439.85119999999972</v>
      </c>
      <c r="M263">
        <f>OHP!DH57</f>
        <v>114.68632612112498</v>
      </c>
      <c r="N263">
        <f>M263/H263*1000</f>
        <v>2350.2012714245129</v>
      </c>
      <c r="O263" s="30">
        <f>M263/F263</f>
        <v>229.37265224224996</v>
      </c>
      <c r="P263">
        <f>Rx!CZ20</f>
        <v>2.64918270756626E-4</v>
      </c>
      <c r="Q263">
        <f>P263/H263</f>
        <v>5.4288185681197967E-6</v>
      </c>
      <c r="R263" s="30">
        <f>P263/F263</f>
        <v>5.2983654151325199E-4</v>
      </c>
      <c r="S263">
        <f>Rx!DD20</f>
        <v>0.95571302719747497</v>
      </c>
      <c r="T263">
        <f>S263/H263</f>
        <v>1.9584880321863805E-2</v>
      </c>
      <c r="U263" s="30">
        <f>S263/F263</f>
        <v>1.9114260543949499</v>
      </c>
      <c r="V263" s="182"/>
      <c r="W263" s="182"/>
      <c r="X263" s="184"/>
    </row>
    <row r="264" spans="2:25" x14ac:dyDescent="0.25">
      <c r="B264" s="696"/>
      <c r="C264" s="686"/>
      <c r="D264" s="27" t="s">
        <v>81</v>
      </c>
      <c r="E264" s="91">
        <f>Weights!I149</f>
        <v>1.97</v>
      </c>
      <c r="F264">
        <f>Weights!M149</f>
        <v>0.47</v>
      </c>
      <c r="G264" s="48">
        <f>'Alamar Blue (Analysis)'!AP35</f>
        <v>1.5306122448979593</v>
      </c>
      <c r="H264">
        <f>PicoGreen!DV64</f>
        <v>78.797312500000004</v>
      </c>
      <c r="I264">
        <f t="shared" si="74"/>
        <v>167.65385638297874</v>
      </c>
      <c r="J264" s="143">
        <f>DMMB!DV72</f>
        <v>242.54859999999994</v>
      </c>
      <c r="K264">
        <f>J264/H264*1000</f>
        <v>3078.1328995198905</v>
      </c>
      <c r="L264" s="30">
        <f>J264/F264</f>
        <v>516.06085106382966</v>
      </c>
      <c r="M264">
        <f>OHP!DH58</f>
        <v>112.57322314562497</v>
      </c>
      <c r="N264">
        <f>M264/H264*1000</f>
        <v>1428.6429266940413</v>
      </c>
      <c r="O264" s="30">
        <f>M264/F264</f>
        <v>239.51749605452122</v>
      </c>
      <c r="P264">
        <f>Rx!CZ21</f>
        <v>2.5702708822344998E-4</v>
      </c>
      <c r="Q264">
        <f>P264/H264</f>
        <v>3.2618763263461552E-6</v>
      </c>
      <c r="R264" s="30">
        <f>P264/F264</f>
        <v>5.4686614515627656E-4</v>
      </c>
      <c r="S264">
        <f>Rx!DD21</f>
        <v>1.0143457282525301</v>
      </c>
      <c r="T264">
        <f>S264/H264</f>
        <v>1.2872846751626588E-2</v>
      </c>
      <c r="U264" s="30">
        <f>S264/F264</f>
        <v>2.158182400537298</v>
      </c>
      <c r="V264" s="182"/>
      <c r="W264" s="182"/>
      <c r="X264" s="184"/>
    </row>
    <row r="265" spans="2:25" x14ac:dyDescent="0.25">
      <c r="B265" s="696"/>
      <c r="C265" s="686"/>
      <c r="D265" s="27" t="s">
        <v>82</v>
      </c>
      <c r="E265" s="91">
        <f>Weights!I150</f>
        <v>1.7366666666666666</v>
      </c>
      <c r="F265">
        <f>Weights!M150</f>
        <v>0.47499999999999998</v>
      </c>
      <c r="G265" s="48">
        <f>'Alamar Blue (Analysis)'!AP36</f>
        <v>1.3265306122448981</v>
      </c>
      <c r="H265">
        <f>PicoGreen!DV65</f>
        <v>70.720712500000005</v>
      </c>
      <c r="I265">
        <f t="shared" si="74"/>
        <v>148.88571052631582</v>
      </c>
      <c r="J265" s="143">
        <f>DMMB!DV73</f>
        <v>244.81090000000009</v>
      </c>
      <c r="K265">
        <f>J265/H265*1000</f>
        <v>3461.6577144920602</v>
      </c>
      <c r="L265" s="30">
        <f>J265/F265</f>
        <v>515.39136842105279</v>
      </c>
      <c r="M265">
        <f>OHP!DH59</f>
        <v>105.39347553568747</v>
      </c>
      <c r="N265">
        <f>M265/H265*1000</f>
        <v>1490.2773432279471</v>
      </c>
      <c r="O265" s="30">
        <f>M265/F265</f>
        <v>221.88100112776311</v>
      </c>
      <c r="P265">
        <f>Rx!CZ22</f>
        <v>2.1757117555756901E-4</v>
      </c>
      <c r="Q265">
        <f>P265/H265</f>
        <v>3.0764844960741732E-6</v>
      </c>
      <c r="R265" s="30">
        <f>P265/F265</f>
        <v>4.5804458012119794E-4</v>
      </c>
      <c r="S265">
        <f>Rx!DD22</f>
        <v>0.55114738991756196</v>
      </c>
      <c r="T265">
        <f>S265/H265</f>
        <v>7.7932952092014335E-3</v>
      </c>
      <c r="U265" s="30">
        <f>S265/F265</f>
        <v>1.1603102945632884</v>
      </c>
      <c r="V265" s="182"/>
      <c r="W265" s="182"/>
      <c r="X265" s="184"/>
    </row>
    <row r="266" spans="2:25" ht="15.75" thickBot="1" x14ac:dyDescent="0.3">
      <c r="B266" s="697"/>
      <c r="C266" s="687"/>
      <c r="D266" s="8" t="s">
        <v>83</v>
      </c>
      <c r="E266" s="5">
        <f>Weights!I151</f>
        <v>2.145</v>
      </c>
      <c r="F266" s="2">
        <f>Weights!M151</f>
        <v>0.5</v>
      </c>
      <c r="G266" s="49">
        <f>'Alamar Blue (Analysis)'!AP37</f>
        <v>1.4693877551020409</v>
      </c>
      <c r="H266" s="2">
        <f>PicoGreen!DV66</f>
        <v>64.951712499999999</v>
      </c>
      <c r="I266" s="2">
        <f t="shared" si="74"/>
        <v>129.903425</v>
      </c>
      <c r="J266" s="144">
        <f>DMMB!DV74</f>
        <v>249.33550000000008</v>
      </c>
      <c r="K266" s="2">
        <f>J266/H266*1000</f>
        <v>3838.7825417228237</v>
      </c>
      <c r="L266" s="9">
        <f>J266/F266</f>
        <v>498.67100000000016</v>
      </c>
      <c r="M266" s="2">
        <f>OHP!DH60</f>
        <v>108.61115506656249</v>
      </c>
      <c r="N266" s="2">
        <f>M266/H266*1000</f>
        <v>1672.1830862667784</v>
      </c>
      <c r="O266" s="9">
        <f>M266/F266</f>
        <v>217.22231013312498</v>
      </c>
      <c r="P266" s="2">
        <f>Rx!CZ23</f>
        <v>2.5026321748072698E-4</v>
      </c>
      <c r="Q266" s="2">
        <f>P266/H266</f>
        <v>3.8530657291095596E-6</v>
      </c>
      <c r="R266" s="9">
        <f>P266/F266</f>
        <v>5.0052643496145395E-4</v>
      </c>
      <c r="S266" s="2">
        <f>Rx!DD23</f>
        <v>0.57460047033958594</v>
      </c>
      <c r="T266" s="2">
        <f>S266/H266</f>
        <v>8.8465792235976216E-3</v>
      </c>
      <c r="U266" s="9">
        <f>S266/F266</f>
        <v>1.1492009406791719</v>
      </c>
      <c r="V266" s="197"/>
      <c r="W266" s="197"/>
      <c r="X266" s="198"/>
    </row>
    <row r="267" spans="2:25" ht="15" customHeight="1" x14ac:dyDescent="0.25">
      <c r="B267" s="695" t="s">
        <v>271</v>
      </c>
      <c r="C267" s="690" t="s">
        <v>260</v>
      </c>
      <c r="D267" s="25" t="s">
        <v>94</v>
      </c>
      <c r="E267" s="195">
        <f>Weights!I117</f>
        <v>1.4950000000000001</v>
      </c>
      <c r="F267" s="50">
        <v>0.5</v>
      </c>
      <c r="G267" s="47">
        <f>'Alamar Blue (Analysis)'!AP26</f>
        <v>2.2080000000000002</v>
      </c>
      <c r="H267" s="50">
        <f>PicoGreen!DG51</f>
        <v>4.5306159090909093</v>
      </c>
      <c r="I267" s="50">
        <f t="shared" si="74"/>
        <v>9.0612318181818186</v>
      </c>
      <c r="J267" s="352">
        <f>DMMB!DG59</f>
        <v>170.78060000000022</v>
      </c>
      <c r="K267" s="50">
        <f t="shared" si="89"/>
        <v>37694.786630956805</v>
      </c>
      <c r="L267" s="28">
        <f t="shared" si="90"/>
        <v>341.56120000000044</v>
      </c>
      <c r="M267" s="50"/>
      <c r="N267" s="50"/>
      <c r="O267" s="28"/>
      <c r="P267" s="50">
        <f>Rx!CN8</f>
        <v>2.9730919228986399E-4</v>
      </c>
      <c r="Q267" s="50">
        <f t="shared" si="91"/>
        <v>6.5622246126249213E-5</v>
      </c>
      <c r="R267" s="28">
        <f t="shared" si="92"/>
        <v>5.9461838457972797E-4</v>
      </c>
      <c r="S267" s="50">
        <f>Rx!CR8</f>
        <v>0.86672201586366004</v>
      </c>
      <c r="T267" s="50">
        <f t="shared" si="93"/>
        <v>0.19130335328681</v>
      </c>
      <c r="U267" s="28">
        <f t="shared" si="94"/>
        <v>1.7334440317273201</v>
      </c>
      <c r="V267" s="181"/>
      <c r="W267" s="181"/>
      <c r="X267" s="192"/>
      <c r="Y267">
        <f t="shared" si="88"/>
        <v>2.99</v>
      </c>
    </row>
    <row r="268" spans="2:25" x14ac:dyDescent="0.25">
      <c r="B268" s="696"/>
      <c r="C268" s="686"/>
      <c r="D268" s="27" t="s">
        <v>209</v>
      </c>
      <c r="E268">
        <f>Weights!I118</f>
        <v>1.8833333333333335</v>
      </c>
      <c r="F268">
        <f>Weights!M118</f>
        <v>0.54500000000000004</v>
      </c>
      <c r="G268" s="143">
        <f>'Alamar Blue (Analysis)'!AP27</f>
        <v>1.976</v>
      </c>
      <c r="H268" s="143">
        <f>PicoGreen!DG52</f>
        <v>10.849065909090909</v>
      </c>
      <c r="I268" s="30">
        <f t="shared" si="74"/>
        <v>19.906542952460381</v>
      </c>
      <c r="J268">
        <f>DMMB!DG60</f>
        <v>191.7116</v>
      </c>
      <c r="K268">
        <f t="shared" si="89"/>
        <v>17670.793191454064</v>
      </c>
      <c r="L268" s="30">
        <f t="shared" si="90"/>
        <v>351.76440366972474</v>
      </c>
      <c r="P268" s="143">
        <f>Rx!CN9</f>
        <v>3.0197897017923399E-4</v>
      </c>
      <c r="Q268">
        <f t="shared" si="91"/>
        <v>2.7834559464349144E-5</v>
      </c>
      <c r="R268">
        <f t="shared" si="92"/>
        <v>5.5408985353987887E-4</v>
      </c>
      <c r="S268" s="143">
        <f>Rx!CR9</f>
        <v>0.60516685131308801</v>
      </c>
      <c r="T268">
        <f t="shared" si="93"/>
        <v>5.578054888633243E-2</v>
      </c>
      <c r="U268">
        <f t="shared" si="94"/>
        <v>1.1103978923175926</v>
      </c>
      <c r="V268" s="383"/>
      <c r="W268" s="182"/>
      <c r="X268" s="184"/>
      <c r="Y268">
        <f t="shared" si="88"/>
        <v>3.4556574923547401</v>
      </c>
    </row>
    <row r="269" spans="2:25" x14ac:dyDescent="0.25">
      <c r="B269" s="696"/>
      <c r="C269" s="686"/>
      <c r="D269" s="27" t="s">
        <v>210</v>
      </c>
      <c r="E269" s="91">
        <f>Weights!I119</f>
        <v>2.2549999999999999</v>
      </c>
      <c r="F269">
        <f>Weights!M119</f>
        <v>0.55000000000000004</v>
      </c>
      <c r="G269" s="143"/>
      <c r="H269" s="143"/>
      <c r="I269" s="30"/>
      <c r="L269" s="30"/>
      <c r="P269" s="143"/>
      <c r="S269" s="143"/>
      <c r="V269" s="383"/>
      <c r="W269" s="182"/>
      <c r="X269" s="184"/>
      <c r="Y269">
        <f t="shared" si="88"/>
        <v>4.0999999999999996</v>
      </c>
    </row>
    <row r="270" spans="2:25" x14ac:dyDescent="0.25">
      <c r="B270" s="696"/>
      <c r="C270" s="686"/>
      <c r="D270" s="27" t="s">
        <v>211</v>
      </c>
      <c r="E270" s="91">
        <f>Weights!I120</f>
        <v>2.4050000000000002</v>
      </c>
      <c r="F270">
        <f>Weights!M120</f>
        <v>0.56000000000000005</v>
      </c>
      <c r="G270" s="143">
        <f>'Alamar Blue (Analysis)'!AP29</f>
        <v>1.976</v>
      </c>
      <c r="H270" s="143">
        <f>PicoGreen!DG54</f>
        <v>2.5353159090909099</v>
      </c>
      <c r="I270" s="30">
        <f t="shared" si="74"/>
        <v>4.5273498376623387</v>
      </c>
      <c r="J270">
        <f>DMMB!DG62</f>
        <v>172.87370000000016</v>
      </c>
      <c r="K270">
        <f t="shared" si="89"/>
        <v>68186.256150614223</v>
      </c>
      <c r="L270" s="30">
        <f t="shared" si="90"/>
        <v>308.70303571428599</v>
      </c>
      <c r="P270" s="143">
        <f>Rx!CN11</f>
        <v>1.04291706195921E-4</v>
      </c>
      <c r="Q270">
        <f t="shared" si="91"/>
        <v>4.1135586228903899E-5</v>
      </c>
      <c r="R270">
        <f t="shared" si="92"/>
        <v>1.862351896355732E-4</v>
      </c>
      <c r="S270" s="143">
        <f>Rx!CR11</f>
        <v>0.35386875203900903</v>
      </c>
      <c r="T270">
        <f t="shared" si="93"/>
        <v>0.13957580227779032</v>
      </c>
      <c r="U270">
        <f t="shared" si="94"/>
        <v>0.63190848578394465</v>
      </c>
      <c r="V270" s="383"/>
      <c r="W270" s="182"/>
      <c r="X270" s="184"/>
      <c r="Y270">
        <f t="shared" si="88"/>
        <v>4.2946428571428568</v>
      </c>
    </row>
    <row r="271" spans="2:25" x14ac:dyDescent="0.25">
      <c r="B271" s="696"/>
      <c r="C271" s="688"/>
      <c r="D271" s="61" t="s">
        <v>212</v>
      </c>
      <c r="E271" s="60">
        <f>Weights!I121</f>
        <v>1.5150000000000001</v>
      </c>
      <c r="F271" s="60">
        <f>Weights!M121</f>
        <v>0.46499999999999997</v>
      </c>
      <c r="G271" s="149">
        <f>'Alamar Blue (Analysis)'!AP30</f>
        <v>2.1360000000000001</v>
      </c>
      <c r="H271" s="60">
        <f>PicoGreen!DG55</f>
        <v>9.5188659090909091</v>
      </c>
      <c r="I271" s="90">
        <f t="shared" si="74"/>
        <v>20.470679374389054</v>
      </c>
      <c r="J271" s="60">
        <f>DMMB!DG63</f>
        <v>160.31510000000011</v>
      </c>
      <c r="K271" s="60">
        <f t="shared" si="89"/>
        <v>16841.827748292217</v>
      </c>
      <c r="L271" s="90">
        <f t="shared" si="90"/>
        <v>344.76365591397877</v>
      </c>
      <c r="M271" s="60"/>
      <c r="P271" s="142">
        <f>Rx!CN12</f>
        <v>1.05848298825711E-4</v>
      </c>
      <c r="Q271" s="60">
        <f t="shared" si="91"/>
        <v>1.1119843459988392E-5</v>
      </c>
      <c r="R271" s="60">
        <f t="shared" si="92"/>
        <v>2.2763075016281936E-4</v>
      </c>
      <c r="S271" s="142">
        <f>Rx!CR12</f>
        <v>0.42566820897446001</v>
      </c>
      <c r="T271" s="60">
        <f t="shared" si="93"/>
        <v>4.471837433574196E-2</v>
      </c>
      <c r="U271" s="60">
        <f t="shared" si="94"/>
        <v>0.91541550317088183</v>
      </c>
      <c r="V271" s="424"/>
      <c r="W271" s="186"/>
      <c r="X271" s="188"/>
      <c r="Y271">
        <f t="shared" si="88"/>
        <v>3.2580645161290329</v>
      </c>
    </row>
    <row r="272" spans="2:25" x14ac:dyDescent="0.25">
      <c r="B272" s="696"/>
      <c r="C272" s="450" t="s">
        <v>298</v>
      </c>
      <c r="D272" s="413" t="s">
        <v>80</v>
      </c>
      <c r="E272" s="384">
        <f>Weights!I152</f>
        <v>2.2266666666666666</v>
      </c>
      <c r="F272" s="384">
        <f>Weights!M152</f>
        <v>0.48499999999999999</v>
      </c>
      <c r="G272" s="451">
        <f>'Alamar Blue (Analysis)'!AP40</f>
        <v>1.2808219178082192</v>
      </c>
      <c r="H272" s="384">
        <f>PicoGreen!DV67</f>
        <v>12.453812500000002</v>
      </c>
      <c r="I272" s="452">
        <f t="shared" si="74"/>
        <v>25.677963917525776</v>
      </c>
      <c r="J272" s="384">
        <f>DMMB!DV75</f>
        <v>172.41730000000018</v>
      </c>
      <c r="K272" s="384">
        <f>J272/H272*1000</f>
        <v>13844.539573724926</v>
      </c>
      <c r="L272" s="452">
        <f>J272/F272</f>
        <v>355.49958762886638</v>
      </c>
      <c r="M272" s="384">
        <f>OHP!DH61</f>
        <v>104.96124992706248</v>
      </c>
      <c r="N272" s="384">
        <f>M272/H272*1000</f>
        <v>8428.0416079062106</v>
      </c>
      <c r="O272" s="452">
        <f>M272/F272</f>
        <v>216.41494830322162</v>
      </c>
      <c r="P272" s="453">
        <f>Rx!CZ24</f>
        <v>1.93435983521926E-4</v>
      </c>
      <c r="Q272" s="384">
        <f>P272/H272</f>
        <v>1.5532270420959523E-5</v>
      </c>
      <c r="R272" s="384">
        <f>P272/F272</f>
        <v>3.9883707942665159E-4</v>
      </c>
      <c r="S272" s="384">
        <f>Rx!DD24</f>
        <v>0.51573623509040001</v>
      </c>
      <c r="T272" s="384">
        <f>S272/H272</f>
        <v>4.1411915836246926E-2</v>
      </c>
      <c r="U272" s="384">
        <f>S272/F272</f>
        <v>1.063373680598763</v>
      </c>
      <c r="V272" s="454"/>
      <c r="W272" s="455"/>
      <c r="X272" s="456"/>
    </row>
    <row r="273" spans="2:24" x14ac:dyDescent="0.25">
      <c r="B273" s="696"/>
      <c r="C273" s="685" t="s">
        <v>324</v>
      </c>
      <c r="D273" s="27" t="s">
        <v>80</v>
      </c>
      <c r="E273" s="91">
        <f>Weights!I167</f>
        <v>1.75</v>
      </c>
      <c r="F273">
        <f>Weights!M167</f>
        <v>0.57999999999999996</v>
      </c>
      <c r="G273" s="143">
        <f>'Alamar Blue (Analysis)'!AP47</f>
        <v>2.2171052631578947</v>
      </c>
      <c r="H273" s="143">
        <f>PicoGreen!EZ46</f>
        <v>39.143156818181822</v>
      </c>
      <c r="I273" s="30">
        <f t="shared" ref="I273:I282" si="95">H273/F273</f>
        <v>67.48820141065832</v>
      </c>
      <c r="J273">
        <f>DMMB!EZ54</f>
        <v>434.024</v>
      </c>
      <c r="K273">
        <f t="shared" ref="K273:K282" si="96">J273/H273*1000</f>
        <v>11088.119489596142</v>
      </c>
      <c r="L273" s="30">
        <f t="shared" ref="L273:L282" si="97">J273/F273</f>
        <v>748.31724137931042</v>
      </c>
      <c r="M273">
        <f>OHP!DW56</f>
        <v>84.013294517999995</v>
      </c>
      <c r="N273">
        <f t="shared" ref="N273:N282" si="98">M273/H273*1000</f>
        <v>2146.3086104229642</v>
      </c>
      <c r="O273">
        <f t="shared" ref="O273:O282" si="99">M273/F273</f>
        <v>144.85050778965518</v>
      </c>
      <c r="P273" s="143">
        <f>Rx!DX3</f>
        <v>4.1782256865237398E-4</v>
      </c>
      <c r="Q273">
        <f t="shared" ref="Q273:Q282" si="100">P273/H273</f>
        <v>1.0674217477990872E-5</v>
      </c>
      <c r="R273">
        <f t="shared" ref="R273:R282" si="101">P273/F273</f>
        <v>7.2038373905581731E-4</v>
      </c>
      <c r="S273" s="143">
        <f>Rx!EB3</f>
        <v>4.7830411483486097</v>
      </c>
      <c r="T273">
        <f t="shared" ref="T273:T282" si="102">S273/H273</f>
        <v>0.12219354638578635</v>
      </c>
      <c r="U273">
        <f t="shared" ref="U273:U282" si="103">S273/F273</f>
        <v>8.2466226695665696</v>
      </c>
      <c r="V273" s="383"/>
      <c r="W273" s="182"/>
      <c r="X273" s="184"/>
    </row>
    <row r="274" spans="2:24" x14ac:dyDescent="0.25">
      <c r="B274" s="696"/>
      <c r="C274" s="686"/>
      <c r="D274" s="27" t="s">
        <v>79</v>
      </c>
      <c r="E274" s="91">
        <f>Weights!I168</f>
        <v>1.95</v>
      </c>
      <c r="F274">
        <f>Weights!M168</f>
        <v>0.54</v>
      </c>
      <c r="G274" s="143">
        <f>'Alamar Blue (Analysis)'!AP48</f>
        <v>2.3486842105263159</v>
      </c>
      <c r="H274" s="143">
        <f>PicoGreen!EZ47</f>
        <v>32.822856818181819</v>
      </c>
      <c r="I274" s="30">
        <f t="shared" si="95"/>
        <v>60.78306818181818</v>
      </c>
      <c r="J274">
        <f>DMMB!EZ55</f>
        <v>310.68200000000019</v>
      </c>
      <c r="K274">
        <f t="shared" si="96"/>
        <v>9465.4161799804624</v>
      </c>
      <c r="L274" s="30">
        <f t="shared" si="97"/>
        <v>575.33703703703736</v>
      </c>
      <c r="M274">
        <f>OHP!DW57</f>
        <v>72.568665629999984</v>
      </c>
      <c r="N274">
        <f t="shared" si="98"/>
        <v>2210.918630026179</v>
      </c>
      <c r="O274">
        <f t="shared" si="99"/>
        <v>134.3864178333333</v>
      </c>
      <c r="P274" s="143">
        <f>Rx!DX4</f>
        <v>3.3524406688332099E-4</v>
      </c>
      <c r="Q274">
        <f t="shared" si="100"/>
        <v>1.0213738211160725E-5</v>
      </c>
      <c r="R274">
        <f t="shared" si="101"/>
        <v>6.2082234608022398E-4</v>
      </c>
      <c r="S274" s="143">
        <f>Rx!EB4</f>
        <v>3.7603174470818499</v>
      </c>
      <c r="T274">
        <f t="shared" si="102"/>
        <v>0.11456399020693617</v>
      </c>
      <c r="U274">
        <f t="shared" si="103"/>
        <v>6.9635508279293514</v>
      </c>
      <c r="V274" s="383"/>
      <c r="W274" s="182"/>
      <c r="X274" s="184"/>
    </row>
    <row r="275" spans="2:24" x14ac:dyDescent="0.25">
      <c r="B275" s="696"/>
      <c r="C275" s="686"/>
      <c r="D275" s="27" t="s">
        <v>81</v>
      </c>
      <c r="E275" s="91">
        <f>Weights!I169</f>
        <v>1.5350000000000001</v>
      </c>
      <c r="F275">
        <f>Weights!M169</f>
        <v>0.58499999999999996</v>
      </c>
      <c r="G275" s="143">
        <f>'Alamar Blue (Analysis)'!AP49</f>
        <v>2.2565789473684212</v>
      </c>
      <c r="H275" s="143">
        <f>PicoGreen!EZ48</f>
        <v>53.589556818181812</v>
      </c>
      <c r="I275" s="30">
        <f t="shared" si="95"/>
        <v>91.606080031080026</v>
      </c>
      <c r="J275">
        <f>DMMB!EZ56</f>
        <v>320.79200000000043</v>
      </c>
      <c r="K275">
        <f t="shared" si="96"/>
        <v>5986.0916761894623</v>
      </c>
      <c r="L275" s="30">
        <f t="shared" si="97"/>
        <v>548.36239316239391</v>
      </c>
      <c r="M275">
        <f>OHP!DW58</f>
        <v>75.541296509999981</v>
      </c>
      <c r="N275">
        <f t="shared" si="98"/>
        <v>1409.6271922213473</v>
      </c>
      <c r="O275">
        <f t="shared" si="99"/>
        <v>129.13042138461535</v>
      </c>
      <c r="P275" s="143">
        <f>Rx!DX5</f>
        <v>5.9283969180469595E-4</v>
      </c>
      <c r="Q275">
        <f t="shared" si="100"/>
        <v>1.1062597397774297E-5</v>
      </c>
      <c r="R275">
        <f t="shared" si="101"/>
        <v>1.0134011825721299E-3</v>
      </c>
      <c r="S275" s="143">
        <f>Rx!EB5</f>
        <v>6.7200178552932401</v>
      </c>
      <c r="T275">
        <f t="shared" si="102"/>
        <v>0.12539789940963422</v>
      </c>
      <c r="U275">
        <f t="shared" si="103"/>
        <v>11.487210009048274</v>
      </c>
      <c r="V275" s="383"/>
      <c r="W275" s="182"/>
      <c r="X275" s="184"/>
    </row>
    <row r="276" spans="2:24" x14ac:dyDescent="0.25">
      <c r="B276" s="696"/>
      <c r="C276" s="686"/>
      <c r="D276" s="27" t="s">
        <v>82</v>
      </c>
      <c r="E276" s="91">
        <f>Weights!I170</f>
        <v>1.8099999999999998</v>
      </c>
      <c r="F276">
        <f>Weights!M170</f>
        <v>0.54</v>
      </c>
      <c r="G276" s="143">
        <f>'Alamar Blue (Analysis)'!AP50</f>
        <v>2.861842105263158</v>
      </c>
      <c r="H276" s="143">
        <f>PicoGreen!EZ49</f>
        <v>49.977956818181823</v>
      </c>
      <c r="I276" s="30">
        <f t="shared" si="95"/>
        <v>92.551771885521887</v>
      </c>
      <c r="J276">
        <f>DMMB!EZ57</f>
        <v>343.03400000000022</v>
      </c>
      <c r="K276">
        <f t="shared" si="96"/>
        <v>6863.7059583677401</v>
      </c>
      <c r="L276" s="30">
        <f t="shared" si="97"/>
        <v>635.24814814814852</v>
      </c>
      <c r="M276">
        <f>OHP!DW59</f>
        <v>81.337926725999992</v>
      </c>
      <c r="N276">
        <f t="shared" si="98"/>
        <v>1627.4760295204687</v>
      </c>
      <c r="O276">
        <f t="shared" si="99"/>
        <v>150.6257902333333</v>
      </c>
      <c r="P276" s="143">
        <f>Rx!DX6</f>
        <v>4.6958819662700499E-4</v>
      </c>
      <c r="Q276">
        <f t="shared" si="100"/>
        <v>9.3959062459346126E-6</v>
      </c>
      <c r="R276">
        <f t="shared" si="101"/>
        <v>8.6960777153149071E-4</v>
      </c>
      <c r="S276" s="143">
        <f>Rx!EB6</f>
        <v>6.73034839773028</v>
      </c>
      <c r="T276">
        <f t="shared" si="102"/>
        <v>0.13466633744582773</v>
      </c>
      <c r="U276">
        <f t="shared" si="103"/>
        <v>12.463608143944962</v>
      </c>
      <c r="V276" s="383"/>
      <c r="W276" s="182"/>
      <c r="X276" s="184"/>
    </row>
    <row r="277" spans="2:24" x14ac:dyDescent="0.25">
      <c r="B277" s="696"/>
      <c r="C277" s="686"/>
      <c r="D277" s="27" t="s">
        <v>83</v>
      </c>
      <c r="E277" s="91">
        <f>Weights!I171</f>
        <v>1.38</v>
      </c>
      <c r="F277">
        <f>Weights!M171</f>
        <v>0.45499999999999996</v>
      </c>
      <c r="G277" s="143">
        <f>'Alamar Blue (Analysis)'!AP51</f>
        <v>2.1184210526315788</v>
      </c>
      <c r="H277" s="143">
        <f>PicoGreen!EZ50</f>
        <v>25.599656818181813</v>
      </c>
      <c r="I277" s="30">
        <f t="shared" si="95"/>
        <v>56.262982017982011</v>
      </c>
      <c r="J277">
        <f>DMMB!EZ58</f>
        <v>248.0000000000004</v>
      </c>
      <c r="K277">
        <f t="shared" si="96"/>
        <v>9687.6298679075153</v>
      </c>
      <c r="L277" s="30">
        <f t="shared" si="97"/>
        <v>545.05494505494596</v>
      </c>
      <c r="M277">
        <f>OHP!DW60</f>
        <v>74.853875618999993</v>
      </c>
      <c r="N277">
        <f t="shared" si="98"/>
        <v>2924.0187144163601</v>
      </c>
      <c r="O277">
        <f t="shared" si="99"/>
        <v>164.51401234945055</v>
      </c>
      <c r="P277" s="143">
        <f>Rx!DX7</f>
        <v>3.5373179115997502E-4</v>
      </c>
      <c r="Q277">
        <f t="shared" si="100"/>
        <v>1.3817833327700774E-5</v>
      </c>
      <c r="R277">
        <f t="shared" si="101"/>
        <v>7.7743250804390121E-4</v>
      </c>
      <c r="S277" s="143">
        <f>Rx!EB7</f>
        <v>3.5692024119966401</v>
      </c>
      <c r="T277">
        <f t="shared" si="102"/>
        <v>0.13942383827042798</v>
      </c>
      <c r="U277">
        <f t="shared" si="103"/>
        <v>7.844400905487122</v>
      </c>
      <c r="V277" s="383"/>
      <c r="W277" s="182"/>
      <c r="X277" s="184"/>
    </row>
    <row r="278" spans="2:24" x14ac:dyDescent="0.25">
      <c r="B278" s="696"/>
      <c r="C278" s="686"/>
      <c r="D278" s="27" t="s">
        <v>94</v>
      </c>
      <c r="E278" s="91">
        <f>Weights!I172</f>
        <v>1.6566666666666665</v>
      </c>
      <c r="F278">
        <f>Weights!M172</f>
        <v>0.45999999999999996</v>
      </c>
      <c r="G278" s="143">
        <f>'Alamar Blue (Analysis)'!AP52</f>
        <v>2.4407894736842106</v>
      </c>
      <c r="H278" s="143">
        <f>PicoGreen!EZ51</f>
        <v>47.720706818181817</v>
      </c>
      <c r="I278" s="30">
        <f t="shared" si="95"/>
        <v>103.74066699604744</v>
      </c>
      <c r="J278">
        <f>DMMB!EZ59</f>
        <v>324.83600000000052</v>
      </c>
      <c r="K278">
        <f t="shared" si="96"/>
        <v>6807.0240710734079</v>
      </c>
      <c r="L278" s="30">
        <f t="shared" si="97"/>
        <v>706.16521739130553</v>
      </c>
      <c r="M278">
        <f>OHP!DW61</f>
        <v>74.389402043999993</v>
      </c>
      <c r="N278">
        <f t="shared" si="98"/>
        <v>1558.8495436043556</v>
      </c>
      <c r="O278">
        <f t="shared" si="99"/>
        <v>161.71609140000001</v>
      </c>
      <c r="P278" s="143">
        <f>Rx!DX8</f>
        <v>3.9810232942394402E-4</v>
      </c>
      <c r="Q278">
        <f t="shared" si="100"/>
        <v>8.3423393316602158E-6</v>
      </c>
      <c r="R278">
        <f t="shared" si="101"/>
        <v>8.6543984657379139E-4</v>
      </c>
      <c r="S278" s="143">
        <f>Rx!EB8</f>
        <v>6.5908860748302702</v>
      </c>
      <c r="T278">
        <f t="shared" si="102"/>
        <v>0.13811375636035447</v>
      </c>
      <c r="U278">
        <f t="shared" si="103"/>
        <v>14.328013206152763</v>
      </c>
      <c r="V278" s="383"/>
      <c r="W278" s="182"/>
      <c r="X278" s="184"/>
    </row>
    <row r="279" spans="2:24" x14ac:dyDescent="0.25">
      <c r="B279" s="696"/>
      <c r="C279" s="686"/>
      <c r="D279" s="27" t="s">
        <v>209</v>
      </c>
      <c r="E279" s="91">
        <f>Weights!I173</f>
        <v>2.1033333333333335</v>
      </c>
      <c r="F279">
        <f>Weights!M173</f>
        <v>0.56000000000000005</v>
      </c>
      <c r="G279" s="143"/>
      <c r="H279" s="143">
        <f>PicoGreen!EZ52</f>
        <v>38.24025681818182</v>
      </c>
      <c r="I279" s="30">
        <f t="shared" si="95"/>
        <v>68.286172889610384</v>
      </c>
      <c r="J279">
        <f>DMMB!EZ60</f>
        <v>349.10000000000053</v>
      </c>
      <c r="K279">
        <f t="shared" si="96"/>
        <v>9129.1227896256296</v>
      </c>
      <c r="L279" s="30">
        <f t="shared" si="97"/>
        <v>623.39285714285802</v>
      </c>
      <c r="M279">
        <f>OHP!DW62</f>
        <v>87.264609542999992</v>
      </c>
      <c r="N279">
        <f t="shared" si="98"/>
        <v>2282.0089822594737</v>
      </c>
      <c r="O279">
        <f t="shared" si="99"/>
        <v>155.82965989821426</v>
      </c>
      <c r="P279" s="143">
        <f>Rx!DX9</f>
        <v>3.2661646222088299E-4</v>
      </c>
      <c r="Q279">
        <f t="shared" si="100"/>
        <v>8.5411681143728358E-6</v>
      </c>
      <c r="R279">
        <f t="shared" si="101"/>
        <v>5.8324368253729101E-4</v>
      </c>
      <c r="S279" s="143">
        <f>Rx!EB9</f>
        <v>5.4958485765042404</v>
      </c>
      <c r="T279">
        <f t="shared" si="102"/>
        <v>0.14371892434287128</v>
      </c>
      <c r="U279">
        <f t="shared" si="103"/>
        <v>9.8140153151861433</v>
      </c>
      <c r="V279" s="383"/>
      <c r="W279" s="182"/>
      <c r="X279" s="184"/>
    </row>
    <row r="280" spans="2:24" x14ac:dyDescent="0.25">
      <c r="B280" s="696"/>
      <c r="C280" s="686"/>
      <c r="D280" s="27" t="s">
        <v>210</v>
      </c>
      <c r="E280" s="91">
        <f>Weights!I174</f>
        <v>1.5350000000000001</v>
      </c>
      <c r="F280">
        <f>Weights!M174</f>
        <v>0.5</v>
      </c>
      <c r="G280" s="143">
        <f>'Alamar Blue (Analysis)'!AP54</f>
        <v>2.1776315789473686</v>
      </c>
      <c r="H280" s="143">
        <f>PicoGreen!EZ53</f>
        <v>34.177206818181823</v>
      </c>
      <c r="I280" s="30">
        <f t="shared" si="95"/>
        <v>68.354413636363645</v>
      </c>
      <c r="J280">
        <f>DMMB!EZ61</f>
        <v>310.68200000000019</v>
      </c>
      <c r="K280">
        <f t="shared" si="96"/>
        <v>9090.3274118562986</v>
      </c>
      <c r="L280" s="30">
        <f t="shared" si="97"/>
        <v>621.36400000000037</v>
      </c>
      <c r="M280">
        <f>OHP!DW63</f>
        <v>75.225454478999978</v>
      </c>
      <c r="N280">
        <f t="shared" si="98"/>
        <v>2201.0416146406974</v>
      </c>
      <c r="O280">
        <f t="shared" si="99"/>
        <v>150.45090895799996</v>
      </c>
      <c r="P280" s="143">
        <f>Rx!DX10</f>
        <v>3.5373179115997502E-4</v>
      </c>
      <c r="Q280">
        <f t="shared" si="100"/>
        <v>1.0349932721002654E-5</v>
      </c>
      <c r="R280">
        <f t="shared" si="101"/>
        <v>7.0746358231995004E-4</v>
      </c>
      <c r="S280" s="143">
        <f>Rx!EB10</f>
        <v>4.0702337201929897</v>
      </c>
      <c r="T280">
        <f t="shared" si="102"/>
        <v>0.11909205283644417</v>
      </c>
      <c r="U280">
        <f t="shared" si="103"/>
        <v>8.1404674403859794</v>
      </c>
      <c r="V280" s="383"/>
      <c r="W280" s="182"/>
      <c r="X280" s="184"/>
    </row>
    <row r="281" spans="2:24" x14ac:dyDescent="0.25">
      <c r="B281" s="696"/>
      <c r="C281" s="686"/>
      <c r="D281" s="27" t="s">
        <v>211</v>
      </c>
      <c r="E281" s="91">
        <f>Weights!I175</f>
        <v>1.7349999999999999</v>
      </c>
      <c r="F281">
        <f>Weights!M175</f>
        <v>0.49</v>
      </c>
      <c r="G281" s="143">
        <f>'Alamar Blue (Analysis)'!AP55</f>
        <v>2.0197368421052633</v>
      </c>
      <c r="H281" s="143">
        <f>PicoGreen!EZ54</f>
        <v>35.080106818181818</v>
      </c>
      <c r="I281" s="30">
        <f t="shared" si="95"/>
        <v>71.592054730983307</v>
      </c>
      <c r="J281">
        <f>DMMB!EZ62</f>
        <v>288.4400000000004</v>
      </c>
      <c r="K281">
        <f t="shared" si="96"/>
        <v>8222.3238798835009</v>
      </c>
      <c r="L281" s="30">
        <f t="shared" si="97"/>
        <v>588.65306122449067</v>
      </c>
      <c r="M281">
        <f>OHP!DW64</f>
        <v>76.804664633999991</v>
      </c>
      <c r="N281">
        <f t="shared" si="98"/>
        <v>2189.4079465628242</v>
      </c>
      <c r="O281">
        <f t="shared" si="99"/>
        <v>156.74421353877548</v>
      </c>
      <c r="P281" s="143">
        <f>Rx!DX11</f>
        <v>3.3524406688332099E-4</v>
      </c>
      <c r="Q281">
        <f t="shared" si="100"/>
        <v>9.5565292494937868E-6</v>
      </c>
      <c r="R281">
        <f t="shared" si="101"/>
        <v>6.8417156506800207E-4</v>
      </c>
      <c r="S281" s="143">
        <f>Rx!EB11</f>
        <v>4.5919261132634102</v>
      </c>
      <c r="T281">
        <f t="shared" si="102"/>
        <v>0.1308982933564912</v>
      </c>
      <c r="U281">
        <f t="shared" si="103"/>
        <v>9.3712777821702247</v>
      </c>
      <c r="V281" s="383"/>
      <c r="W281" s="182"/>
      <c r="X281" s="184"/>
    </row>
    <row r="282" spans="2:24" ht="15.75" thickBot="1" x14ac:dyDescent="0.3">
      <c r="B282" s="697"/>
      <c r="C282" s="687"/>
      <c r="D282" s="27" t="s">
        <v>212</v>
      </c>
      <c r="E282" s="91">
        <f>Weights!I176</f>
        <v>1.7949999999999999</v>
      </c>
      <c r="F282">
        <f>Weights!M176</f>
        <v>0.54500000000000004</v>
      </c>
      <c r="G282" s="143">
        <f>'Alamar Blue (Analysis)'!AP56</f>
        <v>1.7171052631578949</v>
      </c>
      <c r="H282" s="143">
        <f>PicoGreen!EZ55</f>
        <v>35.080106818181818</v>
      </c>
      <c r="I282" s="30">
        <f t="shared" si="95"/>
        <v>64.3671684737281</v>
      </c>
      <c r="J282">
        <f>DMMB!EZ63</f>
        <v>262.15400000000017</v>
      </c>
      <c r="K282">
        <f t="shared" si="96"/>
        <v>7473.0103120474896</v>
      </c>
      <c r="L282" s="30">
        <f t="shared" si="97"/>
        <v>481.01651376146816</v>
      </c>
      <c r="M282">
        <f>OHP!DW65</f>
        <v>91.017556028999991</v>
      </c>
      <c r="N282">
        <f t="shared" si="98"/>
        <v>2594.5632520658723</v>
      </c>
      <c r="O282">
        <f t="shared" si="99"/>
        <v>167.00468996146785</v>
      </c>
      <c r="P282" s="143">
        <f>Rx!DX12</f>
        <v>3.4633670144931301E-4</v>
      </c>
      <c r="Q282">
        <f t="shared" si="100"/>
        <v>9.8727379378961492E-6</v>
      </c>
      <c r="R282">
        <f t="shared" si="101"/>
        <v>6.3548018614552836E-4</v>
      </c>
      <c r="S282" s="143">
        <f>Rx!EB12</f>
        <v>4.8863465727189901</v>
      </c>
      <c r="T282">
        <f t="shared" si="102"/>
        <v>0.13929109731748093</v>
      </c>
      <c r="U282">
        <f t="shared" si="103"/>
        <v>8.9657735279247515</v>
      </c>
      <c r="V282" s="383"/>
      <c r="W282" s="182"/>
      <c r="X282" s="184"/>
    </row>
    <row r="283" spans="2:24" x14ac:dyDescent="0.25">
      <c r="B283" s="695" t="s">
        <v>306</v>
      </c>
      <c r="C283" s="690" t="s">
        <v>293</v>
      </c>
      <c r="D283" s="55" t="s">
        <v>80</v>
      </c>
      <c r="E283" s="71">
        <f>Weights!I137</f>
        <v>1.71</v>
      </c>
      <c r="F283" s="28">
        <f>Weights!M137</f>
        <v>0.48</v>
      </c>
      <c r="G283" s="28">
        <f>'Alamar Blue (Analysis)'!AV4</f>
        <v>1.256578947368421</v>
      </c>
      <c r="H283" s="50">
        <f>PicoGreen!DV52</f>
        <v>18.222812500000003</v>
      </c>
      <c r="I283" s="28">
        <f>H283/F283</f>
        <v>37.964192708333343</v>
      </c>
      <c r="J283" s="50">
        <f>DMMB!DV60</f>
        <v>170.15500000000031</v>
      </c>
      <c r="K283" s="50">
        <f>J283/H283*1000</f>
        <v>9337.4719187831342</v>
      </c>
      <c r="L283" s="28">
        <f>J283/F283</f>
        <v>354.489583333334</v>
      </c>
      <c r="M283" s="50">
        <f>OHP!DH46</f>
        <v>79.700064356312495</v>
      </c>
      <c r="N283" s="50">
        <f>M283/H283*1000</f>
        <v>4373.6423428772305</v>
      </c>
      <c r="O283" s="28">
        <f>M283/F283</f>
        <v>166.04180074231772</v>
      </c>
      <c r="P283" s="50">
        <f>Rx!CZ9</f>
        <v>1.1799524620205301E-4</v>
      </c>
      <c r="Q283" s="50">
        <f t="shared" ref="Q283:Q292" si="104">P283/H283</f>
        <v>6.475139125865065E-6</v>
      </c>
      <c r="R283" s="28">
        <f t="shared" ref="R283:R292" si="105">P283/F283</f>
        <v>2.4582342958761043E-4</v>
      </c>
      <c r="S283" s="50">
        <f>Rx!DD9</f>
        <v>0.47906840586479699</v>
      </c>
      <c r="T283" s="50">
        <f t="shared" ref="T283:T292" si="106">S283/H283</f>
        <v>2.6289487743167906E-2</v>
      </c>
      <c r="U283" s="28">
        <f t="shared" ref="U283:U292" si="107">S283/F283</f>
        <v>0.99805917888499374</v>
      </c>
      <c r="V283" s="181"/>
      <c r="W283" s="181"/>
      <c r="X283" s="192"/>
    </row>
    <row r="284" spans="2:24" x14ac:dyDescent="0.25">
      <c r="B284" s="696"/>
      <c r="C284" s="686"/>
      <c r="D284" s="58" t="s">
        <v>79</v>
      </c>
      <c r="E284" s="72">
        <f>Weights!I138</f>
        <v>1.605</v>
      </c>
      <c r="F284" s="30">
        <f>Weights!M138</f>
        <v>0.43</v>
      </c>
      <c r="G284" s="30">
        <f>'Alamar Blue (Analysis)'!AV5</f>
        <v>1.4342105263157896</v>
      </c>
      <c r="H284">
        <f>PicoGreen!DV53</f>
        <v>59.759612500000003</v>
      </c>
      <c r="I284" s="30">
        <f t="shared" ref="I284:I292" si="108">H284/F284</f>
        <v>138.97584302325583</v>
      </c>
      <c r="J284">
        <f>DMMB!DV61</f>
        <v>183.72880000000038</v>
      </c>
      <c r="K284">
        <f t="shared" ref="K284:K292" si="109">J284/H284*1000</f>
        <v>3074.4643801028724</v>
      </c>
      <c r="L284" s="30">
        <f t="shared" ref="L284:L292" si="110">J284/F284</f>
        <v>427.27627906976835</v>
      </c>
      <c r="M284">
        <f>OHP!DH47</f>
        <v>89.545203219437497</v>
      </c>
      <c r="N284">
        <f t="shared" ref="N284:N292" si="111">M284/H284*1000</f>
        <v>1498.4234246739384</v>
      </c>
      <c r="O284" s="30">
        <f t="shared" ref="O284:O292" si="112">M284/F284</f>
        <v>208.24465864985464</v>
      </c>
      <c r="P284">
        <f>Rx!CZ10</f>
        <v>1.7133556297832401E-4</v>
      </c>
      <c r="Q284">
        <f t="shared" si="104"/>
        <v>2.8670795510650941E-6</v>
      </c>
      <c r="R284" s="30">
        <f t="shared" si="105"/>
        <v>3.9845479762400934E-4</v>
      </c>
      <c r="S284">
        <f>Rx!DD10</f>
        <v>0.83038523683231502</v>
      </c>
      <c r="T284">
        <f t="shared" si="106"/>
        <v>1.3895425390054445E-2</v>
      </c>
      <c r="U284" s="30">
        <f t="shared" si="107"/>
        <v>1.9311284577495698</v>
      </c>
      <c r="V284" s="182"/>
      <c r="W284" s="182"/>
      <c r="X284" s="184"/>
    </row>
    <row r="285" spans="2:24" x14ac:dyDescent="0.25">
      <c r="B285" s="696"/>
      <c r="C285" s="686"/>
      <c r="D285" s="58" t="s">
        <v>81</v>
      </c>
      <c r="E285" s="72">
        <f>Weights!I139</f>
        <v>2.3233333333333337</v>
      </c>
      <c r="F285" s="30">
        <f>Weights!M139</f>
        <v>0.52</v>
      </c>
      <c r="G285" s="30">
        <f>'Alamar Blue (Analysis)'!AV6</f>
        <v>1.3552631578947369</v>
      </c>
      <c r="H285">
        <f>PicoGreen!DV54</f>
        <v>42.452612500000001</v>
      </c>
      <c r="I285" s="30">
        <f t="shared" si="108"/>
        <v>81.639639423076915</v>
      </c>
      <c r="J285">
        <f>DMMB!DV62</f>
        <v>210.8764000000005</v>
      </c>
      <c r="K285">
        <f t="shared" si="109"/>
        <v>4967.3362269518857</v>
      </c>
      <c r="L285" s="30">
        <f t="shared" si="110"/>
        <v>405.53153846153941</v>
      </c>
      <c r="M285">
        <f>OHP!DH48</f>
        <v>89.593228287062473</v>
      </c>
      <c r="N285">
        <f t="shared" si="111"/>
        <v>2110.4290881288512</v>
      </c>
      <c r="O285" s="30">
        <f t="shared" si="112"/>
        <v>172.29466978281243</v>
      </c>
      <c r="P285">
        <f>Rx!CZ11</f>
        <v>8.2973826096420904E-5</v>
      </c>
      <c r="Q285">
        <f t="shared" si="104"/>
        <v>1.9545045925364639E-6</v>
      </c>
      <c r="R285" s="30">
        <f t="shared" si="105"/>
        <v>1.5956505018542482E-4</v>
      </c>
      <c r="S285">
        <f>Rx!DD11</f>
        <v>0.696246083190172</v>
      </c>
      <c r="T285">
        <f t="shared" si="106"/>
        <v>1.6400547391286508E-2</v>
      </c>
      <c r="U285" s="30">
        <f t="shared" si="107"/>
        <v>1.3389347753657153</v>
      </c>
      <c r="V285" s="182"/>
      <c r="W285" s="182"/>
      <c r="X285" s="184"/>
    </row>
    <row r="286" spans="2:24" x14ac:dyDescent="0.25">
      <c r="B286" s="696"/>
      <c r="C286" s="686"/>
      <c r="D286" s="58" t="s">
        <v>82</v>
      </c>
      <c r="E286" s="72">
        <f>Weights!I140</f>
        <v>1.69</v>
      </c>
      <c r="F286" s="30">
        <f>Weights!M140</f>
        <v>0.495</v>
      </c>
      <c r="G286" s="30">
        <f>'Alamar Blue (Analysis)'!AV7</f>
        <v>1.3092105263157894</v>
      </c>
      <c r="H286">
        <f>PicoGreen!DV55</f>
        <v>40.1450125</v>
      </c>
      <c r="I286" s="30">
        <f t="shared" si="108"/>
        <v>81.101035353535352</v>
      </c>
      <c r="J286">
        <f>DMMB!DV63</f>
        <v>172.41730000000018</v>
      </c>
      <c r="K286">
        <f t="shared" si="109"/>
        <v>4294.8622820829905</v>
      </c>
      <c r="L286" s="30">
        <f t="shared" si="110"/>
        <v>348.31777777777813</v>
      </c>
      <c r="M286">
        <f>OHP!DH49</f>
        <v>102.6080216134375</v>
      </c>
      <c r="N286">
        <f t="shared" si="111"/>
        <v>2555.934479119604</v>
      </c>
      <c r="O286" s="30">
        <f t="shared" si="112"/>
        <v>207.28893255239899</v>
      </c>
      <c r="P286">
        <f>Rx!CZ12</f>
        <v>9.2133274431740103E-5</v>
      </c>
      <c r="Q286">
        <f t="shared" si="104"/>
        <v>2.2950117260952429E-6</v>
      </c>
      <c r="R286" s="30">
        <f t="shared" si="105"/>
        <v>1.861278271348285E-4</v>
      </c>
      <c r="S286">
        <f>Rx!DD12</f>
        <v>0.97091196921932199</v>
      </c>
      <c r="T286">
        <f t="shared" si="106"/>
        <v>2.4185120610420087E-2</v>
      </c>
      <c r="U286" s="30">
        <f t="shared" si="107"/>
        <v>1.961438321655196</v>
      </c>
      <c r="V286" s="182"/>
      <c r="W286" s="182"/>
      <c r="X286" s="184"/>
    </row>
    <row r="287" spans="2:24" ht="15.75" thickBot="1" x14ac:dyDescent="0.3">
      <c r="B287" s="697"/>
      <c r="C287" s="687"/>
      <c r="D287" s="56" t="s">
        <v>83</v>
      </c>
      <c r="E287" s="73">
        <f>Weights!I141</f>
        <v>1.3450000000000002</v>
      </c>
      <c r="F287" s="9">
        <f>Weights!M141</f>
        <v>0.45999999999999996</v>
      </c>
      <c r="G287" s="9">
        <f>'Alamar Blue (Analysis)'!AV8</f>
        <v>1.5855263157894737</v>
      </c>
      <c r="H287" s="2">
        <f>PicoGreen!DV56</f>
        <v>37.260512499999997</v>
      </c>
      <c r="I287" s="9">
        <f t="shared" si="108"/>
        <v>81.001114130434786</v>
      </c>
      <c r="J287" s="2">
        <f>DMMB!DV64</f>
        <v>233.49940000000007</v>
      </c>
      <c r="K287" s="2">
        <f t="shared" si="109"/>
        <v>6266.6717211686255</v>
      </c>
      <c r="L287" s="9">
        <f t="shared" si="110"/>
        <v>507.60739130434803</v>
      </c>
      <c r="M287" s="2">
        <f>OHP!DH50</f>
        <v>88.296551461187491</v>
      </c>
      <c r="N287" s="2">
        <f t="shared" si="111"/>
        <v>2369.7084537199398</v>
      </c>
      <c r="O287" s="9">
        <f t="shared" si="112"/>
        <v>191.94902491562499</v>
      </c>
      <c r="P287" s="2">
        <f>Rx!CZ13</f>
        <v>1.61637323564456E-4</v>
      </c>
      <c r="Q287" s="2">
        <f t="shared" si="104"/>
        <v>4.3380327515477954E-6</v>
      </c>
      <c r="R287" s="9">
        <f t="shared" si="105"/>
        <v>3.5138548600968699E-4</v>
      </c>
      <c r="S287" s="2">
        <f>Rx!DD13</f>
        <v>1.0092374416885099</v>
      </c>
      <c r="T287" s="2">
        <f t="shared" si="106"/>
        <v>2.70859785325956E-2</v>
      </c>
      <c r="U287" s="9">
        <f t="shared" si="107"/>
        <v>2.1939944384532826</v>
      </c>
      <c r="V287" s="197"/>
      <c r="W287" s="197"/>
      <c r="X287" s="198"/>
    </row>
    <row r="288" spans="2:24" x14ac:dyDescent="0.25">
      <c r="B288" s="698" t="s">
        <v>303</v>
      </c>
      <c r="C288" s="690" t="s">
        <v>293</v>
      </c>
      <c r="D288" s="25" t="s">
        <v>94</v>
      </c>
      <c r="E288" s="50">
        <f>Weights!I142</f>
        <v>1.72</v>
      </c>
      <c r="F288" s="28">
        <f>Weights!M142</f>
        <v>0.47499999999999998</v>
      </c>
      <c r="G288" s="28">
        <f>'Alamar Blue (Analysis)'!AV11</f>
        <v>3.103030303030303</v>
      </c>
      <c r="H288" s="50">
        <f>PicoGreen!DV57</f>
        <v>13.607612500000002</v>
      </c>
      <c r="I288" s="28">
        <f t="shared" si="108"/>
        <v>28.647605263157899</v>
      </c>
      <c r="J288" s="50">
        <f>DMMB!DV65</f>
        <v>233.49939999999975</v>
      </c>
      <c r="K288" s="50">
        <f t="shared" si="109"/>
        <v>17159.468643011383</v>
      </c>
      <c r="L288" s="28">
        <f t="shared" si="110"/>
        <v>491.57768421052583</v>
      </c>
      <c r="M288" s="50">
        <f>OHP!DH51</f>
        <v>90.193541632374973</v>
      </c>
      <c r="N288" s="50">
        <f t="shared" si="111"/>
        <v>6628.1679929065413</v>
      </c>
      <c r="O288" s="28">
        <f t="shared" si="112"/>
        <v>189.88114027868417</v>
      </c>
      <c r="P288" s="50">
        <f>Rx!CZ14</f>
        <v>3.3196160348587198E-4</v>
      </c>
      <c r="Q288" s="50">
        <f t="shared" si="104"/>
        <v>2.4395286350627044E-5</v>
      </c>
      <c r="R288" s="28">
        <f t="shared" si="105"/>
        <v>6.9886653365446732E-4</v>
      </c>
      <c r="S288" s="50">
        <f>Rx!DD14</f>
        <v>3.8857099700000299</v>
      </c>
      <c r="T288" s="50">
        <f t="shared" si="106"/>
        <v>0.28555413155687887</v>
      </c>
      <c r="U288" s="28">
        <f t="shared" si="107"/>
        <v>8.1804420421053265</v>
      </c>
      <c r="V288" s="181"/>
      <c r="W288" s="181"/>
      <c r="X288" s="192"/>
    </row>
    <row r="289" spans="2:24" x14ac:dyDescent="0.25">
      <c r="B289" s="699"/>
      <c r="C289" s="686"/>
      <c r="D289" s="27" t="s">
        <v>209</v>
      </c>
      <c r="E289">
        <f>Weights!I143</f>
        <v>1.9933333333333334</v>
      </c>
      <c r="F289" s="30">
        <f>Weights!M143</f>
        <v>0.45500000000000002</v>
      </c>
      <c r="G289" s="30">
        <f>'Alamar Blue (Analysis)'!AV12</f>
        <v>3.3090909090909091</v>
      </c>
      <c r="I289" s="30"/>
      <c r="L289" s="30"/>
      <c r="O289" s="30"/>
      <c r="R289" s="30"/>
      <c r="U289" s="30"/>
      <c r="V289" s="182"/>
      <c r="W289" s="182"/>
      <c r="X289" s="184"/>
    </row>
    <row r="290" spans="2:24" x14ac:dyDescent="0.25">
      <c r="B290" s="699"/>
      <c r="C290" s="686"/>
      <c r="D290" s="27" t="s">
        <v>210</v>
      </c>
      <c r="E290">
        <f>Weights!I144</f>
        <v>1.7266666666666666</v>
      </c>
      <c r="F290" s="30">
        <f>Weights!M144</f>
        <v>0.48</v>
      </c>
      <c r="G290" s="30">
        <f>'Alamar Blue (Analysis)'!AV13</f>
        <v>2.3212121212121213</v>
      </c>
      <c r="H290">
        <f>PicoGreen!DV59</f>
        <v>37.837412499999999</v>
      </c>
      <c r="I290" s="30">
        <f t="shared" si="108"/>
        <v>78.827942708333339</v>
      </c>
      <c r="J290">
        <f>DMMB!DV67</f>
        <v>199.56490000000031</v>
      </c>
      <c r="K290">
        <f t="shared" si="109"/>
        <v>5274.274502782142</v>
      </c>
      <c r="L290" s="30">
        <f t="shared" si="110"/>
        <v>415.76020833333399</v>
      </c>
      <c r="M290">
        <f>OHP!DH53</f>
        <v>92.450719810749987</v>
      </c>
      <c r="N290">
        <f t="shared" si="111"/>
        <v>2443.3679182145447</v>
      </c>
      <c r="O290" s="30">
        <f t="shared" si="112"/>
        <v>192.60566627239581</v>
      </c>
      <c r="P290">
        <f>Rx!CZ16</f>
        <v>3.0316493426782101E-4</v>
      </c>
      <c r="Q290">
        <f t="shared" si="104"/>
        <v>8.0123061868414236E-6</v>
      </c>
      <c r="R290" s="30">
        <f t="shared" si="105"/>
        <v>6.3159361305796047E-4</v>
      </c>
      <c r="S290">
        <f>Rx!DD16</f>
        <v>3.8638494357102902</v>
      </c>
      <c r="T290">
        <f t="shared" si="106"/>
        <v>0.10211716870730234</v>
      </c>
      <c r="U290" s="30">
        <f t="shared" si="107"/>
        <v>8.0496863243964381</v>
      </c>
      <c r="V290" s="182"/>
      <c r="W290" s="182"/>
      <c r="X290" s="184"/>
    </row>
    <row r="291" spans="2:24" x14ac:dyDescent="0.25">
      <c r="B291" s="699"/>
      <c r="C291" s="686"/>
      <c r="D291" s="27" t="s">
        <v>211</v>
      </c>
      <c r="E291">
        <f>Weights!I145</f>
        <v>1.6533333333333335</v>
      </c>
      <c r="F291" s="30">
        <f>Weights!M145</f>
        <v>0.41499999999999998</v>
      </c>
      <c r="G291" s="30"/>
      <c r="H291">
        <f>PicoGreen!DV60</f>
        <v>15.915212500000001</v>
      </c>
      <c r="I291" s="30">
        <f t="shared" si="108"/>
        <v>38.349909638554223</v>
      </c>
      <c r="J291">
        <f>DMMB!DV68</f>
        <v>152.05660000000023</v>
      </c>
      <c r="K291">
        <f t="shared" si="109"/>
        <v>9554.1671215511706</v>
      </c>
      <c r="L291" s="30">
        <f t="shared" si="110"/>
        <v>366.40144578313311</v>
      </c>
      <c r="M291">
        <f>OHP!DH54</f>
        <v>82.941756420999994</v>
      </c>
      <c r="N291">
        <f t="shared" si="111"/>
        <v>5211.4765304578868</v>
      </c>
      <c r="O291" s="30">
        <f t="shared" si="112"/>
        <v>199.85965402650601</v>
      </c>
      <c r="R291" s="30"/>
      <c r="U291" s="30"/>
      <c r="V291" s="182"/>
      <c r="W291" s="182"/>
      <c r="X291" s="184"/>
    </row>
    <row r="292" spans="2:24" x14ac:dyDescent="0.25">
      <c r="B292" s="699"/>
      <c r="C292" s="688"/>
      <c r="D292" s="61" t="s">
        <v>212</v>
      </c>
      <c r="E292" s="60">
        <f>Weights!I146</f>
        <v>1.76</v>
      </c>
      <c r="F292" s="90">
        <f>Weights!M146</f>
        <v>0.44500000000000001</v>
      </c>
      <c r="G292" s="90">
        <f>'Alamar Blue (Analysis)'!AV15</f>
        <v>3.2545454545454544</v>
      </c>
      <c r="H292" s="60">
        <f>PicoGreen!DV61</f>
        <v>7.8386124999999991</v>
      </c>
      <c r="I292" s="90">
        <f t="shared" si="108"/>
        <v>17.614859550561796</v>
      </c>
      <c r="J292" s="60">
        <f>DMMB!DV69</f>
        <v>167.89270000000016</v>
      </c>
      <c r="K292" s="60">
        <f t="shared" si="109"/>
        <v>21418.675817946121</v>
      </c>
      <c r="L292" s="90">
        <f t="shared" si="110"/>
        <v>377.28696629213516</v>
      </c>
      <c r="M292" s="60">
        <f>OHP!DH55</f>
        <v>83.422007097249988</v>
      </c>
      <c r="N292" s="60">
        <f t="shared" si="111"/>
        <v>10642.445598280308</v>
      </c>
      <c r="O292" s="60">
        <f t="shared" si="112"/>
        <v>187.46518448820223</v>
      </c>
      <c r="P292" s="142">
        <f>Rx!CZ18</f>
        <v>2.62369652875581E-4</v>
      </c>
      <c r="Q292" s="60">
        <f t="shared" si="104"/>
        <v>3.3471440624929608E-5</v>
      </c>
      <c r="R292" s="90">
        <f t="shared" si="105"/>
        <v>5.8959472556310334E-4</v>
      </c>
      <c r="S292" s="60">
        <f>Rx!DD18</f>
        <v>1.61767953744024</v>
      </c>
      <c r="T292" s="60">
        <f t="shared" si="106"/>
        <v>0.20637319901197312</v>
      </c>
      <c r="U292" s="90">
        <f t="shared" si="107"/>
        <v>3.6352349155960448</v>
      </c>
      <c r="V292" s="186"/>
      <c r="W292" s="186"/>
      <c r="X292" s="188"/>
    </row>
    <row r="293" spans="2:24" x14ac:dyDescent="0.25">
      <c r="B293" s="699"/>
      <c r="C293" s="685" t="s">
        <v>328</v>
      </c>
      <c r="D293" s="412" t="s">
        <v>80</v>
      </c>
      <c r="E293">
        <f>Weights!I177</f>
        <v>1.62</v>
      </c>
      <c r="F293">
        <f>Weights!M177</f>
        <v>0.50666666666666671</v>
      </c>
      <c r="G293" s="143"/>
      <c r="H293" s="160"/>
      <c r="I293" s="30"/>
      <c r="J293" s="143">
        <f>DMMB!EZ64</f>
        <v>272.26400000000001</v>
      </c>
      <c r="L293" s="30">
        <f t="shared" ref="L293:L302" si="113">J293/F293</f>
        <v>537.36315789473679</v>
      </c>
      <c r="M293" s="143">
        <f>OHP!EL46</f>
        <v>62.690477296375001</v>
      </c>
      <c r="O293">
        <f t="shared" ref="O293:O312" si="114">M293/F293</f>
        <v>123.7312051902138</v>
      </c>
      <c r="P293" s="143">
        <f>Rx!DX13</f>
        <v>4.6804431984505201E-4</v>
      </c>
      <c r="R293">
        <f t="shared" ref="R293:R302" si="115">P293/F293</f>
        <v>9.2377168390470781E-4</v>
      </c>
      <c r="S293" s="143"/>
      <c r="V293" s="383"/>
      <c r="W293" s="182"/>
      <c r="X293" s="184"/>
    </row>
    <row r="294" spans="2:24" x14ac:dyDescent="0.25">
      <c r="B294" s="699"/>
      <c r="C294" s="686"/>
      <c r="D294" s="58" t="s">
        <v>79</v>
      </c>
      <c r="E294">
        <f>Weights!I178</f>
        <v>1.87</v>
      </c>
      <c r="F294">
        <f>Weights!M178</f>
        <v>0.58666666666666656</v>
      </c>
      <c r="G294" s="143"/>
      <c r="H294" s="143"/>
      <c r="J294" s="143">
        <f>DMMB!EZ65</f>
        <v>294.50600000000009</v>
      </c>
      <c r="L294">
        <f t="shared" si="113"/>
        <v>501.99886363636386</v>
      </c>
      <c r="M294" s="143">
        <f>OHP!EL47</f>
        <v>67.387623023125002</v>
      </c>
      <c r="O294">
        <f t="shared" si="114"/>
        <v>114.86526651669037</v>
      </c>
      <c r="P294" s="143">
        <f>Rx!DX14</f>
        <v>5.1154286258158095E-4</v>
      </c>
      <c r="R294">
        <f t="shared" si="115"/>
        <v>8.7194806121860407E-4</v>
      </c>
      <c r="S294" s="143"/>
      <c r="V294" s="383"/>
      <c r="W294" s="182"/>
      <c r="X294" s="184"/>
    </row>
    <row r="295" spans="2:24" x14ac:dyDescent="0.25">
      <c r="B295" s="699"/>
      <c r="C295" s="686"/>
      <c r="D295" s="58" t="s">
        <v>81</v>
      </c>
      <c r="E295">
        <f>Weights!I179</f>
        <v>1.7149999999999999</v>
      </c>
      <c r="F295">
        <f>Weights!M179</f>
        <v>0.56000000000000005</v>
      </c>
      <c r="G295" s="143"/>
      <c r="H295" s="143"/>
      <c r="J295" s="143">
        <f>DMMB!EZ66</f>
        <v>266.19800000000015</v>
      </c>
      <c r="L295">
        <f t="shared" si="113"/>
        <v>475.35357142857163</v>
      </c>
      <c r="M295" s="143">
        <f>OHP!EL48</f>
        <v>70.178680628875</v>
      </c>
      <c r="O295">
        <f t="shared" si="114"/>
        <v>125.31907255156248</v>
      </c>
      <c r="P295" s="143">
        <f>Rx!DX15</f>
        <v>4.6630437813559099E-4</v>
      </c>
      <c r="R295">
        <f t="shared" si="115"/>
        <v>8.3268638952784099E-4</v>
      </c>
      <c r="S295" s="143"/>
      <c r="V295" s="383"/>
      <c r="W295" s="182"/>
      <c r="X295" s="184"/>
    </row>
    <row r="296" spans="2:24" x14ac:dyDescent="0.25">
      <c r="B296" s="699"/>
      <c r="C296" s="686"/>
      <c r="D296" s="58" t="s">
        <v>82</v>
      </c>
      <c r="E296">
        <f>Weights!I180</f>
        <v>2.1833333333333331</v>
      </c>
      <c r="F296">
        <f>Weights!M180</f>
        <v>0.61499999999999999</v>
      </c>
      <c r="G296" s="143"/>
      <c r="H296" s="143"/>
      <c r="J296" s="143">
        <f>DMMB!EZ67</f>
        <v>243.95599999999985</v>
      </c>
      <c r="L296">
        <f t="shared" si="113"/>
        <v>396.67642276422742</v>
      </c>
      <c r="M296" s="143">
        <f>OHP!EL49</f>
        <v>79.096450052124993</v>
      </c>
      <c r="O296">
        <f t="shared" si="114"/>
        <v>128.61211390589429</v>
      </c>
      <c r="P296" s="143">
        <f>Rx!DX16</f>
        <v>4.3846531078421197E-4</v>
      </c>
      <c r="R296">
        <f t="shared" si="115"/>
        <v>7.129517248523772E-4</v>
      </c>
      <c r="S296" s="143"/>
      <c r="V296" s="383"/>
      <c r="W296" s="182"/>
      <c r="X296" s="184"/>
    </row>
    <row r="297" spans="2:24" x14ac:dyDescent="0.25">
      <c r="B297" s="699"/>
      <c r="C297" s="686"/>
      <c r="D297" s="58" t="s">
        <v>83</v>
      </c>
      <c r="E297">
        <f>Weights!I181</f>
        <v>1.8266666666666664</v>
      </c>
      <c r="F297">
        <f>Weights!M181</f>
        <v>0.54666666666666675</v>
      </c>
      <c r="G297" s="143"/>
      <c r="H297" s="143">
        <f>PicoGreen!EZ60</f>
        <v>37.788806818181818</v>
      </c>
      <c r="I297">
        <f t="shared" ref="I297:I312" si="116">H297/F297</f>
        <v>69.125866130820384</v>
      </c>
      <c r="J297" s="143">
        <f>DMMB!EZ68</f>
        <v>262.15400000000017</v>
      </c>
      <c r="K297">
        <f t="shared" ref="K297:K302" si="117">J297/H297</f>
        <v>6.937345263673862</v>
      </c>
      <c r="L297">
        <f t="shared" si="113"/>
        <v>479.55000000000024</v>
      </c>
      <c r="M297" s="143">
        <f>OHP!EL50</f>
        <v>71.914582310500009</v>
      </c>
      <c r="N297">
        <f t="shared" ref="N297:N312" si="118">M297/H297*1000</f>
        <v>1903.0657055808074</v>
      </c>
      <c r="O297">
        <f t="shared" si="114"/>
        <v>131.55106520213414</v>
      </c>
      <c r="P297" s="143">
        <f>Rx!DX17</f>
        <v>1.62510555663672E-3</v>
      </c>
      <c r="Q297">
        <f t="shared" ref="Q297:Q302" si="119">P297/H297</f>
        <v>4.3004944941918932E-5</v>
      </c>
      <c r="R297">
        <f t="shared" si="115"/>
        <v>2.9727540670183897E-3</v>
      </c>
      <c r="S297" s="143">
        <f>Rx!EB17</f>
        <v>2.7277447310064198</v>
      </c>
      <c r="T297">
        <f t="shared" ref="T297:T302" si="120">S297/H297</f>
        <v>7.2183933833390695E-2</v>
      </c>
      <c r="U297">
        <f t="shared" ref="U297:U302" si="121">S297/F297</f>
        <v>4.9897769469629623</v>
      </c>
      <c r="V297" s="383"/>
      <c r="W297" s="182"/>
      <c r="X297" s="184"/>
    </row>
    <row r="298" spans="2:24" x14ac:dyDescent="0.25">
      <c r="B298" s="699"/>
      <c r="C298" s="686"/>
      <c r="D298" s="58" t="s">
        <v>94</v>
      </c>
      <c r="E298">
        <f>Weights!I182</f>
        <v>2.3449999999999998</v>
      </c>
      <c r="F298">
        <f>Weights!M182</f>
        <v>0.58499999999999996</v>
      </c>
      <c r="G298" s="143"/>
      <c r="H298" s="143">
        <f>PicoGreen!EZ61</f>
        <v>35.983006818181821</v>
      </c>
      <c r="I298">
        <f t="shared" si="116"/>
        <v>61.509413364413369</v>
      </c>
      <c r="J298" s="143">
        <f>DMMB!EZ69</f>
        <v>312.70399999999995</v>
      </c>
      <c r="K298">
        <f t="shared" si="117"/>
        <v>8.6903243405994086</v>
      </c>
      <c r="L298">
        <f t="shared" si="113"/>
        <v>534.53675213675206</v>
      </c>
      <c r="M298" s="143">
        <f>OHP!EL51</f>
        <v>81.700302574562485</v>
      </c>
      <c r="N298">
        <f t="shared" si="118"/>
        <v>2270.5246114474294</v>
      </c>
      <c r="O298">
        <f t="shared" si="114"/>
        <v>139.65863687959401</v>
      </c>
      <c r="P298" s="143">
        <f>Rx!DX18</f>
        <v>4.4890496104097903E-4</v>
      </c>
      <c r="Q298">
        <f t="shared" si="119"/>
        <v>1.2475471083037793E-5</v>
      </c>
      <c r="R298">
        <f t="shared" si="115"/>
        <v>7.6735890776235736E-4</v>
      </c>
      <c r="S298" s="143"/>
      <c r="V298" s="383"/>
      <c r="W298" s="182"/>
      <c r="X298" s="184"/>
    </row>
    <row r="299" spans="2:24" x14ac:dyDescent="0.25">
      <c r="B299" s="699"/>
      <c r="C299" s="686"/>
      <c r="D299" s="58" t="s">
        <v>209</v>
      </c>
      <c r="E299">
        <f>Weights!I183</f>
        <v>1.855</v>
      </c>
      <c r="F299">
        <f>Weights!M183</f>
        <v>0.56499999999999995</v>
      </c>
      <c r="G299" s="143"/>
      <c r="H299" s="143"/>
      <c r="J299" s="143">
        <f>DMMB!EZ70</f>
        <v>280.35199999999992</v>
      </c>
      <c r="L299">
        <f t="shared" si="113"/>
        <v>496.19823008849545</v>
      </c>
      <c r="M299" s="143">
        <f>OHP!EL52</f>
        <v>80.338811059562488</v>
      </c>
      <c r="O299">
        <f t="shared" si="114"/>
        <v>142.1925859461283</v>
      </c>
      <c r="P299" s="143">
        <f>Rx!DX19</f>
        <v>2.81870556932708E-4</v>
      </c>
      <c r="R299">
        <f t="shared" si="115"/>
        <v>4.988859414738195E-4</v>
      </c>
      <c r="S299" s="143"/>
      <c r="V299" s="383"/>
      <c r="W299" s="182"/>
      <c r="X299" s="184"/>
    </row>
    <row r="300" spans="2:24" x14ac:dyDescent="0.25">
      <c r="B300" s="699"/>
      <c r="C300" s="686"/>
      <c r="D300" s="58" t="s">
        <v>210</v>
      </c>
      <c r="E300">
        <f>Weights!I184</f>
        <v>1.6850000000000001</v>
      </c>
      <c r="F300">
        <f>Weights!M184</f>
        <v>0.59499999999999997</v>
      </c>
      <c r="G300" s="143">
        <f>'Alamar Blue (Analysis)'!AV20</f>
        <v>1.7847222222222223</v>
      </c>
      <c r="H300" s="143">
        <f>PicoGreen!EZ63</f>
        <v>38.24025681818182</v>
      </c>
      <c r="I300">
        <f t="shared" si="116"/>
        <v>64.269339190221544</v>
      </c>
      <c r="J300" s="143">
        <f>DMMB!EZ71</f>
        <v>300.57200000000051</v>
      </c>
      <c r="K300">
        <f t="shared" si="117"/>
        <v>7.8600936554665006</v>
      </c>
      <c r="L300">
        <f t="shared" si="113"/>
        <v>505.16302521008492</v>
      </c>
      <c r="M300" s="143">
        <f>OHP!EL53</f>
        <v>56.614821410687497</v>
      </c>
      <c r="N300">
        <f t="shared" si="118"/>
        <v>1480.5031692090849</v>
      </c>
      <c r="O300">
        <f t="shared" si="114"/>
        <v>95.15096035409664</v>
      </c>
      <c r="P300" s="143">
        <f>Rx!DX20</f>
        <v>5.2894227967619195E-4</v>
      </c>
      <c r="Q300">
        <f t="shared" si="119"/>
        <v>1.3832079690027071E-5</v>
      </c>
      <c r="R300">
        <f t="shared" si="115"/>
        <v>8.8897862130452433E-4</v>
      </c>
      <c r="S300" s="143">
        <f>Rx!EB20</f>
        <v>3.4817554696586002</v>
      </c>
      <c r="T300">
        <f t="shared" si="120"/>
        <v>9.1049479249395493E-2</v>
      </c>
      <c r="U300">
        <f t="shared" si="121"/>
        <v>5.8516898649724371</v>
      </c>
      <c r="V300" s="383"/>
      <c r="W300" s="182"/>
      <c r="X300" s="184"/>
    </row>
    <row r="301" spans="2:24" x14ac:dyDescent="0.25">
      <c r="B301" s="699"/>
      <c r="C301" s="686"/>
      <c r="D301" s="58" t="s">
        <v>211</v>
      </c>
      <c r="E301">
        <f>Weights!I185</f>
        <v>1.9066666666666665</v>
      </c>
      <c r="F301">
        <f>Weights!M185</f>
        <v>0.52500000000000002</v>
      </c>
      <c r="G301" s="143">
        <f>'Alamar Blue (Analysis)'!AV21</f>
        <v>1.9305555555555556</v>
      </c>
      <c r="H301" s="143">
        <f>PicoGreen!EZ64</f>
        <v>34.628656818181824</v>
      </c>
      <c r="I301">
        <f t="shared" si="116"/>
        <v>65.959346320346327</v>
      </c>
      <c r="J301" s="143">
        <f>DMMB!EZ72</f>
        <v>280.35199999999992</v>
      </c>
      <c r="K301">
        <f t="shared" si="117"/>
        <v>8.0959536337776949</v>
      </c>
      <c r="L301">
        <f t="shared" si="113"/>
        <v>534.00380952380931</v>
      </c>
      <c r="M301" s="143">
        <f>OHP!EL54</f>
        <v>82.4150856199375</v>
      </c>
      <c r="N301">
        <f t="shared" si="118"/>
        <v>2379.9677259403647</v>
      </c>
      <c r="O301">
        <f t="shared" si="114"/>
        <v>156.98111546654761</v>
      </c>
      <c r="P301" s="143">
        <f>Rx!DX21</f>
        <v>4.45425077622057E-4</v>
      </c>
      <c r="Q301">
        <f t="shared" si="119"/>
        <v>1.286290369160914E-5</v>
      </c>
      <c r="R301">
        <f t="shared" si="115"/>
        <v>8.4842871928010849E-4</v>
      </c>
      <c r="S301" s="143">
        <f>Rx!EB21</f>
        <v>4.3111672821760001</v>
      </c>
      <c r="T301">
        <f t="shared" si="120"/>
        <v>0.12449709801947663</v>
      </c>
      <c r="U301">
        <f t="shared" si="121"/>
        <v>8.2117472041447623</v>
      </c>
      <c r="V301" s="383"/>
      <c r="W301" s="182"/>
      <c r="X301" s="184"/>
    </row>
    <row r="302" spans="2:24" ht="15.75" thickBot="1" x14ac:dyDescent="0.3">
      <c r="B302" s="700"/>
      <c r="C302" s="687"/>
      <c r="D302" s="56" t="s">
        <v>212</v>
      </c>
      <c r="E302" s="2">
        <f>Weights!I186</f>
        <v>1.71</v>
      </c>
      <c r="F302" s="2">
        <f>Weights!M186</f>
        <v>0.51</v>
      </c>
      <c r="G302" s="144">
        <f>'Alamar Blue (Analysis)'!AV22</f>
        <v>2.1111111111111112</v>
      </c>
      <c r="H302" s="144">
        <f>PicoGreen!EZ65</f>
        <v>38.24025681818182</v>
      </c>
      <c r="I302" s="2">
        <f t="shared" si="116"/>
        <v>74.980895721925137</v>
      </c>
      <c r="J302" s="144">
        <f>DMMB!EZ73</f>
        <v>272.26400000000001</v>
      </c>
      <c r="K302" s="2">
        <f t="shared" si="117"/>
        <v>7.1198266605403289</v>
      </c>
      <c r="L302" s="2">
        <f t="shared" si="113"/>
        <v>533.85098039215688</v>
      </c>
      <c r="M302" s="144">
        <f>OHP!EL55</f>
        <v>79.045394120312508</v>
      </c>
      <c r="N302" s="2">
        <f t="shared" si="118"/>
        <v>2067.07278395498</v>
      </c>
      <c r="O302" s="2">
        <f t="shared" si="114"/>
        <v>154.99096886335786</v>
      </c>
      <c r="P302" s="144">
        <f>Rx!DX22</f>
        <v>4.8196385352074098E-4</v>
      </c>
      <c r="Q302" s="2">
        <f t="shared" si="119"/>
        <v>1.2603572612294411E-5</v>
      </c>
      <c r="R302" s="2">
        <f t="shared" si="115"/>
        <v>9.450271637661587E-4</v>
      </c>
      <c r="S302" s="144">
        <f>Rx!EB22</f>
        <v>2.6035547269931198</v>
      </c>
      <c r="T302" s="2">
        <f t="shared" si="120"/>
        <v>6.8084132890949264E-2</v>
      </c>
      <c r="U302" s="2">
        <f t="shared" si="121"/>
        <v>5.1050092686139603</v>
      </c>
      <c r="V302" s="458"/>
      <c r="W302" s="197"/>
      <c r="X302" s="198"/>
    </row>
    <row r="303" spans="2:24" x14ac:dyDescent="0.25">
      <c r="B303" s="698" t="s">
        <v>334</v>
      </c>
      <c r="C303" s="701" t="s">
        <v>333</v>
      </c>
      <c r="D303" s="55" t="s">
        <v>80</v>
      </c>
      <c r="E303" s="50"/>
      <c r="F303" s="50">
        <f>Weights!M187</f>
        <v>0.59</v>
      </c>
      <c r="G303" s="352">
        <f>'Alamar Blue (Analysis)'!AV25</f>
        <v>1.8823529411764708</v>
      </c>
      <c r="H303" s="352">
        <f>PicoGreen!FO46</f>
        <v>48.195556718750005</v>
      </c>
      <c r="I303" s="50">
        <f t="shared" si="116"/>
        <v>81.687384269067806</v>
      </c>
      <c r="J303" s="352">
        <f>DMMB!FO54</f>
        <v>274.56799999999959</v>
      </c>
      <c r="K303" s="50">
        <f t="shared" ref="K303:K312" si="122">J303/H303</f>
        <v>5.6969567049981107</v>
      </c>
      <c r="L303" s="50">
        <f t="shared" ref="L303:L312" si="123">J303/F303</f>
        <v>465.36949152542303</v>
      </c>
      <c r="M303" s="352">
        <f>OHP!EL56</f>
        <v>82.823533074437492</v>
      </c>
      <c r="N303" s="50">
        <f t="shared" si="118"/>
        <v>1718.4889793422765</v>
      </c>
      <c r="O303" s="50">
        <f t="shared" si="114"/>
        <v>140.37886961769067</v>
      </c>
      <c r="P303" s="352">
        <f>Rx!EJ3</f>
        <v>2.50752106857553E-4</v>
      </c>
      <c r="Q303" s="50">
        <f t="shared" ref="Q303:Q312" si="124">P303/H303</f>
        <v>5.2028054851786857E-6</v>
      </c>
      <c r="R303" s="50">
        <f t="shared" ref="R303:R312" si="125">P303/F303</f>
        <v>4.2500357094500511E-4</v>
      </c>
      <c r="S303" s="352">
        <f>Rx!EN3</f>
        <v>3.79799514131828</v>
      </c>
      <c r="T303" s="50">
        <f t="shared" ref="T303:T312" si="126">S303/H303</f>
        <v>7.8803844169325829E-2</v>
      </c>
      <c r="U303" s="50">
        <f t="shared" ref="U303:U312" si="127">S303/F303</f>
        <v>6.4372799005394583</v>
      </c>
      <c r="V303" s="462"/>
      <c r="W303" s="181"/>
      <c r="X303" s="192"/>
    </row>
    <row r="304" spans="2:24" x14ac:dyDescent="0.25">
      <c r="B304" s="699"/>
      <c r="C304" s="702"/>
      <c r="D304" s="58" t="s">
        <v>79</v>
      </c>
      <c r="F304">
        <f>Weights!M188</f>
        <v>0.505</v>
      </c>
      <c r="G304" s="143">
        <f>'Alamar Blue (Analysis)'!AV26</f>
        <v>2.0504201680672267</v>
      </c>
      <c r="H304" s="143">
        <f>PicoGreen!FO47</f>
        <v>39.184256718750007</v>
      </c>
      <c r="I304">
        <f t="shared" si="116"/>
        <v>77.592587561881203</v>
      </c>
      <c r="J304" s="143">
        <f>DMMB!FO55</f>
        <v>291.97679999999963</v>
      </c>
      <c r="K304">
        <f t="shared" si="122"/>
        <v>7.451380336130919</v>
      </c>
      <c r="L304">
        <f t="shared" si="123"/>
        <v>578.17188118811805</v>
      </c>
      <c r="M304" s="143">
        <f>OHP!EL57</f>
        <v>74.024894158749987</v>
      </c>
      <c r="N304">
        <f t="shared" si="118"/>
        <v>1889.148866343774</v>
      </c>
      <c r="O304">
        <f t="shared" si="114"/>
        <v>146.58394882920788</v>
      </c>
      <c r="P304" s="143">
        <f>Rx!EJ4</f>
        <v>2.8735103369672199E-4</v>
      </c>
      <c r="Q304">
        <f t="shared" si="124"/>
        <v>7.3333286824660378E-6</v>
      </c>
      <c r="R304">
        <f t="shared" si="125"/>
        <v>5.69011947914301E-4</v>
      </c>
      <c r="S304" s="143">
        <f>Rx!EN4</f>
        <v>5.4735812330763398</v>
      </c>
      <c r="T304">
        <f t="shared" si="126"/>
        <v>0.13968827512446302</v>
      </c>
      <c r="U304">
        <f t="shared" si="127"/>
        <v>10.83877471896305</v>
      </c>
      <c r="V304" s="383"/>
      <c r="W304" s="182"/>
      <c r="X304" s="184"/>
    </row>
    <row r="305" spans="1:25" x14ac:dyDescent="0.25">
      <c r="B305" s="699"/>
      <c r="C305" s="702"/>
      <c r="D305" s="58" t="s">
        <v>81</v>
      </c>
      <c r="F305">
        <f>Weights!M189</f>
        <v>0.54500000000000004</v>
      </c>
      <c r="G305" s="143">
        <f>'Alamar Blue (Analysis)'!AV27</f>
        <v>1.7815126050420171</v>
      </c>
      <c r="H305" s="143">
        <f>PicoGreen!FO48</f>
        <v>55.40459671875</v>
      </c>
      <c r="I305">
        <f t="shared" si="116"/>
        <v>101.65981049311925</v>
      </c>
      <c r="J305" s="143">
        <f>DMMB!FO56</f>
        <v>300.68119999999965</v>
      </c>
      <c r="K305">
        <f t="shared" si="122"/>
        <v>5.4270081871788669</v>
      </c>
      <c r="L305">
        <f t="shared" si="123"/>
        <v>551.70862385321027</v>
      </c>
      <c r="M305" s="143">
        <f>OHP!EL58</f>
        <v>82.619309347187496</v>
      </c>
      <c r="N305">
        <f t="shared" si="118"/>
        <v>1491.1995437235537</v>
      </c>
      <c r="O305">
        <f t="shared" si="114"/>
        <v>151.59506302236235</v>
      </c>
      <c r="P305" s="143">
        <f>Rx!EJ5</f>
        <v>3.0367217674662201E-4</v>
      </c>
      <c r="Q305">
        <f t="shared" si="124"/>
        <v>5.4809924578668287E-6</v>
      </c>
      <c r="R305">
        <f t="shared" si="125"/>
        <v>5.5719665458095773E-4</v>
      </c>
      <c r="S305" s="143">
        <f>Rx!EN5</f>
        <v>4.4419458746213696</v>
      </c>
      <c r="T305">
        <f t="shared" si="126"/>
        <v>8.017287621765376E-2</v>
      </c>
      <c r="U305">
        <f t="shared" si="127"/>
        <v>8.1503594029749902</v>
      </c>
      <c r="V305" s="383"/>
      <c r="W305" s="182"/>
      <c r="X305" s="184"/>
    </row>
    <row r="306" spans="1:25" x14ac:dyDescent="0.25">
      <c r="B306" s="699"/>
      <c r="C306" s="702"/>
      <c r="D306" s="58" t="s">
        <v>82</v>
      </c>
      <c r="F306">
        <f>Weights!M190</f>
        <v>0.54</v>
      </c>
      <c r="G306" s="143">
        <f>'Alamar Blue (Analysis)'!AV28</f>
        <v>1.9411764705882355</v>
      </c>
      <c r="H306" s="143">
        <f>PicoGreen!FO49</f>
        <v>43.689906718750002</v>
      </c>
      <c r="I306">
        <f t="shared" si="116"/>
        <v>80.907234664351847</v>
      </c>
      <c r="J306" s="143">
        <f>DMMB!FO57</f>
        <v>244.10260000000022</v>
      </c>
      <c r="K306">
        <f t="shared" si="122"/>
        <v>5.5871623066487555</v>
      </c>
      <c r="L306">
        <f t="shared" si="123"/>
        <v>452.04185185185224</v>
      </c>
      <c r="M306" s="143">
        <f>OHP!EL59</f>
        <v>87.384529649687479</v>
      </c>
      <c r="N306">
        <f t="shared" si="118"/>
        <v>2000.1079474080327</v>
      </c>
      <c r="O306">
        <f t="shared" si="114"/>
        <v>161.8232030549768</v>
      </c>
      <c r="P306" s="143">
        <f>Rx!EJ6</f>
        <v>2.7251363092408598E-4</v>
      </c>
      <c r="Q306">
        <f t="shared" si="124"/>
        <v>6.2374505095277252E-6</v>
      </c>
      <c r="R306">
        <f t="shared" si="125"/>
        <v>5.0465487208164062E-4</v>
      </c>
      <c r="S306" s="143">
        <f>Rx!EN6</f>
        <v>3.9556973617190301</v>
      </c>
      <c r="T306">
        <f t="shared" si="126"/>
        <v>9.0540302298732056E-2</v>
      </c>
      <c r="U306">
        <f t="shared" si="127"/>
        <v>7.3253654846648697</v>
      </c>
      <c r="V306" s="383"/>
      <c r="W306" s="182"/>
      <c r="X306" s="184"/>
    </row>
    <row r="307" spans="1:25" x14ac:dyDescent="0.25">
      <c r="B307" s="699"/>
      <c r="C307" s="702"/>
      <c r="D307" s="58" t="s">
        <v>83</v>
      </c>
      <c r="F307">
        <f>Weights!M191</f>
        <v>0.52500000000000002</v>
      </c>
      <c r="G307" s="143">
        <f>'Alamar Blue (Analysis)'!AV29</f>
        <v>2.0588235294117649</v>
      </c>
      <c r="H307" s="143">
        <f>PicoGreen!FO50</f>
        <v>43.689906718750002</v>
      </c>
      <c r="I307">
        <f t="shared" si="116"/>
        <v>83.218869940476196</v>
      </c>
      <c r="J307" s="143">
        <f>DMMB!FO58</f>
        <v>233.22210000000001</v>
      </c>
      <c r="K307">
        <f t="shared" si="122"/>
        <v>5.338123093311852</v>
      </c>
      <c r="L307">
        <f t="shared" si="123"/>
        <v>444.23257142857142</v>
      </c>
      <c r="M307" s="143">
        <f>OHP!EL60</f>
        <v>80.202661908062495</v>
      </c>
      <c r="N307">
        <f t="shared" si="118"/>
        <v>1835.7251807462121</v>
      </c>
      <c r="O307">
        <f t="shared" si="114"/>
        <v>152.76697506297617</v>
      </c>
      <c r="P307" s="143">
        <f>Rx!EJ7</f>
        <v>2.3443096380765301E-4</v>
      </c>
      <c r="Q307">
        <f t="shared" si="124"/>
        <v>5.3657922713541614E-6</v>
      </c>
      <c r="R307">
        <f t="shared" si="125"/>
        <v>4.4653516915743428E-4</v>
      </c>
      <c r="S307" s="143">
        <f>Rx!EN7</f>
        <v>2.45095534206179</v>
      </c>
      <c r="T307">
        <f t="shared" si="126"/>
        <v>5.6098891623632963E-2</v>
      </c>
      <c r="U307">
        <f t="shared" si="127"/>
        <v>4.6684863658319804</v>
      </c>
      <c r="V307" s="383"/>
      <c r="W307" s="182"/>
      <c r="X307" s="184"/>
    </row>
    <row r="308" spans="1:25" x14ac:dyDescent="0.25">
      <c r="B308" s="699"/>
      <c r="C308" s="702"/>
      <c r="D308" s="58" t="s">
        <v>94</v>
      </c>
      <c r="F308">
        <f>Weights!M192</f>
        <v>0.59499999999999997</v>
      </c>
      <c r="G308" s="143">
        <f>'Alamar Blue (Analysis)'!AV30</f>
        <v>1.7815126050420171</v>
      </c>
      <c r="H308" s="143">
        <f>PicoGreen!FO51</f>
        <v>67.569851718750002</v>
      </c>
      <c r="I308">
        <f t="shared" si="116"/>
        <v>113.56277599789917</v>
      </c>
      <c r="J308" s="143">
        <f>DMMB!FO59</f>
        <v>276.74409999999995</v>
      </c>
      <c r="K308">
        <f t="shared" si="122"/>
        <v>4.0956742239410016</v>
      </c>
      <c r="L308">
        <f t="shared" si="123"/>
        <v>465.11613445378146</v>
      </c>
      <c r="M308" s="143">
        <f>OHP!EL61</f>
        <v>93.766521126249998</v>
      </c>
      <c r="N308">
        <f t="shared" si="118"/>
        <v>1387.6976009439823</v>
      </c>
      <c r="O308">
        <f t="shared" si="114"/>
        <v>157.59079180882352</v>
      </c>
      <c r="P308" s="143">
        <f>Rx!EJ8</f>
        <v>2.7399737120134998E-4</v>
      </c>
      <c r="Q308">
        <f t="shared" si="124"/>
        <v>4.0550240119191842E-6</v>
      </c>
      <c r="R308">
        <f t="shared" si="125"/>
        <v>4.6049978353168068E-4</v>
      </c>
      <c r="S308" s="143">
        <f>Rx!EN8</f>
        <v>3.0554805202647</v>
      </c>
      <c r="T308">
        <f t="shared" si="126"/>
        <v>4.5219583032129591E-2</v>
      </c>
      <c r="U308">
        <f t="shared" si="127"/>
        <v>5.1352613785961347</v>
      </c>
      <c r="V308" s="383"/>
      <c r="W308" s="182"/>
      <c r="X308" s="184"/>
    </row>
    <row r="309" spans="1:25" x14ac:dyDescent="0.25">
      <c r="B309" s="699"/>
      <c r="C309" s="702"/>
      <c r="D309" s="58" t="s">
        <v>209</v>
      </c>
      <c r="F309">
        <f>Weights!M193</f>
        <v>0.5</v>
      </c>
      <c r="G309" s="143"/>
      <c r="H309" s="143">
        <f>PicoGreen!FO52</f>
        <v>44.591036718750004</v>
      </c>
      <c r="I309">
        <f t="shared" si="116"/>
        <v>89.182073437500009</v>
      </c>
      <c r="J309" s="143">
        <f>DMMB!FO60</f>
        <v>244.10259999999965</v>
      </c>
      <c r="K309">
        <f t="shared" si="122"/>
        <v>5.4742526292813771</v>
      </c>
      <c r="L309">
        <f t="shared" si="123"/>
        <v>488.20519999999931</v>
      </c>
      <c r="M309" s="143">
        <f>OHP!EL62</f>
        <v>77.888126332562479</v>
      </c>
      <c r="N309">
        <f t="shared" si="118"/>
        <v>1746.7215849639899</v>
      </c>
      <c r="O309">
        <f t="shared" si="114"/>
        <v>155.77625266512496</v>
      </c>
      <c r="P309" s="143">
        <f>Rx!EJ9</f>
        <v>2.4283882537881301E-4</v>
      </c>
      <c r="Q309">
        <f t="shared" si="124"/>
        <v>5.4459111796497469E-6</v>
      </c>
      <c r="R309">
        <f t="shared" si="125"/>
        <v>4.8567765075762601E-4</v>
      </c>
      <c r="S309" s="143">
        <f>Rx!EN9</f>
        <v>2.4181007128116399</v>
      </c>
      <c r="T309">
        <f t="shared" si="126"/>
        <v>5.4228403077133593E-2</v>
      </c>
      <c r="U309">
        <f t="shared" si="127"/>
        <v>4.8362014256232797</v>
      </c>
      <c r="V309" s="383"/>
      <c r="W309" s="182"/>
      <c r="X309" s="184"/>
    </row>
    <row r="310" spans="1:25" x14ac:dyDescent="0.25">
      <c r="B310" s="699"/>
      <c r="C310" s="702"/>
      <c r="D310" s="58" t="s">
        <v>210</v>
      </c>
      <c r="F310">
        <f>Weights!M194</f>
        <v>0.57499999999999996</v>
      </c>
      <c r="G310" s="143">
        <f>'Alamar Blue (Analysis)'!AV32</f>
        <v>2.5630252100840338</v>
      </c>
      <c r="H310" s="143">
        <f>PicoGreen!FO53</f>
        <v>41.437081718750001</v>
      </c>
      <c r="I310">
        <f t="shared" si="116"/>
        <v>72.064489945652184</v>
      </c>
      <c r="J310" s="143">
        <f>DMMB!FO61</f>
        <v>265.86359999999956</v>
      </c>
      <c r="K310">
        <f t="shared" si="122"/>
        <v>6.4160792452644673</v>
      </c>
      <c r="L310">
        <f t="shared" si="123"/>
        <v>462.37147826086886</v>
      </c>
      <c r="M310" s="143">
        <f>OHP!EL63</f>
        <v>89.835214376687503</v>
      </c>
      <c r="N310">
        <f t="shared" si="118"/>
        <v>2167.9908586814809</v>
      </c>
      <c r="O310">
        <f t="shared" si="114"/>
        <v>156.2351554377174</v>
      </c>
      <c r="P310" s="143">
        <f>Rx!EJ10</f>
        <v>2.3344180362281001E-4</v>
      </c>
      <c r="Q310">
        <f t="shared" si="124"/>
        <v>5.6336448885872953E-6</v>
      </c>
      <c r="R310">
        <f t="shared" si="125"/>
        <v>4.0598574543097398E-4</v>
      </c>
      <c r="S310" s="143">
        <f>Rx!EN10</f>
        <v>3.2788919991657801</v>
      </c>
      <c r="T310">
        <f t="shared" si="126"/>
        <v>7.9129414118033883E-2</v>
      </c>
      <c r="U310">
        <f t="shared" si="127"/>
        <v>5.7024208681144009</v>
      </c>
      <c r="V310" s="383"/>
      <c r="W310" s="182"/>
      <c r="X310" s="184"/>
    </row>
    <row r="311" spans="1:25" x14ac:dyDescent="0.25">
      <c r="B311" s="699"/>
      <c r="C311" s="702"/>
      <c r="D311" s="58" t="s">
        <v>211</v>
      </c>
      <c r="F311">
        <f>Weights!M195</f>
        <v>0.505</v>
      </c>
      <c r="G311" s="143"/>
      <c r="H311" s="143">
        <f>PicoGreen!FO54</f>
        <v>48.195556718750005</v>
      </c>
      <c r="I311">
        <f t="shared" si="116"/>
        <v>95.436745977722779</v>
      </c>
      <c r="J311" s="143">
        <f>DMMB!FO62</f>
        <v>233.22210000000001</v>
      </c>
      <c r="K311">
        <f t="shared" si="122"/>
        <v>4.8390788669791887</v>
      </c>
      <c r="L311">
        <f t="shared" si="123"/>
        <v>461.82594059405943</v>
      </c>
      <c r="M311" s="143">
        <f>OHP!EL64</f>
        <v>84.168005945499985</v>
      </c>
      <c r="N311">
        <f t="shared" si="118"/>
        <v>1746.3851789630901</v>
      </c>
      <c r="O311">
        <f t="shared" si="114"/>
        <v>166.66931870396036</v>
      </c>
      <c r="P311" s="143">
        <f>Rx!EJ11</f>
        <v>2.3690386426975901E-4</v>
      </c>
      <c r="Q311">
        <f t="shared" si="124"/>
        <v>4.9154710599617144E-6</v>
      </c>
      <c r="R311">
        <f t="shared" si="125"/>
        <v>4.6911656291041386E-4</v>
      </c>
      <c r="S311" s="143">
        <f>Rx!EN11</f>
        <v>2.7663597828633102</v>
      </c>
      <c r="T311">
        <f t="shared" si="126"/>
        <v>5.7398647742709551E-2</v>
      </c>
      <c r="U311">
        <f t="shared" si="127"/>
        <v>5.477940164085763</v>
      </c>
      <c r="V311" s="383"/>
      <c r="W311" s="182"/>
      <c r="X311" s="184"/>
    </row>
    <row r="312" spans="1:25" ht="15.75" thickBot="1" x14ac:dyDescent="0.3">
      <c r="B312" s="700"/>
      <c r="C312" s="703"/>
      <c r="D312" s="56" t="s">
        <v>212</v>
      </c>
      <c r="E312" s="2"/>
      <c r="F312" s="2">
        <f>Weights!M196</f>
        <v>0.45500000000000002</v>
      </c>
      <c r="G312" s="144">
        <f>'Alamar Blue (Analysis)'!AV34</f>
        <v>1.6050420168067228</v>
      </c>
      <c r="H312" s="144">
        <f>PicoGreen!FO55</f>
        <v>38.733691718750002</v>
      </c>
      <c r="I312" s="2">
        <f t="shared" si="116"/>
        <v>85.128992788461545</v>
      </c>
      <c r="J312" s="144">
        <f>DMMB!FO63</f>
        <v>194.05229999999989</v>
      </c>
      <c r="K312" s="2">
        <f t="shared" si="122"/>
        <v>5.0099097552858378</v>
      </c>
      <c r="L312" s="2">
        <f t="shared" si="123"/>
        <v>426.48857142857116</v>
      </c>
      <c r="M312" s="144">
        <f>OHP!EL65</f>
        <v>80.01545682474999</v>
      </c>
      <c r="N312" s="2">
        <f t="shared" si="118"/>
        <v>2065.7844185303034</v>
      </c>
      <c r="O312" s="2">
        <f t="shared" si="114"/>
        <v>175.85814686758238</v>
      </c>
      <c r="P312" s="144">
        <f>Rx!EJ12</f>
        <v>2.2107730131228E-4</v>
      </c>
      <c r="Q312" s="2">
        <f t="shared" si="124"/>
        <v>5.7076227827068202E-6</v>
      </c>
      <c r="R312" s="2">
        <f t="shared" si="125"/>
        <v>4.8588417870830766E-4</v>
      </c>
      <c r="S312" s="144">
        <f>Rx!EN12</f>
        <v>3.5220162556169501</v>
      </c>
      <c r="T312" s="2">
        <f t="shared" si="126"/>
        <v>9.0929010361076187E-2</v>
      </c>
      <c r="U312" s="2">
        <f t="shared" si="127"/>
        <v>7.7406950672899999</v>
      </c>
      <c r="V312" s="458"/>
      <c r="W312" s="197"/>
      <c r="X312" s="198"/>
    </row>
    <row r="313" spans="1:25" x14ac:dyDescent="0.25">
      <c r="B313" s="457"/>
      <c r="C313" s="68"/>
      <c r="V313" s="182"/>
      <c r="W313" s="182"/>
      <c r="X313" s="182"/>
    </row>
    <row r="315" spans="1:25" ht="15" customHeight="1" thickBot="1" x14ac:dyDescent="0.3"/>
    <row r="316" spans="1:25" ht="15" customHeight="1" x14ac:dyDescent="0.25">
      <c r="A316" s="672" t="s">
        <v>150</v>
      </c>
      <c r="B316" s="649" t="s">
        <v>151</v>
      </c>
      <c r="C316" s="672" t="s">
        <v>346</v>
      </c>
      <c r="D316" s="71" t="s">
        <v>201</v>
      </c>
      <c r="E316" s="71">
        <f t="shared" ref="E316:O316" si="128">TTEST(E3:E10,E22:E32,1,2)</f>
        <v>0.23356216837316174</v>
      </c>
      <c r="F316" s="28">
        <f t="shared" si="128"/>
        <v>0.28226608716620871</v>
      </c>
      <c r="G316" s="28">
        <f t="shared" si="128"/>
        <v>3.7024623820997127E-3</v>
      </c>
      <c r="H316" s="50">
        <f t="shared" si="128"/>
        <v>1.5975717293332269E-2</v>
      </c>
      <c r="I316" s="28">
        <f t="shared" si="128"/>
        <v>3.8752840711590089E-2</v>
      </c>
      <c r="J316" s="50">
        <f t="shared" si="128"/>
        <v>6.8601780791025996E-2</v>
      </c>
      <c r="K316" s="50">
        <f t="shared" si="128"/>
        <v>4.0376823629836626E-2</v>
      </c>
      <c r="L316" s="28">
        <f t="shared" si="128"/>
        <v>7.8987114945964859E-2</v>
      </c>
      <c r="M316" s="50">
        <f t="shared" si="128"/>
        <v>3.9442274974615013E-2</v>
      </c>
      <c r="N316" s="50">
        <f t="shared" si="128"/>
        <v>0.17738705946063132</v>
      </c>
      <c r="O316" s="28">
        <f t="shared" si="128"/>
        <v>2.8147703709736741E-2</v>
      </c>
      <c r="P316" s="181"/>
      <c r="Q316" s="181"/>
      <c r="R316" s="278"/>
      <c r="S316" s="181"/>
      <c r="T316" s="181"/>
      <c r="U316" s="278"/>
      <c r="V316" s="181"/>
      <c r="W316" s="181"/>
      <c r="X316" s="192"/>
      <c r="Y316" s="25">
        <f>TTEST(Y3:Y10,Y22:Y32,1,2)</f>
        <v>6.9289048579157977E-2</v>
      </c>
    </row>
    <row r="317" spans="1:25" ht="15" customHeight="1" x14ac:dyDescent="0.25">
      <c r="A317" s="679"/>
      <c r="B317" s="647"/>
      <c r="C317" s="679"/>
      <c r="D317" s="72" t="s">
        <v>202</v>
      </c>
      <c r="E317" s="72">
        <f t="shared" ref="E317:O317" si="129">TTEST(E3:E10,E58:E77,1,2)</f>
        <v>0.13157528546486447</v>
      </c>
      <c r="F317" s="30">
        <f t="shared" si="129"/>
        <v>1.491171353945067E-2</v>
      </c>
      <c r="G317" s="30">
        <f t="shared" si="129"/>
        <v>2.8702208578750437E-6</v>
      </c>
      <c r="H317">
        <f t="shared" si="129"/>
        <v>1.8755471861027813E-5</v>
      </c>
      <c r="I317" s="30">
        <f t="shared" si="129"/>
        <v>1.5209183012069405E-5</v>
      </c>
      <c r="J317">
        <f t="shared" si="129"/>
        <v>5.0885567404763826E-3</v>
      </c>
      <c r="K317">
        <f t="shared" si="129"/>
        <v>1.9594407798397846E-2</v>
      </c>
      <c r="L317" s="30">
        <f t="shared" si="129"/>
        <v>1.5551922444416422E-3</v>
      </c>
      <c r="M317">
        <f t="shared" si="129"/>
        <v>1.9361226680187367E-2</v>
      </c>
      <c r="N317">
        <f t="shared" si="129"/>
        <v>0.21807737049936499</v>
      </c>
      <c r="O317" s="30">
        <f t="shared" si="129"/>
        <v>7.8248859898344594E-3</v>
      </c>
      <c r="P317" s="182"/>
      <c r="Q317" s="182"/>
      <c r="R317" s="183"/>
      <c r="S317" s="182"/>
      <c r="T317" s="182"/>
      <c r="U317" s="183"/>
      <c r="V317" s="182"/>
      <c r="W317" s="182"/>
      <c r="X317" s="184"/>
      <c r="Y317" s="27">
        <f>TTEST(Y3:Y10,Y58:Y77,1,2)</f>
        <v>0.32446886506831274</v>
      </c>
    </row>
    <row r="318" spans="1:25" ht="15" customHeight="1" x14ac:dyDescent="0.25">
      <c r="A318" s="679"/>
      <c r="B318" s="647"/>
      <c r="C318" s="679"/>
      <c r="D318" s="72" t="s">
        <v>309</v>
      </c>
      <c r="E318" s="72">
        <f t="shared" ref="E318:O318" si="130">TTEST(E3:E10,E242:E246,1,2)</f>
        <v>0.40373423452031648</v>
      </c>
      <c r="F318" s="30">
        <f t="shared" si="130"/>
        <v>4.7274337348278767E-2</v>
      </c>
      <c r="G318" s="30">
        <f t="shared" si="130"/>
        <v>3.9981870252590425E-3</v>
      </c>
      <c r="H318">
        <f t="shared" si="130"/>
        <v>0.12564709884121966</v>
      </c>
      <c r="I318" s="30">
        <f t="shared" si="130"/>
        <v>2.5415263330668198E-2</v>
      </c>
      <c r="J318">
        <f t="shared" si="130"/>
        <v>2.726327257553624E-3</v>
      </c>
      <c r="K318">
        <f t="shared" si="130"/>
        <v>0.20166471211032444</v>
      </c>
      <c r="L318" s="30">
        <f t="shared" si="130"/>
        <v>2.26803961029588E-4</v>
      </c>
      <c r="M318">
        <f t="shared" si="130"/>
        <v>0.16714459373216065</v>
      </c>
      <c r="N318">
        <f t="shared" si="130"/>
        <v>0.2736950460751067</v>
      </c>
      <c r="O318" s="30">
        <f t="shared" si="130"/>
        <v>0.11248835063301327</v>
      </c>
      <c r="P318" s="182"/>
      <c r="Q318" s="182"/>
      <c r="R318" s="183"/>
      <c r="S318" s="182"/>
      <c r="T318" s="182"/>
      <c r="U318" s="183"/>
      <c r="V318" s="182"/>
      <c r="W318" s="182"/>
      <c r="X318" s="184"/>
      <c r="Y318" s="27">
        <f>TTEST(Y3:Y10,Y242:Y246,1,2)</f>
        <v>2.4669839174745366E-2</v>
      </c>
    </row>
    <row r="319" spans="1:25" ht="15" customHeight="1" x14ac:dyDescent="0.25">
      <c r="A319" s="679"/>
      <c r="B319" s="647"/>
      <c r="C319" s="679"/>
      <c r="D319" s="72" t="s">
        <v>250</v>
      </c>
      <c r="E319" s="72">
        <f t="shared" ref="E319:O319" si="131">TTEST(E3:E10,E247:E256,1,2)</f>
        <v>0.4992536439450117</v>
      </c>
      <c r="F319" s="30">
        <f t="shared" si="131"/>
        <v>3.3324857928232837E-2</v>
      </c>
      <c r="G319" s="30">
        <f t="shared" si="131"/>
        <v>1.9323110133876105E-6</v>
      </c>
      <c r="H319">
        <f t="shared" si="131"/>
        <v>7.2445129310092827E-5</v>
      </c>
      <c r="I319" s="30">
        <f t="shared" si="131"/>
        <v>4.957184000001684E-5</v>
      </c>
      <c r="J319">
        <f t="shared" si="131"/>
        <v>8.4271198012495269E-5</v>
      </c>
      <c r="K319">
        <f t="shared" si="131"/>
        <v>1.444052662881673E-2</v>
      </c>
      <c r="L319" s="30">
        <f t="shared" si="131"/>
        <v>4.8729585990495159E-6</v>
      </c>
      <c r="M319">
        <f t="shared" si="131"/>
        <v>9.7661837653828784E-2</v>
      </c>
      <c r="N319">
        <f t="shared" si="131"/>
        <v>0.23125037907695245</v>
      </c>
      <c r="O319" s="30">
        <f t="shared" si="131"/>
        <v>5.6007310576035599E-2</v>
      </c>
      <c r="P319" s="182"/>
      <c r="Q319" s="182"/>
      <c r="R319" s="183"/>
      <c r="S319" s="182"/>
      <c r="T319" s="182"/>
      <c r="U319" s="183"/>
      <c r="V319" s="182"/>
      <c r="W319" s="182"/>
      <c r="X319" s="184"/>
      <c r="Y319" s="27">
        <f>TTEST(Y3:Y10,Y247:Y256,1,2)</f>
        <v>3.5629508703543554E-2</v>
      </c>
    </row>
    <row r="320" spans="1:25" ht="15" customHeight="1" x14ac:dyDescent="0.25">
      <c r="A320" s="679"/>
      <c r="B320" s="647"/>
      <c r="C320" s="679"/>
      <c r="D320" s="72" t="s">
        <v>347</v>
      </c>
      <c r="E320" s="72">
        <f t="shared" ref="E320:O320" si="132">TTEST(E3:E10,E257:E266,1,2)</f>
        <v>0.3433330134887092</v>
      </c>
      <c r="F320" s="30">
        <f t="shared" si="132"/>
        <v>0.32524995765245301</v>
      </c>
      <c r="G320" s="30">
        <f t="shared" si="132"/>
        <v>5.6308541638431992E-5</v>
      </c>
      <c r="H320">
        <f t="shared" si="132"/>
        <v>1.9883842592181098E-2</v>
      </c>
      <c r="I320" s="30">
        <f t="shared" si="132"/>
        <v>1.723986517544918E-2</v>
      </c>
      <c r="J320">
        <f t="shared" si="132"/>
        <v>1.6336732167850313E-3</v>
      </c>
      <c r="K320">
        <f t="shared" si="132"/>
        <v>0.14581622734885633</v>
      </c>
      <c r="L320" s="30">
        <f t="shared" si="132"/>
        <v>6.9517172417650204E-4</v>
      </c>
      <c r="M320">
        <f t="shared" si="132"/>
        <v>0.1345320077546828</v>
      </c>
      <c r="N320">
        <f t="shared" si="132"/>
        <v>0.19058894242023844</v>
      </c>
      <c r="O320" s="30">
        <f t="shared" si="132"/>
        <v>0.12359519238241105</v>
      </c>
      <c r="P320" s="182"/>
      <c r="Q320" s="182"/>
      <c r="R320" s="183"/>
      <c r="S320" s="182"/>
      <c r="T320" s="182"/>
      <c r="U320" s="183"/>
      <c r="V320" s="182"/>
      <c r="W320" s="182"/>
      <c r="X320" s="184"/>
      <c r="Y320" s="27">
        <f>TTEST(Y3:Y10,Y257:Y266,1,2)</f>
        <v>0.10430615664534439</v>
      </c>
    </row>
    <row r="321" spans="1:25" ht="15" customHeight="1" x14ac:dyDescent="0.25">
      <c r="A321" s="679"/>
      <c r="B321" s="647"/>
      <c r="C321" s="679"/>
      <c r="D321" s="72" t="s">
        <v>348</v>
      </c>
      <c r="E321" s="72">
        <f t="shared" ref="E321:O321" si="133">TTEST(E3:E10,E267:E282,1,2)</f>
        <v>0.10900693107419193</v>
      </c>
      <c r="F321" s="30">
        <f t="shared" si="133"/>
        <v>0.1336677301736697</v>
      </c>
      <c r="G321" s="30">
        <f t="shared" si="133"/>
        <v>6.3546941274255948E-7</v>
      </c>
      <c r="H321">
        <f t="shared" si="133"/>
        <v>5.6751565725183055E-5</v>
      </c>
      <c r="I321" s="30">
        <f t="shared" si="133"/>
        <v>2.3882193927245098E-5</v>
      </c>
      <c r="J321">
        <f t="shared" si="133"/>
        <v>0.29988959115579572</v>
      </c>
      <c r="K321">
        <f t="shared" si="133"/>
        <v>5.4831360947768693E-2</v>
      </c>
      <c r="L321" s="30">
        <f t="shared" si="133"/>
        <v>8.5055420750765331E-2</v>
      </c>
      <c r="M321">
        <f t="shared" si="133"/>
        <v>2.2149739086354078E-2</v>
      </c>
      <c r="N321">
        <f t="shared" si="133"/>
        <v>0.22964816786620823</v>
      </c>
      <c r="O321" s="30">
        <f t="shared" si="133"/>
        <v>1.171752509181833E-2</v>
      </c>
      <c r="P321" s="182"/>
      <c r="Q321" s="182"/>
      <c r="R321" s="183"/>
      <c r="S321" s="182"/>
      <c r="T321" s="182"/>
      <c r="U321" s="183"/>
      <c r="V321" s="182"/>
      <c r="W321" s="182"/>
      <c r="X321" s="184"/>
      <c r="Y321" s="27">
        <f>TTEST(Y3:Y10,Y267:Y282,1,2)</f>
        <v>0.13133500601452455</v>
      </c>
    </row>
    <row r="322" spans="1:25" ht="15" customHeight="1" x14ac:dyDescent="0.25">
      <c r="A322" s="679"/>
      <c r="B322" s="647"/>
      <c r="C322" s="679" t="s">
        <v>349</v>
      </c>
      <c r="D322" s="167" t="s">
        <v>152</v>
      </c>
      <c r="E322" s="167">
        <f t="shared" ref="E322:U322" si="134">TTEST(E22:E32,E58:E77,1,2)</f>
        <v>0.45802534005281065</v>
      </c>
      <c r="F322" s="126">
        <f t="shared" si="134"/>
        <v>2.5317705084856954E-2</v>
      </c>
      <c r="G322" s="126">
        <f t="shared" si="134"/>
        <v>2.3640667990113709E-4</v>
      </c>
      <c r="H322" s="164">
        <f t="shared" si="134"/>
        <v>1.0743729787237449E-3</v>
      </c>
      <c r="I322" s="126">
        <f t="shared" si="134"/>
        <v>1.3370543255930983E-3</v>
      </c>
      <c r="J322" s="164">
        <f t="shared" si="134"/>
        <v>8.1119407135380288E-3</v>
      </c>
      <c r="K322" s="164">
        <f t="shared" si="134"/>
        <v>1.6456744059459284E-2</v>
      </c>
      <c r="L322" s="126">
        <f t="shared" si="134"/>
        <v>9.387376779680965E-3</v>
      </c>
      <c r="M322" s="164">
        <f t="shared" si="134"/>
        <v>0.27875379180213167</v>
      </c>
      <c r="N322" s="164">
        <f t="shared" si="134"/>
        <v>1.055317013226275E-3</v>
      </c>
      <c r="O322" s="126">
        <f t="shared" si="134"/>
        <v>8.3457513570475275E-2</v>
      </c>
      <c r="P322" s="164">
        <f t="shared" si="134"/>
        <v>0.39782205751095534</v>
      </c>
      <c r="Q322" s="164">
        <f t="shared" si="134"/>
        <v>5.8479840199752872E-2</v>
      </c>
      <c r="R322" s="126">
        <f t="shared" si="134"/>
        <v>0.44187199619808515</v>
      </c>
      <c r="S322" s="164">
        <f t="shared" si="134"/>
        <v>0.17471851029337981</v>
      </c>
      <c r="T322" s="164">
        <f t="shared" si="134"/>
        <v>1.2044184816178879E-2</v>
      </c>
      <c r="U322" s="126">
        <f t="shared" si="134"/>
        <v>0.20681496406610733</v>
      </c>
      <c r="V322" s="402"/>
      <c r="W322" s="402"/>
      <c r="X322" s="403"/>
      <c r="Y322" s="161">
        <f>TTEST(Y22:Y32,Y58:Y77,1,2)</f>
        <v>0.1634477233625086</v>
      </c>
    </row>
    <row r="323" spans="1:25" ht="15" customHeight="1" x14ac:dyDescent="0.25">
      <c r="A323" s="679"/>
      <c r="B323" s="647"/>
      <c r="C323" s="679"/>
      <c r="D323" s="72" t="s">
        <v>251</v>
      </c>
      <c r="E323" s="72">
        <f>TTEST(E242:E246,E247:E256,1,2)</f>
        <v>0.27091208341520168</v>
      </c>
      <c r="F323" s="30">
        <f t="shared" ref="F323:Y323" si="135">TTEST(F242:F246,F247:F256,1,2)</f>
        <v>0.18352902023899725</v>
      </c>
      <c r="G323" s="30">
        <f t="shared" si="135"/>
        <v>0.44497977539324091</v>
      </c>
      <c r="H323">
        <f t="shared" si="135"/>
        <v>3.2657529423071119E-3</v>
      </c>
      <c r="I323" s="30">
        <f t="shared" si="135"/>
        <v>1.7784684964570001E-3</v>
      </c>
      <c r="J323">
        <f t="shared" si="135"/>
        <v>0.30331224441270371</v>
      </c>
      <c r="K323">
        <f t="shared" si="135"/>
        <v>6.938526214791481E-3</v>
      </c>
      <c r="L323" s="30">
        <f t="shared" si="135"/>
        <v>0.40569419944051699</v>
      </c>
      <c r="M323">
        <f t="shared" si="135"/>
        <v>0.26427741941352356</v>
      </c>
      <c r="N323">
        <f t="shared" si="135"/>
        <v>1.2937072236784612E-2</v>
      </c>
      <c r="O323" s="30">
        <f t="shared" si="135"/>
        <v>0.11640286557697818</v>
      </c>
      <c r="P323">
        <f t="shared" si="135"/>
        <v>2.9628907747294701E-2</v>
      </c>
      <c r="Q323">
        <f t="shared" si="135"/>
        <v>4.1338646402999321E-3</v>
      </c>
      <c r="R323" s="30">
        <f t="shared" si="135"/>
        <v>2.5650696117777743E-2</v>
      </c>
      <c r="S323">
        <f t="shared" si="135"/>
        <v>5.4291518812171731E-3</v>
      </c>
      <c r="T323">
        <f t="shared" si="135"/>
        <v>2.5228035341931269E-3</v>
      </c>
      <c r="U323" s="30">
        <f t="shared" si="135"/>
        <v>5.193848395820419E-3</v>
      </c>
      <c r="V323" s="182"/>
      <c r="W323" s="182"/>
      <c r="X323" s="184"/>
      <c r="Y323" s="27">
        <f t="shared" si="135"/>
        <v>7.4834730270001287E-2</v>
      </c>
    </row>
    <row r="324" spans="1:25" ht="15" customHeight="1" x14ac:dyDescent="0.25">
      <c r="A324" s="679"/>
      <c r="B324" s="647"/>
      <c r="C324" s="679"/>
      <c r="D324" s="72" t="s">
        <v>310</v>
      </c>
      <c r="E324" s="72">
        <f t="shared" ref="E324:U324" si="136">TTEST(E22:E32,E242:E246,1,2)</f>
        <v>0.29947048667657006</v>
      </c>
      <c r="F324" s="30">
        <f t="shared" si="136"/>
        <v>3.525164861748966E-2</v>
      </c>
      <c r="G324" s="30">
        <f t="shared" si="136"/>
        <v>0.10293517110498354</v>
      </c>
      <c r="H324">
        <f t="shared" si="136"/>
        <v>0.24761349407195404</v>
      </c>
      <c r="I324" s="30">
        <f t="shared" si="136"/>
        <v>0.33610773160989904</v>
      </c>
      <c r="J324">
        <f t="shared" si="136"/>
        <v>4.0682037673848244E-4</v>
      </c>
      <c r="K324">
        <f t="shared" si="136"/>
        <v>1.2617091620420051E-2</v>
      </c>
      <c r="L324" s="30">
        <f t="shared" si="136"/>
        <v>9.0457746393430097E-4</v>
      </c>
      <c r="M324">
        <f t="shared" si="136"/>
        <v>2.223234771861566E-2</v>
      </c>
      <c r="N324">
        <f t="shared" si="136"/>
        <v>0.46079294910644142</v>
      </c>
      <c r="O324" s="30">
        <f t="shared" si="136"/>
        <v>6.4347024081874968E-2</v>
      </c>
      <c r="P324">
        <f t="shared" si="136"/>
        <v>2.5678857506332906E-2</v>
      </c>
      <c r="Q324">
        <f t="shared" si="136"/>
        <v>3.4031124869469292E-3</v>
      </c>
      <c r="R324" s="30">
        <f t="shared" si="136"/>
        <v>3.0286655020792121E-2</v>
      </c>
      <c r="S324">
        <f t="shared" si="136"/>
        <v>0.25855190389956284</v>
      </c>
      <c r="T324">
        <f t="shared" si="136"/>
        <v>0.31543426275595432</v>
      </c>
      <c r="U324" s="30">
        <f t="shared" si="136"/>
        <v>0.38174666903572929</v>
      </c>
      <c r="V324" s="182"/>
      <c r="W324" s="182"/>
      <c r="X324" s="184"/>
      <c r="Y324" s="27">
        <f>TTEST(Y22:Y32,Y242:Y246,1,2)</f>
        <v>0.19959823046509517</v>
      </c>
    </row>
    <row r="325" spans="1:25" ht="15" customHeight="1" x14ac:dyDescent="0.25">
      <c r="A325" s="679"/>
      <c r="B325" s="647"/>
      <c r="C325" s="679"/>
      <c r="D325" s="72" t="s">
        <v>350</v>
      </c>
      <c r="E325" s="72">
        <f>TTEST(E257:E266,E267:E282,1,2)</f>
        <v>0.11523091922661645</v>
      </c>
      <c r="F325" s="30">
        <f t="shared" ref="F325:Y325" si="137">TTEST(F257:F266,F267:F282,1,2)</f>
        <v>0.10363564954174541</v>
      </c>
      <c r="G325" s="30">
        <f t="shared" si="137"/>
        <v>1.3584009827906832E-5</v>
      </c>
      <c r="H325">
        <f t="shared" si="137"/>
        <v>3.8399893726985979E-3</v>
      </c>
      <c r="I325" s="30">
        <f t="shared" si="137"/>
        <v>2.4216488841523175E-3</v>
      </c>
      <c r="J325">
        <f t="shared" si="137"/>
        <v>7.7216466678144746E-2</v>
      </c>
      <c r="K325">
        <f t="shared" si="137"/>
        <v>2.6563445082097414E-2</v>
      </c>
      <c r="L325" s="30">
        <f t="shared" si="137"/>
        <v>0.12115955178729626</v>
      </c>
      <c r="M325">
        <f t="shared" si="137"/>
        <v>2.7988648917198852E-5</v>
      </c>
      <c r="N325">
        <f t="shared" si="137"/>
        <v>0.24246096744089574</v>
      </c>
      <c r="O325" s="30">
        <f t="shared" si="137"/>
        <v>1.1278565483422896E-5</v>
      </c>
      <c r="P325">
        <f t="shared" si="137"/>
        <v>6.9556504790624779E-2</v>
      </c>
      <c r="Q325">
        <f t="shared" si="137"/>
        <v>1.5733181843879222E-2</v>
      </c>
      <c r="R325" s="30">
        <f t="shared" si="137"/>
        <v>9.0507977040978571E-2</v>
      </c>
      <c r="S325">
        <f t="shared" si="137"/>
        <v>1.1262737754661328E-3</v>
      </c>
      <c r="T325">
        <f t="shared" si="137"/>
        <v>8.6194630352141421E-8</v>
      </c>
      <c r="U325" s="30">
        <f t="shared" si="137"/>
        <v>1.2056553440513576E-3</v>
      </c>
      <c r="V325" s="182"/>
      <c r="W325" s="182"/>
      <c r="X325" s="184"/>
      <c r="Y325" s="27">
        <f t="shared" si="137"/>
        <v>0.45809441279419727</v>
      </c>
    </row>
    <row r="326" spans="1:25" ht="15" customHeight="1" x14ac:dyDescent="0.25">
      <c r="A326" s="679"/>
      <c r="B326" s="647"/>
      <c r="C326" s="679" t="s">
        <v>354</v>
      </c>
      <c r="D326" s="355" t="s">
        <v>258</v>
      </c>
      <c r="E326" s="167">
        <f t="shared" ref="E326:U326" si="138">TTEST(E58:E77,E247:E256,1,2)</f>
        <v>2.7589837778089866E-2</v>
      </c>
      <c r="F326" s="126">
        <f t="shared" si="138"/>
        <v>0.4993297748211773</v>
      </c>
      <c r="G326" s="126">
        <f t="shared" si="138"/>
        <v>3.0678301417368533E-3</v>
      </c>
      <c r="H326" s="164">
        <f t="shared" si="138"/>
        <v>0.30883606533499863</v>
      </c>
      <c r="I326" s="126">
        <f t="shared" si="138"/>
        <v>0.38257051552209737</v>
      </c>
      <c r="J326" s="164">
        <f t="shared" si="138"/>
        <v>7.3708999515110063E-2</v>
      </c>
      <c r="K326" s="164">
        <f t="shared" si="138"/>
        <v>6.2980741376863936E-2</v>
      </c>
      <c r="L326" s="126">
        <f t="shared" si="138"/>
        <v>6.5354979545519623E-2</v>
      </c>
      <c r="M326" s="164">
        <f t="shared" si="138"/>
        <v>5.3130170887655509E-5</v>
      </c>
      <c r="N326" s="164">
        <f t="shared" si="138"/>
        <v>0.33938230352580512</v>
      </c>
      <c r="O326" s="126">
        <f t="shared" si="138"/>
        <v>1.3166387398169565E-4</v>
      </c>
      <c r="P326" s="164">
        <f t="shared" si="138"/>
        <v>0.23752439054357333</v>
      </c>
      <c r="Q326" s="164">
        <f t="shared" si="138"/>
        <v>0.14108736408213443</v>
      </c>
      <c r="R326" s="126">
        <f t="shared" si="138"/>
        <v>0.22010878447144189</v>
      </c>
      <c r="S326" s="164">
        <f t="shared" si="138"/>
        <v>1.4775513130927063E-2</v>
      </c>
      <c r="T326" s="164">
        <f t="shared" si="138"/>
        <v>3.3509351360790203E-2</v>
      </c>
      <c r="U326" s="126">
        <f t="shared" si="138"/>
        <v>1.4249983154796197E-2</v>
      </c>
      <c r="V326" s="402"/>
      <c r="W326" s="402"/>
      <c r="X326" s="403"/>
      <c r="Y326" s="161">
        <f>TTEST(Y58:Y77,Y247:Y256,1,2)</f>
        <v>0.12731492325266416</v>
      </c>
    </row>
    <row r="327" spans="1:25" ht="15" customHeight="1" x14ac:dyDescent="0.25">
      <c r="A327" s="679"/>
      <c r="B327" s="647"/>
      <c r="C327" s="679"/>
      <c r="D327" s="327" t="s">
        <v>153</v>
      </c>
      <c r="E327" s="72">
        <f t="shared" ref="E327:U327" si="139">TTEST(E58:E77,E102:E131,1,2)</f>
        <v>0.12978280879605394</v>
      </c>
      <c r="F327" s="30">
        <f t="shared" si="139"/>
        <v>0.25240216088757483</v>
      </c>
      <c r="G327" s="30">
        <f t="shared" si="139"/>
        <v>2.5247372147673312E-2</v>
      </c>
      <c r="H327">
        <f t="shared" si="139"/>
        <v>0.29286953206772459</v>
      </c>
      <c r="I327" s="30">
        <f t="shared" si="139"/>
        <v>2.7651617547704472E-2</v>
      </c>
      <c r="J327">
        <f t="shared" si="139"/>
        <v>0.21392523386630763</v>
      </c>
      <c r="K327">
        <f t="shared" si="139"/>
        <v>0.19076675709396934</v>
      </c>
      <c r="L327" s="30">
        <f t="shared" si="139"/>
        <v>0.14145032228818652</v>
      </c>
      <c r="M327">
        <f t="shared" si="139"/>
        <v>0.18316254627685674</v>
      </c>
      <c r="N327">
        <f t="shared" si="139"/>
        <v>0.27257275211276566</v>
      </c>
      <c r="O327" s="30">
        <f t="shared" si="139"/>
        <v>0.41293034561886516</v>
      </c>
      <c r="P327">
        <f t="shared" si="139"/>
        <v>0.11238000761505289</v>
      </c>
      <c r="Q327">
        <f t="shared" si="139"/>
        <v>0.22672465471153935</v>
      </c>
      <c r="R327" s="30">
        <f t="shared" si="139"/>
        <v>9.5136782892678143E-2</v>
      </c>
      <c r="S327">
        <f t="shared" si="139"/>
        <v>0.34720817625672074</v>
      </c>
      <c r="T327">
        <f t="shared" si="139"/>
        <v>0.18503678810267032</v>
      </c>
      <c r="U327" s="30">
        <f t="shared" si="139"/>
        <v>0.31001600172289095</v>
      </c>
      <c r="V327" s="468"/>
      <c r="W327" s="468"/>
      <c r="X327" s="469"/>
      <c r="Y327" s="27">
        <f>TTEST(Y58:Y77,Y102:Y131,1,2)</f>
        <v>0.39687343355718974</v>
      </c>
    </row>
    <row r="328" spans="1:25" ht="15" customHeight="1" x14ac:dyDescent="0.25">
      <c r="A328" s="679"/>
      <c r="B328" s="647"/>
      <c r="C328" s="679"/>
      <c r="D328" s="328" t="s">
        <v>311</v>
      </c>
      <c r="E328" s="212">
        <f>TTEST(E102:E131,E247:E256,1,2)</f>
        <v>0.48278074158357392</v>
      </c>
      <c r="F328" s="90">
        <f t="shared" ref="F328:Y328" si="140">TTEST(F102:F131,F247:F256,1,2)</f>
        <v>0.28923047964880522</v>
      </c>
      <c r="G328" s="90">
        <f t="shared" si="140"/>
        <v>8.7806835680996689E-3</v>
      </c>
      <c r="H328" s="60">
        <f t="shared" si="140"/>
        <v>0.42770116630463972</v>
      </c>
      <c r="I328" s="90">
        <f t="shared" si="140"/>
        <v>5.9846422720098352E-2</v>
      </c>
      <c r="J328" s="60">
        <f t="shared" si="140"/>
        <v>0.18443459156782527</v>
      </c>
      <c r="K328" s="60">
        <f t="shared" si="140"/>
        <v>0.21323235466709844</v>
      </c>
      <c r="L328" s="90">
        <f t="shared" si="140"/>
        <v>0.34999775349353351</v>
      </c>
      <c r="M328" s="60">
        <f t="shared" si="140"/>
        <v>1.1472050801520275E-3</v>
      </c>
      <c r="N328" s="60">
        <f t="shared" si="140"/>
        <v>0.20941260268719192</v>
      </c>
      <c r="O328" s="90">
        <f t="shared" si="140"/>
        <v>4.1302842026907756E-7</v>
      </c>
      <c r="P328" s="60">
        <f t="shared" si="140"/>
        <v>0.15333415541024367</v>
      </c>
      <c r="Q328" s="60">
        <f t="shared" si="140"/>
        <v>0.32471453360458902</v>
      </c>
      <c r="R328" s="90">
        <f t="shared" si="140"/>
        <v>0.13089371336563183</v>
      </c>
      <c r="S328" s="60">
        <f t="shared" si="140"/>
        <v>3.4345011342663517E-2</v>
      </c>
      <c r="T328" s="60">
        <f t="shared" si="140"/>
        <v>0.21800239623392181</v>
      </c>
      <c r="U328" s="90">
        <f t="shared" si="140"/>
        <v>6.7577764981920682E-2</v>
      </c>
      <c r="V328" s="470"/>
      <c r="W328" s="470"/>
      <c r="X328" s="471"/>
      <c r="Y328" s="61">
        <f t="shared" si="140"/>
        <v>6.2641934196786764E-2</v>
      </c>
    </row>
    <row r="329" spans="1:25" ht="15" customHeight="1" x14ac:dyDescent="0.25">
      <c r="A329" s="679"/>
      <c r="B329" s="647"/>
      <c r="C329" s="679"/>
      <c r="D329" s="327" t="s">
        <v>351</v>
      </c>
      <c r="E329" s="72">
        <f t="shared" ref="E329:U329" si="141">TTEST(E58:E77,E267:E282,1,2)</f>
        <v>0.26436149152384497</v>
      </c>
      <c r="F329" s="30">
        <f t="shared" si="141"/>
        <v>1.0709173193128212E-2</v>
      </c>
      <c r="G329" s="30">
        <f t="shared" si="141"/>
        <v>3.9280951149572536E-2</v>
      </c>
      <c r="H329">
        <f t="shared" si="141"/>
        <v>0.35409904204469234</v>
      </c>
      <c r="I329" s="30">
        <f t="shared" si="141"/>
        <v>0.25760228376106975</v>
      </c>
      <c r="J329">
        <f t="shared" si="141"/>
        <v>2.1475123340883331E-2</v>
      </c>
      <c r="K329">
        <f t="shared" si="141"/>
        <v>0.18689670352842641</v>
      </c>
      <c r="L329" s="30">
        <f t="shared" si="141"/>
        <v>1.3886541844149192E-2</v>
      </c>
      <c r="M329">
        <f t="shared" si="141"/>
        <v>6.9526711178969601E-3</v>
      </c>
      <c r="N329">
        <f t="shared" si="141"/>
        <v>8.0322375450102533E-3</v>
      </c>
      <c r="O329" s="30">
        <f t="shared" si="141"/>
        <v>5.7314807234658378E-2</v>
      </c>
      <c r="P329">
        <f t="shared" si="141"/>
        <v>4.5480255302075757E-2</v>
      </c>
      <c r="Q329">
        <f t="shared" si="141"/>
        <v>5.1135735735299316E-2</v>
      </c>
      <c r="R329" s="30">
        <f t="shared" si="141"/>
        <v>5.0160019526279812E-2</v>
      </c>
      <c r="S329">
        <f t="shared" si="141"/>
        <v>1.0714374964385277E-2</v>
      </c>
      <c r="T329">
        <f t="shared" si="141"/>
        <v>7.1119086068215697E-3</v>
      </c>
      <c r="U329" s="30">
        <f t="shared" si="141"/>
        <v>5.5972821286826369E-3</v>
      </c>
      <c r="V329" s="468"/>
      <c r="W329" s="468"/>
      <c r="X329" s="469"/>
      <c r="Y329" s="27">
        <f>TTEST(Y58:Y77,Y267:Y282,1,2)</f>
        <v>0.25381506395401954</v>
      </c>
    </row>
    <row r="330" spans="1:25" ht="15" customHeight="1" x14ac:dyDescent="0.25">
      <c r="A330" s="679"/>
      <c r="B330" s="647"/>
      <c r="C330" s="679"/>
      <c r="D330" s="327" t="s">
        <v>352</v>
      </c>
      <c r="E330" s="72">
        <f>TTEST(E247:E256,E267:E282,1,2)</f>
        <v>3.0688736792656657E-2</v>
      </c>
      <c r="F330" s="30">
        <f t="shared" ref="F330:Y330" si="142">TTEST(F247:F256,F267:F282,1,2)</f>
        <v>1.3840882847667895E-2</v>
      </c>
      <c r="G330" s="30">
        <f t="shared" si="142"/>
        <v>1.1222612319601801E-2</v>
      </c>
      <c r="H330">
        <f t="shared" si="142"/>
        <v>0.49378358412880474</v>
      </c>
      <c r="I330" s="30">
        <f t="shared" si="142"/>
        <v>0.3357676010469029</v>
      </c>
      <c r="J330">
        <f t="shared" si="142"/>
        <v>3.2476465779812942E-3</v>
      </c>
      <c r="K330">
        <f t="shared" si="142"/>
        <v>6.3067502366266889E-2</v>
      </c>
      <c r="L330" s="30">
        <f t="shared" si="142"/>
        <v>3.7939829664477854E-4</v>
      </c>
      <c r="M330">
        <f t="shared" si="142"/>
        <v>2.036585708217013E-9</v>
      </c>
      <c r="N330">
        <f t="shared" si="142"/>
        <v>7.8617777595102224E-3</v>
      </c>
      <c r="O330" s="30">
        <f t="shared" si="142"/>
        <v>4.6930792058746122E-7</v>
      </c>
      <c r="P330">
        <f t="shared" si="142"/>
        <v>1.7276681449876954E-2</v>
      </c>
      <c r="Q330">
        <f t="shared" si="142"/>
        <v>0.46724704451329302</v>
      </c>
      <c r="R330" s="30">
        <f t="shared" si="142"/>
        <v>4.4874750801370808E-2</v>
      </c>
      <c r="S330">
        <f t="shared" si="142"/>
        <v>0.4622064819415489</v>
      </c>
      <c r="T330">
        <f t="shared" si="142"/>
        <v>0.36056275715990388</v>
      </c>
      <c r="U330" s="30">
        <f t="shared" si="142"/>
        <v>0.41198291928487646</v>
      </c>
      <c r="V330" s="468"/>
      <c r="W330" s="468"/>
      <c r="X330" s="469"/>
      <c r="Y330" s="27">
        <f t="shared" si="142"/>
        <v>0.46351436578796334</v>
      </c>
    </row>
    <row r="331" spans="1:25" ht="15" customHeight="1" x14ac:dyDescent="0.25">
      <c r="A331" s="679"/>
      <c r="B331" s="647"/>
      <c r="C331" s="679"/>
      <c r="D331" s="327" t="s">
        <v>353</v>
      </c>
      <c r="E331" s="72">
        <f>TTEST(E267:E282,E102:E131,1,2)</f>
        <v>8.7452999932276343E-2</v>
      </c>
      <c r="F331" s="30">
        <f t="shared" ref="F331:Y331" si="143">TTEST(F267:F282,F102:F131,1,2)</f>
        <v>4.8904474200983185E-2</v>
      </c>
      <c r="G331" s="30">
        <f t="shared" si="143"/>
        <v>0.44220838888035918</v>
      </c>
      <c r="H331">
        <f t="shared" si="143"/>
        <v>0.4114120897302308</v>
      </c>
      <c r="I331" s="30">
        <f t="shared" si="143"/>
        <v>0.22279273823946288</v>
      </c>
      <c r="J331">
        <f t="shared" si="143"/>
        <v>8.8853707401774496E-4</v>
      </c>
      <c r="K331">
        <f t="shared" si="143"/>
        <v>0.12888156926368405</v>
      </c>
      <c r="L331" s="30">
        <f t="shared" si="143"/>
        <v>1.6208689966687149E-3</v>
      </c>
      <c r="M331">
        <f t="shared" si="143"/>
        <v>1.3702008873680564E-3</v>
      </c>
      <c r="N331">
        <f t="shared" si="143"/>
        <v>0.19459898988709085</v>
      </c>
      <c r="O331" s="30">
        <f t="shared" si="143"/>
        <v>3.2807211621086588E-2</v>
      </c>
      <c r="P331">
        <f t="shared" si="143"/>
        <v>3.6920137017887371E-2</v>
      </c>
      <c r="Q331">
        <f t="shared" si="143"/>
        <v>0.23144714956608681</v>
      </c>
      <c r="R331" s="30">
        <f t="shared" si="143"/>
        <v>0.44976560885181927</v>
      </c>
      <c r="S331">
        <f t="shared" si="143"/>
        <v>2.2266745942078208E-2</v>
      </c>
      <c r="T331">
        <f t="shared" si="143"/>
        <v>0.10993425729121954</v>
      </c>
      <c r="U331" s="30">
        <f t="shared" si="143"/>
        <v>4.1307504223426966E-2</v>
      </c>
      <c r="V331" s="468"/>
      <c r="W331" s="468"/>
      <c r="X331" s="469"/>
      <c r="Y331" s="27">
        <f t="shared" si="143"/>
        <v>0.15902637715031318</v>
      </c>
    </row>
    <row r="332" spans="1:25" ht="15" customHeight="1" x14ac:dyDescent="0.25">
      <c r="A332" s="679"/>
      <c r="B332" s="647"/>
      <c r="C332" s="679"/>
      <c r="D332" s="327" t="s">
        <v>341</v>
      </c>
      <c r="E332" s="72">
        <f>TTEST(E267:E282,E78:E101,1,2)</f>
        <v>0.15024470489321204</v>
      </c>
      <c r="F332" s="30">
        <f t="shared" ref="F332:U332" si="144">TTEST(F267:F282,F78:F101,1,2)</f>
        <v>0.15623666275081388</v>
      </c>
      <c r="G332" s="30">
        <f t="shared" si="144"/>
        <v>0.30705049202290641</v>
      </c>
      <c r="H332">
        <f t="shared" si="144"/>
        <v>4.4223454997191006E-3</v>
      </c>
      <c r="I332" s="30">
        <f t="shared" si="144"/>
        <v>5.8089063261408998E-3</v>
      </c>
      <c r="J332">
        <f t="shared" si="144"/>
        <v>0.19611510060746634</v>
      </c>
      <c r="K332">
        <f t="shared" si="144"/>
        <v>1.0699027803296936E-2</v>
      </c>
      <c r="L332" s="30">
        <f t="shared" si="144"/>
        <v>0.26546122642207137</v>
      </c>
      <c r="M332">
        <f t="shared" si="144"/>
        <v>5.5460362729082384E-3</v>
      </c>
      <c r="N332">
        <f t="shared" si="144"/>
        <v>0.47232248177175074</v>
      </c>
      <c r="O332" s="30">
        <f t="shared" si="144"/>
        <v>3.9917046260890557E-2</v>
      </c>
      <c r="P332">
        <f t="shared" si="144"/>
        <v>1.3697914371998486E-2</v>
      </c>
      <c r="Q332">
        <f t="shared" si="144"/>
        <v>5.0229419082532485E-2</v>
      </c>
      <c r="R332" s="30">
        <f t="shared" si="144"/>
        <v>1.2764111491594909E-2</v>
      </c>
      <c r="S332">
        <f t="shared" si="144"/>
        <v>5.4821046339047184E-2</v>
      </c>
      <c r="T332">
        <f t="shared" si="144"/>
        <v>0.33848343631948619</v>
      </c>
      <c r="U332" s="30">
        <f t="shared" si="144"/>
        <v>7.1608782395389606E-2</v>
      </c>
      <c r="V332" s="468"/>
      <c r="W332" s="468"/>
      <c r="X332" s="469"/>
      <c r="Y332" s="27">
        <f>TTEST(Y267:Y282,Y78:Y93,1,2)</f>
        <v>0.3766044050191556</v>
      </c>
    </row>
    <row r="333" spans="1:25" ht="15" customHeight="1" x14ac:dyDescent="0.25">
      <c r="A333" s="679"/>
      <c r="B333" s="647"/>
      <c r="C333" s="679"/>
      <c r="D333" s="355" t="s">
        <v>164</v>
      </c>
      <c r="E333" s="167">
        <f>TTEST(E58:E77,E78:E101,1,2)</f>
        <v>0.31120310834070519</v>
      </c>
      <c r="F333" s="126">
        <f t="shared" ref="F333:U333" si="145">TTEST(F58:F77,F78:F101,1,2)</f>
        <v>1.8568600112516469E-2</v>
      </c>
      <c r="G333" s="126">
        <f t="shared" si="145"/>
        <v>2.1382546384872501E-2</v>
      </c>
      <c r="H333" s="164">
        <f t="shared" si="145"/>
        <v>1.0244111288464463E-3</v>
      </c>
      <c r="I333" s="126">
        <f t="shared" si="145"/>
        <v>4.295123166179807E-4</v>
      </c>
      <c r="J333" s="164">
        <f t="shared" si="145"/>
        <v>7.5267632065132841E-5</v>
      </c>
      <c r="K333" s="164">
        <f t="shared" si="145"/>
        <v>3.1216255034763305E-2</v>
      </c>
      <c r="L333" s="126">
        <f t="shared" si="145"/>
        <v>4.5224267033134506E-4</v>
      </c>
      <c r="M333" s="164">
        <f t="shared" si="145"/>
        <v>0.38713146191031622</v>
      </c>
      <c r="N333" s="164">
        <f t="shared" si="145"/>
        <v>6.0726388177056011E-5</v>
      </c>
      <c r="O333" s="126">
        <f t="shared" si="145"/>
        <v>0.48456266822311739</v>
      </c>
      <c r="P333" s="164">
        <f t="shared" si="145"/>
        <v>0.14765659989257487</v>
      </c>
      <c r="Q333" s="164">
        <f t="shared" si="145"/>
        <v>0.36588408734121969</v>
      </c>
      <c r="R333" s="126">
        <f t="shared" si="145"/>
        <v>0.15195083024639722</v>
      </c>
      <c r="S333" s="164">
        <f t="shared" si="145"/>
        <v>3.0567875648491923E-6</v>
      </c>
      <c r="T333" s="164">
        <f t="shared" si="145"/>
        <v>8.0728254697219511E-3</v>
      </c>
      <c r="U333" s="126">
        <f t="shared" si="145"/>
        <v>1.5716961274357622E-6</v>
      </c>
      <c r="V333" s="402"/>
      <c r="W333" s="402"/>
      <c r="X333" s="403"/>
      <c r="Y333" s="161">
        <f>TTEST(Y58:Y77,Y78:Y93,1,2)</f>
        <v>0.15026083673010604</v>
      </c>
    </row>
    <row r="334" spans="1:25" ht="15" customHeight="1" x14ac:dyDescent="0.25">
      <c r="A334" s="679"/>
      <c r="B334" s="647"/>
      <c r="C334" s="679"/>
      <c r="D334" s="327" t="s">
        <v>312</v>
      </c>
      <c r="E334" s="72">
        <f>TTEST(E247:E256,E78:E101,1,2)</f>
        <v>7.1030096826156797E-2</v>
      </c>
      <c r="F334" s="30">
        <f t="shared" ref="F334:U334" si="146">TTEST(F247:F256,F78:F101,1,2)</f>
        <v>1.9958331656985791E-2</v>
      </c>
      <c r="G334" s="30">
        <f t="shared" si="146"/>
        <v>1.3765021805608809E-2</v>
      </c>
      <c r="H334">
        <f t="shared" si="146"/>
        <v>5.4702747540433666E-3</v>
      </c>
      <c r="I334" s="30">
        <f t="shared" si="146"/>
        <v>1.5431497863183225E-3</v>
      </c>
      <c r="J334">
        <f t="shared" si="146"/>
        <v>9.1356383550940077E-7</v>
      </c>
      <c r="K334">
        <f t="shared" si="146"/>
        <v>0.29250078658767892</v>
      </c>
      <c r="L334" s="30">
        <f t="shared" si="146"/>
        <v>1.4489528104662545E-6</v>
      </c>
      <c r="M334">
        <f t="shared" si="146"/>
        <v>3.1037071940486189E-6</v>
      </c>
      <c r="N334">
        <f t="shared" si="146"/>
        <v>1.981703932378341E-4</v>
      </c>
      <c r="O334" s="30">
        <f t="shared" si="146"/>
        <v>4.4377974997900753E-5</v>
      </c>
      <c r="P334">
        <f t="shared" si="146"/>
        <v>0.11658455476284862</v>
      </c>
      <c r="Q334">
        <f t="shared" si="146"/>
        <v>0.14463488531566596</v>
      </c>
      <c r="R334" s="30">
        <f t="shared" si="146"/>
        <v>0.10507021373998496</v>
      </c>
      <c r="S334">
        <f t="shared" si="146"/>
        <v>6.9385167841528039E-2</v>
      </c>
      <c r="T334">
        <f t="shared" si="146"/>
        <v>0.4896405785944945</v>
      </c>
      <c r="U334" s="30">
        <f t="shared" si="146"/>
        <v>3.778651793399667E-2</v>
      </c>
      <c r="V334" s="182"/>
      <c r="W334" s="182"/>
      <c r="X334" s="184"/>
      <c r="Y334" s="27">
        <f>TTEST(Y247:Y256,Y78:Y93,1,2)</f>
        <v>0.25067854307176718</v>
      </c>
    </row>
    <row r="335" spans="1:25" ht="15" customHeight="1" thickBot="1" x14ac:dyDescent="0.3">
      <c r="A335" s="679"/>
      <c r="B335" s="648"/>
      <c r="C335" s="673"/>
      <c r="D335" s="329" t="s">
        <v>165</v>
      </c>
      <c r="E335" s="73">
        <f>TTEST(E102:E131,E78:E101,1,2)</f>
        <v>0.16763006338429198</v>
      </c>
      <c r="F335" s="9">
        <f t="shared" ref="F335:Y335" si="147">TTEST(F102:F131,F78:F101,1,2)</f>
        <v>0.10912661055454567</v>
      </c>
      <c r="G335" s="9">
        <f t="shared" si="147"/>
        <v>0.34644648574333031</v>
      </c>
      <c r="H335" s="2">
        <f t="shared" si="147"/>
        <v>7.7874667510933982E-3</v>
      </c>
      <c r="I335" s="9">
        <f t="shared" si="147"/>
        <v>0.1560188177045187</v>
      </c>
      <c r="J335" s="2">
        <f t="shared" si="147"/>
        <v>7.5466242375570121E-8</v>
      </c>
      <c r="K335" s="2">
        <f t="shared" si="147"/>
        <v>9.3898259518613983E-2</v>
      </c>
      <c r="L335" s="9">
        <f t="shared" si="147"/>
        <v>1.608397196582196E-5</v>
      </c>
      <c r="M335" s="2">
        <f t="shared" si="147"/>
        <v>0.10368177473605976</v>
      </c>
      <c r="N335" s="2">
        <f t="shared" si="147"/>
        <v>0.14900443547341155</v>
      </c>
      <c r="O335" s="9">
        <f t="shared" si="147"/>
        <v>0.38794451643556782</v>
      </c>
      <c r="P335" s="2">
        <f t="shared" si="147"/>
        <v>0.24221858541922531</v>
      </c>
      <c r="Q335" s="2">
        <f t="shared" si="147"/>
        <v>0.13869849105005128</v>
      </c>
      <c r="R335" s="9">
        <f t="shared" si="147"/>
        <v>3.5105302660981198E-2</v>
      </c>
      <c r="S335" s="2">
        <f t="shared" si="147"/>
        <v>1.858474631997661E-5</v>
      </c>
      <c r="T335" s="2">
        <f t="shared" si="147"/>
        <v>8.5853779965289395E-2</v>
      </c>
      <c r="U335" s="9">
        <f t="shared" si="147"/>
        <v>1.6075247330510188E-4</v>
      </c>
      <c r="V335" s="2">
        <f t="shared" si="147"/>
        <v>4.9322226787440722E-3</v>
      </c>
      <c r="W335" s="2">
        <f t="shared" si="147"/>
        <v>5.4422800598528519E-2</v>
      </c>
      <c r="X335" s="8">
        <f t="shared" si="147"/>
        <v>7.1792224452995402E-3</v>
      </c>
      <c r="Y335" s="8">
        <f t="shared" si="147"/>
        <v>6.2096124859840875E-2</v>
      </c>
    </row>
    <row r="336" spans="1:25" ht="15" customHeight="1" x14ac:dyDescent="0.25">
      <c r="A336" s="679"/>
      <c r="B336" s="672" t="s">
        <v>157</v>
      </c>
      <c r="C336" s="672" t="s">
        <v>346</v>
      </c>
      <c r="D336" s="71" t="s">
        <v>201</v>
      </c>
      <c r="E336" s="71">
        <f t="shared" ref="E336:O336" si="148">TTEST(E132:E137,E149:E159,1,2)</f>
        <v>4.5104316471117296E-2</v>
      </c>
      <c r="F336" s="28">
        <f t="shared" si="148"/>
        <v>0.12311976895214852</v>
      </c>
      <c r="G336" s="28">
        <f t="shared" si="148"/>
        <v>5.1049390446050253E-5</v>
      </c>
      <c r="H336" s="50">
        <f t="shared" si="148"/>
        <v>1.4078458293926802E-5</v>
      </c>
      <c r="I336" s="28">
        <f t="shared" si="148"/>
        <v>1.8459304848914582E-5</v>
      </c>
      <c r="J336" s="50">
        <f t="shared" si="148"/>
        <v>0.13236972309742326</v>
      </c>
      <c r="K336" s="50">
        <f t="shared" si="148"/>
        <v>1.0989718518792288E-4</v>
      </c>
      <c r="L336" s="28">
        <f t="shared" si="148"/>
        <v>0.29349131499711717</v>
      </c>
      <c r="M336" s="50">
        <f t="shared" si="148"/>
        <v>0.48314944777070651</v>
      </c>
      <c r="N336" s="50">
        <f t="shared" si="148"/>
        <v>2.1446867644992055E-3</v>
      </c>
      <c r="O336" s="28">
        <f t="shared" si="148"/>
        <v>0.2739306455203715</v>
      </c>
      <c r="P336" s="181"/>
      <c r="Q336" s="181"/>
      <c r="R336" s="278"/>
      <c r="S336" s="181"/>
      <c r="T336" s="181"/>
      <c r="U336" s="278"/>
      <c r="V336" s="181"/>
      <c r="W336" s="181"/>
      <c r="X336" s="192"/>
      <c r="Y336" s="25">
        <f>TTEST(Y132:Y137,Y149:Y159,1,2)</f>
        <v>0.1557347690623776</v>
      </c>
    </row>
    <row r="337" spans="1:25" ht="15" customHeight="1" x14ac:dyDescent="0.25">
      <c r="A337" s="679"/>
      <c r="B337" s="679"/>
      <c r="C337" s="679"/>
      <c r="D337" s="72" t="s">
        <v>202</v>
      </c>
      <c r="E337" s="72">
        <f t="shared" ref="E337:O337" si="149">TTEST(E132:E137,E172:E183,1,2)</f>
        <v>0.13990760987345974</v>
      </c>
      <c r="F337" s="30">
        <f t="shared" si="149"/>
        <v>0.27767801062947878</v>
      </c>
      <c r="G337" s="30">
        <f t="shared" si="149"/>
        <v>4.9654228987791127E-4</v>
      </c>
      <c r="H337">
        <f t="shared" si="149"/>
        <v>2.4923536385634592E-8</v>
      </c>
      <c r="I337" s="30">
        <f t="shared" si="149"/>
        <v>4.8987641960302325E-8</v>
      </c>
      <c r="J337">
        <f t="shared" si="149"/>
        <v>3.657369359053942E-2</v>
      </c>
      <c r="K337">
        <f t="shared" si="149"/>
        <v>2.3801759809186493E-3</v>
      </c>
      <c r="L337" s="30">
        <f t="shared" si="149"/>
        <v>0.12633863439908549</v>
      </c>
      <c r="M337">
        <f t="shared" si="149"/>
        <v>9.1098344386040794E-2</v>
      </c>
      <c r="N337">
        <f t="shared" si="149"/>
        <v>1.1906637016568718E-4</v>
      </c>
      <c r="O337" s="30">
        <f t="shared" si="149"/>
        <v>4.6752793331649542E-2</v>
      </c>
      <c r="P337" s="182"/>
      <c r="Q337" s="182"/>
      <c r="R337" s="183"/>
      <c r="S337" s="182"/>
      <c r="T337" s="182"/>
      <c r="U337" s="183"/>
      <c r="V337" s="182"/>
      <c r="W337" s="182"/>
      <c r="X337" s="184"/>
      <c r="Y337" s="27">
        <f>TTEST(Y132:Y137,Y172:Y183,1,2)</f>
        <v>0.42834354897705718</v>
      </c>
    </row>
    <row r="338" spans="1:25" ht="15" customHeight="1" x14ac:dyDescent="0.25">
      <c r="A338" s="679"/>
      <c r="B338" s="679"/>
      <c r="C338" s="679"/>
      <c r="D338" s="72" t="s">
        <v>309</v>
      </c>
      <c r="E338" s="72">
        <f t="shared" ref="E338:O338" si="150">TTEST(E132:E137,E283:E287,1,2)</f>
        <v>0.12124517822260412</v>
      </c>
      <c r="F338" s="30">
        <f t="shared" si="150"/>
        <v>1.3509298617535085E-2</v>
      </c>
      <c r="G338" s="30">
        <f t="shared" si="150"/>
        <v>1.4585810361014021E-3</v>
      </c>
      <c r="H338">
        <f t="shared" si="150"/>
        <v>1.1298738072904331E-3</v>
      </c>
      <c r="I338" s="30">
        <f t="shared" si="150"/>
        <v>6.7841691665251839E-3</v>
      </c>
      <c r="J338">
        <f t="shared" si="150"/>
        <v>3.3762002622599131E-2</v>
      </c>
      <c r="K338">
        <f t="shared" si="150"/>
        <v>1.5268548118459617E-2</v>
      </c>
      <c r="L338" s="30">
        <f t="shared" si="150"/>
        <v>0.25569782625810139</v>
      </c>
      <c r="M338">
        <f t="shared" si="150"/>
        <v>0.1472037148216051</v>
      </c>
      <c r="N338">
        <f t="shared" si="150"/>
        <v>8.4633494408636253E-3</v>
      </c>
      <c r="O338" s="30">
        <f t="shared" si="150"/>
        <v>0.1940591292853584</v>
      </c>
      <c r="P338" s="182"/>
      <c r="Q338" s="182"/>
      <c r="R338" s="183"/>
      <c r="S338" s="182"/>
      <c r="T338" s="182"/>
      <c r="U338" s="183"/>
      <c r="V338" s="182"/>
      <c r="W338" s="182"/>
      <c r="X338" s="184"/>
      <c r="Y338" s="27" t="e">
        <f>TTEST(Y132:Y137,Y283:Y287,1,2)</f>
        <v>#DIV/0!</v>
      </c>
    </row>
    <row r="339" spans="1:25" ht="15" customHeight="1" x14ac:dyDescent="0.25">
      <c r="A339" s="679"/>
      <c r="B339" s="679"/>
      <c r="C339" s="679"/>
      <c r="D339" s="72" t="s">
        <v>250</v>
      </c>
      <c r="E339" s="72">
        <f t="shared" ref="E339:O339" si="151">TTEST(E132:E137,E288:E302,1,2)</f>
        <v>0.1262171918421616</v>
      </c>
      <c r="F339" s="30">
        <f t="shared" si="151"/>
        <v>0.38182516395338989</v>
      </c>
      <c r="G339" s="30">
        <f t="shared" si="151"/>
        <v>1.0354721978421919E-4</v>
      </c>
      <c r="H339">
        <f t="shared" si="151"/>
        <v>6.0679045194534091E-6</v>
      </c>
      <c r="I339" s="30">
        <f t="shared" si="151"/>
        <v>7.9019653436033408E-6</v>
      </c>
      <c r="J339">
        <f t="shared" si="151"/>
        <v>0.1648395915206467</v>
      </c>
      <c r="K339">
        <f t="shared" si="151"/>
        <v>0.20802110234167315</v>
      </c>
      <c r="L339" s="30">
        <f t="shared" si="151"/>
        <v>0.10669167740615208</v>
      </c>
      <c r="M339">
        <f t="shared" si="151"/>
        <v>5.9056600630991054E-4</v>
      </c>
      <c r="N339">
        <f t="shared" si="151"/>
        <v>2.9657464669351055E-2</v>
      </c>
      <c r="O339" s="30">
        <f t="shared" si="151"/>
        <v>1.7637615203667453E-2</v>
      </c>
      <c r="P339" s="182"/>
      <c r="Q339" s="182"/>
      <c r="R339" s="183"/>
      <c r="S339" s="182"/>
      <c r="T339" s="182"/>
      <c r="U339" s="183"/>
      <c r="V339" s="182"/>
      <c r="W339" s="182"/>
      <c r="X339" s="184"/>
      <c r="Y339" s="27" t="e">
        <f>TTEST(Y132:Y137,Y288:Y302,1,2)</f>
        <v>#DIV/0!</v>
      </c>
    </row>
    <row r="340" spans="1:25" ht="15" customHeight="1" x14ac:dyDescent="0.25">
      <c r="A340" s="679"/>
      <c r="B340" s="679"/>
      <c r="C340" s="679"/>
      <c r="D340" s="72" t="s">
        <v>347</v>
      </c>
      <c r="E340" s="472"/>
      <c r="F340" s="183"/>
      <c r="G340" s="183"/>
      <c r="H340" s="182"/>
      <c r="I340" s="183"/>
      <c r="J340" s="182"/>
      <c r="K340" s="182"/>
      <c r="L340" s="183"/>
      <c r="M340" s="182"/>
      <c r="N340" s="182"/>
      <c r="O340" s="183"/>
      <c r="P340" s="182"/>
      <c r="Q340" s="182"/>
      <c r="R340" s="183"/>
      <c r="S340" s="182"/>
      <c r="T340" s="182"/>
      <c r="U340" s="183"/>
      <c r="V340" s="182"/>
      <c r="W340" s="182"/>
      <c r="X340" s="184"/>
      <c r="Y340" s="184"/>
    </row>
    <row r="341" spans="1:25" ht="15" customHeight="1" x14ac:dyDescent="0.25">
      <c r="A341" s="679"/>
      <c r="B341" s="679"/>
      <c r="C341" s="679"/>
      <c r="D341" s="72" t="s">
        <v>348</v>
      </c>
      <c r="E341" s="212" t="e">
        <f t="shared" ref="E341:O341" si="152">TTEST(E132:E137,E303:E312,1,2)</f>
        <v>#DIV/0!</v>
      </c>
      <c r="F341" s="90">
        <f t="shared" si="152"/>
        <v>0.48169353656792679</v>
      </c>
      <c r="G341" s="90">
        <f t="shared" si="152"/>
        <v>6.7032549206281086E-6</v>
      </c>
      <c r="H341" s="60">
        <f t="shared" si="152"/>
        <v>6.7452385432515782E-5</v>
      </c>
      <c r="I341" s="90">
        <f t="shared" si="152"/>
        <v>5.5294898455247411E-5</v>
      </c>
      <c r="J341" s="60">
        <f t="shared" si="152"/>
        <v>7.5720026635391943E-2</v>
      </c>
      <c r="K341" s="60">
        <f t="shared" si="152"/>
        <v>1.0088316472387377E-11</v>
      </c>
      <c r="L341" s="90">
        <f t="shared" si="152"/>
        <v>7.228091117315906E-2</v>
      </c>
      <c r="M341" s="60">
        <f t="shared" si="152"/>
        <v>2.6735997512534128E-3</v>
      </c>
      <c r="N341" s="60">
        <f t="shared" si="152"/>
        <v>3.5719877389821112E-4</v>
      </c>
      <c r="O341" s="90">
        <f t="shared" si="152"/>
        <v>4.0772829628250103E-4</v>
      </c>
      <c r="P341" s="186"/>
      <c r="Q341" s="186"/>
      <c r="R341" s="187"/>
      <c r="S341" s="186"/>
      <c r="T341" s="186"/>
      <c r="U341" s="187"/>
      <c r="V341" s="186"/>
      <c r="W341" s="186"/>
      <c r="X341" s="188"/>
      <c r="Y341" s="61" t="e">
        <f>TTEST(Y132:Y137,Y303:Y312,1,2)</f>
        <v>#DIV/0!</v>
      </c>
    </row>
    <row r="342" spans="1:25" ht="15" customHeight="1" x14ac:dyDescent="0.25">
      <c r="A342" s="679"/>
      <c r="B342" s="679"/>
      <c r="C342" s="679" t="s">
        <v>349</v>
      </c>
      <c r="D342" s="167" t="s">
        <v>152</v>
      </c>
      <c r="E342" s="72">
        <f t="shared" ref="E342:U342" si="153">TTEST(E149:E159,E172:E183,1,2)</f>
        <v>0.37958545440717134</v>
      </c>
      <c r="F342" s="30">
        <f t="shared" si="153"/>
        <v>0.29372680993601108</v>
      </c>
      <c r="G342" s="30">
        <f t="shared" si="153"/>
        <v>1.4233308037955715E-2</v>
      </c>
      <c r="H342">
        <f t="shared" si="153"/>
        <v>1.6629667388355038E-4</v>
      </c>
      <c r="I342" s="30">
        <f t="shared" si="153"/>
        <v>2.3206609249590638E-5</v>
      </c>
      <c r="J342">
        <f t="shared" si="153"/>
        <v>0.23546041667276851</v>
      </c>
      <c r="K342">
        <f t="shared" si="153"/>
        <v>1.5735312226001488E-3</v>
      </c>
      <c r="L342" s="30">
        <f t="shared" si="153"/>
        <v>0.21696385605533552</v>
      </c>
      <c r="M342">
        <f t="shared" si="153"/>
        <v>0.10736168108272491</v>
      </c>
      <c r="N342">
        <f t="shared" si="153"/>
        <v>4.9126072364864761E-4</v>
      </c>
      <c r="O342" s="30">
        <f t="shared" si="153"/>
        <v>3.511309295631166E-2</v>
      </c>
      <c r="P342">
        <f t="shared" si="153"/>
        <v>8.3022842012298093E-2</v>
      </c>
      <c r="Q342">
        <f t="shared" si="153"/>
        <v>0.10034379834414012</v>
      </c>
      <c r="R342" s="30">
        <f t="shared" si="153"/>
        <v>7.5799377231679885E-2</v>
      </c>
      <c r="S342">
        <f t="shared" si="153"/>
        <v>3.2214478334649313E-2</v>
      </c>
      <c r="T342">
        <f t="shared" si="153"/>
        <v>7.3495590042599031E-4</v>
      </c>
      <c r="U342" s="30">
        <f t="shared" si="153"/>
        <v>3.6552755833624537E-2</v>
      </c>
      <c r="V342" s="182"/>
      <c r="W342" s="182"/>
      <c r="X342" s="184"/>
      <c r="Y342" s="27">
        <f>TTEST(Y149:Y159,Y172:Y183,1,2)</f>
        <v>0.39402560313701762</v>
      </c>
    </row>
    <row r="343" spans="1:25" ht="15" customHeight="1" x14ac:dyDescent="0.25">
      <c r="A343" s="679"/>
      <c r="B343" s="679"/>
      <c r="C343" s="679"/>
      <c r="D343" s="72" t="s">
        <v>251</v>
      </c>
      <c r="E343" s="72">
        <f>TTEST(E283:E287,E288:E302,1,2)</f>
        <v>0.21372017492921386</v>
      </c>
      <c r="F343" s="30">
        <f t="shared" ref="F343:Y343" si="154">TTEST(F283:F287,F288:F302,1,2)</f>
        <v>6.0141687025100997E-2</v>
      </c>
      <c r="G343" s="30">
        <f t="shared" si="154"/>
        <v>1.6551821836563363E-3</v>
      </c>
      <c r="H343">
        <f t="shared" si="154"/>
        <v>8.8747494411197975E-2</v>
      </c>
      <c r="I343" s="30">
        <f t="shared" si="154"/>
        <v>4.2165509429389701E-2</v>
      </c>
      <c r="J343">
        <f t="shared" si="154"/>
        <v>1.0937478092091961E-2</v>
      </c>
      <c r="K343">
        <f t="shared" si="154"/>
        <v>0.46469895448105547</v>
      </c>
      <c r="L343" s="30">
        <f t="shared" si="154"/>
        <v>2.7592694909510794E-2</v>
      </c>
      <c r="M343">
        <f t="shared" si="154"/>
        <v>1.1069530477754368E-2</v>
      </c>
      <c r="N343">
        <f t="shared" si="154"/>
        <v>0.18979764308765407</v>
      </c>
      <c r="O343" s="30">
        <f t="shared" si="154"/>
        <v>9.7802215203123908E-3</v>
      </c>
      <c r="P343">
        <f t="shared" si="154"/>
        <v>1.4260079444483237E-2</v>
      </c>
      <c r="Q343">
        <f t="shared" si="154"/>
        <v>7.0957622135007789E-3</v>
      </c>
      <c r="R343" s="30">
        <f t="shared" si="154"/>
        <v>1.6554837341527576E-2</v>
      </c>
      <c r="S343">
        <f t="shared" si="154"/>
        <v>1.1927847476233825E-4</v>
      </c>
      <c r="T343">
        <f t="shared" si="154"/>
        <v>5.5956645528059991E-3</v>
      </c>
      <c r="U343" s="30">
        <f t="shared" si="154"/>
        <v>1.6416584882979036E-4</v>
      </c>
      <c r="V343" s="182"/>
      <c r="W343" s="182"/>
      <c r="X343" s="184"/>
      <c r="Y343" s="27" t="e">
        <f t="shared" si="154"/>
        <v>#DIV/0!</v>
      </c>
    </row>
    <row r="344" spans="1:25" ht="15" customHeight="1" x14ac:dyDescent="0.25">
      <c r="A344" s="679"/>
      <c r="B344" s="679"/>
      <c r="C344" s="679"/>
      <c r="D344" s="72" t="s">
        <v>310</v>
      </c>
      <c r="E344" s="72">
        <f t="shared" ref="E344:U344" si="155">TTEST(E283:E287,E149:E159,1,2)</f>
        <v>0.42881304568494771</v>
      </c>
      <c r="F344" s="30">
        <f t="shared" si="155"/>
        <v>0.15106320148478281</v>
      </c>
      <c r="G344" s="30">
        <f t="shared" si="155"/>
        <v>3.8190171386427503E-2</v>
      </c>
      <c r="H344">
        <f t="shared" si="155"/>
        <v>0.39074905231091417</v>
      </c>
      <c r="I344" s="30">
        <f t="shared" si="155"/>
        <v>0.23842638489236212</v>
      </c>
      <c r="J344">
        <f t="shared" si="155"/>
        <v>0.26385740371905075</v>
      </c>
      <c r="K344">
        <f t="shared" si="155"/>
        <v>0.39383636452298537</v>
      </c>
      <c r="L344" s="30">
        <f t="shared" si="155"/>
        <v>0.45465936406024576</v>
      </c>
      <c r="M344">
        <f t="shared" si="155"/>
        <v>0.27179988601983496</v>
      </c>
      <c r="N344">
        <f t="shared" si="155"/>
        <v>0.34827736562308997</v>
      </c>
      <c r="O344" s="30">
        <f t="shared" si="155"/>
        <v>0.46676946881579051</v>
      </c>
      <c r="P344">
        <f t="shared" si="155"/>
        <v>6.9824899364992254E-2</v>
      </c>
      <c r="Q344">
        <f t="shared" si="155"/>
        <v>9.1894253123491254E-2</v>
      </c>
      <c r="R344" s="30">
        <f t="shared" si="155"/>
        <v>7.6591802800715356E-2</v>
      </c>
      <c r="S344">
        <f t="shared" si="155"/>
        <v>0.35975179214514874</v>
      </c>
      <c r="T344">
        <f t="shared" si="155"/>
        <v>0.46992631617537234</v>
      </c>
      <c r="U344" s="30">
        <f t="shared" si="155"/>
        <v>0.43953701496107317</v>
      </c>
      <c r="V344" s="182"/>
      <c r="W344" s="182"/>
      <c r="X344" s="184"/>
      <c r="Y344" s="27" t="e">
        <f>TTEST(Y283:Y287,Y149:Y159,1,2)</f>
        <v>#DIV/0!</v>
      </c>
    </row>
    <row r="345" spans="1:25" ht="15" customHeight="1" x14ac:dyDescent="0.25">
      <c r="A345" s="679"/>
      <c r="B345" s="679"/>
      <c r="C345" s="679"/>
      <c r="D345" s="72" t="s">
        <v>350</v>
      </c>
      <c r="E345" s="472"/>
      <c r="F345" s="183"/>
      <c r="G345" s="183"/>
      <c r="H345" s="182"/>
      <c r="I345" s="183"/>
      <c r="J345" s="182"/>
      <c r="K345" s="182"/>
      <c r="L345" s="183"/>
      <c r="M345" s="182"/>
      <c r="N345" s="182"/>
      <c r="O345" s="183"/>
      <c r="P345" s="182"/>
      <c r="Q345" s="182"/>
      <c r="R345" s="183"/>
      <c r="S345" s="182"/>
      <c r="T345" s="182"/>
      <c r="U345" s="183"/>
      <c r="V345" s="182"/>
      <c r="W345" s="182"/>
      <c r="X345" s="184"/>
      <c r="Y345" s="184"/>
    </row>
    <row r="346" spans="1:25" ht="15" customHeight="1" x14ac:dyDescent="0.25">
      <c r="A346" s="679"/>
      <c r="B346" s="679"/>
      <c r="C346" s="679" t="s">
        <v>354</v>
      </c>
      <c r="D346" s="355" t="s">
        <v>258</v>
      </c>
      <c r="E346" s="167">
        <f t="shared" ref="E346:U346" si="156">TTEST(E288:E302,E172:E183,1,2)</f>
        <v>0.33836096209711242</v>
      </c>
      <c r="F346" s="126">
        <f t="shared" si="156"/>
        <v>0.38209618717307259</v>
      </c>
      <c r="G346" s="126">
        <f t="shared" si="156"/>
        <v>0.19902303736350901</v>
      </c>
      <c r="H346" s="164">
        <f t="shared" si="156"/>
        <v>1.3857913988179276E-2</v>
      </c>
      <c r="I346" s="126">
        <f t="shared" si="156"/>
        <v>7.8313952270823214E-3</v>
      </c>
      <c r="J346" s="164">
        <f t="shared" si="156"/>
        <v>2.4963907180386925E-3</v>
      </c>
      <c r="K346" s="164">
        <f t="shared" si="156"/>
        <v>2.2672128351854129E-2</v>
      </c>
      <c r="L346" s="126">
        <f t="shared" si="156"/>
        <v>4.2750622990361548E-3</v>
      </c>
      <c r="M346" s="164">
        <f t="shared" si="156"/>
        <v>7.8565985518885412E-2</v>
      </c>
      <c r="N346" s="164">
        <f t="shared" si="156"/>
        <v>7.6134453337310545E-2</v>
      </c>
      <c r="O346" s="126">
        <f t="shared" si="156"/>
        <v>0.10190635331266629</v>
      </c>
      <c r="P346" s="164">
        <f t="shared" si="156"/>
        <v>8.5581023669769364E-3</v>
      </c>
      <c r="Q346" s="164">
        <f t="shared" si="156"/>
        <v>7.6331945337508644E-2</v>
      </c>
      <c r="R346" s="126">
        <f t="shared" si="156"/>
        <v>8.8435576075713614E-3</v>
      </c>
      <c r="S346" s="164">
        <f t="shared" si="156"/>
        <v>8.089418773667896E-2</v>
      </c>
      <c r="T346" s="164">
        <f t="shared" si="156"/>
        <v>0.24465060322137439</v>
      </c>
      <c r="U346" s="126">
        <f t="shared" si="156"/>
        <v>5.5083135400509686E-2</v>
      </c>
      <c r="V346" s="402"/>
      <c r="W346" s="402"/>
      <c r="X346" s="403"/>
      <c r="Y346" s="161" t="e">
        <f>TTEST(Y288:Y302,Y172:Y183,1,2)</f>
        <v>#DIV/0!</v>
      </c>
    </row>
    <row r="347" spans="1:25" ht="15" customHeight="1" x14ac:dyDescent="0.25">
      <c r="A347" s="679"/>
      <c r="B347" s="679"/>
      <c r="C347" s="679"/>
      <c r="D347" s="327" t="s">
        <v>153</v>
      </c>
      <c r="E347" s="72">
        <f>TTEST(E209:E229,E172:E183,1,2)</f>
        <v>0.43612076127953381</v>
      </c>
      <c r="F347" s="30">
        <f t="shared" ref="F347:Y347" si="157">TTEST(F209:F229,F172:F183,1,2)</f>
        <v>0.28771308146467545</v>
      </c>
      <c r="G347" s="30">
        <f t="shared" si="157"/>
        <v>0.29900624283241956</v>
      </c>
      <c r="H347">
        <f t="shared" si="157"/>
        <v>1.7372571290736091E-2</v>
      </c>
      <c r="I347" s="30">
        <f t="shared" si="157"/>
        <v>1.2916083307275578E-2</v>
      </c>
      <c r="J347">
        <f t="shared" si="157"/>
        <v>7.3822679068105121E-2</v>
      </c>
      <c r="K347">
        <f t="shared" si="157"/>
        <v>0.15642862457492379</v>
      </c>
      <c r="L347" s="30">
        <f t="shared" si="157"/>
        <v>7.4974163757734982E-2</v>
      </c>
      <c r="M347">
        <f t="shared" si="157"/>
        <v>0.45700086648110294</v>
      </c>
      <c r="N347">
        <f t="shared" si="157"/>
        <v>0.21158554617551723</v>
      </c>
      <c r="O347" s="30">
        <f t="shared" si="157"/>
        <v>0.30980629183509495</v>
      </c>
      <c r="P347">
        <f t="shared" si="157"/>
        <v>3.6717884641547967E-3</v>
      </c>
      <c r="Q347">
        <f t="shared" si="157"/>
        <v>4.142779770351028E-2</v>
      </c>
      <c r="R347" s="30">
        <f t="shared" si="157"/>
        <v>1.3750092336811513E-2</v>
      </c>
      <c r="S347">
        <f t="shared" si="157"/>
        <v>0.34496260933177825</v>
      </c>
      <c r="T347">
        <f t="shared" si="157"/>
        <v>8.9102374575596624E-2</v>
      </c>
      <c r="U347" s="30">
        <f t="shared" si="157"/>
        <v>0.31566128036286667</v>
      </c>
      <c r="V347" s="182"/>
      <c r="W347" s="182"/>
      <c r="X347" s="184"/>
      <c r="Y347" s="27">
        <f t="shared" si="157"/>
        <v>0.46022711444775416</v>
      </c>
    </row>
    <row r="348" spans="1:25" ht="15" customHeight="1" x14ac:dyDescent="0.25">
      <c r="A348" s="679"/>
      <c r="B348" s="679"/>
      <c r="C348" s="679"/>
      <c r="D348" s="328" t="s">
        <v>311</v>
      </c>
      <c r="E348" s="212">
        <f>TTEST(E288:E302,E209:E229,1,2)</f>
        <v>0.27289168571286399</v>
      </c>
      <c r="F348" s="90">
        <f t="shared" ref="F348:Y348" si="158">TTEST(F288:F302,F209:F229,1,2)</f>
        <v>0.17810663683131162</v>
      </c>
      <c r="G348" s="90">
        <f t="shared" si="158"/>
        <v>5.2431000306134602E-2</v>
      </c>
      <c r="H348" s="60">
        <f t="shared" si="158"/>
        <v>0.1963707452960668</v>
      </c>
      <c r="I348" s="90">
        <f t="shared" si="158"/>
        <v>0.35957514880886315</v>
      </c>
      <c r="J348" s="60">
        <f t="shared" si="158"/>
        <v>2.8946785524787327E-2</v>
      </c>
      <c r="K348" s="60">
        <f t="shared" si="158"/>
        <v>5.963000588052312E-2</v>
      </c>
      <c r="L348" s="90">
        <f t="shared" si="158"/>
        <v>0.22980408112671608</v>
      </c>
      <c r="M348" s="60">
        <f t="shared" si="158"/>
        <v>0.13759818909577065</v>
      </c>
      <c r="N348" s="60">
        <f t="shared" si="158"/>
        <v>0.27345817603310807</v>
      </c>
      <c r="O348" s="90">
        <f t="shared" si="158"/>
        <v>4.3010731619812767E-2</v>
      </c>
      <c r="P348" s="60">
        <f t="shared" si="158"/>
        <v>1.6578618321426829E-2</v>
      </c>
      <c r="Q348" s="60">
        <f t="shared" si="158"/>
        <v>7.686340198683099E-2</v>
      </c>
      <c r="R348" s="90">
        <f t="shared" si="158"/>
        <v>3.9016047239142905E-2</v>
      </c>
      <c r="S348" s="60">
        <f t="shared" si="158"/>
        <v>1.8563994491237305E-2</v>
      </c>
      <c r="T348" s="60">
        <f t="shared" si="158"/>
        <v>2.1225444930272494E-2</v>
      </c>
      <c r="U348" s="90">
        <f t="shared" si="158"/>
        <v>0.19229583074896478</v>
      </c>
      <c r="V348" s="186"/>
      <c r="W348" s="186"/>
      <c r="X348" s="188"/>
      <c r="Y348" s="61" t="e">
        <f t="shared" si="158"/>
        <v>#DIV/0!</v>
      </c>
    </row>
    <row r="349" spans="1:25" ht="15" customHeight="1" x14ac:dyDescent="0.25">
      <c r="A349" s="679"/>
      <c r="B349" s="679"/>
      <c r="C349" s="679"/>
      <c r="D349" s="327" t="s">
        <v>351</v>
      </c>
      <c r="E349" s="72" t="e">
        <f>TTEST(E172:E183,E303:E312,1,2)</f>
        <v>#DIV/0!</v>
      </c>
      <c r="F349" s="30">
        <f t="shared" ref="F349:Y349" si="159">TTEST(F172:F183,F303:F312,1,2)</f>
        <v>0.23794190867616949</v>
      </c>
      <c r="G349" s="30">
        <f t="shared" si="159"/>
        <v>0.13866376914752662</v>
      </c>
      <c r="H349">
        <f t="shared" si="159"/>
        <v>1.6645021327258745E-7</v>
      </c>
      <c r="I349" s="30">
        <f t="shared" si="159"/>
        <v>1.6769512203429932E-8</v>
      </c>
      <c r="J349">
        <f t="shared" si="159"/>
        <v>6.2577482668499894E-4</v>
      </c>
      <c r="K349">
        <f t="shared" si="159"/>
        <v>1.2565042732802961E-5</v>
      </c>
      <c r="L349" s="30">
        <f t="shared" si="159"/>
        <v>5.2976893486647606E-3</v>
      </c>
      <c r="M349">
        <f t="shared" si="159"/>
        <v>0.36160396365807324</v>
      </c>
      <c r="N349">
        <f t="shared" si="159"/>
        <v>1.2439218396160662E-5</v>
      </c>
      <c r="O349" s="30">
        <f t="shared" si="159"/>
        <v>0.1507150237230731</v>
      </c>
      <c r="P349">
        <f t="shared" si="159"/>
        <v>0.11571585407129092</v>
      </c>
      <c r="Q349">
        <f t="shared" si="159"/>
        <v>1.9568255185772126E-3</v>
      </c>
      <c r="R349" s="30">
        <f t="shared" si="159"/>
        <v>0.13685777134996069</v>
      </c>
      <c r="S349">
        <f t="shared" si="159"/>
        <v>2.1842223702786333E-2</v>
      </c>
      <c r="T349">
        <f t="shared" si="159"/>
        <v>0.11947507103673904</v>
      </c>
      <c r="U349" s="30">
        <f t="shared" si="159"/>
        <v>1.9351411277994241E-2</v>
      </c>
      <c r="V349" s="182"/>
      <c r="W349" s="182"/>
      <c r="X349" s="184"/>
      <c r="Y349" s="27" t="e">
        <f t="shared" si="159"/>
        <v>#DIV/0!</v>
      </c>
    </row>
    <row r="350" spans="1:25" ht="15" customHeight="1" x14ac:dyDescent="0.25">
      <c r="A350" s="679"/>
      <c r="B350" s="679"/>
      <c r="C350" s="679"/>
      <c r="D350" s="327" t="s">
        <v>352</v>
      </c>
      <c r="E350" s="72" t="e">
        <f>TTEST(E303:E312,E288:E302,1,2)</f>
        <v>#DIV/0!</v>
      </c>
      <c r="F350" s="30">
        <f t="shared" ref="F350:Y350" si="160">TTEST(F303:F312,F288:F302,1,2)</f>
        <v>0.34391356290827102</v>
      </c>
      <c r="G350" s="30">
        <f t="shared" si="160"/>
        <v>1.9458959436625199E-2</v>
      </c>
      <c r="H350">
        <f t="shared" si="160"/>
        <v>8.9771874164564717E-4</v>
      </c>
      <c r="I350" s="30">
        <f t="shared" si="160"/>
        <v>4.0053219767411269E-4</v>
      </c>
      <c r="J350">
        <f t="shared" si="160"/>
        <v>0.43087505419342231</v>
      </c>
      <c r="K350">
        <f t="shared" si="160"/>
        <v>1.8617853675259189E-2</v>
      </c>
      <c r="L350" s="30">
        <f t="shared" si="160"/>
        <v>0.41773658252772761</v>
      </c>
      <c r="M350">
        <f t="shared" si="160"/>
        <v>5.1504627299835036E-2</v>
      </c>
      <c r="N350">
        <f t="shared" si="160"/>
        <v>2.2848168152864126E-2</v>
      </c>
      <c r="O350" s="30">
        <f t="shared" si="160"/>
        <v>0.23870729319769013</v>
      </c>
      <c r="P350">
        <f t="shared" si="160"/>
        <v>1.6880422238248614E-2</v>
      </c>
      <c r="Q350">
        <f t="shared" si="160"/>
        <v>9.0909435727112647E-4</v>
      </c>
      <c r="R350" s="30">
        <f t="shared" si="160"/>
        <v>1.6450506789243143E-2</v>
      </c>
      <c r="S350">
        <f t="shared" si="160"/>
        <v>0.26286751750462112</v>
      </c>
      <c r="T350">
        <f t="shared" si="160"/>
        <v>2.4453063900172441E-2</v>
      </c>
      <c r="U350" s="30">
        <f t="shared" si="160"/>
        <v>0.35970476350532715</v>
      </c>
      <c r="V350" s="182"/>
      <c r="W350" s="182"/>
      <c r="X350" s="184"/>
      <c r="Y350" s="27" t="e">
        <f t="shared" si="160"/>
        <v>#DIV/0!</v>
      </c>
    </row>
    <row r="351" spans="1:25" ht="15" customHeight="1" x14ac:dyDescent="0.25">
      <c r="A351" s="679"/>
      <c r="B351" s="679"/>
      <c r="C351" s="679"/>
      <c r="D351" s="327" t="s">
        <v>353</v>
      </c>
      <c r="E351" s="72" t="e">
        <f>TTEST(E303:E312,E209:E229,1,2)</f>
        <v>#DIV/0!</v>
      </c>
      <c r="F351" s="30">
        <f t="shared" ref="F351:Y351" si="161">TTEST(F303:F312,F209:F229,1,2)</f>
        <v>0.12544302336046662</v>
      </c>
      <c r="G351" s="30">
        <f t="shared" si="161"/>
        <v>0.15345437858816802</v>
      </c>
      <c r="H351">
        <f t="shared" si="161"/>
        <v>1.0235277225598159E-6</v>
      </c>
      <c r="I351" s="30">
        <f t="shared" si="161"/>
        <v>5.5879864185176413E-5</v>
      </c>
      <c r="J351">
        <f t="shared" si="161"/>
        <v>1.7791952706440267E-2</v>
      </c>
      <c r="K351">
        <f t="shared" si="161"/>
        <v>3.2716501646593592E-5</v>
      </c>
      <c r="L351" s="30">
        <f t="shared" si="161"/>
        <v>0.22061471628241736</v>
      </c>
      <c r="M351">
        <f t="shared" si="161"/>
        <v>0.43746553117559134</v>
      </c>
      <c r="N351">
        <f t="shared" si="161"/>
        <v>4.8525354441859569E-3</v>
      </c>
      <c r="O351" s="30">
        <f t="shared" si="161"/>
        <v>5.9473560095076573E-2</v>
      </c>
      <c r="P351">
        <f t="shared" si="161"/>
        <v>4.8886386075745209E-3</v>
      </c>
      <c r="Q351">
        <f t="shared" si="161"/>
        <v>3.0130791017868339E-2</v>
      </c>
      <c r="R351" s="30">
        <f t="shared" si="161"/>
        <v>1.6578862646425493E-2</v>
      </c>
      <c r="S351">
        <f t="shared" si="161"/>
        <v>2.3890198413794765E-3</v>
      </c>
      <c r="T351">
        <f t="shared" si="161"/>
        <v>0.37285639361743717</v>
      </c>
      <c r="U351" s="30">
        <f t="shared" si="161"/>
        <v>0.11021553696933344</v>
      </c>
      <c r="V351" s="182"/>
      <c r="W351" s="182"/>
      <c r="X351" s="184"/>
      <c r="Y351" s="27" t="e">
        <f t="shared" si="161"/>
        <v>#DIV/0!</v>
      </c>
    </row>
    <row r="352" spans="1:25" ht="15" customHeight="1" x14ac:dyDescent="0.25">
      <c r="A352" s="679"/>
      <c r="B352" s="679"/>
      <c r="C352" s="679"/>
      <c r="D352" s="327" t="s">
        <v>341</v>
      </c>
      <c r="E352" s="72" t="e">
        <f>TTEST(E303:E312,E184:E208,1,2)</f>
        <v>#DIV/0!</v>
      </c>
      <c r="F352" s="30">
        <f t="shared" ref="F352:Y352" si="162">TTEST(F303:F312,F184:F208,1,2)</f>
        <v>0.36001533796584695</v>
      </c>
      <c r="G352" s="30">
        <f t="shared" si="162"/>
        <v>5.2302243829806652E-2</v>
      </c>
      <c r="H352">
        <f t="shared" si="162"/>
        <v>2.4538227402760119E-7</v>
      </c>
      <c r="I352" s="30">
        <f t="shared" si="162"/>
        <v>9.9827140685489158E-7</v>
      </c>
      <c r="J352">
        <f t="shared" si="162"/>
        <v>0.30861243565070651</v>
      </c>
      <c r="K352">
        <f t="shared" si="162"/>
        <v>1.2743312896122259E-12</v>
      </c>
      <c r="L352" s="30">
        <f t="shared" si="162"/>
        <v>0.28103823036065934</v>
      </c>
      <c r="M352">
        <f t="shared" si="162"/>
        <v>2.9428259910334238E-3</v>
      </c>
      <c r="N352">
        <f t="shared" si="162"/>
        <v>1.2075498018482926E-5</v>
      </c>
      <c r="O352" s="30">
        <f t="shared" si="162"/>
        <v>2.7199986446817702E-3</v>
      </c>
      <c r="P352">
        <f t="shared" si="162"/>
        <v>2.3472968194127291E-3</v>
      </c>
      <c r="Q352">
        <f t="shared" si="162"/>
        <v>1.7648472159402856E-3</v>
      </c>
      <c r="R352" s="30">
        <f t="shared" si="162"/>
        <v>2.3953789983604443E-3</v>
      </c>
      <c r="S352">
        <f t="shared" si="162"/>
        <v>0.45235927314690794</v>
      </c>
      <c r="T352">
        <f t="shared" si="162"/>
        <v>1.3449142953923319E-4</v>
      </c>
      <c r="U352" s="30">
        <f t="shared" si="162"/>
        <v>0.36358508581121052</v>
      </c>
      <c r="V352" s="182"/>
      <c r="W352" s="182"/>
      <c r="X352" s="184"/>
      <c r="Y352" s="27" t="e">
        <f t="shared" si="162"/>
        <v>#DIV/0!</v>
      </c>
    </row>
    <row r="353" spans="1:25" ht="15" customHeight="1" x14ac:dyDescent="0.25">
      <c r="A353" s="679"/>
      <c r="B353" s="679"/>
      <c r="C353" s="679"/>
      <c r="D353" s="355" t="s">
        <v>164</v>
      </c>
      <c r="E353" s="167">
        <f>TTEST(E184:E208,E172:E183,1,2)</f>
        <v>0.41574279847991463</v>
      </c>
      <c r="F353" s="126">
        <f t="shared" ref="F353:Y353" si="163">TTEST(F184:F208,F172:F183,1,2)</f>
        <v>0.16093713622419123</v>
      </c>
      <c r="G353" s="126">
        <f t="shared" si="163"/>
        <v>2.1795074225024785E-2</v>
      </c>
      <c r="H353" s="164">
        <f t="shared" si="163"/>
        <v>5.567014342652785E-3</v>
      </c>
      <c r="I353" s="126">
        <f t="shared" si="163"/>
        <v>1.0872607228784314E-2</v>
      </c>
      <c r="J353" s="164">
        <f t="shared" si="163"/>
        <v>1.8158048553965876E-2</v>
      </c>
      <c r="K353" s="164">
        <f t="shared" si="163"/>
        <v>2.706933290256678E-2</v>
      </c>
      <c r="L353" s="126">
        <f t="shared" si="163"/>
        <v>5.6487993816743465E-2</v>
      </c>
      <c r="M353" s="164">
        <f t="shared" si="163"/>
        <v>1.9655720663051483E-2</v>
      </c>
      <c r="N353" s="164">
        <f t="shared" si="163"/>
        <v>2.1442190563868625E-2</v>
      </c>
      <c r="O353" s="126">
        <f t="shared" si="163"/>
        <v>3.3396395584298126E-2</v>
      </c>
      <c r="P353" s="164">
        <f t="shared" si="163"/>
        <v>1.9359324544828572E-3</v>
      </c>
      <c r="Q353" s="164">
        <f t="shared" si="163"/>
        <v>2.9055492441879098E-3</v>
      </c>
      <c r="R353" s="126">
        <f t="shared" si="163"/>
        <v>1.983999725495008E-3</v>
      </c>
      <c r="S353" s="164">
        <f t="shared" si="163"/>
        <v>2.8352074530220994E-2</v>
      </c>
      <c r="T353" s="164">
        <f t="shared" si="163"/>
        <v>1.0978640909080187E-2</v>
      </c>
      <c r="U353" s="126">
        <f t="shared" si="163"/>
        <v>3.3242477354416461E-2</v>
      </c>
      <c r="V353" s="402"/>
      <c r="W353" s="402"/>
      <c r="X353" s="403"/>
      <c r="Y353" s="161">
        <f t="shared" si="163"/>
        <v>0.194075154863243</v>
      </c>
    </row>
    <row r="354" spans="1:25" ht="15" customHeight="1" x14ac:dyDescent="0.25">
      <c r="A354" s="679"/>
      <c r="B354" s="679"/>
      <c r="C354" s="679"/>
      <c r="D354" s="327" t="s">
        <v>312</v>
      </c>
      <c r="E354" s="72">
        <f>TTEST(E288:E302,E184:E208,1,2)</f>
        <v>0.4339232603940244</v>
      </c>
      <c r="F354" s="30">
        <f t="shared" ref="F354:Y354" si="164">TTEST(F288:F302,F184:F208,1,2)</f>
        <v>0.21098360111752612</v>
      </c>
      <c r="G354" s="30">
        <f t="shared" si="164"/>
        <v>1.3633137179964653E-3</v>
      </c>
      <c r="H354">
        <f t="shared" si="164"/>
        <v>0.2420166769560641</v>
      </c>
      <c r="I354" s="30">
        <f t="shared" si="164"/>
        <v>0.22380311954212334</v>
      </c>
      <c r="J354">
        <f t="shared" si="164"/>
        <v>0.34702763229351874</v>
      </c>
      <c r="K354">
        <f t="shared" si="164"/>
        <v>1.7364782215363552E-2</v>
      </c>
      <c r="L354" s="30">
        <f t="shared" si="164"/>
        <v>0.29712262430899988</v>
      </c>
      <c r="M354">
        <f t="shared" si="164"/>
        <v>4.4288735409449551E-5</v>
      </c>
      <c r="N354">
        <f t="shared" si="164"/>
        <v>0.33219925583652732</v>
      </c>
      <c r="O354" s="30">
        <f t="shared" si="164"/>
        <v>1.1797284682710659E-3</v>
      </c>
      <c r="P354">
        <f t="shared" si="164"/>
        <v>3.6953284627671812E-3</v>
      </c>
      <c r="Q354">
        <f t="shared" si="164"/>
        <v>9.8755349549284003E-3</v>
      </c>
      <c r="R354" s="30">
        <f t="shared" si="164"/>
        <v>4.2175311639413978E-3</v>
      </c>
      <c r="S354">
        <f t="shared" si="164"/>
        <v>0.29021826523878685</v>
      </c>
      <c r="T354">
        <f t="shared" si="164"/>
        <v>7.1306130193196218E-2</v>
      </c>
      <c r="U354" s="30">
        <f t="shared" si="164"/>
        <v>0.47940246428715294</v>
      </c>
      <c r="V354" s="182"/>
      <c r="W354" s="182"/>
      <c r="X354" s="184"/>
      <c r="Y354" s="27" t="e">
        <f t="shared" si="164"/>
        <v>#DIV/0!</v>
      </c>
    </row>
    <row r="355" spans="1:25" ht="15" customHeight="1" thickBot="1" x14ac:dyDescent="0.3">
      <c r="A355" s="679"/>
      <c r="B355" s="673"/>
      <c r="C355" s="673"/>
      <c r="D355" s="329" t="s">
        <v>165</v>
      </c>
      <c r="E355" s="73">
        <f>TTEST(E184:E208,E209:E229,1,2)</f>
        <v>0.32625771398661818</v>
      </c>
      <c r="F355" s="9">
        <f t="shared" ref="F355:Y355" si="165">TTEST(F184:F208,F209:F229,1,2)</f>
        <v>4.0188189223367539E-2</v>
      </c>
      <c r="G355" s="9">
        <f t="shared" si="165"/>
        <v>5.8864631312621788E-3</v>
      </c>
      <c r="H355" s="2">
        <f t="shared" si="165"/>
        <v>0.36861746525089922</v>
      </c>
      <c r="I355" s="9">
        <f t="shared" si="165"/>
        <v>0.34395631440563978</v>
      </c>
      <c r="J355" s="2">
        <f t="shared" si="165"/>
        <v>9.4546256495852285E-2</v>
      </c>
      <c r="K355" s="2">
        <f t="shared" si="165"/>
        <v>0.34053432695466634</v>
      </c>
      <c r="L355" s="9">
        <f t="shared" si="165"/>
        <v>0.42867281853375278</v>
      </c>
      <c r="M355" s="2">
        <f t="shared" si="165"/>
        <v>1.6848454108412691E-2</v>
      </c>
      <c r="N355" s="2">
        <f t="shared" si="165"/>
        <v>0.28729378461463462</v>
      </c>
      <c r="O355" s="9">
        <f t="shared" si="165"/>
        <v>7.4042160443258273E-2</v>
      </c>
      <c r="P355" s="2">
        <f t="shared" si="165"/>
        <v>0.15501179164323636</v>
      </c>
      <c r="Q355" s="2">
        <f t="shared" si="165"/>
        <v>0.34959929306432092</v>
      </c>
      <c r="R355" s="9">
        <f t="shared" si="165"/>
        <v>0.24961635232141421</v>
      </c>
      <c r="S355" s="2">
        <f t="shared" si="165"/>
        <v>3.4975214973670082E-3</v>
      </c>
      <c r="T355" s="2">
        <f t="shared" si="165"/>
        <v>9.0451037263751755E-5</v>
      </c>
      <c r="U355" s="9">
        <f t="shared" si="165"/>
        <v>0.15442577536730798</v>
      </c>
      <c r="V355" s="2">
        <f t="shared" si="165"/>
        <v>0.15471387214670246</v>
      </c>
      <c r="W355" s="2">
        <f t="shared" si="165"/>
        <v>7.8455972308991151E-2</v>
      </c>
      <c r="X355" s="8">
        <f t="shared" si="165"/>
        <v>9.3632360295781494E-2</v>
      </c>
      <c r="Y355" s="331">
        <f t="shared" si="165"/>
        <v>1.0234508222343099E-2</v>
      </c>
    </row>
    <row r="356" spans="1:25" ht="15" customHeight="1" x14ac:dyDescent="0.25">
      <c r="A356" s="679"/>
      <c r="B356" s="672" t="s">
        <v>155</v>
      </c>
      <c r="C356" s="672"/>
      <c r="D356" s="25" t="s">
        <v>154</v>
      </c>
      <c r="E356" s="50">
        <f t="shared" ref="E356:U356" si="166">TTEST(E22:E32,E149:E159,1,2)</f>
        <v>0.1652978715417549</v>
      </c>
      <c r="F356" s="28">
        <f t="shared" si="166"/>
        <v>0.37216863807967304</v>
      </c>
      <c r="G356" s="28">
        <f t="shared" si="166"/>
        <v>0.19025196798210275</v>
      </c>
      <c r="H356" s="50">
        <f t="shared" si="166"/>
        <v>5.1483147825513685E-2</v>
      </c>
      <c r="I356" s="28">
        <f t="shared" si="166"/>
        <v>4.2100360682548132E-2</v>
      </c>
      <c r="J356" s="50">
        <f t="shared" si="166"/>
        <v>9.5693795694289292E-4</v>
      </c>
      <c r="K356" s="50">
        <f t="shared" si="166"/>
        <v>0.4296888240157406</v>
      </c>
      <c r="L356" s="28">
        <f t="shared" si="166"/>
        <v>6.5580676523153561E-3</v>
      </c>
      <c r="M356" s="50">
        <f t="shared" si="166"/>
        <v>0.24072523124511891</v>
      </c>
      <c r="N356" s="50">
        <f t="shared" si="166"/>
        <v>0.28545722772908488</v>
      </c>
      <c r="O356" s="28">
        <f t="shared" si="166"/>
        <v>0.44509650082793734</v>
      </c>
      <c r="P356" s="50">
        <f t="shared" si="166"/>
        <v>2.9142440792702607E-2</v>
      </c>
      <c r="Q356" s="50">
        <f t="shared" si="166"/>
        <v>3.4995042515229634E-2</v>
      </c>
      <c r="R356" s="28">
        <f t="shared" si="166"/>
        <v>2.564905264401458E-2</v>
      </c>
      <c r="S356" s="50">
        <f t="shared" si="166"/>
        <v>0.27500739601802693</v>
      </c>
      <c r="T356" s="50">
        <f t="shared" si="166"/>
        <v>0.27081433516855169</v>
      </c>
      <c r="U356" s="28">
        <f t="shared" si="166"/>
        <v>0.36148039710167401</v>
      </c>
      <c r="V356" s="181"/>
      <c r="W356" s="181"/>
      <c r="X356" s="181"/>
      <c r="Y356" s="324">
        <f>TTEST(Y22:Y32,Y149:Y159,1,2)</f>
        <v>0.43169965006606587</v>
      </c>
    </row>
    <row r="357" spans="1:25" ht="15" customHeight="1" x14ac:dyDescent="0.25">
      <c r="A357" s="679"/>
      <c r="B357" s="679"/>
      <c r="C357" s="679"/>
      <c r="D357" s="27" t="s">
        <v>307</v>
      </c>
      <c r="E357">
        <f t="shared" ref="E357:Y357" si="167">TTEST(E283:E287,E242:E246,1,2)</f>
        <v>0.10770252647024564</v>
      </c>
      <c r="F357">
        <f t="shared" si="167"/>
        <v>2.4879177329975837E-3</v>
      </c>
      <c r="G357" s="143">
        <f t="shared" si="167"/>
        <v>6.4819873386890894E-2</v>
      </c>
      <c r="H357" s="143">
        <f t="shared" si="167"/>
        <v>9.932962800980473E-2</v>
      </c>
      <c r="I357">
        <f t="shared" si="167"/>
        <v>0.34592842398247947</v>
      </c>
      <c r="J357" s="143">
        <f t="shared" si="167"/>
        <v>0.49316288527350938</v>
      </c>
      <c r="K357">
        <f t="shared" si="167"/>
        <v>7.7024668161876281E-2</v>
      </c>
      <c r="L357">
        <f t="shared" si="167"/>
        <v>2.720286589540442E-2</v>
      </c>
      <c r="M357" s="143">
        <f t="shared" si="167"/>
        <v>2.4233167392253026E-5</v>
      </c>
      <c r="N357">
        <f t="shared" si="167"/>
        <v>0.49873351239179042</v>
      </c>
      <c r="O357">
        <f t="shared" si="167"/>
        <v>2.0409742944800642E-2</v>
      </c>
      <c r="P357" s="143">
        <f t="shared" si="167"/>
        <v>5.313861520729448E-2</v>
      </c>
      <c r="Q357">
        <f t="shared" si="167"/>
        <v>0.34831833110192068</v>
      </c>
      <c r="R357">
        <f t="shared" si="167"/>
        <v>0.11933751027222772</v>
      </c>
      <c r="S357" s="143">
        <f t="shared" si="167"/>
        <v>0.10407778138919306</v>
      </c>
      <c r="T357">
        <f t="shared" si="167"/>
        <v>0.48343435046466443</v>
      </c>
      <c r="U357">
        <f t="shared" si="167"/>
        <v>0.24586726568750333</v>
      </c>
      <c r="V357" s="383"/>
      <c r="W357" s="182"/>
      <c r="X357" s="182"/>
      <c r="Y357" s="168" t="e">
        <f t="shared" si="167"/>
        <v>#DIV/0!</v>
      </c>
    </row>
    <row r="358" spans="1:25" ht="15" customHeight="1" x14ac:dyDescent="0.25">
      <c r="A358" s="679"/>
      <c r="B358" s="679"/>
      <c r="C358" s="679"/>
      <c r="D358" s="27" t="s">
        <v>156</v>
      </c>
      <c r="E358">
        <f t="shared" ref="E358:U358" si="168">TTEST(E58:E71,E160:E170,1,2)</f>
        <v>6.9597733023627137E-2</v>
      </c>
      <c r="F358" s="30">
        <f t="shared" si="168"/>
        <v>1.9302272267387711E-2</v>
      </c>
      <c r="G358" s="30">
        <f t="shared" si="168"/>
        <v>0.42855779400975108</v>
      </c>
      <c r="H358">
        <f t="shared" si="168"/>
        <v>9.3172831785526156E-2</v>
      </c>
      <c r="I358" s="30">
        <f t="shared" si="168"/>
        <v>0.11143724774546325</v>
      </c>
      <c r="J358">
        <f t="shared" si="168"/>
        <v>0.27085717246473062</v>
      </c>
      <c r="K358">
        <f t="shared" si="168"/>
        <v>0.47114333846478812</v>
      </c>
      <c r="L358" s="30">
        <f t="shared" si="168"/>
        <v>0.47491315129361539</v>
      </c>
      <c r="M358">
        <f t="shared" si="168"/>
        <v>0.13653648801230239</v>
      </c>
      <c r="N358">
        <f t="shared" si="168"/>
        <v>0.23801253335236833</v>
      </c>
      <c r="O358" s="30">
        <f t="shared" si="168"/>
        <v>0.21764375590449081</v>
      </c>
      <c r="P358">
        <f t="shared" si="168"/>
        <v>7.7473538425672783E-2</v>
      </c>
      <c r="Q358">
        <f t="shared" si="168"/>
        <v>4.5668848273914146E-2</v>
      </c>
      <c r="R358" s="30">
        <f t="shared" si="168"/>
        <v>8.752484997491311E-2</v>
      </c>
      <c r="S358">
        <f t="shared" si="168"/>
        <v>1.6885110226229953E-2</v>
      </c>
      <c r="T358">
        <f t="shared" si="168"/>
        <v>4.5390860591392017E-2</v>
      </c>
      <c r="U358" s="30">
        <f t="shared" si="168"/>
        <v>1.3564955184818166E-2</v>
      </c>
      <c r="V358" s="182"/>
      <c r="W358" s="182"/>
      <c r="X358" s="182"/>
      <c r="Y358" s="168">
        <f>TTEST(Y58:Y71,Y160:Y170,1,2)</f>
        <v>6.7149671402798233E-2</v>
      </c>
    </row>
    <row r="359" spans="1:25" ht="15" customHeight="1" x14ac:dyDescent="0.25">
      <c r="A359" s="679"/>
      <c r="B359" s="679"/>
      <c r="C359" s="679"/>
      <c r="D359" s="27" t="s">
        <v>308</v>
      </c>
      <c r="E359">
        <f>TTEST(E247:E256,E288:E302,1,2)</f>
        <v>1.4436679576419373E-2</v>
      </c>
      <c r="F359" s="30">
        <f t="shared" ref="F359:Y359" si="169">TTEST(F247:F256,F288:F302,1,2)</f>
        <v>4.6632943255892692E-2</v>
      </c>
      <c r="G359" s="30">
        <f t="shared" si="169"/>
        <v>7.073964856158587E-3</v>
      </c>
      <c r="H359">
        <f t="shared" si="169"/>
        <v>0.49677305296517577</v>
      </c>
      <c r="I359" s="30">
        <f t="shared" si="169"/>
        <v>0.28079606860230832</v>
      </c>
      <c r="J359">
        <f t="shared" si="169"/>
        <v>5.798990877710974E-4</v>
      </c>
      <c r="K359">
        <f t="shared" si="169"/>
        <v>0.35861601841801477</v>
      </c>
      <c r="L359" s="30">
        <f t="shared" si="169"/>
        <v>1.6660984216397107E-6</v>
      </c>
      <c r="M359">
        <f t="shared" si="169"/>
        <v>4.6224528199659427E-11</v>
      </c>
      <c r="N359">
        <f t="shared" si="169"/>
        <v>0.18046791297497394</v>
      </c>
      <c r="O359" s="30">
        <f t="shared" si="169"/>
        <v>1.2357607955244191E-6</v>
      </c>
      <c r="P359">
        <f t="shared" si="169"/>
        <v>0.49081986100970354</v>
      </c>
      <c r="Q359">
        <f t="shared" si="169"/>
        <v>0.30154356500664747</v>
      </c>
      <c r="R359" s="30">
        <f t="shared" si="169"/>
        <v>0.40903523097594924</v>
      </c>
      <c r="S359">
        <f t="shared" si="169"/>
        <v>0.25295265566338077</v>
      </c>
      <c r="T359">
        <f t="shared" si="169"/>
        <v>0.41714746961155474</v>
      </c>
      <c r="U359" s="30">
        <f t="shared" si="169"/>
        <v>0.46261018286277189</v>
      </c>
      <c r="V359" s="182"/>
      <c r="W359" s="182"/>
      <c r="X359" s="182"/>
      <c r="Y359" s="168" t="e">
        <f t="shared" si="169"/>
        <v>#DIV/0!</v>
      </c>
    </row>
    <row r="360" spans="1:25" ht="15" customHeight="1" x14ac:dyDescent="0.25">
      <c r="A360" s="679"/>
      <c r="B360" s="679"/>
      <c r="C360" s="679"/>
      <c r="D360" s="27" t="s">
        <v>344</v>
      </c>
      <c r="G360" s="30"/>
      <c r="I360" s="30"/>
      <c r="L360" s="30"/>
      <c r="O360" s="30"/>
      <c r="R360" s="30"/>
      <c r="U360" s="30"/>
      <c r="V360" s="182"/>
      <c r="W360" s="182"/>
      <c r="X360" s="182"/>
      <c r="Y360" s="168"/>
    </row>
    <row r="361" spans="1:25" ht="15" customHeight="1" x14ac:dyDescent="0.25">
      <c r="A361" s="679"/>
      <c r="B361" s="679"/>
      <c r="C361" s="679"/>
      <c r="D361" s="27" t="s">
        <v>345</v>
      </c>
      <c r="E361" t="e">
        <f>TTEST(E303:E312,E267:E282,1,2)</f>
        <v>#DIV/0!</v>
      </c>
      <c r="F361">
        <f t="shared" ref="F361:Y361" si="170">TTEST(F303:F312,F267:F282,1,2)</f>
        <v>0.26838875522032635</v>
      </c>
      <c r="G361" s="30">
        <f t="shared" si="170"/>
        <v>0.13829216195692293</v>
      </c>
      <c r="H361">
        <f t="shared" si="170"/>
        <v>2.2611228007062435E-3</v>
      </c>
      <c r="I361" s="30">
        <f t="shared" si="170"/>
        <v>2.3252376192200819E-3</v>
      </c>
      <c r="J361">
        <f t="shared" si="170"/>
        <v>0.29794447142975966</v>
      </c>
      <c r="K361">
        <f t="shared" si="170"/>
        <v>3.0395266386722404E-3</v>
      </c>
      <c r="L361" s="30">
        <f t="shared" si="170"/>
        <v>0.2126085202239667</v>
      </c>
      <c r="M361">
        <f t="shared" si="170"/>
        <v>0.32506151156643326</v>
      </c>
      <c r="N361">
        <f t="shared" si="170"/>
        <v>8.6504872445262088E-2</v>
      </c>
      <c r="O361" s="30">
        <f t="shared" si="170"/>
        <v>0.45513120409808439</v>
      </c>
      <c r="P361">
        <f t="shared" si="170"/>
        <v>4.3458448015739441E-2</v>
      </c>
      <c r="Q361">
        <f t="shared" si="170"/>
        <v>1.3770656055287794E-2</v>
      </c>
      <c r="R361" s="30">
        <f t="shared" si="170"/>
        <v>2.767412101929187E-2</v>
      </c>
      <c r="S361">
        <f t="shared" si="170"/>
        <v>0.46043347917677679</v>
      </c>
      <c r="T361">
        <f t="shared" si="170"/>
        <v>5.0153283789896837E-3</v>
      </c>
      <c r="U361" s="30">
        <f t="shared" si="170"/>
        <v>0.43910239525095851</v>
      </c>
      <c r="V361" s="182"/>
      <c r="W361" s="182"/>
      <c r="X361" s="182"/>
      <c r="Y361" s="168" t="e">
        <f t="shared" si="170"/>
        <v>#DIV/0!</v>
      </c>
    </row>
    <row r="362" spans="1:25" ht="15" customHeight="1" x14ac:dyDescent="0.25">
      <c r="A362" s="679"/>
      <c r="B362" s="679"/>
      <c r="C362" s="679"/>
      <c r="D362" s="27" t="s">
        <v>166</v>
      </c>
      <c r="E362">
        <f>TTEST(E78:E101,E184:E208,1,2)</f>
        <v>0.16688770884719578</v>
      </c>
      <c r="F362">
        <f t="shared" ref="F362:Y362" si="171">TTEST(F78:F93,F184:F208,1,2)</f>
        <v>0.43496896804837359</v>
      </c>
      <c r="G362" s="48">
        <f t="shared" si="171"/>
        <v>8.3848787951591688E-2</v>
      </c>
      <c r="H362">
        <f t="shared" si="171"/>
        <v>3.2433981891113979E-4</v>
      </c>
      <c r="I362" s="30">
        <f t="shared" si="171"/>
        <v>1.0741612572008747E-3</v>
      </c>
      <c r="J362">
        <f t="shared" si="171"/>
        <v>0.18383776265305579</v>
      </c>
      <c r="K362">
        <f t="shared" si="171"/>
        <v>8.3896488250118761E-3</v>
      </c>
      <c r="L362" s="30">
        <f t="shared" si="171"/>
        <v>0.23594357875509042</v>
      </c>
      <c r="M362">
        <f t="shared" si="171"/>
        <v>0.26465080922590056</v>
      </c>
      <c r="N362">
        <f t="shared" si="171"/>
        <v>3.6484272174211539E-4</v>
      </c>
      <c r="O362" s="30">
        <f t="shared" si="171"/>
        <v>0.27337297501568086</v>
      </c>
      <c r="P362">
        <f t="shared" si="171"/>
        <v>0.27669832269470651</v>
      </c>
      <c r="Q362">
        <f t="shared" si="171"/>
        <v>0.3070493444283573</v>
      </c>
      <c r="R362" s="30">
        <f t="shared" si="171"/>
        <v>0.25623140861324506</v>
      </c>
      <c r="S362">
        <f t="shared" si="171"/>
        <v>0.19994984873860683</v>
      </c>
      <c r="T362">
        <f t="shared" si="171"/>
        <v>2.9320241116453948E-2</v>
      </c>
      <c r="U362" s="30">
        <f t="shared" si="171"/>
        <v>0.25094023247807995</v>
      </c>
      <c r="V362">
        <f t="shared" si="171"/>
        <v>0.11088062629687379</v>
      </c>
      <c r="W362">
        <f t="shared" si="171"/>
        <v>0.46783081266153848</v>
      </c>
      <c r="X362">
        <f t="shared" si="171"/>
        <v>0.13257276172044613</v>
      </c>
      <c r="Y362" s="168">
        <f t="shared" si="171"/>
        <v>3.2615581265120421E-3</v>
      </c>
    </row>
    <row r="363" spans="1:25" ht="15" customHeight="1" thickBot="1" x14ac:dyDescent="0.3">
      <c r="A363" s="673"/>
      <c r="B363" s="673"/>
      <c r="C363" s="673"/>
      <c r="D363" s="8" t="s">
        <v>167</v>
      </c>
      <c r="E363" s="9">
        <f>TTEST(E102:E131,E209:E229,1,2)</f>
        <v>4.7155965006149374E-2</v>
      </c>
      <c r="F363" s="9">
        <f t="shared" ref="F363:Y363" si="172">TTEST(F102:F131,F209:F229,1,2)</f>
        <v>9.992608971189948E-3</v>
      </c>
      <c r="G363" s="9">
        <f t="shared" si="172"/>
        <v>0.45401750981489419</v>
      </c>
      <c r="H363" s="9">
        <f t="shared" si="172"/>
        <v>0.16463171183998315</v>
      </c>
      <c r="I363" s="9">
        <f t="shared" si="172"/>
        <v>0.10548150371854283</v>
      </c>
      <c r="J363" s="9">
        <f t="shared" si="172"/>
        <v>0.10268864920048139</v>
      </c>
      <c r="K363" s="9">
        <f t="shared" si="172"/>
        <v>0.11904400509685925</v>
      </c>
      <c r="L363" s="9">
        <f t="shared" si="172"/>
        <v>1.3421355368537644E-2</v>
      </c>
      <c r="M363" s="9">
        <f t="shared" si="172"/>
        <v>6.4342344023701195E-3</v>
      </c>
      <c r="N363" s="9">
        <f t="shared" si="172"/>
        <v>0.16619344477791714</v>
      </c>
      <c r="O363" s="9">
        <f t="shared" si="172"/>
        <v>0.26954276445204528</v>
      </c>
      <c r="P363" s="9">
        <f t="shared" si="172"/>
        <v>0.18582338131425813</v>
      </c>
      <c r="Q363" s="9">
        <f t="shared" si="172"/>
        <v>0.12478800973700563</v>
      </c>
      <c r="R363" s="9">
        <f t="shared" si="172"/>
        <v>2.7046710270850295E-2</v>
      </c>
      <c r="S363" s="2">
        <f t="shared" si="172"/>
        <v>0.44110084589216214</v>
      </c>
      <c r="T363" s="2">
        <f t="shared" si="172"/>
        <v>0.15067667320121589</v>
      </c>
      <c r="U363" s="9">
        <f t="shared" si="172"/>
        <v>0.27334050390191639</v>
      </c>
      <c r="V363" s="2">
        <f t="shared" si="172"/>
        <v>0.45852968817495077</v>
      </c>
      <c r="W363" s="2">
        <f t="shared" si="172"/>
        <v>0.43203944339856221</v>
      </c>
      <c r="X363" s="2">
        <f t="shared" si="172"/>
        <v>0.32514845001776627</v>
      </c>
      <c r="Y363" s="170">
        <f t="shared" si="172"/>
        <v>4.5603770462856685E-2</v>
      </c>
    </row>
    <row r="364" spans="1:25" ht="15" customHeight="1" x14ac:dyDescent="0.25">
      <c r="B364" s="68"/>
      <c r="C364" s="68"/>
    </row>
    <row r="365" spans="1:25" ht="15" customHeight="1" x14ac:dyDescent="0.25">
      <c r="B365" s="68"/>
      <c r="C365" s="68"/>
    </row>
    <row r="368" spans="1:25" x14ac:dyDescent="0.25">
      <c r="D368" t="s">
        <v>220</v>
      </c>
      <c r="E368">
        <f t="shared" ref="E368:X368" si="173">TTEST(E11:E21,E231:E235,1,2)</f>
        <v>0.15161696810842773</v>
      </c>
      <c r="F368">
        <f t="shared" si="173"/>
        <v>0.33756543100906655</v>
      </c>
      <c r="G368">
        <f t="shared" si="173"/>
        <v>3.345394648913242E-2</v>
      </c>
      <c r="H368">
        <f t="shared" si="173"/>
        <v>1.9919274412691641E-3</v>
      </c>
      <c r="I368">
        <f t="shared" si="173"/>
        <v>3.9828395359375131E-4</v>
      </c>
      <c r="J368">
        <f t="shared" si="173"/>
        <v>1.3689730810305993E-2</v>
      </c>
      <c r="K368">
        <f t="shared" si="173"/>
        <v>6.0474532243485306E-3</v>
      </c>
      <c r="L368">
        <f t="shared" si="173"/>
        <v>2.8013055770448434E-3</v>
      </c>
      <c r="M368">
        <f t="shared" si="173"/>
        <v>0.39161667106527748</v>
      </c>
      <c r="N368">
        <f t="shared" si="173"/>
        <v>1.1924105443475021E-2</v>
      </c>
      <c r="O368">
        <f t="shared" si="173"/>
        <v>0.36720399824649852</v>
      </c>
      <c r="P368">
        <f t="shared" si="173"/>
        <v>0.13861203557618032</v>
      </c>
      <c r="Q368">
        <f t="shared" si="173"/>
        <v>0.46663459508028476</v>
      </c>
      <c r="R368">
        <f t="shared" si="173"/>
        <v>0.14044989542711062</v>
      </c>
      <c r="S368">
        <f t="shared" si="173"/>
        <v>0.11462722704139754</v>
      </c>
      <c r="T368">
        <f t="shared" si="173"/>
        <v>1.5937456423457807E-3</v>
      </c>
      <c r="U368">
        <f t="shared" si="173"/>
        <v>0.13769383880783265</v>
      </c>
      <c r="V368" t="e">
        <f t="shared" si="173"/>
        <v>#DIV/0!</v>
      </c>
      <c r="W368" t="e">
        <f t="shared" si="173"/>
        <v>#DIV/0!</v>
      </c>
      <c r="X368" t="e">
        <f t="shared" si="173"/>
        <v>#DIV/0!</v>
      </c>
      <c r="Y368">
        <f>TTEST(Y11:Y21,Y246:Y254,1,2)</f>
        <v>1.8643942084777709E-2</v>
      </c>
    </row>
    <row r="369" spans="4:25" x14ac:dyDescent="0.25">
      <c r="D369" t="s">
        <v>221</v>
      </c>
      <c r="E369">
        <f t="shared" ref="E369:X369" si="174">TTEST(E22:E32,E231:E235,1,2)</f>
        <v>0.39480032197602133</v>
      </c>
      <c r="F369">
        <f t="shared" si="174"/>
        <v>0.47155553705080833</v>
      </c>
      <c r="G369">
        <f t="shared" si="174"/>
        <v>0.3197481772490347</v>
      </c>
      <c r="H369">
        <f t="shared" si="174"/>
        <v>9.8363187747719599E-2</v>
      </c>
      <c r="I369">
        <f t="shared" si="174"/>
        <v>8.6061433155935438E-2</v>
      </c>
      <c r="J369">
        <f t="shared" si="174"/>
        <v>1.0824556063358295E-2</v>
      </c>
      <c r="K369">
        <f t="shared" si="174"/>
        <v>0.16334910872711911</v>
      </c>
      <c r="L369">
        <f t="shared" si="174"/>
        <v>5.134220185149372E-2</v>
      </c>
      <c r="M369">
        <f t="shared" si="174"/>
        <v>0.17760324610255873</v>
      </c>
      <c r="N369">
        <f t="shared" si="174"/>
        <v>9.1824267601613413E-2</v>
      </c>
      <c r="O369">
        <f t="shared" si="174"/>
        <v>3.5402589048171382E-2</v>
      </c>
      <c r="P369">
        <f t="shared" si="174"/>
        <v>6.8488967851601606E-2</v>
      </c>
      <c r="Q369">
        <f t="shared" si="174"/>
        <v>0.19930100392750161</v>
      </c>
      <c r="R369">
        <f t="shared" si="174"/>
        <v>7.4462996867388442E-2</v>
      </c>
      <c r="S369">
        <f t="shared" si="174"/>
        <v>0.21149134511280449</v>
      </c>
      <c r="T369">
        <f t="shared" si="174"/>
        <v>7.4006365029968602E-2</v>
      </c>
      <c r="U369">
        <f t="shared" si="174"/>
        <v>0.15391735292784342</v>
      </c>
      <c r="V369" t="e">
        <f t="shared" si="174"/>
        <v>#DIV/0!</v>
      </c>
      <c r="W369" t="e">
        <f t="shared" si="174"/>
        <v>#DIV/0!</v>
      </c>
      <c r="X369" t="e">
        <f t="shared" si="174"/>
        <v>#DIV/0!</v>
      </c>
      <c r="Y369">
        <f>TTEST(Y22:Y32,Y246:Y254,1,2)</f>
        <v>0.45100034920031223</v>
      </c>
    </row>
    <row r="370" spans="4:25" x14ac:dyDescent="0.25">
      <c r="D370" s="330" t="s">
        <v>222</v>
      </c>
      <c r="E370">
        <f t="shared" ref="E370:X370" si="175">TTEST(E48:E57,E236:E240,1,2)</f>
        <v>6.2379315989595008E-2</v>
      </c>
      <c r="F370">
        <f t="shared" si="175"/>
        <v>4.3103673379819879E-2</v>
      </c>
      <c r="G370">
        <f t="shared" si="175"/>
        <v>8.7680593377232618E-5</v>
      </c>
      <c r="H370">
        <f t="shared" si="175"/>
        <v>4.7841700143531354E-2</v>
      </c>
      <c r="I370">
        <f t="shared" si="175"/>
        <v>3.7979475991375918E-2</v>
      </c>
      <c r="J370">
        <f t="shared" si="175"/>
        <v>0.27771915373153461</v>
      </c>
      <c r="K370">
        <f t="shared" si="175"/>
        <v>8.0829342952774261E-2</v>
      </c>
      <c r="L370">
        <f t="shared" si="175"/>
        <v>8.2331799325739391E-2</v>
      </c>
      <c r="M370">
        <f t="shared" si="175"/>
        <v>0.17469425557132268</v>
      </c>
      <c r="N370">
        <f t="shared" si="175"/>
        <v>2.2473303502517399E-2</v>
      </c>
      <c r="O370">
        <f t="shared" si="175"/>
        <v>0.28126836104236935</v>
      </c>
      <c r="P370">
        <f t="shared" si="175"/>
        <v>4.6077085303753908E-2</v>
      </c>
      <c r="Q370">
        <f t="shared" si="175"/>
        <v>1.5447050112988E-2</v>
      </c>
      <c r="R370">
        <f t="shared" si="175"/>
        <v>7.9049623618389853E-2</v>
      </c>
      <c r="S370">
        <f t="shared" si="175"/>
        <v>0.19766545986682449</v>
      </c>
      <c r="T370">
        <f t="shared" si="175"/>
        <v>0.25896481070126742</v>
      </c>
      <c r="U370">
        <f t="shared" si="175"/>
        <v>0.13332468358980581</v>
      </c>
      <c r="V370" t="e">
        <f t="shared" si="175"/>
        <v>#DIV/0!</v>
      </c>
      <c r="W370" t="e">
        <f t="shared" si="175"/>
        <v>#DIV/0!</v>
      </c>
      <c r="X370" t="e">
        <f t="shared" si="175"/>
        <v>#DIV/0!</v>
      </c>
      <c r="Y370">
        <f>TTEST(Y48:Y57,Y246:Y254,1,2)</f>
        <v>8.3867885668058209E-2</v>
      </c>
    </row>
    <row r="371" spans="4:25" x14ac:dyDescent="0.25">
      <c r="D371" s="330" t="s">
        <v>223</v>
      </c>
      <c r="E371">
        <f t="shared" ref="E371:X371" si="176">TTEST(E58:E62,E236:E240,1,2)</f>
        <v>0.23272457690651038</v>
      </c>
      <c r="F371">
        <f t="shared" si="176"/>
        <v>6.5820007296069696E-2</v>
      </c>
      <c r="G371">
        <f t="shared" si="176"/>
        <v>9.2057088660232843E-3</v>
      </c>
      <c r="H371">
        <f t="shared" si="176"/>
        <v>0.14067578897653996</v>
      </c>
      <c r="I371">
        <f t="shared" si="176"/>
        <v>0.11538954267185715</v>
      </c>
      <c r="J371">
        <f t="shared" si="176"/>
        <v>1.0944684622678851E-2</v>
      </c>
      <c r="K371">
        <f t="shared" si="176"/>
        <v>0.30821919769415418</v>
      </c>
      <c r="L371">
        <f t="shared" si="176"/>
        <v>1.3477673727084071E-2</v>
      </c>
      <c r="M371">
        <f t="shared" si="176"/>
        <v>2.5994610346327114E-2</v>
      </c>
      <c r="N371">
        <f t="shared" si="176"/>
        <v>3.863251174409682E-2</v>
      </c>
      <c r="O371">
        <f t="shared" si="176"/>
        <v>8.2744056373667926E-2</v>
      </c>
      <c r="P371">
        <f t="shared" si="176"/>
        <v>0.15397674069420356</v>
      </c>
      <c r="Q371">
        <f t="shared" si="176"/>
        <v>0.32088755111011502</v>
      </c>
      <c r="R371">
        <f t="shared" si="176"/>
        <v>0.13521723530854277</v>
      </c>
      <c r="S371">
        <f t="shared" si="176"/>
        <v>0.43634692761024352</v>
      </c>
      <c r="T371">
        <f t="shared" si="176"/>
        <v>0.23396897286228574</v>
      </c>
      <c r="U371">
        <f t="shared" si="176"/>
        <v>0.37733889457323289</v>
      </c>
      <c r="V371" t="e">
        <f t="shared" si="176"/>
        <v>#DIV/0!</v>
      </c>
      <c r="W371" t="e">
        <f t="shared" si="176"/>
        <v>#DIV/0!</v>
      </c>
      <c r="X371" t="e">
        <f t="shared" si="176"/>
        <v>#DIV/0!</v>
      </c>
      <c r="Y371">
        <f>TTEST(Y58:Y62,Y246:Y254,1,2)</f>
        <v>0.10896779826833262</v>
      </c>
    </row>
    <row r="372" spans="4:25" x14ac:dyDescent="0.25">
      <c r="D372" s="330" t="s">
        <v>224</v>
      </c>
      <c r="E372" s="330">
        <f t="shared" ref="E372:X372" si="177">TTEST(E102:E117,E236:E240,1,2)</f>
        <v>0.25842941265552144</v>
      </c>
      <c r="F372" s="330">
        <f t="shared" si="177"/>
        <v>0.46070928012443568</v>
      </c>
      <c r="G372" s="330">
        <f t="shared" si="177"/>
        <v>0.31743322724089029</v>
      </c>
      <c r="H372" s="330">
        <f t="shared" si="177"/>
        <v>2.9780582616280708E-3</v>
      </c>
      <c r="I372" s="330" t="e">
        <f t="shared" si="177"/>
        <v>#DIV/0!</v>
      </c>
      <c r="J372" s="330">
        <f t="shared" si="177"/>
        <v>0.31143598160059405</v>
      </c>
      <c r="K372" s="330">
        <f t="shared" si="177"/>
        <v>2.0326557958015793E-4</v>
      </c>
      <c r="L372" s="330" t="e">
        <f t="shared" si="177"/>
        <v>#DIV/0!</v>
      </c>
      <c r="M372" s="330">
        <f t="shared" si="177"/>
        <v>0.14232410139106594</v>
      </c>
      <c r="N372" s="330">
        <f t="shared" si="177"/>
        <v>5.3126494987118953E-5</v>
      </c>
      <c r="O372" s="330" t="e">
        <f t="shared" si="177"/>
        <v>#DIV/0!</v>
      </c>
      <c r="P372" s="330">
        <f t="shared" si="177"/>
        <v>4.153478048611027E-2</v>
      </c>
      <c r="Q372" s="330">
        <f t="shared" si="177"/>
        <v>5.9393675786016981E-2</v>
      </c>
      <c r="R372" s="330" t="e">
        <f t="shared" si="177"/>
        <v>#DIV/0!</v>
      </c>
      <c r="S372" s="330">
        <f t="shared" si="177"/>
        <v>0.16271289825747287</v>
      </c>
      <c r="T372" s="330">
        <f t="shared" si="177"/>
        <v>0.33176066155429873</v>
      </c>
      <c r="U372" s="330" t="e">
        <f t="shared" si="177"/>
        <v>#DIV/0!</v>
      </c>
      <c r="V372" s="330" t="e">
        <f t="shared" si="177"/>
        <v>#DIV/0!</v>
      </c>
      <c r="W372" s="330" t="e">
        <f t="shared" si="177"/>
        <v>#DIV/0!</v>
      </c>
      <c r="X372" s="330" t="e">
        <f t="shared" si="177"/>
        <v>#DIV/0!</v>
      </c>
      <c r="Y372" s="330">
        <f>TTEST(Y102:Y122,Y246:Y254,1,2)</f>
        <v>5.7493375322877217E-2</v>
      </c>
    </row>
    <row r="373" spans="4:25" x14ac:dyDescent="0.25">
      <c r="D373" s="330" t="s">
        <v>241</v>
      </c>
      <c r="E373">
        <f t="shared" ref="E373:Y373" si="178">TTEST(E78:E93,E236:E240,1,2)</f>
        <v>0.29034492632718101</v>
      </c>
      <c r="F373">
        <f t="shared" si="178"/>
        <v>0.26407462989449537</v>
      </c>
      <c r="G373">
        <f t="shared" si="178"/>
        <v>0.19264806149745495</v>
      </c>
      <c r="H373">
        <f t="shared" si="178"/>
        <v>9.3122337718693046E-4</v>
      </c>
      <c r="I373">
        <f t="shared" si="178"/>
        <v>1.1288044651951599E-3</v>
      </c>
      <c r="J373">
        <f t="shared" si="178"/>
        <v>7.7857262007839613E-4</v>
      </c>
      <c r="K373">
        <f t="shared" si="178"/>
        <v>5.6216133347942825E-4</v>
      </c>
      <c r="L373">
        <f t="shared" si="178"/>
        <v>1.9589123609569281E-3</v>
      </c>
      <c r="M373">
        <f t="shared" si="178"/>
        <v>5.7552445180210745E-4</v>
      </c>
      <c r="N373">
        <f t="shared" si="178"/>
        <v>8.8696715065231595E-6</v>
      </c>
      <c r="O373">
        <f t="shared" si="178"/>
        <v>1.4386711596620738E-3</v>
      </c>
      <c r="P373">
        <f t="shared" si="178"/>
        <v>8.0784670541677164E-2</v>
      </c>
      <c r="Q373">
        <f t="shared" si="178"/>
        <v>0.25143011321072228</v>
      </c>
      <c r="R373">
        <f t="shared" si="178"/>
        <v>8.0463542038093208E-2</v>
      </c>
      <c r="S373">
        <f t="shared" si="178"/>
        <v>4.0426729644596145E-6</v>
      </c>
      <c r="T373">
        <f t="shared" si="178"/>
        <v>9.8086908784912205E-2</v>
      </c>
      <c r="U373">
        <f t="shared" si="178"/>
        <v>3.2042888915230839E-6</v>
      </c>
      <c r="V373" t="e">
        <f t="shared" si="178"/>
        <v>#DIV/0!</v>
      </c>
      <c r="W373" t="e">
        <f t="shared" si="178"/>
        <v>#DIV/0!</v>
      </c>
      <c r="X373" t="e">
        <f t="shared" si="178"/>
        <v>#DIV/0!</v>
      </c>
      <c r="Y373">
        <f t="shared" si="178"/>
        <v>0.41768939758802126</v>
      </c>
    </row>
    <row r="375" spans="4:25" x14ac:dyDescent="0.25">
      <c r="D375" t="s">
        <v>228</v>
      </c>
      <c r="E375">
        <f t="shared" ref="E375:X375" si="179">TTEST(E3:E10,E231:E235,1,2)</f>
        <v>0.33456958966247902</v>
      </c>
      <c r="F375">
        <f t="shared" si="179"/>
        <v>0.29183613396597563</v>
      </c>
      <c r="G375">
        <f t="shared" si="179"/>
        <v>9.2717098787448832E-4</v>
      </c>
      <c r="H375">
        <f t="shared" si="179"/>
        <v>6.0179625659834111E-3</v>
      </c>
      <c r="I375">
        <f t="shared" si="179"/>
        <v>5.3869576836728028E-3</v>
      </c>
      <c r="J375">
        <f t="shared" si="179"/>
        <v>1.2603842055490871E-2</v>
      </c>
      <c r="K375">
        <f t="shared" si="179"/>
        <v>3.3794386959592658E-2</v>
      </c>
      <c r="L375">
        <f t="shared" si="179"/>
        <v>3.7662332529859424E-3</v>
      </c>
      <c r="M375">
        <f t="shared" si="179"/>
        <v>0.14154195365002767</v>
      </c>
      <c r="N375">
        <f t="shared" si="179"/>
        <v>0.45934608926775833</v>
      </c>
      <c r="O375">
        <f t="shared" si="179"/>
        <v>0.11700989846676382</v>
      </c>
      <c r="P375" t="e">
        <f t="shared" si="179"/>
        <v>#DIV/0!</v>
      </c>
      <c r="Q375" t="e">
        <f t="shared" si="179"/>
        <v>#DIV/0!</v>
      </c>
      <c r="R375" t="e">
        <f t="shared" si="179"/>
        <v>#DIV/0!</v>
      </c>
      <c r="S375" t="e">
        <f t="shared" si="179"/>
        <v>#DIV/0!</v>
      </c>
      <c r="T375" t="e">
        <f t="shared" si="179"/>
        <v>#DIV/0!</v>
      </c>
      <c r="U375" t="e">
        <f t="shared" si="179"/>
        <v>#DIV/0!</v>
      </c>
      <c r="V375" t="e">
        <f t="shared" si="179"/>
        <v>#DIV/0!</v>
      </c>
      <c r="W375" t="e">
        <f t="shared" si="179"/>
        <v>#DIV/0!</v>
      </c>
      <c r="X375" t="e">
        <f t="shared" si="179"/>
        <v>#DIV/0!</v>
      </c>
      <c r="Y375">
        <f>TTEST(Y3:Y10,Y246:Y254,1,2)</f>
        <v>3.1335329040208242E-2</v>
      </c>
    </row>
    <row r="376" spans="4:25" x14ac:dyDescent="0.25">
      <c r="D376" t="s">
        <v>229</v>
      </c>
      <c r="E376">
        <f t="shared" ref="E376:X376" si="180">TTEST(E3:E10,E236:E240,1,2)</f>
        <v>0.44346834994550366</v>
      </c>
      <c r="F376">
        <f t="shared" si="180"/>
        <v>0.10935498411826625</v>
      </c>
      <c r="G376">
        <f t="shared" si="180"/>
        <v>3.2752634493458657E-6</v>
      </c>
      <c r="H376">
        <f t="shared" si="180"/>
        <v>1.1476943076584137E-4</v>
      </c>
      <c r="I376">
        <f t="shared" si="180"/>
        <v>2.9253762663124737E-4</v>
      </c>
      <c r="J376">
        <f t="shared" si="180"/>
        <v>1.635547829892412E-3</v>
      </c>
      <c r="K376">
        <f t="shared" si="180"/>
        <v>2.9964377092439416E-3</v>
      </c>
      <c r="L376">
        <f t="shared" si="180"/>
        <v>4.9800528643790078E-4</v>
      </c>
      <c r="M376">
        <f t="shared" si="180"/>
        <v>0.16114020010677485</v>
      </c>
      <c r="N376">
        <f t="shared" si="180"/>
        <v>2.0715477281790216E-2</v>
      </c>
      <c r="O376">
        <f t="shared" si="180"/>
        <v>0.11966723516135779</v>
      </c>
      <c r="P376" t="e">
        <f t="shared" si="180"/>
        <v>#DIV/0!</v>
      </c>
      <c r="Q376" t="e">
        <f t="shared" si="180"/>
        <v>#DIV/0!</v>
      </c>
      <c r="R376" t="e">
        <f t="shared" si="180"/>
        <v>#DIV/0!</v>
      </c>
      <c r="S376" t="e">
        <f t="shared" si="180"/>
        <v>#DIV/0!</v>
      </c>
      <c r="T376" t="e">
        <f t="shared" si="180"/>
        <v>#DIV/0!</v>
      </c>
      <c r="U376" t="e">
        <f t="shared" si="180"/>
        <v>#DIV/0!</v>
      </c>
      <c r="V376" t="e">
        <f t="shared" si="180"/>
        <v>#DIV/0!</v>
      </c>
      <c r="W376" t="e">
        <f t="shared" si="180"/>
        <v>#DIV/0!</v>
      </c>
      <c r="X376" t="e">
        <f t="shared" si="180"/>
        <v>#DIV/0!</v>
      </c>
      <c r="Y376">
        <f>TTEST(Y3:Y10,Y246:Y254,1,2)</f>
        <v>3.1335329040208242E-2</v>
      </c>
    </row>
    <row r="378" spans="4:25" x14ac:dyDescent="0.25">
      <c r="D378" t="s">
        <v>236</v>
      </c>
      <c r="E378">
        <f t="shared" ref="E378:Y378" si="181">TTEST(E231:E235,E242:E246,1,2)</f>
        <v>0.25951607220761619</v>
      </c>
      <c r="F378">
        <f t="shared" si="181"/>
        <v>2.2766906236037221E-2</v>
      </c>
      <c r="G378">
        <f t="shared" si="181"/>
        <v>0.17073753974583122</v>
      </c>
      <c r="H378">
        <f t="shared" si="181"/>
        <v>6.4909318425880991E-2</v>
      </c>
      <c r="I378">
        <f t="shared" si="181"/>
        <v>0.10192842515228036</v>
      </c>
      <c r="J378">
        <f t="shared" si="181"/>
        <v>5.4846749376075553E-2</v>
      </c>
      <c r="K378">
        <f t="shared" si="181"/>
        <v>2.120114972409928E-2</v>
      </c>
      <c r="L378">
        <f t="shared" si="181"/>
        <v>4.5421834685096358E-4</v>
      </c>
      <c r="M378">
        <f t="shared" si="181"/>
        <v>4.6736490282214089E-3</v>
      </c>
      <c r="N378">
        <f t="shared" si="181"/>
        <v>0.14535313618919762</v>
      </c>
      <c r="O378">
        <f t="shared" si="181"/>
        <v>0.27838707542408186</v>
      </c>
      <c r="P378">
        <f t="shared" si="181"/>
        <v>6.0867782236933607E-2</v>
      </c>
      <c r="Q378">
        <f t="shared" si="181"/>
        <v>6.8236416512909778E-3</v>
      </c>
      <c r="R378">
        <f t="shared" si="181"/>
        <v>1.9301442258776731E-2</v>
      </c>
      <c r="S378">
        <f t="shared" si="181"/>
        <v>0.49856461589045858</v>
      </c>
      <c r="T378">
        <f t="shared" si="181"/>
        <v>5.8817075592083393E-2</v>
      </c>
      <c r="U378">
        <f t="shared" si="181"/>
        <v>0.32107710190252137</v>
      </c>
      <c r="V378" t="e">
        <f t="shared" si="181"/>
        <v>#DIV/0!</v>
      </c>
      <c r="W378" t="e">
        <f t="shared" si="181"/>
        <v>#DIV/0!</v>
      </c>
      <c r="X378" t="e">
        <f t="shared" si="181"/>
        <v>#DIV/0!</v>
      </c>
      <c r="Y378">
        <f t="shared" si="181"/>
        <v>3.9890318890844961E-2</v>
      </c>
    </row>
    <row r="380" spans="4:25" x14ac:dyDescent="0.25">
      <c r="D380" t="s">
        <v>250</v>
      </c>
      <c r="E380">
        <f>TTEST(E3:E10,E247:E252,1,2)</f>
        <v>0.41833740913345174</v>
      </c>
      <c r="F380">
        <f>TTEST(F3:F10,F247:F252,1,2)</f>
        <v>4.412176449654711E-2</v>
      </c>
      <c r="G380">
        <f>TTEST(G3:G10,G247:G252,1,2)</f>
        <v>1.9323110133876105E-6</v>
      </c>
      <c r="H380">
        <f t="shared" ref="H380:Y380" si="182">TTEST(H3:H10,H247:H256,1,2)</f>
        <v>7.2445129310092827E-5</v>
      </c>
      <c r="I380">
        <f t="shared" si="182"/>
        <v>4.957184000001684E-5</v>
      </c>
      <c r="J380">
        <f t="shared" si="182"/>
        <v>8.4271198012495269E-5</v>
      </c>
      <c r="K380">
        <f t="shared" si="182"/>
        <v>1.444052662881673E-2</v>
      </c>
      <c r="L380">
        <f t="shared" si="182"/>
        <v>4.8729585990495159E-6</v>
      </c>
      <c r="M380">
        <f t="shared" si="182"/>
        <v>9.7661837653828784E-2</v>
      </c>
      <c r="N380">
        <f t="shared" si="182"/>
        <v>0.23125037907695245</v>
      </c>
      <c r="O380">
        <f t="shared" si="182"/>
        <v>5.6007310576035599E-2</v>
      </c>
      <c r="P380" t="e">
        <f t="shared" si="182"/>
        <v>#DIV/0!</v>
      </c>
      <c r="Q380" t="e">
        <f t="shared" si="182"/>
        <v>#DIV/0!</v>
      </c>
      <c r="R380" t="e">
        <f t="shared" si="182"/>
        <v>#DIV/0!</v>
      </c>
      <c r="S380" t="e">
        <f t="shared" si="182"/>
        <v>#DIV/0!</v>
      </c>
      <c r="T380" t="e">
        <f t="shared" si="182"/>
        <v>#DIV/0!</v>
      </c>
      <c r="U380" t="e">
        <f t="shared" si="182"/>
        <v>#DIV/0!</v>
      </c>
      <c r="V380" t="e">
        <f t="shared" si="182"/>
        <v>#DIV/0!</v>
      </c>
      <c r="W380" t="e">
        <f t="shared" si="182"/>
        <v>#DIV/0!</v>
      </c>
      <c r="X380" t="e">
        <f t="shared" si="182"/>
        <v>#DIV/0!</v>
      </c>
      <c r="Y380">
        <f t="shared" si="182"/>
        <v>3.5629508703543554E-2</v>
      </c>
    </row>
    <row r="381" spans="4:25" x14ac:dyDescent="0.25">
      <c r="D381" s="330" t="s">
        <v>247</v>
      </c>
      <c r="E381">
        <f>TTEST(E102:E117,E247:E252,1,2)</f>
        <v>0.25746234871376494</v>
      </c>
      <c r="F381">
        <f>TTEST(F102:F117,F247:F252,1,2)</f>
        <v>0.25528365516812956</v>
      </c>
      <c r="G381">
        <f>TTEST(G102:G117,G247:G252,1,2)</f>
        <v>1.3163236329047701E-2</v>
      </c>
      <c r="H381">
        <f t="shared" ref="H381:N381" si="183">TTEST(H102:H117,H247:H256,1,2)</f>
        <v>7.1498084455147548E-2</v>
      </c>
      <c r="I381" t="e">
        <f t="shared" si="183"/>
        <v>#DIV/0!</v>
      </c>
      <c r="J381">
        <f t="shared" si="183"/>
        <v>6.0551520709532097E-2</v>
      </c>
      <c r="K381">
        <f t="shared" si="183"/>
        <v>0.41936436324998</v>
      </c>
      <c r="L381" t="e">
        <f t="shared" si="183"/>
        <v>#DIV/0!</v>
      </c>
      <c r="M381">
        <f t="shared" si="183"/>
        <v>2.0921894946169771E-2</v>
      </c>
      <c r="N381">
        <f t="shared" si="183"/>
        <v>1.4725878371828325E-2</v>
      </c>
      <c r="O381" t="e">
        <f>TTEST(O102:O117,O247:O255,1,2)</f>
        <v>#DIV/0!</v>
      </c>
      <c r="P381">
        <f t="shared" ref="P381:X381" si="184">TTEST(P102:P117,P247:P256,1,2)</f>
        <v>2.3734108287458606E-2</v>
      </c>
      <c r="Q381">
        <f t="shared" si="184"/>
        <v>1.1855697072985777E-2</v>
      </c>
      <c r="R381" t="e">
        <f t="shared" si="184"/>
        <v>#DIV/0!</v>
      </c>
      <c r="S381">
        <f t="shared" si="184"/>
        <v>1.213630414276495E-2</v>
      </c>
      <c r="T381">
        <f t="shared" si="184"/>
        <v>1.0736314837626725E-2</v>
      </c>
      <c r="U381" t="e">
        <f t="shared" si="184"/>
        <v>#DIV/0!</v>
      </c>
      <c r="V381" t="e">
        <f t="shared" si="184"/>
        <v>#DIV/0!</v>
      </c>
      <c r="W381" t="e">
        <f t="shared" si="184"/>
        <v>#DIV/0!</v>
      </c>
      <c r="X381" t="e">
        <f t="shared" si="184"/>
        <v>#DIV/0!</v>
      </c>
      <c r="Y381">
        <f>TTEST(Y102:Y122,Y247:Y256,1,2)</f>
        <v>6.2641934196786764E-2</v>
      </c>
    </row>
    <row r="382" spans="4:25" x14ac:dyDescent="0.25">
      <c r="D382" s="330" t="s">
        <v>248</v>
      </c>
      <c r="E382">
        <f>TTEST(E78:E93,E247:E252,1,2)</f>
        <v>0.24698026597082545</v>
      </c>
      <c r="F382">
        <f>TTEST(F78:F93,F247:F252,1,2)</f>
        <v>3.0407442608452295E-2</v>
      </c>
      <c r="G382">
        <f>TTEST(G78:G93,G247:G252,1,2)</f>
        <v>7.6841607309390408E-2</v>
      </c>
      <c r="H382">
        <f t="shared" ref="H382:Y382" si="185">TTEST(H78:H93,H247:H256,1,2)</f>
        <v>2.8477457237762082E-2</v>
      </c>
      <c r="I382">
        <f t="shared" si="185"/>
        <v>1.5159033846927034E-2</v>
      </c>
      <c r="J382">
        <f t="shared" si="185"/>
        <v>5.8029182023952651E-6</v>
      </c>
      <c r="K382">
        <f t="shared" si="185"/>
        <v>0.33693035440699215</v>
      </c>
      <c r="L382">
        <f t="shared" si="185"/>
        <v>4.1992343097464599E-6</v>
      </c>
      <c r="M382">
        <f t="shared" si="185"/>
        <v>3.1037071940486189E-6</v>
      </c>
      <c r="N382">
        <f t="shared" si="185"/>
        <v>1.981703932378341E-4</v>
      </c>
      <c r="O382">
        <f t="shared" si="185"/>
        <v>4.4377974997900753E-5</v>
      </c>
      <c r="P382">
        <f t="shared" si="185"/>
        <v>4.1499248429717563E-2</v>
      </c>
      <c r="Q382">
        <f t="shared" si="185"/>
        <v>5.1727557194778867E-2</v>
      </c>
      <c r="R382">
        <f t="shared" si="185"/>
        <v>3.8308056051274533E-2</v>
      </c>
      <c r="S382">
        <f t="shared" si="185"/>
        <v>0.42156256918902757</v>
      </c>
      <c r="T382">
        <f t="shared" si="185"/>
        <v>0.47409748620348569</v>
      </c>
      <c r="U382">
        <f t="shared" si="185"/>
        <v>0.34234443672747744</v>
      </c>
      <c r="V382" t="e">
        <f t="shared" si="185"/>
        <v>#DIV/0!</v>
      </c>
      <c r="W382" t="e">
        <f t="shared" si="185"/>
        <v>#DIV/0!</v>
      </c>
      <c r="X382" t="e">
        <f t="shared" si="185"/>
        <v>#DIV/0!</v>
      </c>
      <c r="Y382">
        <f t="shared" si="185"/>
        <v>0.25067854307176718</v>
      </c>
    </row>
    <row r="383" spans="4:25" x14ac:dyDescent="0.25">
      <c r="D383" s="330" t="s">
        <v>249</v>
      </c>
      <c r="E383">
        <f>TTEST(E236:E240,E247:E252,1,2)</f>
        <v>0.46252888015284987</v>
      </c>
      <c r="F383">
        <f>TTEST(F236:F240,F247:F252,1,2)</f>
        <v>0.21874037104391508</v>
      </c>
      <c r="G383">
        <f>TTEST(G236:G240,G247:G252,1,2)</f>
        <v>1.7864183054144854E-2</v>
      </c>
      <c r="H383">
        <f t="shared" ref="H383:Y383" si="186">TTEST(H236:H240,H247:H256,1,2)</f>
        <v>7.6609535994745237E-3</v>
      </c>
      <c r="I383">
        <f t="shared" si="186"/>
        <v>1.0175018789162847E-2</v>
      </c>
      <c r="J383">
        <f t="shared" si="186"/>
        <v>0.10294307101978098</v>
      </c>
      <c r="K383">
        <f t="shared" si="186"/>
        <v>2.2579623140197114E-3</v>
      </c>
      <c r="L383">
        <f t="shared" si="186"/>
        <v>5.1765820541593559E-2</v>
      </c>
      <c r="M383">
        <f t="shared" si="186"/>
        <v>0.12145840316334983</v>
      </c>
      <c r="N383">
        <f t="shared" si="186"/>
        <v>7.0458809367695257E-3</v>
      </c>
      <c r="O383">
        <f t="shared" si="186"/>
        <v>0.33665635136793481</v>
      </c>
      <c r="P383">
        <f t="shared" si="186"/>
        <v>9.5388105671060056E-2</v>
      </c>
      <c r="Q383">
        <f t="shared" si="186"/>
        <v>2.0222806298208205E-3</v>
      </c>
      <c r="R383">
        <f t="shared" si="186"/>
        <v>8.4728181708718306E-2</v>
      </c>
      <c r="S383">
        <f t="shared" si="186"/>
        <v>9.3671867537729826E-4</v>
      </c>
      <c r="T383">
        <f t="shared" si="186"/>
        <v>0.10493967345039065</v>
      </c>
      <c r="U383">
        <f t="shared" si="186"/>
        <v>9.6221747688753827E-4</v>
      </c>
      <c r="V383" t="e">
        <f t="shared" si="186"/>
        <v>#DIV/0!</v>
      </c>
      <c r="W383" t="e">
        <f t="shared" si="186"/>
        <v>#DIV/0!</v>
      </c>
      <c r="X383" t="e">
        <f t="shared" si="186"/>
        <v>#DIV/0!</v>
      </c>
      <c r="Y383">
        <f t="shared" si="186"/>
        <v>0.24470299345053975</v>
      </c>
    </row>
    <row r="384" spans="4:25" x14ac:dyDescent="0.25">
      <c r="D384" t="s">
        <v>251</v>
      </c>
      <c r="E384">
        <f>TTEST(E242:E246,E247:E252,1,2)</f>
        <v>0.1927529370985096</v>
      </c>
      <c r="F384">
        <f>TTEST(F242:F246,F247:F252,1,2)</f>
        <v>0.36448493880464422</v>
      </c>
      <c r="G384">
        <f>TTEST(G242:G246,G247:G252,1,2)</f>
        <v>0.44497977539324091</v>
      </c>
      <c r="H384">
        <f t="shared" ref="H384:Y384" si="187">TTEST(H242:H246,H247:H256,1,2)</f>
        <v>3.2657529423071119E-3</v>
      </c>
      <c r="I384">
        <f t="shared" si="187"/>
        <v>1.7784684964570001E-3</v>
      </c>
      <c r="J384">
        <f t="shared" si="187"/>
        <v>0.30331224441270371</v>
      </c>
      <c r="K384">
        <f t="shared" si="187"/>
        <v>6.938526214791481E-3</v>
      </c>
      <c r="L384">
        <f t="shared" si="187"/>
        <v>0.40569419944051699</v>
      </c>
      <c r="M384">
        <f t="shared" si="187"/>
        <v>0.26427741941352356</v>
      </c>
      <c r="N384">
        <f t="shared" si="187"/>
        <v>1.2937072236784612E-2</v>
      </c>
      <c r="O384">
        <f t="shared" si="187"/>
        <v>0.11640286557697818</v>
      </c>
      <c r="P384">
        <f t="shared" si="187"/>
        <v>2.9628907747294701E-2</v>
      </c>
      <c r="Q384">
        <f t="shared" si="187"/>
        <v>4.1338646402999321E-3</v>
      </c>
      <c r="R384">
        <f t="shared" si="187"/>
        <v>2.5650696117777743E-2</v>
      </c>
      <c r="S384">
        <f t="shared" si="187"/>
        <v>5.4291518812171731E-3</v>
      </c>
      <c r="T384">
        <f t="shared" si="187"/>
        <v>2.5228035341931269E-3</v>
      </c>
      <c r="U384">
        <f t="shared" si="187"/>
        <v>5.193848395820419E-3</v>
      </c>
      <c r="V384" t="e">
        <f t="shared" si="187"/>
        <v>#DIV/0!</v>
      </c>
      <c r="W384" t="e">
        <f t="shared" si="187"/>
        <v>#DIV/0!</v>
      </c>
      <c r="X384" t="e">
        <f t="shared" si="187"/>
        <v>#DIV/0!</v>
      </c>
      <c r="Y384">
        <f t="shared" si="187"/>
        <v>7.4834730270001287E-2</v>
      </c>
    </row>
    <row r="385" spans="3:25" x14ac:dyDescent="0.25">
      <c r="D385" s="330" t="s">
        <v>257</v>
      </c>
      <c r="E385">
        <f t="shared" ref="E385:Y385" si="188">TTEST(E48:E57,E247:E256,1,2)</f>
        <v>7.8800602568336167E-2</v>
      </c>
      <c r="F385">
        <f t="shared" si="188"/>
        <v>1.1147027587503857E-2</v>
      </c>
      <c r="G385">
        <f t="shared" si="188"/>
        <v>9.6008841234307635E-4</v>
      </c>
      <c r="H385">
        <f t="shared" si="188"/>
        <v>6.6804825101444879E-2</v>
      </c>
      <c r="I385">
        <f t="shared" si="188"/>
        <v>0.20002942034439219</v>
      </c>
      <c r="J385">
        <f t="shared" si="188"/>
        <v>5.233973431851905E-2</v>
      </c>
      <c r="K385">
        <f t="shared" si="188"/>
        <v>4.310222511732241E-2</v>
      </c>
      <c r="L385">
        <f t="shared" si="188"/>
        <v>3.5448551229328392E-3</v>
      </c>
      <c r="M385">
        <f t="shared" si="188"/>
        <v>5.9204558317063512E-2</v>
      </c>
      <c r="N385">
        <f t="shared" si="188"/>
        <v>0.47573901990417666</v>
      </c>
      <c r="O385">
        <f t="shared" si="188"/>
        <v>0.18426080079539359</v>
      </c>
      <c r="P385">
        <f t="shared" si="188"/>
        <v>0.25430909453228479</v>
      </c>
      <c r="Q385">
        <f t="shared" si="188"/>
        <v>0.30083103989174276</v>
      </c>
      <c r="R385">
        <f t="shared" si="188"/>
        <v>0.39480795664564861</v>
      </c>
      <c r="S385">
        <f t="shared" si="188"/>
        <v>1.8384007985180453E-4</v>
      </c>
      <c r="T385">
        <f t="shared" si="188"/>
        <v>1.5033103850961684E-3</v>
      </c>
      <c r="U385">
        <f t="shared" si="188"/>
        <v>2.5184183391939528E-4</v>
      </c>
      <c r="V385" t="e">
        <f t="shared" si="188"/>
        <v>#DIV/0!</v>
      </c>
      <c r="W385" t="e">
        <f t="shared" si="188"/>
        <v>#DIV/0!</v>
      </c>
      <c r="X385" t="e">
        <f t="shared" si="188"/>
        <v>#DIV/0!</v>
      </c>
      <c r="Y385">
        <f t="shared" si="188"/>
        <v>0.14002991855732413</v>
      </c>
    </row>
    <row r="386" spans="3:25" x14ac:dyDescent="0.25">
      <c r="D386" s="330" t="s">
        <v>258</v>
      </c>
      <c r="E386">
        <f t="shared" ref="E386:Y386" si="189">TTEST(E58:E72,E247:E256,1,2)</f>
        <v>9.4503181259559213E-2</v>
      </c>
      <c r="F386">
        <f t="shared" si="189"/>
        <v>0.42271758336496951</v>
      </c>
      <c r="G386">
        <f t="shared" si="189"/>
        <v>2.0098431342299447E-5</v>
      </c>
      <c r="H386">
        <f t="shared" si="189"/>
        <v>2.7079734680287734E-2</v>
      </c>
      <c r="I386">
        <f t="shared" si="189"/>
        <v>5.1696082163244998E-2</v>
      </c>
      <c r="J386">
        <f t="shared" si="189"/>
        <v>8.497158919765925E-2</v>
      </c>
      <c r="K386">
        <f t="shared" si="189"/>
        <v>1.6797332886317974E-3</v>
      </c>
      <c r="L386">
        <f t="shared" si="189"/>
        <v>5.7105002358884424E-2</v>
      </c>
      <c r="M386">
        <f t="shared" si="189"/>
        <v>1.4105876435302049E-3</v>
      </c>
      <c r="N386">
        <f t="shared" si="189"/>
        <v>0.33938230352580512</v>
      </c>
      <c r="O386">
        <f t="shared" si="189"/>
        <v>3.6781009472054405E-3</v>
      </c>
      <c r="P386">
        <f t="shared" si="189"/>
        <v>0.18217870426617611</v>
      </c>
      <c r="Q386">
        <f t="shared" si="189"/>
        <v>4.3776890829850486E-2</v>
      </c>
      <c r="R386">
        <f t="shared" si="189"/>
        <v>0.16320498083191104</v>
      </c>
      <c r="S386">
        <f t="shared" si="189"/>
        <v>1.5671125084242155E-5</v>
      </c>
      <c r="T386">
        <f t="shared" si="189"/>
        <v>3.0950195807009006E-3</v>
      </c>
      <c r="U386">
        <f t="shared" si="189"/>
        <v>1.8467380495376602E-5</v>
      </c>
      <c r="V386" t="e">
        <f t="shared" si="189"/>
        <v>#DIV/0!</v>
      </c>
      <c r="W386" t="e">
        <f t="shared" si="189"/>
        <v>#DIV/0!</v>
      </c>
      <c r="X386" t="e">
        <f t="shared" si="189"/>
        <v>#DIV/0!</v>
      </c>
      <c r="Y386">
        <f t="shared" si="189"/>
        <v>0.12731492325266416</v>
      </c>
    </row>
    <row r="388" spans="3:25" x14ac:dyDescent="0.25">
      <c r="D388" t="s">
        <v>276</v>
      </c>
      <c r="E388">
        <f t="shared" ref="E388:Y388" si="190">TTEST(E33:E47,E257:E261,1,2)</f>
        <v>0.34147032447889125</v>
      </c>
      <c r="F388">
        <f t="shared" si="190"/>
        <v>0.14612781425902344</v>
      </c>
      <c r="G388">
        <f t="shared" si="190"/>
        <v>4.2832130806374699E-2</v>
      </c>
      <c r="H388">
        <f t="shared" si="190"/>
        <v>3.2296685945118924E-9</v>
      </c>
      <c r="I388">
        <f t="shared" si="190"/>
        <v>1.8250644549904256E-8</v>
      </c>
      <c r="J388">
        <f t="shared" si="190"/>
        <v>9.9684478523095927E-6</v>
      </c>
      <c r="K388">
        <f t="shared" si="190"/>
        <v>1.5757534372452547E-11</v>
      </c>
      <c r="L388">
        <f t="shared" si="190"/>
        <v>2.6119569446998551E-3</v>
      </c>
      <c r="M388" t="e">
        <f t="shared" si="190"/>
        <v>#DIV/0!</v>
      </c>
      <c r="N388" t="e">
        <f t="shared" si="190"/>
        <v>#DIV/0!</v>
      </c>
      <c r="O388" t="e">
        <f t="shared" si="190"/>
        <v>#DIV/0!</v>
      </c>
      <c r="P388">
        <f t="shared" si="190"/>
        <v>1.9035145940449524E-5</v>
      </c>
      <c r="Q388">
        <f t="shared" si="190"/>
        <v>5.1537359234555905E-6</v>
      </c>
      <c r="R388">
        <f t="shared" si="190"/>
        <v>2.1678548756831884E-5</v>
      </c>
      <c r="S388">
        <f t="shared" si="190"/>
        <v>6.4898676073709069E-3</v>
      </c>
      <c r="T388">
        <f t="shared" si="190"/>
        <v>3.8947777998682466E-2</v>
      </c>
      <c r="U388">
        <f t="shared" si="190"/>
        <v>1.3101561577450342E-2</v>
      </c>
      <c r="V388" t="e">
        <f t="shared" si="190"/>
        <v>#DIV/0!</v>
      </c>
      <c r="W388" t="e">
        <f t="shared" si="190"/>
        <v>#DIV/0!</v>
      </c>
      <c r="X388" t="e">
        <f t="shared" si="190"/>
        <v>#DIV/0!</v>
      </c>
      <c r="Y388" t="e">
        <f t="shared" si="190"/>
        <v>#DIV/0!</v>
      </c>
    </row>
    <row r="389" spans="3:25" x14ac:dyDescent="0.25">
      <c r="D389" t="s">
        <v>277</v>
      </c>
      <c r="E389">
        <f t="shared" ref="E389:Y389" si="191">TTEST(E242:E246,E257:E261,1,2)</f>
        <v>0.20920275175619835</v>
      </c>
      <c r="F389">
        <f t="shared" si="191"/>
        <v>1.9066351203427062E-2</v>
      </c>
      <c r="G389">
        <f t="shared" si="191"/>
        <v>0.16137453357191761</v>
      </c>
      <c r="H389">
        <f t="shared" si="191"/>
        <v>6.5571418953752847E-2</v>
      </c>
      <c r="I389">
        <f t="shared" si="191"/>
        <v>0.11746546561437207</v>
      </c>
      <c r="J389">
        <f t="shared" si="191"/>
        <v>4.3937676608575095E-2</v>
      </c>
      <c r="K389">
        <f t="shared" si="191"/>
        <v>1.514223939542633E-3</v>
      </c>
      <c r="L389">
        <f t="shared" si="191"/>
        <v>1.4789453887350354E-3</v>
      </c>
      <c r="M389" t="e">
        <f t="shared" si="191"/>
        <v>#DIV/0!</v>
      </c>
      <c r="N389" t="e">
        <f t="shared" si="191"/>
        <v>#DIV/0!</v>
      </c>
      <c r="O389" t="e">
        <f t="shared" si="191"/>
        <v>#DIV/0!</v>
      </c>
      <c r="P389">
        <f t="shared" si="191"/>
        <v>0.36311297197507719</v>
      </c>
      <c r="Q389">
        <f t="shared" si="191"/>
        <v>3.5525573188627542E-2</v>
      </c>
      <c r="R389">
        <f t="shared" si="191"/>
        <v>0.21764963570429235</v>
      </c>
      <c r="S389">
        <f t="shared" si="191"/>
        <v>0.33780534782931315</v>
      </c>
      <c r="T389">
        <f t="shared" si="191"/>
        <v>0.15117936808798008</v>
      </c>
      <c r="U389">
        <f t="shared" si="191"/>
        <v>0.49549260115580213</v>
      </c>
      <c r="V389" t="e">
        <f t="shared" si="191"/>
        <v>#DIV/0!</v>
      </c>
      <c r="W389" t="e">
        <f t="shared" si="191"/>
        <v>#DIV/0!</v>
      </c>
      <c r="X389" t="e">
        <f t="shared" si="191"/>
        <v>#DIV/0!</v>
      </c>
      <c r="Y389">
        <f t="shared" si="191"/>
        <v>4.4087539986846072E-2</v>
      </c>
    </row>
    <row r="390" spans="3:25" x14ac:dyDescent="0.25">
      <c r="D390" t="s">
        <v>278</v>
      </c>
      <c r="E390">
        <f t="shared" ref="E390:Y390" si="192">TTEST(E78:E93,E267:E282,1,2)</f>
        <v>2.1584066951468993E-2</v>
      </c>
      <c r="F390">
        <f t="shared" si="192"/>
        <v>4.7970720959084341E-2</v>
      </c>
      <c r="G390">
        <f t="shared" si="192"/>
        <v>0.11822415039053392</v>
      </c>
      <c r="H390">
        <f t="shared" si="192"/>
        <v>2.5887521920625576E-2</v>
      </c>
      <c r="I390">
        <f t="shared" si="192"/>
        <v>4.014461498577624E-2</v>
      </c>
      <c r="J390">
        <f t="shared" si="192"/>
        <v>0.3386258653499386</v>
      </c>
      <c r="K390">
        <f t="shared" si="192"/>
        <v>3.0006994083811085E-2</v>
      </c>
      <c r="L390">
        <f t="shared" si="192"/>
        <v>0.18383328635788498</v>
      </c>
      <c r="M390">
        <f t="shared" si="192"/>
        <v>5.5460362729082384E-3</v>
      </c>
      <c r="N390">
        <f t="shared" si="192"/>
        <v>0.47232248177175074</v>
      </c>
      <c r="O390">
        <f t="shared" si="192"/>
        <v>3.9917046260890557E-2</v>
      </c>
      <c r="P390">
        <f t="shared" si="192"/>
        <v>1.4739591246063261E-3</v>
      </c>
      <c r="Q390">
        <f t="shared" si="192"/>
        <v>5.5676701102844572E-3</v>
      </c>
      <c r="R390">
        <f t="shared" si="192"/>
        <v>1.4372029955233322E-3</v>
      </c>
      <c r="S390">
        <f t="shared" si="192"/>
        <v>0.38889629175686197</v>
      </c>
      <c r="T390">
        <f t="shared" si="192"/>
        <v>0.40600382294348347</v>
      </c>
      <c r="U390">
        <f t="shared" si="192"/>
        <v>0.49943445077159687</v>
      </c>
      <c r="V390" t="e">
        <f t="shared" si="192"/>
        <v>#DIV/0!</v>
      </c>
      <c r="W390" t="e">
        <f t="shared" si="192"/>
        <v>#DIV/0!</v>
      </c>
      <c r="X390" t="e">
        <f t="shared" si="192"/>
        <v>#DIV/0!</v>
      </c>
      <c r="Y390">
        <f t="shared" si="192"/>
        <v>0.3766044050191556</v>
      </c>
    </row>
    <row r="391" spans="3:25" x14ac:dyDescent="0.25">
      <c r="D391" t="s">
        <v>279</v>
      </c>
      <c r="E391">
        <f>TTEST(E247:E256,E267:E282,1,2)</f>
        <v>3.0688736792656657E-2</v>
      </c>
      <c r="F391">
        <f t="shared" ref="F391:Y391" si="193">TTEST(F247:F256,F267:F282,1,2)</f>
        <v>1.3840882847667895E-2</v>
      </c>
      <c r="G391">
        <f t="shared" si="193"/>
        <v>1.1222612319601801E-2</v>
      </c>
      <c r="H391">
        <f t="shared" si="193"/>
        <v>0.49378358412880474</v>
      </c>
      <c r="I391">
        <f t="shared" si="193"/>
        <v>0.3357676010469029</v>
      </c>
      <c r="J391">
        <f t="shared" si="193"/>
        <v>3.2476465779812942E-3</v>
      </c>
      <c r="K391">
        <f t="shared" si="193"/>
        <v>6.3067502366266889E-2</v>
      </c>
      <c r="L391">
        <f t="shared" si="193"/>
        <v>3.7939829664477854E-4</v>
      </c>
      <c r="M391">
        <f t="shared" si="193"/>
        <v>2.036585708217013E-9</v>
      </c>
      <c r="N391">
        <f t="shared" si="193"/>
        <v>7.8617777595102224E-3</v>
      </c>
      <c r="O391">
        <f t="shared" si="193"/>
        <v>4.6930792058746122E-7</v>
      </c>
      <c r="P391">
        <f t="shared" si="193"/>
        <v>1.7276681449876954E-2</v>
      </c>
      <c r="Q391">
        <f t="shared" si="193"/>
        <v>0.46724704451329302</v>
      </c>
      <c r="R391">
        <f t="shared" si="193"/>
        <v>4.4874750801370808E-2</v>
      </c>
      <c r="S391">
        <f t="shared" si="193"/>
        <v>0.4622064819415489</v>
      </c>
      <c r="T391">
        <f t="shared" si="193"/>
        <v>0.36056275715990388</v>
      </c>
      <c r="U391">
        <f t="shared" si="193"/>
        <v>0.41198291928487646</v>
      </c>
      <c r="V391" t="e">
        <f t="shared" si="193"/>
        <v>#DIV/0!</v>
      </c>
      <c r="W391" t="e">
        <f t="shared" si="193"/>
        <v>#DIV/0!</v>
      </c>
      <c r="X391" t="e">
        <f t="shared" si="193"/>
        <v>#DIV/0!</v>
      </c>
      <c r="Y391">
        <f t="shared" si="193"/>
        <v>0.46351436578796334</v>
      </c>
    </row>
    <row r="392" spans="3:25" x14ac:dyDescent="0.25">
      <c r="D392" t="s">
        <v>283</v>
      </c>
      <c r="E392">
        <f t="shared" ref="E392:Y392" si="194">TTEST(E267:E282,E102:E131,1,2)</f>
        <v>8.7452999932276343E-2</v>
      </c>
      <c r="F392">
        <f t="shared" si="194"/>
        <v>4.8904474200983185E-2</v>
      </c>
      <c r="G392">
        <f t="shared" si="194"/>
        <v>0.44220838888035918</v>
      </c>
      <c r="H392">
        <f t="shared" si="194"/>
        <v>0.4114120897302308</v>
      </c>
      <c r="I392">
        <f t="shared" si="194"/>
        <v>0.22279273823946288</v>
      </c>
      <c r="J392">
        <f t="shared" si="194"/>
        <v>8.8853707401774496E-4</v>
      </c>
      <c r="K392">
        <f t="shared" si="194"/>
        <v>0.12888156926368405</v>
      </c>
      <c r="L392">
        <f t="shared" si="194"/>
        <v>1.6208689966687149E-3</v>
      </c>
      <c r="M392">
        <f t="shared" si="194"/>
        <v>1.3702008873680564E-3</v>
      </c>
      <c r="N392">
        <f t="shared" si="194"/>
        <v>0.19459898988709085</v>
      </c>
      <c r="O392">
        <f t="shared" si="194"/>
        <v>3.2807211621086588E-2</v>
      </c>
      <c r="P392">
        <f t="shared" si="194"/>
        <v>3.6920137017887371E-2</v>
      </c>
      <c r="Q392">
        <f t="shared" si="194"/>
        <v>0.23144714956608681</v>
      </c>
      <c r="R392">
        <f t="shared" si="194"/>
        <v>0.44976560885181927</v>
      </c>
      <c r="S392">
        <f t="shared" si="194"/>
        <v>2.2266745942078208E-2</v>
      </c>
      <c r="T392">
        <f t="shared" si="194"/>
        <v>0.10993425729121954</v>
      </c>
      <c r="U392">
        <f t="shared" si="194"/>
        <v>4.1307504223426966E-2</v>
      </c>
      <c r="V392" t="e">
        <f t="shared" si="194"/>
        <v>#DIV/0!</v>
      </c>
      <c r="W392" t="e">
        <f t="shared" si="194"/>
        <v>#DIV/0!</v>
      </c>
      <c r="X392" t="e">
        <f t="shared" si="194"/>
        <v>#DIV/0!</v>
      </c>
      <c r="Y392">
        <f t="shared" si="194"/>
        <v>0.15902637715031318</v>
      </c>
    </row>
    <row r="393" spans="3:25" x14ac:dyDescent="0.25">
      <c r="D393" t="s">
        <v>331</v>
      </c>
      <c r="E393">
        <f t="shared" ref="E393:Y393" si="195">TTEST(E267:E282,E58:E77,1,2)</f>
        <v>0.26436149152384497</v>
      </c>
      <c r="F393">
        <f t="shared" si="195"/>
        <v>1.0709173193128212E-2</v>
      </c>
      <c r="G393">
        <f t="shared" si="195"/>
        <v>3.9280951149572536E-2</v>
      </c>
      <c r="H393">
        <f t="shared" si="195"/>
        <v>0.35409904204469234</v>
      </c>
      <c r="I393">
        <f t="shared" si="195"/>
        <v>0.25760228376106975</v>
      </c>
      <c r="J393">
        <f t="shared" si="195"/>
        <v>2.1475123340883331E-2</v>
      </c>
      <c r="K393">
        <f t="shared" si="195"/>
        <v>0.18689670352842641</v>
      </c>
      <c r="L393">
        <f t="shared" si="195"/>
        <v>1.3886541844149192E-2</v>
      </c>
      <c r="M393">
        <f t="shared" si="195"/>
        <v>6.9526711178969601E-3</v>
      </c>
      <c r="N393">
        <f t="shared" si="195"/>
        <v>8.0322375450102533E-3</v>
      </c>
      <c r="O393">
        <f t="shared" si="195"/>
        <v>5.7314807234658378E-2</v>
      </c>
      <c r="P393">
        <f t="shared" si="195"/>
        <v>4.5480255302075757E-2</v>
      </c>
      <c r="Q393">
        <f t="shared" si="195"/>
        <v>5.1135735735299316E-2</v>
      </c>
      <c r="R393">
        <f t="shared" si="195"/>
        <v>5.0160019526279812E-2</v>
      </c>
      <c r="S393">
        <f t="shared" si="195"/>
        <v>1.0714374964385277E-2</v>
      </c>
      <c r="T393">
        <f t="shared" si="195"/>
        <v>7.1119086068215697E-3</v>
      </c>
      <c r="U393">
        <f t="shared" si="195"/>
        <v>5.5972821286826369E-3</v>
      </c>
      <c r="V393" t="e">
        <f t="shared" si="195"/>
        <v>#DIV/0!</v>
      </c>
      <c r="W393" t="e">
        <f t="shared" si="195"/>
        <v>#DIV/0!</v>
      </c>
      <c r="X393" t="e">
        <f t="shared" si="195"/>
        <v>#DIV/0!</v>
      </c>
      <c r="Y393">
        <f t="shared" si="195"/>
        <v>0.25381506395401954</v>
      </c>
    </row>
    <row r="396" spans="3:25" x14ac:dyDescent="0.25">
      <c r="C396" t="s">
        <v>157</v>
      </c>
      <c r="D396" t="s">
        <v>338</v>
      </c>
      <c r="E396" t="e">
        <f>TTEST(E303:E312,E209:E229,1,2)</f>
        <v>#DIV/0!</v>
      </c>
      <c r="F396">
        <f t="shared" ref="F396:Y396" si="196">TTEST(F303:F312,F209:F229,1,2)</f>
        <v>0.12544302336046662</v>
      </c>
      <c r="G396">
        <f t="shared" si="196"/>
        <v>0.15345437858816802</v>
      </c>
      <c r="H396">
        <f t="shared" si="196"/>
        <v>1.0235277225598159E-6</v>
      </c>
      <c r="I396">
        <f t="shared" si="196"/>
        <v>5.5879864185176413E-5</v>
      </c>
      <c r="J396">
        <f t="shared" si="196"/>
        <v>1.7791952706440267E-2</v>
      </c>
      <c r="K396">
        <f t="shared" si="196"/>
        <v>3.2716501646593592E-5</v>
      </c>
      <c r="L396">
        <f t="shared" si="196"/>
        <v>0.22061471628241736</v>
      </c>
      <c r="M396">
        <f t="shared" si="196"/>
        <v>0.43746553117559134</v>
      </c>
      <c r="N396">
        <f t="shared" si="196"/>
        <v>4.8525354441859569E-3</v>
      </c>
      <c r="O396">
        <f t="shared" si="196"/>
        <v>5.9473560095076573E-2</v>
      </c>
      <c r="P396">
        <f t="shared" si="196"/>
        <v>4.8886386075745209E-3</v>
      </c>
      <c r="Q396">
        <f t="shared" si="196"/>
        <v>3.0130791017868339E-2</v>
      </c>
      <c r="R396">
        <f t="shared" si="196"/>
        <v>1.6578862646425493E-2</v>
      </c>
      <c r="S396">
        <f t="shared" si="196"/>
        <v>2.3890198413794765E-3</v>
      </c>
      <c r="T396">
        <f t="shared" si="196"/>
        <v>0.37285639361743717</v>
      </c>
      <c r="U396">
        <f t="shared" si="196"/>
        <v>0.11021553696933344</v>
      </c>
      <c r="V396" t="e">
        <f t="shared" si="196"/>
        <v>#DIV/0!</v>
      </c>
      <c r="W396" t="e">
        <f t="shared" si="196"/>
        <v>#DIV/0!</v>
      </c>
      <c r="X396" t="e">
        <f t="shared" si="196"/>
        <v>#DIV/0!</v>
      </c>
      <c r="Y396" t="e">
        <f t="shared" si="196"/>
        <v>#DIV/0!</v>
      </c>
    </row>
    <row r="397" spans="3:25" x14ac:dyDescent="0.25">
      <c r="D397" t="s">
        <v>339</v>
      </c>
      <c r="E397" t="e">
        <f t="shared" ref="E397:Y397" si="197">TTEST(E303:E312,E172:E183,1,2)</f>
        <v>#DIV/0!</v>
      </c>
      <c r="F397">
        <f t="shared" si="197"/>
        <v>0.23794190867616949</v>
      </c>
      <c r="G397">
        <f t="shared" si="197"/>
        <v>0.13866376914752662</v>
      </c>
      <c r="H397">
        <f t="shared" si="197"/>
        <v>1.6645021327258745E-7</v>
      </c>
      <c r="I397">
        <f t="shared" si="197"/>
        <v>1.6769512203429932E-8</v>
      </c>
      <c r="J397">
        <f t="shared" si="197"/>
        <v>6.2577482668499894E-4</v>
      </c>
      <c r="K397">
        <f t="shared" si="197"/>
        <v>1.2565042732802961E-5</v>
      </c>
      <c r="L397">
        <f t="shared" si="197"/>
        <v>5.2976893486647606E-3</v>
      </c>
      <c r="M397">
        <f t="shared" si="197"/>
        <v>0.36160396365807324</v>
      </c>
      <c r="N397">
        <f t="shared" si="197"/>
        <v>1.2439218396160662E-5</v>
      </c>
      <c r="O397">
        <f t="shared" si="197"/>
        <v>0.1507150237230731</v>
      </c>
      <c r="P397">
        <f t="shared" si="197"/>
        <v>0.11571585407129092</v>
      </c>
      <c r="Q397">
        <f t="shared" si="197"/>
        <v>1.9568255185772126E-3</v>
      </c>
      <c r="R397">
        <f t="shared" si="197"/>
        <v>0.13685777134996069</v>
      </c>
      <c r="S397">
        <f t="shared" si="197"/>
        <v>2.1842223702786333E-2</v>
      </c>
      <c r="T397">
        <f t="shared" si="197"/>
        <v>0.11947507103673904</v>
      </c>
      <c r="U397">
        <f t="shared" si="197"/>
        <v>1.9351411277994241E-2</v>
      </c>
      <c r="V397" t="e">
        <f t="shared" si="197"/>
        <v>#DIV/0!</v>
      </c>
      <c r="W397" t="e">
        <f t="shared" si="197"/>
        <v>#DIV/0!</v>
      </c>
      <c r="X397" t="e">
        <f t="shared" si="197"/>
        <v>#DIV/0!</v>
      </c>
      <c r="Y397" t="e">
        <f t="shared" si="197"/>
        <v>#DIV/0!</v>
      </c>
    </row>
    <row r="398" spans="3:25" x14ac:dyDescent="0.25">
      <c r="D398" t="s">
        <v>340</v>
      </c>
      <c r="E398" t="e">
        <f>TTEST(E303:E312,E288:E302,1,2)</f>
        <v>#DIV/0!</v>
      </c>
      <c r="F398">
        <f t="shared" ref="F398:Y398" si="198">TTEST(F303:F312,F288:F302,1,2)</f>
        <v>0.34391356290827102</v>
      </c>
      <c r="G398">
        <f t="shared" si="198"/>
        <v>1.9458959436625199E-2</v>
      </c>
      <c r="H398">
        <f t="shared" si="198"/>
        <v>8.9771874164564717E-4</v>
      </c>
      <c r="I398">
        <f t="shared" si="198"/>
        <v>4.0053219767411269E-4</v>
      </c>
      <c r="J398">
        <f t="shared" si="198"/>
        <v>0.43087505419342231</v>
      </c>
      <c r="K398">
        <f t="shared" si="198"/>
        <v>1.8617853675259189E-2</v>
      </c>
      <c r="L398">
        <f t="shared" si="198"/>
        <v>0.41773658252772761</v>
      </c>
      <c r="M398">
        <f t="shared" si="198"/>
        <v>5.1504627299835036E-2</v>
      </c>
      <c r="N398">
        <f t="shared" si="198"/>
        <v>2.2848168152864126E-2</v>
      </c>
      <c r="O398">
        <f t="shared" si="198"/>
        <v>0.23870729319769013</v>
      </c>
      <c r="P398">
        <f t="shared" si="198"/>
        <v>1.6880422238248614E-2</v>
      </c>
      <c r="Q398">
        <f>TTEST(Q303:Q312,Q288:Q302,1,2)</f>
        <v>9.0909435727112647E-4</v>
      </c>
      <c r="R398">
        <f t="shared" si="198"/>
        <v>1.6450506789243143E-2</v>
      </c>
      <c r="S398">
        <f t="shared" si="198"/>
        <v>0.26286751750462112</v>
      </c>
      <c r="T398">
        <f t="shared" si="198"/>
        <v>2.4453063900172441E-2</v>
      </c>
      <c r="U398">
        <f t="shared" si="198"/>
        <v>0.35970476350532715</v>
      </c>
      <c r="V398" t="e">
        <f t="shared" si="198"/>
        <v>#DIV/0!</v>
      </c>
      <c r="W398" t="e">
        <f t="shared" si="198"/>
        <v>#DIV/0!</v>
      </c>
      <c r="X398" t="e">
        <f t="shared" si="198"/>
        <v>#DIV/0!</v>
      </c>
      <c r="Y398" t="e">
        <f t="shared" si="198"/>
        <v>#DIV/0!</v>
      </c>
    </row>
    <row r="399" spans="3:25" x14ac:dyDescent="0.25">
      <c r="D399" t="s">
        <v>341</v>
      </c>
      <c r="E399" t="e">
        <f>TTEST(E303:E312,E184:E208,1,2)</f>
        <v>#DIV/0!</v>
      </c>
      <c r="F399">
        <f t="shared" ref="F399:Y399" si="199">TTEST(F303:F312,F184:F208,1,2)</f>
        <v>0.36001533796584695</v>
      </c>
      <c r="G399">
        <f t="shared" si="199"/>
        <v>5.2302243829806652E-2</v>
      </c>
      <c r="H399">
        <f t="shared" si="199"/>
        <v>2.4538227402760119E-7</v>
      </c>
      <c r="I399">
        <f t="shared" si="199"/>
        <v>9.9827140685489158E-7</v>
      </c>
      <c r="J399">
        <f t="shared" si="199"/>
        <v>0.30861243565070651</v>
      </c>
      <c r="K399">
        <f t="shared" si="199"/>
        <v>1.2743312896122259E-12</v>
      </c>
      <c r="L399">
        <f t="shared" si="199"/>
        <v>0.28103823036065934</v>
      </c>
      <c r="M399">
        <f t="shared" si="199"/>
        <v>2.9428259910334238E-3</v>
      </c>
      <c r="N399">
        <f t="shared" si="199"/>
        <v>1.2075498018482926E-5</v>
      </c>
      <c r="O399">
        <f t="shared" si="199"/>
        <v>2.7199986446817702E-3</v>
      </c>
      <c r="P399">
        <f t="shared" si="199"/>
        <v>2.3472968194127291E-3</v>
      </c>
      <c r="Q399">
        <f t="shared" si="199"/>
        <v>1.7648472159402856E-3</v>
      </c>
      <c r="R399">
        <f t="shared" si="199"/>
        <v>2.3953789983604443E-3</v>
      </c>
      <c r="S399">
        <f t="shared" si="199"/>
        <v>0.45235927314690794</v>
      </c>
      <c r="T399">
        <f t="shared" si="199"/>
        <v>1.3449142953923319E-4</v>
      </c>
      <c r="U399">
        <f t="shared" si="199"/>
        <v>0.36358508581121052</v>
      </c>
      <c r="V399" t="e">
        <f t="shared" si="199"/>
        <v>#DIV/0!</v>
      </c>
      <c r="W399" t="e">
        <f t="shared" si="199"/>
        <v>#DIV/0!</v>
      </c>
      <c r="X399" t="e">
        <f t="shared" si="199"/>
        <v>#DIV/0!</v>
      </c>
      <c r="Y399" t="e">
        <f t="shared" si="199"/>
        <v>#DIV/0!</v>
      </c>
    </row>
    <row r="400" spans="3:25" x14ac:dyDescent="0.25">
      <c r="C400" t="s">
        <v>342</v>
      </c>
      <c r="D400" t="s">
        <v>337</v>
      </c>
      <c r="E400" t="e">
        <f>TTEST(E303:E312,E267:E282,1,2)</f>
        <v>#DIV/0!</v>
      </c>
      <c r="F400">
        <f t="shared" ref="F400:Y400" si="200">TTEST(F303:F312,F267:F282,1,2)</f>
        <v>0.26838875522032635</v>
      </c>
      <c r="G400">
        <f t="shared" si="200"/>
        <v>0.13829216195692293</v>
      </c>
      <c r="H400">
        <f t="shared" si="200"/>
        <v>2.2611228007062435E-3</v>
      </c>
      <c r="I400">
        <f t="shared" si="200"/>
        <v>2.3252376192200819E-3</v>
      </c>
      <c r="J400">
        <f t="shared" si="200"/>
        <v>0.29794447142975966</v>
      </c>
      <c r="K400">
        <f t="shared" si="200"/>
        <v>3.0395266386722404E-3</v>
      </c>
      <c r="L400">
        <f t="shared" si="200"/>
        <v>0.2126085202239667</v>
      </c>
      <c r="M400">
        <f t="shared" si="200"/>
        <v>0.32506151156643326</v>
      </c>
      <c r="N400">
        <f t="shared" si="200"/>
        <v>8.6504872445262088E-2</v>
      </c>
      <c r="O400">
        <f t="shared" si="200"/>
        <v>0.45513120409808439</v>
      </c>
      <c r="P400">
        <f t="shared" si="200"/>
        <v>4.3458448015739441E-2</v>
      </c>
      <c r="Q400">
        <f t="shared" si="200"/>
        <v>1.3770656055287794E-2</v>
      </c>
      <c r="R400">
        <f t="shared" si="200"/>
        <v>2.767412101929187E-2</v>
      </c>
      <c r="S400">
        <f t="shared" si="200"/>
        <v>0.46043347917677679</v>
      </c>
      <c r="T400">
        <f t="shared" si="200"/>
        <v>5.0153283789896837E-3</v>
      </c>
      <c r="U400">
        <f t="shared" si="200"/>
        <v>0.43910239525095851</v>
      </c>
      <c r="V400" t="e">
        <f t="shared" si="200"/>
        <v>#DIV/0!</v>
      </c>
      <c r="W400" t="e">
        <f t="shared" si="200"/>
        <v>#DIV/0!</v>
      </c>
      <c r="X400" t="e">
        <f t="shared" si="200"/>
        <v>#DIV/0!</v>
      </c>
      <c r="Y400" t="e">
        <f t="shared" si="200"/>
        <v>#DIV/0!</v>
      </c>
    </row>
  </sheetData>
  <mergeCells count="101">
    <mergeCell ref="A316:A363"/>
    <mergeCell ref="B316:B335"/>
    <mergeCell ref="B336:B355"/>
    <mergeCell ref="B356:B363"/>
    <mergeCell ref="C283:C287"/>
    <mergeCell ref="B283:B287"/>
    <mergeCell ref="B288:B302"/>
    <mergeCell ref="C293:C302"/>
    <mergeCell ref="C303:C312"/>
    <mergeCell ref="B303:B312"/>
    <mergeCell ref="C316:C321"/>
    <mergeCell ref="C322:C325"/>
    <mergeCell ref="C326:C335"/>
    <mergeCell ref="C336:C341"/>
    <mergeCell ref="C342:C345"/>
    <mergeCell ref="C346:C355"/>
    <mergeCell ref="C288:C292"/>
    <mergeCell ref="C356:C363"/>
    <mergeCell ref="C231:C235"/>
    <mergeCell ref="C178:C183"/>
    <mergeCell ref="C172:C177"/>
    <mergeCell ref="B231:B235"/>
    <mergeCell ref="B184:B208"/>
    <mergeCell ref="B236:B240"/>
    <mergeCell ref="C236:C240"/>
    <mergeCell ref="B242:B246"/>
    <mergeCell ref="B160:B171"/>
    <mergeCell ref="C167:C171"/>
    <mergeCell ref="C160:C161"/>
    <mergeCell ref="C162:C166"/>
    <mergeCell ref="C204:C208"/>
    <mergeCell ref="C184:C188"/>
    <mergeCell ref="C189:C198"/>
    <mergeCell ref="C199:C203"/>
    <mergeCell ref="C209:C212"/>
    <mergeCell ref="C220:C224"/>
    <mergeCell ref="C213:C219"/>
    <mergeCell ref="C267:C271"/>
    <mergeCell ref="C257:C261"/>
    <mergeCell ref="C242:C246"/>
    <mergeCell ref="B247:B256"/>
    <mergeCell ref="C247:C256"/>
    <mergeCell ref="B257:B266"/>
    <mergeCell ref="C262:C266"/>
    <mergeCell ref="B267:B282"/>
    <mergeCell ref="C273:C282"/>
    <mergeCell ref="B3:B10"/>
    <mergeCell ref="C11:C16"/>
    <mergeCell ref="C9:C10"/>
    <mergeCell ref="C3:C8"/>
    <mergeCell ref="C17:C21"/>
    <mergeCell ref="B11:B21"/>
    <mergeCell ref="C22:C27"/>
    <mergeCell ref="B22:B32"/>
    <mergeCell ref="C28:C32"/>
    <mergeCell ref="Y1:Y2"/>
    <mergeCell ref="J1:L1"/>
    <mergeCell ref="M1:O1"/>
    <mergeCell ref="P1:R1"/>
    <mergeCell ref="G1:G2"/>
    <mergeCell ref="S1:U1"/>
    <mergeCell ref="V1:X1"/>
    <mergeCell ref="H1:I1"/>
    <mergeCell ref="B1:B2"/>
    <mergeCell ref="C1:C2"/>
    <mergeCell ref="D1:D2"/>
    <mergeCell ref="E1:E2"/>
    <mergeCell ref="F1:F2"/>
    <mergeCell ref="B48:B57"/>
    <mergeCell ref="C53:C57"/>
    <mergeCell ref="C68:C72"/>
    <mergeCell ref="C63:C67"/>
    <mergeCell ref="C33:C38"/>
    <mergeCell ref="B58:B77"/>
    <mergeCell ref="C73:C77"/>
    <mergeCell ref="C58:C62"/>
    <mergeCell ref="C39:C47"/>
    <mergeCell ref="B33:B47"/>
    <mergeCell ref="C48:C52"/>
    <mergeCell ref="C149:C154"/>
    <mergeCell ref="C155:C159"/>
    <mergeCell ref="B138:B148"/>
    <mergeCell ref="C144:C148"/>
    <mergeCell ref="B209:B229"/>
    <mergeCell ref="C225:C229"/>
    <mergeCell ref="B149:B159"/>
    <mergeCell ref="B172:B183"/>
    <mergeCell ref="C84:C88"/>
    <mergeCell ref="C122:C126"/>
    <mergeCell ref="C108:C116"/>
    <mergeCell ref="C117:C121"/>
    <mergeCell ref="C127:C131"/>
    <mergeCell ref="B102:B131"/>
    <mergeCell ref="C138:C143"/>
    <mergeCell ref="C132:C137"/>
    <mergeCell ref="B132:B137"/>
    <mergeCell ref="C94:C101"/>
    <mergeCell ref="B78:B101"/>
    <mergeCell ref="C89:C93"/>
    <mergeCell ref="C102:C107"/>
    <mergeCell ref="C78:C83"/>
  </mergeCells>
  <phoneticPr fontId="7" type="noConversion"/>
  <conditionalFormatting sqref="E316:O321 E322:U334 E335:Y335">
    <cfRule type="cellIs" dxfId="34" priority="9" stopIfTrue="1" operator="lessThan">
      <formula>0.025</formula>
    </cfRule>
    <cfRule type="cellIs" dxfId="33" priority="10" operator="lessThan">
      <formula>0.05</formula>
    </cfRule>
  </conditionalFormatting>
  <conditionalFormatting sqref="E336:O339 E341:O341">
    <cfRule type="cellIs" dxfId="32" priority="11" stopIfTrue="1" operator="lessThan">
      <formula>0.025</formula>
    </cfRule>
    <cfRule type="cellIs" dxfId="31" priority="12" operator="lessThan">
      <formula>0.05</formula>
    </cfRule>
  </conditionalFormatting>
  <conditionalFormatting sqref="E342:U344 E346:U354 Y346:Y354 E355:Y355 E356:U361 Y356:Y361 E362:Y363 E368:Y373 E375:Y376 E380:Y386">
    <cfRule type="cellIs" dxfId="30" priority="32" stopIfTrue="1" operator="lessThan">
      <formula>0.025</formula>
    </cfRule>
    <cfRule type="cellIs" dxfId="29" priority="33" operator="lessThan">
      <formula>0.05</formula>
    </cfRule>
  </conditionalFormatting>
  <conditionalFormatting sqref="E388:Y393">
    <cfRule type="cellIs" dxfId="28" priority="3" stopIfTrue="1" operator="lessThan">
      <formula>0.025</formula>
    </cfRule>
    <cfRule type="cellIs" dxfId="27" priority="4" operator="lessThan">
      <formula>0.05</formula>
    </cfRule>
  </conditionalFormatting>
  <conditionalFormatting sqref="E396:Y400">
    <cfRule type="cellIs" dxfId="26" priority="1" stopIfTrue="1" operator="lessThan">
      <formula>0.025</formula>
    </cfRule>
    <cfRule type="cellIs" dxfId="25" priority="2" operator="lessThan">
      <formula>0.05</formula>
    </cfRule>
  </conditionalFormatting>
  <conditionalFormatting sqref="Y316:Y334">
    <cfRule type="cellIs" dxfId="24" priority="5" stopIfTrue="1" operator="lessThan">
      <formula>0.025</formula>
    </cfRule>
    <cfRule type="cellIs" dxfId="23" priority="6" operator="lessThan">
      <formula>0.05</formula>
    </cfRule>
  </conditionalFormatting>
  <conditionalFormatting sqref="Y336:Y339 Y341:Y344">
    <cfRule type="cellIs" dxfId="22" priority="7" stopIfTrue="1" operator="lessThan">
      <formula>0.025</formula>
    </cfRule>
    <cfRule type="cellIs" dxfId="21" priority="8" operator="lessThan">
      <formula>0.05</formula>
    </cfRule>
  </conditionalFormatting>
  <hyperlinks>
    <hyperlink ref="A1" location="'Table of Contents'!A1" display="Table of Contents" xr:uid="{843D721E-7AB8-4962-BFCB-0854DB93176D}"/>
    <hyperlink ref="A221" location="Sheet6!A1" display="Sheet6!A1" xr:uid="{BAC3F020-06B6-46EA-BF0A-30E82486F91A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5248-EA0B-4B52-81F9-B11A06D656C9}">
  <dimension ref="B1:U70"/>
  <sheetViews>
    <sheetView workbookViewId="0">
      <selection activeCell="S2" sqref="S2:U2"/>
    </sheetView>
  </sheetViews>
  <sheetFormatPr defaultRowHeight="15" x14ac:dyDescent="0.25"/>
  <cols>
    <col min="2" max="2" width="13.42578125" customWidth="1"/>
    <col min="3" max="3" width="11.42578125" customWidth="1"/>
  </cols>
  <sheetData>
    <row r="1" spans="2:21" x14ac:dyDescent="0.25">
      <c r="B1" s="704" t="s">
        <v>290</v>
      </c>
      <c r="C1" s="704" t="s">
        <v>53</v>
      </c>
      <c r="D1" s="704" t="s">
        <v>54</v>
      </c>
      <c r="E1" s="691" t="s">
        <v>31</v>
      </c>
      <c r="F1" s="656"/>
      <c r="G1" s="691" t="s">
        <v>34</v>
      </c>
      <c r="H1" s="655"/>
      <c r="I1" s="656"/>
      <c r="J1" s="655" t="s">
        <v>35</v>
      </c>
      <c r="K1" s="655"/>
      <c r="L1" s="656"/>
    </row>
    <row r="2" spans="2:21" ht="15.75" thickBot="1" x14ac:dyDescent="0.3">
      <c r="B2" s="704"/>
      <c r="C2" s="704"/>
      <c r="D2" s="704"/>
      <c r="E2" s="88" t="s">
        <v>37</v>
      </c>
      <c r="F2" s="3" t="s">
        <v>38</v>
      </c>
      <c r="G2" s="4" t="s">
        <v>37</v>
      </c>
      <c r="H2" s="5" t="s">
        <v>39</v>
      </c>
      <c r="I2" s="6" t="s">
        <v>40</v>
      </c>
      <c r="J2" s="4" t="s">
        <v>37</v>
      </c>
      <c r="K2" s="5" t="s">
        <v>39</v>
      </c>
      <c r="L2" s="6" t="s">
        <v>40</v>
      </c>
      <c r="S2" t="s">
        <v>291</v>
      </c>
      <c r="T2" t="s">
        <v>101</v>
      </c>
      <c r="U2" t="s">
        <v>103</v>
      </c>
    </row>
    <row r="3" spans="2:21" x14ac:dyDescent="0.25">
      <c r="B3" s="704">
        <v>1</v>
      </c>
      <c r="C3" s="704" t="s">
        <v>134</v>
      </c>
      <c r="D3" s="68" t="s">
        <v>80</v>
      </c>
      <c r="E3" s="91">
        <v>60.289263333333324</v>
      </c>
      <c r="F3" s="89">
        <v>114.83669206349204</v>
      </c>
      <c r="R3">
        <v>1</v>
      </c>
      <c r="S3">
        <f>AVERAGE(F3:F8)</f>
        <v>100.52887686473987</v>
      </c>
    </row>
    <row r="4" spans="2:21" x14ac:dyDescent="0.25">
      <c r="B4" s="704"/>
      <c r="C4" s="704"/>
      <c r="D4" s="68" t="s">
        <v>79</v>
      </c>
      <c r="E4" s="91">
        <v>36.140963333333325</v>
      </c>
      <c r="F4" s="89">
        <v>62.312005747126413</v>
      </c>
      <c r="R4">
        <v>2</v>
      </c>
      <c r="S4">
        <f>AVERAGE(F9:F14)</f>
        <v>95.118571973937776</v>
      </c>
      <c r="T4">
        <f>AVERAGE(I9:I14)</f>
        <v>1.2092015914289586E-3</v>
      </c>
      <c r="U4">
        <f>AVERAGE(L9:L14)</f>
        <v>6.295392755888944</v>
      </c>
    </row>
    <row r="5" spans="2:21" x14ac:dyDescent="0.25">
      <c r="B5" s="704"/>
      <c r="C5" s="704"/>
      <c r="D5" s="68" t="s">
        <v>81</v>
      </c>
      <c r="E5" s="91">
        <v>44.92216333333333</v>
      </c>
      <c r="F5" s="89">
        <v>91.67788435374149</v>
      </c>
      <c r="R5">
        <v>3</v>
      </c>
      <c r="S5">
        <f>AVERAGE(F15:F22)</f>
        <v>72.261723449514236</v>
      </c>
      <c r="T5">
        <f>AVERAGE(I15:I22)</f>
        <v>1.8575654892663746E-4</v>
      </c>
      <c r="U5">
        <f>AVERAGE(L15:L22)</f>
        <v>0.18813374036594629</v>
      </c>
    </row>
    <row r="6" spans="2:21" x14ac:dyDescent="0.25">
      <c r="B6" s="704"/>
      <c r="C6" s="704"/>
      <c r="D6" s="68" t="s">
        <v>82</v>
      </c>
      <c r="E6" s="91">
        <v>47.117463333333333</v>
      </c>
      <c r="F6" s="89">
        <v>85.668115151515138</v>
      </c>
      <c r="R6">
        <v>4</v>
      </c>
      <c r="S6">
        <f>AVERAGE(F23:F30)</f>
        <v>54.775662176876374</v>
      </c>
      <c r="T6">
        <f>AVERAGE(I23:I30)</f>
        <v>1.0190785583225425E-2</v>
      </c>
      <c r="U6">
        <f>AVERAGE(L23:L30)</f>
        <v>6.2528117788636681</v>
      </c>
    </row>
    <row r="7" spans="2:21" x14ac:dyDescent="0.25">
      <c r="B7" s="704"/>
      <c r="C7" s="704"/>
      <c r="D7" s="68" t="s">
        <v>83</v>
      </c>
      <c r="E7" s="91">
        <v>73.461063333333328</v>
      </c>
      <c r="F7" s="89">
        <v>120.42797267759562</v>
      </c>
      <c r="R7">
        <v>5</v>
      </c>
      <c r="S7">
        <f>AVERAGE(F31:F35)</f>
        <v>44.454997762793248</v>
      </c>
      <c r="T7">
        <f>AVERAGE(I31:I35)</f>
        <v>1.0996459494458714E-2</v>
      </c>
      <c r="U7">
        <f>AVERAGE(L31:L35)</f>
        <v>1.1109138876565818</v>
      </c>
    </row>
    <row r="8" spans="2:21" x14ac:dyDescent="0.25">
      <c r="B8" s="704"/>
      <c r="C8" s="704"/>
      <c r="D8" s="68" t="s">
        <v>94</v>
      </c>
      <c r="E8" s="91">
        <v>67.972813333333335</v>
      </c>
      <c r="F8" s="89">
        <v>128.25059119496854</v>
      </c>
      <c r="R8">
        <v>6</v>
      </c>
      <c r="S8">
        <f>AVERAGE(F36:F40)</f>
        <v>35.910771866462945</v>
      </c>
      <c r="T8">
        <f>AVERAGE(I36:I40)</f>
        <v>3.0820924189208777E-2</v>
      </c>
      <c r="U8">
        <f>AVERAGE(L36:L40)</f>
        <v>0.94054811260601257</v>
      </c>
    </row>
    <row r="9" spans="2:21" x14ac:dyDescent="0.25">
      <c r="B9" s="704">
        <v>2</v>
      </c>
      <c r="C9" s="704" t="s">
        <v>158</v>
      </c>
      <c r="D9" s="68" t="s">
        <v>80</v>
      </c>
      <c r="E9" s="91">
        <v>61.440535714285716</v>
      </c>
      <c r="F9" s="89">
        <v>107.7904135338346</v>
      </c>
      <c r="G9">
        <v>8.0662138944976322E-4</v>
      </c>
      <c r="H9">
        <v>1.3128488872570383E-5</v>
      </c>
      <c r="I9">
        <v>1.4151252446487075E-3</v>
      </c>
      <c r="J9">
        <v>4.3258401468168293</v>
      </c>
      <c r="K9">
        <v>7.0406940573127449E-2</v>
      </c>
      <c r="L9">
        <v>7.5891932400295259</v>
      </c>
      <c r="R9">
        <v>7</v>
      </c>
      <c r="S9">
        <f>AVERAGE(F41:F42)</f>
        <v>39.838378411654134</v>
      </c>
      <c r="T9">
        <f>AVERAGE(I41:I42)</f>
        <v>3.2412026657140656E-4</v>
      </c>
      <c r="U9">
        <f>AVERAGE(L41:L42)</f>
        <v>1.6803523557736626</v>
      </c>
    </row>
    <row r="10" spans="2:21" x14ac:dyDescent="0.25">
      <c r="B10" s="704"/>
      <c r="C10" s="704"/>
      <c r="D10" s="68" t="s">
        <v>79</v>
      </c>
      <c r="E10" s="91">
        <v>42.379985714285723</v>
      </c>
      <c r="F10" s="89">
        <v>79.962237196765514</v>
      </c>
      <c r="G10">
        <v>5.5581013207766793E-4</v>
      </c>
      <c r="H10">
        <v>1.3114920232035657E-5</v>
      </c>
      <c r="I10">
        <v>1.0486983624106942E-3</v>
      </c>
      <c r="J10">
        <v>2.340208604015662</v>
      </c>
      <c r="K10">
        <v>5.5219664768004134E-2</v>
      </c>
      <c r="L10">
        <v>4.4154879321050222</v>
      </c>
      <c r="R10">
        <v>8</v>
      </c>
    </row>
    <row r="11" spans="2:21" x14ac:dyDescent="0.25">
      <c r="B11" s="704"/>
      <c r="C11" s="704"/>
      <c r="D11" s="68" t="s">
        <v>81</v>
      </c>
      <c r="E11" s="91">
        <v>43.41028571428572</v>
      </c>
      <c r="F11" s="89">
        <v>79.651900393184803</v>
      </c>
      <c r="G11">
        <v>5.171046911251841E-4</v>
      </c>
      <c r="H11">
        <v>1.1912031506279907E-5</v>
      </c>
      <c r="I11">
        <v>9.4881594701868633E-4</v>
      </c>
      <c r="J11">
        <v>2.5787422633781403</v>
      </c>
      <c r="K11">
        <v>5.9403945883947776E-2</v>
      </c>
      <c r="L11">
        <v>4.731637180510349</v>
      </c>
      <c r="R11">
        <v>9</v>
      </c>
      <c r="S11">
        <f>AVERAGE(F43:F47)</f>
        <v>25.73955875011573</v>
      </c>
      <c r="T11">
        <f>AVERAGE(I43:I47)</f>
        <v>1.3242268457546804E-2</v>
      </c>
      <c r="U11">
        <f>AVERAGE(L43:L47)</f>
        <v>0.76697172867938912</v>
      </c>
    </row>
    <row r="12" spans="2:21" x14ac:dyDescent="0.25">
      <c r="B12" s="704"/>
      <c r="C12" s="704"/>
      <c r="D12" s="68" t="s">
        <v>82</v>
      </c>
      <c r="E12" s="91">
        <v>43.925435714285719</v>
      </c>
      <c r="F12" s="89">
        <v>78.438278061224494</v>
      </c>
      <c r="G12">
        <v>4.4124202685831576E-4</v>
      </c>
      <c r="H12">
        <v>1.0045250995992104E-5</v>
      </c>
      <c r="I12">
        <v>7.8793219081842094E-4</v>
      </c>
      <c r="J12">
        <v>3.1009375717122132</v>
      </c>
      <c r="K12">
        <v>7.0595488042107357E-2</v>
      </c>
      <c r="L12">
        <v>5.537388520914666</v>
      </c>
      <c r="R12">
        <v>10</v>
      </c>
      <c r="S12">
        <f>AVERAGE(F48:F57)</f>
        <v>50.060703258474838</v>
      </c>
      <c r="T12">
        <f>AVERAGE(I48:I57)</f>
        <v>8.716325582551367E-3</v>
      </c>
      <c r="U12">
        <f>AVERAGE(L48:L57)</f>
        <v>6.412614701906139</v>
      </c>
    </row>
    <row r="13" spans="2:21" x14ac:dyDescent="0.25">
      <c r="B13" s="704"/>
      <c r="C13" s="704"/>
      <c r="D13" s="68" t="s">
        <v>83</v>
      </c>
      <c r="E13" s="91">
        <v>78.955635714285705</v>
      </c>
      <c r="F13" s="89">
        <v>147.58062750333775</v>
      </c>
      <c r="G13">
        <v>1.1487774874697203E-3</v>
      </c>
      <c r="H13">
        <v>1.4549657881633245E-5</v>
      </c>
      <c r="I13">
        <v>2.1472476401303182E-3</v>
      </c>
      <c r="J13">
        <v>5.2026125163653978</v>
      </c>
      <c r="K13">
        <v>6.589285830326197E-2</v>
      </c>
      <c r="L13">
        <v>9.7245093763839208</v>
      </c>
      <c r="R13">
        <v>11</v>
      </c>
      <c r="S13">
        <f>AVERAGE(F58:F70)</f>
        <v>6.127349166052162</v>
      </c>
      <c r="T13">
        <f>AVERAGE(I58:I70)</f>
        <v>4.1933841377369309E-3</v>
      </c>
      <c r="U13">
        <f>AVERAGE(L58:L70)</f>
        <v>0.67042738884989383</v>
      </c>
    </row>
    <row r="14" spans="2:21" x14ac:dyDescent="0.25">
      <c r="B14" s="704"/>
      <c r="C14" s="704"/>
      <c r="D14" s="68" t="s">
        <v>94</v>
      </c>
      <c r="E14" s="91">
        <v>44.440585714285717</v>
      </c>
      <c r="F14" s="89">
        <v>77.287975155279511</v>
      </c>
      <c r="G14">
        <v>5.2174934403948219E-4</v>
      </c>
      <c r="H14">
        <v>1.1740379557413493E-5</v>
      </c>
      <c r="I14">
        <v>9.0739016354692557E-4</v>
      </c>
      <c r="J14">
        <v>3.3201306640993549</v>
      </c>
      <c r="K14">
        <v>7.4709426321356451E-2</v>
      </c>
      <c r="L14">
        <v>5.7741402853901826</v>
      </c>
    </row>
    <row r="15" spans="2:21" x14ac:dyDescent="0.25">
      <c r="B15" s="704">
        <v>3</v>
      </c>
      <c r="C15" s="704" t="s">
        <v>161</v>
      </c>
      <c r="D15" s="68" t="s">
        <v>136</v>
      </c>
      <c r="E15" s="91">
        <v>41.439070000000001</v>
      </c>
      <c r="F15" s="89">
        <v>72.700122807017536</v>
      </c>
      <c r="G15">
        <v>1.8735551142939815E-4</v>
      </c>
      <c r="H15">
        <v>4.5212286721057722E-6</v>
      </c>
      <c r="I15">
        <v>3.2869387970069848E-4</v>
      </c>
      <c r="J15">
        <v>0.12561334845156072</v>
      </c>
      <c r="K15">
        <v>3.0312781742341398E-3</v>
      </c>
      <c r="L15">
        <v>0.22037429552905388</v>
      </c>
    </row>
    <row r="16" spans="2:21" x14ac:dyDescent="0.25">
      <c r="B16" s="704"/>
      <c r="C16" s="704"/>
      <c r="D16" s="68" t="s">
        <v>137</v>
      </c>
      <c r="E16" s="91">
        <v>30.712789999999995</v>
      </c>
      <c r="F16" s="89">
        <v>46.889755725190831</v>
      </c>
      <c r="G16">
        <v>4.0147609592013885E-5</v>
      </c>
      <c r="H16">
        <v>1.3071951324517861E-6</v>
      </c>
      <c r="I16">
        <v>6.1294060445822717E-5</v>
      </c>
      <c r="J16">
        <v>0.11514556941393064</v>
      </c>
      <c r="K16">
        <v>3.749108088647455E-3</v>
      </c>
      <c r="L16">
        <v>0.17579476246401624</v>
      </c>
    </row>
    <row r="17" spans="2:12" x14ac:dyDescent="0.25">
      <c r="B17" s="704"/>
      <c r="C17" s="704"/>
      <c r="D17" s="68" t="s">
        <v>138</v>
      </c>
      <c r="E17" s="91">
        <v>24.650109999999998</v>
      </c>
      <c r="F17" s="89">
        <v>44.018053571428567</v>
      </c>
      <c r="G17">
        <v>9.3677755714699075E-5</v>
      </c>
      <c r="H17">
        <v>3.8002976747243352E-6</v>
      </c>
      <c r="I17">
        <v>1.6728170663339118E-4</v>
      </c>
      <c r="J17">
        <v>9.4210011338670532E-2</v>
      </c>
      <c r="K17">
        <v>3.8218900986109407E-3</v>
      </c>
      <c r="L17">
        <v>0.16823216310476879</v>
      </c>
    </row>
    <row r="18" spans="2:12" x14ac:dyDescent="0.25">
      <c r="B18" s="704"/>
      <c r="C18" s="704" t="s">
        <v>159</v>
      </c>
      <c r="D18" s="89" t="s">
        <v>141</v>
      </c>
      <c r="E18" s="89">
        <v>42.371789999999997</v>
      </c>
      <c r="F18" s="91">
        <v>79.946773584905657</v>
      </c>
    </row>
    <row r="19" spans="2:12" x14ac:dyDescent="0.25">
      <c r="B19" s="704"/>
      <c r="C19" s="704"/>
      <c r="D19" s="89" t="s">
        <v>149</v>
      </c>
      <c r="E19" s="89">
        <v>46.102670000000003</v>
      </c>
      <c r="F19" s="91">
        <v>83.823036363636362</v>
      </c>
    </row>
    <row r="20" spans="2:12" x14ac:dyDescent="0.25">
      <c r="B20" s="704"/>
      <c r="C20" s="704"/>
      <c r="D20" s="89" t="s">
        <v>142</v>
      </c>
      <c r="E20" s="89">
        <v>49.367189999999994</v>
      </c>
      <c r="F20" s="91">
        <v>99.731696969696955</v>
      </c>
    </row>
    <row r="21" spans="2:12" x14ac:dyDescent="0.25">
      <c r="B21" s="704"/>
      <c r="C21" s="704"/>
      <c r="D21" s="89" t="s">
        <v>143</v>
      </c>
      <c r="E21" s="89">
        <v>40.972709999999992</v>
      </c>
      <c r="F21" s="91">
        <v>72.518070796460165</v>
      </c>
    </row>
    <row r="22" spans="2:12" x14ac:dyDescent="0.25">
      <c r="B22" s="704"/>
      <c r="C22" s="704"/>
      <c r="D22" s="89" t="s">
        <v>144</v>
      </c>
      <c r="E22" s="89">
        <v>42.371789999999997</v>
      </c>
      <c r="F22" s="91">
        <v>78.466277777777762</v>
      </c>
    </row>
    <row r="23" spans="2:12" x14ac:dyDescent="0.25">
      <c r="B23" s="704">
        <v>4</v>
      </c>
      <c r="C23" s="704" t="s">
        <v>145</v>
      </c>
      <c r="D23" s="68" t="s">
        <v>80</v>
      </c>
      <c r="E23" s="91">
        <v>52.829016153846148</v>
      </c>
      <c r="F23" s="89">
        <v>91.084510610079576</v>
      </c>
    </row>
    <row r="24" spans="2:12" x14ac:dyDescent="0.25">
      <c r="B24" s="704"/>
      <c r="C24" s="704"/>
      <c r="D24" s="68" t="s">
        <v>79</v>
      </c>
      <c r="E24" s="91">
        <v>67.752536153846151</v>
      </c>
      <c r="F24" s="89">
        <v>107.54370818070818</v>
      </c>
    </row>
    <row r="25" spans="2:12" x14ac:dyDescent="0.25">
      <c r="B25" s="704"/>
      <c r="C25" s="704" t="s">
        <v>145</v>
      </c>
      <c r="D25" s="68" t="s">
        <v>136</v>
      </c>
      <c r="E25" s="91">
        <v>19.058941153846153</v>
      </c>
      <c r="F25" s="89">
        <v>32.303290091264664</v>
      </c>
      <c r="G25">
        <v>3.81349836960846E-3</v>
      </c>
      <c r="H25">
        <v>2.000897289532207E-4</v>
      </c>
      <c r="I25">
        <v>6.4635565586584074E-3</v>
      </c>
      <c r="J25">
        <v>4.8196797273940097</v>
      </c>
      <c r="K25">
        <v>0.25288286943587018</v>
      </c>
      <c r="L25">
        <v>8.168948690498322</v>
      </c>
    </row>
    <row r="26" spans="2:12" x14ac:dyDescent="0.25">
      <c r="B26" s="704"/>
      <c r="C26" s="704"/>
      <c r="D26" s="68" t="s">
        <v>137</v>
      </c>
      <c r="E26" s="91">
        <v>30.086821153846152</v>
      </c>
      <c r="F26" s="89">
        <v>62.680877403846154</v>
      </c>
      <c r="G26">
        <v>1.16109307901487E-2</v>
      </c>
      <c r="H26">
        <v>3.8591417587046799E-4</v>
      </c>
      <c r="I26">
        <v>2.4189439146143125E-2</v>
      </c>
    </row>
    <row r="27" spans="2:12" x14ac:dyDescent="0.25">
      <c r="B27" s="704"/>
      <c r="C27" s="704"/>
      <c r="D27" s="68" t="s">
        <v>138</v>
      </c>
      <c r="E27" s="91">
        <v>15.382981153846151</v>
      </c>
      <c r="F27" s="89">
        <v>29.582656065088752</v>
      </c>
      <c r="G27">
        <v>2.8974065824958098E-3</v>
      </c>
      <c r="H27">
        <v>1.8835143549346297E-4</v>
      </c>
      <c r="I27">
        <v>5.5719357355688646E-3</v>
      </c>
      <c r="J27">
        <v>3.6284662270350001</v>
      </c>
      <c r="K27">
        <v>0.23587536061745665</v>
      </c>
      <c r="L27">
        <v>6.9778196673749999</v>
      </c>
    </row>
    <row r="28" spans="2:12" x14ac:dyDescent="0.25">
      <c r="B28" s="704"/>
      <c r="C28" s="704"/>
      <c r="D28" s="68" t="s">
        <v>139</v>
      </c>
      <c r="E28" s="91">
        <v>27.023521153846151</v>
      </c>
      <c r="F28" s="89">
        <v>45.417682611506137</v>
      </c>
      <c r="G28">
        <v>6.1995979081344204E-3</v>
      </c>
      <c r="H28">
        <v>2.2941488168176988E-4</v>
      </c>
      <c r="I28">
        <v>1.0419492282578859E-2</v>
      </c>
      <c r="J28">
        <v>4.3212640368672295</v>
      </c>
      <c r="K28">
        <v>0.15990751213604157</v>
      </c>
      <c r="L28">
        <v>7.2626286333903023</v>
      </c>
    </row>
    <row r="29" spans="2:12" x14ac:dyDescent="0.25">
      <c r="B29" s="704"/>
      <c r="C29" s="704"/>
      <c r="D29" s="68" t="s">
        <v>140</v>
      </c>
      <c r="E29" s="91">
        <v>23.347561153846151</v>
      </c>
      <c r="F29" s="89">
        <v>42.839561750176429</v>
      </c>
      <c r="G29">
        <v>5.9439443861495E-3</v>
      </c>
      <c r="H29">
        <v>2.5458523684690411E-4</v>
      </c>
      <c r="I29">
        <v>1.0906319974586239E-2</v>
      </c>
      <c r="J29">
        <v>4.6651708633307098</v>
      </c>
      <c r="K29">
        <v>0.19981405477814521</v>
      </c>
      <c r="L29">
        <v>8.559946538221487</v>
      </c>
    </row>
    <row r="30" spans="2:12" x14ac:dyDescent="0.25">
      <c r="B30" s="704"/>
      <c r="C30" s="68" t="s">
        <v>145</v>
      </c>
      <c r="D30" s="68" t="s">
        <v>136</v>
      </c>
      <c r="E30" s="91">
        <v>15.382981153846151</v>
      </c>
      <c r="F30" s="89">
        <v>26.753010702341133</v>
      </c>
      <c r="G30">
        <v>2.06653263604481E-3</v>
      </c>
      <c r="H30">
        <v>1.3433889149166138E-4</v>
      </c>
      <c r="I30">
        <v>3.5939698018170609E-3</v>
      </c>
      <c r="J30">
        <v>0.16946133477910702</v>
      </c>
      <c r="K30">
        <v>1.1016156951914175E-2</v>
      </c>
      <c r="L30">
        <v>0.29471536483322963</v>
      </c>
    </row>
    <row r="31" spans="2:12" x14ac:dyDescent="0.25">
      <c r="B31" s="705">
        <v>5</v>
      </c>
      <c r="C31" s="704" t="s">
        <v>13</v>
      </c>
      <c r="D31" t="s">
        <v>80</v>
      </c>
      <c r="E31">
        <v>29.915382962962962</v>
      </c>
      <c r="F31">
        <v>60.435117096894871</v>
      </c>
      <c r="G31">
        <v>4.5611538870593497E-3</v>
      </c>
      <c r="H31">
        <v>1.5246851068917726E-4</v>
      </c>
      <c r="I31">
        <v>9.2144522970895957E-3</v>
      </c>
      <c r="J31">
        <v>0.61770576087179807</v>
      </c>
      <c r="K31">
        <v>2.0648432334513481E-2</v>
      </c>
      <c r="L31">
        <v>1.2478904260036325</v>
      </c>
    </row>
    <row r="32" spans="2:12" x14ac:dyDescent="0.25">
      <c r="B32" s="705"/>
      <c r="C32" s="704"/>
      <c r="D32" t="s">
        <v>79</v>
      </c>
      <c r="E32">
        <v>28.916997962962967</v>
      </c>
      <c r="F32">
        <v>55.079996119929454</v>
      </c>
      <c r="G32">
        <v>4.3822851071746698E-3</v>
      </c>
      <c r="H32">
        <v>1.515470282491814E-4</v>
      </c>
      <c r="I32">
        <v>8.3472097279517522E-3</v>
      </c>
      <c r="J32">
        <v>0.509448050203545</v>
      </c>
      <c r="K32">
        <v>1.7617598163407161E-2</v>
      </c>
      <c r="L32">
        <v>0.97037723848294277</v>
      </c>
    </row>
    <row r="33" spans="2:12" x14ac:dyDescent="0.25">
      <c r="B33" s="705"/>
      <c r="C33" s="704"/>
      <c r="D33" t="s">
        <v>81</v>
      </c>
      <c r="E33">
        <v>24.257867962962962</v>
      </c>
      <c r="F33">
        <v>51.612485027580774</v>
      </c>
      <c r="G33">
        <v>7.2292798536724998E-3</v>
      </c>
      <c r="H33">
        <v>2.9801794060014679E-4</v>
      </c>
      <c r="I33">
        <v>1.5381446497175532E-2</v>
      </c>
      <c r="J33">
        <v>0.66865056589215299</v>
      </c>
      <c r="K33">
        <v>2.7564275925363767E-2</v>
      </c>
      <c r="L33">
        <v>1.4226607784939427</v>
      </c>
    </row>
    <row r="34" spans="2:12" x14ac:dyDescent="0.25">
      <c r="B34" s="705"/>
      <c r="C34" s="704"/>
      <c r="D34" t="s">
        <v>82</v>
      </c>
      <c r="E34">
        <v>10.280477962962964</v>
      </c>
      <c r="F34">
        <v>18.14201993464053</v>
      </c>
      <c r="G34">
        <v>7.6019231450989103E-3</v>
      </c>
      <c r="H34">
        <v>7.3945230683690314E-4</v>
      </c>
      <c r="I34">
        <v>1.3415158491351021E-2</v>
      </c>
      <c r="J34">
        <v>0.71322727028496302</v>
      </c>
      <c r="K34">
        <v>6.9376859019053036E-2</v>
      </c>
      <c r="L34">
        <v>1.2586363593264056</v>
      </c>
    </row>
    <row r="35" spans="2:12" x14ac:dyDescent="0.25">
      <c r="B35" s="705"/>
      <c r="C35" s="704"/>
      <c r="D35" t="s">
        <v>83</v>
      </c>
      <c r="E35">
        <v>17.269172962962962</v>
      </c>
      <c r="F35">
        <v>37.005370634920638</v>
      </c>
      <c r="G35">
        <v>4.0245475474053102E-3</v>
      </c>
      <c r="H35">
        <v>2.3304807682665061E-4</v>
      </c>
      <c r="I35">
        <v>8.6240304587256664E-3</v>
      </c>
      <c r="J35">
        <v>0.30566883012212698</v>
      </c>
      <c r="K35">
        <v>1.7700258766166287E-2</v>
      </c>
      <c r="L35">
        <v>0.65500463597598646</v>
      </c>
    </row>
    <row r="36" spans="2:12" x14ac:dyDescent="0.25">
      <c r="B36" s="704">
        <v>6</v>
      </c>
      <c r="C36" s="704" t="s">
        <v>169</v>
      </c>
      <c r="D36" t="s">
        <v>80</v>
      </c>
      <c r="E36">
        <v>20.227964444444446</v>
      </c>
      <c r="F36">
        <v>36.446782782782783</v>
      </c>
      <c r="G36">
        <v>8.7793229314159314E-3</v>
      </c>
      <c r="H36">
        <v>4.3401910041557088E-4</v>
      </c>
      <c r="I36">
        <v>1.5818599876425102E-2</v>
      </c>
      <c r="J36">
        <v>0.35914805912542902</v>
      </c>
      <c r="K36">
        <v>1.775502721056384E-2</v>
      </c>
      <c r="L36">
        <v>0.64711362004581796</v>
      </c>
    </row>
    <row r="37" spans="2:12" x14ac:dyDescent="0.25">
      <c r="B37" s="704"/>
      <c r="C37" s="704"/>
      <c r="D37" t="s">
        <v>79</v>
      </c>
      <c r="E37">
        <v>12.877324444444445</v>
      </c>
      <c r="F37">
        <v>25.004513484358146</v>
      </c>
      <c r="G37">
        <v>7.2035470206489708E-4</v>
      </c>
      <c r="H37">
        <v>5.5939780439070446E-5</v>
      </c>
      <c r="I37">
        <v>1.398746994300771E-3</v>
      </c>
      <c r="J37">
        <v>1.8576623747866998E-2</v>
      </c>
      <c r="K37">
        <v>1.4425841197067417E-3</v>
      </c>
      <c r="L37">
        <v>3.607111407352815E-2</v>
      </c>
    </row>
    <row r="38" spans="2:12" x14ac:dyDescent="0.25">
      <c r="B38" s="704"/>
      <c r="C38" s="704"/>
      <c r="D38" t="s">
        <v>81</v>
      </c>
      <c r="E38">
        <v>22.065624444444445</v>
      </c>
      <c r="F38">
        <v>45.970050925925932</v>
      </c>
      <c r="G38">
        <v>1.45421605479351E-2</v>
      </c>
      <c r="H38">
        <v>6.5904142366550792E-4</v>
      </c>
      <c r="I38">
        <v>3.0296167808198125E-2</v>
      </c>
      <c r="J38">
        <v>0.57587533618387809</v>
      </c>
      <c r="K38">
        <v>2.6098302254431265E-2</v>
      </c>
      <c r="L38">
        <v>1.1997402837164128</v>
      </c>
    </row>
    <row r="39" spans="2:12" x14ac:dyDescent="0.25">
      <c r="B39" s="704"/>
      <c r="C39" s="704"/>
      <c r="D39" t="s">
        <v>82</v>
      </c>
      <c r="E39">
        <v>22.065624444444445</v>
      </c>
      <c r="F39">
        <v>40.487384301732924</v>
      </c>
      <c r="G39">
        <v>4.6958122140855499E-2</v>
      </c>
      <c r="H39">
        <v>2.1281120894214413E-3</v>
      </c>
      <c r="I39">
        <v>8.6161692001569715E-2</v>
      </c>
      <c r="J39">
        <v>1.06505976154438</v>
      </c>
      <c r="K39">
        <v>4.8267827825399907E-2</v>
      </c>
      <c r="L39">
        <v>1.9542380945768438</v>
      </c>
    </row>
    <row r="40" spans="2:12" x14ac:dyDescent="0.25">
      <c r="B40" s="704"/>
      <c r="C40" s="704"/>
      <c r="D40" t="s">
        <v>83</v>
      </c>
      <c r="E40">
        <v>14.714984444444445</v>
      </c>
      <c r="F40">
        <v>31.645127837514938</v>
      </c>
      <c r="G40">
        <v>9.4996776334808301E-3</v>
      </c>
      <c r="H40">
        <v>6.4557850328325541E-4</v>
      </c>
      <c r="I40">
        <v>2.0429414265550172E-2</v>
      </c>
      <c r="J40">
        <v>0.40249351453711901</v>
      </c>
      <c r="K40">
        <v>2.7352629291366871E-2</v>
      </c>
      <c r="L40">
        <v>0.86557745061746028</v>
      </c>
    </row>
    <row r="41" spans="2:12" x14ac:dyDescent="0.25">
      <c r="B41" s="705">
        <v>7</v>
      </c>
      <c r="C41" s="704" t="s">
        <v>206</v>
      </c>
      <c r="D41" t="s">
        <v>211</v>
      </c>
      <c r="E41">
        <v>22.017959000000001</v>
      </c>
      <c r="F41">
        <v>46.353597894736843</v>
      </c>
      <c r="G41">
        <v>2.01964172690066E-4</v>
      </c>
      <c r="H41">
        <v>9.1727018244545731E-6</v>
      </c>
      <c r="I41">
        <v>4.2518773197908633E-4</v>
      </c>
      <c r="J41">
        <v>1.10301985260656</v>
      </c>
      <c r="K41">
        <v>5.0096371448714205E-2</v>
      </c>
      <c r="L41">
        <v>2.3221470581190737</v>
      </c>
    </row>
    <row r="42" spans="2:12" x14ac:dyDescent="0.25">
      <c r="B42" s="705"/>
      <c r="C42" s="704"/>
      <c r="D42" t="s">
        <v>212</v>
      </c>
      <c r="E42">
        <v>18.660969000000001</v>
      </c>
      <c r="F42">
        <v>33.323158928571431</v>
      </c>
      <c r="G42">
        <v>1.24909568651687E-4</v>
      </c>
      <c r="H42">
        <v>6.6936271450687794E-6</v>
      </c>
      <c r="I42">
        <v>2.2305280116372676E-4</v>
      </c>
      <c r="J42">
        <v>0.58159228591982104</v>
      </c>
      <c r="K42">
        <v>3.1166242541843407E-2</v>
      </c>
      <c r="L42">
        <v>1.0385576534282517</v>
      </c>
    </row>
    <row r="43" spans="2:12" x14ac:dyDescent="0.25">
      <c r="B43" s="705">
        <v>9</v>
      </c>
      <c r="C43" s="704" t="s">
        <v>218</v>
      </c>
      <c r="D43" t="s">
        <v>94</v>
      </c>
      <c r="E43">
        <v>17.800434090909089</v>
      </c>
      <c r="F43">
        <v>34.563949691085611</v>
      </c>
      <c r="G43">
        <v>5.1699119248141204E-3</v>
      </c>
      <c r="H43">
        <v>2.9043740722336999E-4</v>
      </c>
      <c r="I43">
        <v>1.0038663931677903E-2</v>
      </c>
      <c r="J43">
        <v>0.136012992691872</v>
      </c>
      <c r="K43">
        <v>7.6409930228238413E-3</v>
      </c>
      <c r="L43">
        <v>0.26410289843081941</v>
      </c>
    </row>
    <row r="44" spans="2:12" x14ac:dyDescent="0.25">
      <c r="B44" s="705"/>
      <c r="C44" s="704"/>
      <c r="D44" t="s">
        <v>209</v>
      </c>
      <c r="E44">
        <v>5.9266840909090899</v>
      </c>
      <c r="F44">
        <v>10.307276679841896</v>
      </c>
      <c r="G44">
        <v>5.0919735540882801E-3</v>
      </c>
      <c r="H44">
        <v>8.5916061595029704E-4</v>
      </c>
      <c r="I44">
        <v>8.8556061810230961E-3</v>
      </c>
      <c r="J44">
        <v>1.43431883202337</v>
      </c>
      <c r="K44">
        <v>0.24201034001853822</v>
      </c>
      <c r="L44">
        <v>2.4944675339536873</v>
      </c>
    </row>
    <row r="45" spans="2:12" x14ac:dyDescent="0.25">
      <c r="B45" s="705"/>
      <c r="C45" s="704"/>
      <c r="D45" t="s">
        <v>210</v>
      </c>
      <c r="E45">
        <v>9.2513340909090882</v>
      </c>
      <c r="F45">
        <v>16.520239448051942</v>
      </c>
      <c r="G45">
        <v>8.3783748530279097E-3</v>
      </c>
      <c r="H45">
        <v>9.056396375589765E-4</v>
      </c>
      <c r="I45">
        <v>1.4961383666121266E-2</v>
      </c>
      <c r="J45">
        <v>0.247296350348857</v>
      </c>
      <c r="K45">
        <v>2.673088528841101E-2</v>
      </c>
      <c r="L45">
        <v>0.44160062562295888</v>
      </c>
    </row>
    <row r="46" spans="2:12" x14ac:dyDescent="0.25">
      <c r="B46" s="705"/>
      <c r="C46" s="704"/>
      <c r="D46" t="s">
        <v>211</v>
      </c>
      <c r="E46">
        <v>24.924684090909093</v>
      </c>
      <c r="F46">
        <v>48.554579397874861</v>
      </c>
      <c r="G46">
        <v>1.18985912641451E-2</v>
      </c>
      <c r="H46">
        <v>4.7738182842144562E-4</v>
      </c>
      <c r="I46">
        <v>2.3179073891191754E-2</v>
      </c>
      <c r="J46">
        <v>0.197837080279086</v>
      </c>
      <c r="K46">
        <v>7.9373956980760343E-3</v>
      </c>
      <c r="L46">
        <v>0.38539690963458312</v>
      </c>
    </row>
    <row r="47" spans="2:12" x14ac:dyDescent="0.25">
      <c r="B47" s="705"/>
      <c r="C47" s="704"/>
      <c r="D47" t="s">
        <v>212</v>
      </c>
      <c r="E47">
        <v>11.626084090909089</v>
      </c>
      <c r="F47">
        <v>18.751748533724339</v>
      </c>
      <c r="G47">
        <v>5.6895010629864004E-3</v>
      </c>
      <c r="H47">
        <v>4.8937380965920023E-4</v>
      </c>
      <c r="I47">
        <v>9.1766146177200015E-3</v>
      </c>
      <c r="J47">
        <v>0.15456021896803601</v>
      </c>
      <c r="K47">
        <v>1.3294262948682177E-2</v>
      </c>
      <c r="L47">
        <v>0.2492906757548968</v>
      </c>
    </row>
    <row r="48" spans="2:12" x14ac:dyDescent="0.25">
      <c r="B48" s="705">
        <v>10</v>
      </c>
      <c r="C48" s="704" t="s">
        <v>246</v>
      </c>
      <c r="D48" t="s">
        <v>80</v>
      </c>
      <c r="E48">
        <v>35.706692857142855</v>
      </c>
      <c r="F48">
        <v>55.359213732004427</v>
      </c>
      <c r="G48">
        <v>3.7668386011344801E-3</v>
      </c>
      <c r="H48">
        <v>1.0549390883678415E-4</v>
      </c>
      <c r="I48">
        <v>5.8400598467201236E-3</v>
      </c>
      <c r="J48">
        <v>2.3239189378028802</v>
      </c>
      <c r="K48">
        <v>6.5083567024830133E-2</v>
      </c>
      <c r="L48">
        <v>3.6029750973688062</v>
      </c>
    </row>
    <row r="49" spans="2:12" x14ac:dyDescent="0.25">
      <c r="B49" s="705"/>
      <c r="C49" s="704"/>
      <c r="D49" t="s">
        <v>79</v>
      </c>
      <c r="E49">
        <v>42.630092857142856</v>
      </c>
      <c r="F49">
        <v>69.885398126463699</v>
      </c>
      <c r="G49">
        <v>4.6783867323698797E-3</v>
      </c>
      <c r="H49">
        <v>1.0974376124508008E-4</v>
      </c>
      <c r="I49">
        <v>7.6694864465079995E-3</v>
      </c>
      <c r="J49">
        <v>3.9785063843030999</v>
      </c>
      <c r="K49">
        <v>9.332624251219486E-2</v>
      </c>
      <c r="L49">
        <v>6.5221416136116392</v>
      </c>
    </row>
    <row r="50" spans="2:12" x14ac:dyDescent="0.25">
      <c r="B50" s="705"/>
      <c r="C50" s="704"/>
      <c r="D50" t="s">
        <v>81</v>
      </c>
      <c r="E50">
        <v>44.51829285714286</v>
      </c>
      <c r="F50">
        <v>77.423118012422378</v>
      </c>
      <c r="G50">
        <v>8.4050099747733902E-3</v>
      </c>
      <c r="H50">
        <v>1.8879901800692757E-4</v>
      </c>
      <c r="I50">
        <v>1.4617408651779811E-2</v>
      </c>
      <c r="J50">
        <v>5.9436636427677501</v>
      </c>
      <c r="K50">
        <v>0.13351059219275752</v>
      </c>
      <c r="L50">
        <v>10.336806335248262</v>
      </c>
    </row>
    <row r="51" spans="2:12" x14ac:dyDescent="0.25">
      <c r="B51" s="705"/>
      <c r="C51" s="704"/>
      <c r="D51" t="s">
        <v>82</v>
      </c>
      <c r="E51">
        <v>26.895092857142856</v>
      </c>
      <c r="F51">
        <v>51.228748299319726</v>
      </c>
      <c r="G51">
        <v>3.2708491767858201E-3</v>
      </c>
      <c r="H51">
        <v>1.2161509142799412E-4</v>
      </c>
      <c r="I51">
        <v>6.2301889081634665E-3</v>
      </c>
      <c r="J51">
        <v>2.0401223854905499</v>
      </c>
      <c r="K51">
        <v>7.585481843572553E-2</v>
      </c>
      <c r="L51">
        <v>3.8859474009343806</v>
      </c>
    </row>
    <row r="52" spans="2:12" x14ac:dyDescent="0.25">
      <c r="B52" s="705"/>
      <c r="C52" s="704"/>
      <c r="D52" t="s">
        <v>83</v>
      </c>
      <c r="E52">
        <v>22.489292857142857</v>
      </c>
      <c r="F52">
        <v>39.454899749373432</v>
      </c>
      <c r="G52">
        <v>7.2119543324211796E-3</v>
      </c>
      <c r="H52">
        <v>3.2068390848183473E-4</v>
      </c>
      <c r="I52">
        <v>1.2652551460388033E-2</v>
      </c>
      <c r="J52">
        <v>5.1351112012741202</v>
      </c>
      <c r="K52">
        <v>0.22833582335796521</v>
      </c>
      <c r="L52">
        <v>9.008967019779158</v>
      </c>
    </row>
    <row r="53" spans="2:12" x14ac:dyDescent="0.25">
      <c r="B53" s="705"/>
      <c r="C53" s="704"/>
      <c r="D53" t="s">
        <v>94</v>
      </c>
      <c r="E53">
        <v>16.824692857142857</v>
      </c>
      <c r="F53">
        <v>30.870996068152028</v>
      </c>
      <c r="G53">
        <v>2.88210070905308E-3</v>
      </c>
      <c r="H53">
        <v>1.7130183198735158E-4</v>
      </c>
      <c r="I53">
        <v>5.2882581817487702E-3</v>
      </c>
      <c r="J53">
        <v>2.7897736557495501</v>
      </c>
      <c r="K53">
        <v>0.16581423978656246</v>
      </c>
      <c r="L53">
        <v>5.118850744494587</v>
      </c>
    </row>
    <row r="54" spans="2:12" x14ac:dyDescent="0.25">
      <c r="B54" s="705"/>
      <c r="C54" s="704"/>
      <c r="D54" t="s">
        <v>209</v>
      </c>
      <c r="E54">
        <v>30.042092857142858</v>
      </c>
      <c r="F54">
        <v>55.633505291005292</v>
      </c>
    </row>
    <row r="55" spans="2:12" x14ac:dyDescent="0.25">
      <c r="B55" s="705"/>
      <c r="C55" s="704"/>
      <c r="D55" t="s">
        <v>210</v>
      </c>
      <c r="E55">
        <v>16.195292857142856</v>
      </c>
      <c r="F55">
        <v>27.922918719211822</v>
      </c>
    </row>
    <row r="56" spans="2:12" x14ac:dyDescent="0.25">
      <c r="B56" s="705"/>
      <c r="C56" s="704"/>
      <c r="D56" t="s">
        <v>211</v>
      </c>
      <c r="E56">
        <v>24.377492857142855</v>
      </c>
      <c r="F56">
        <v>42.7675313283208</v>
      </c>
    </row>
    <row r="57" spans="2:12" x14ac:dyDescent="0.25">
      <c r="B57" s="705"/>
      <c r="C57" s="704"/>
      <c r="D57" t="s">
        <v>212</v>
      </c>
    </row>
    <row r="58" spans="2:12" x14ac:dyDescent="0.25">
      <c r="B58" s="705">
        <v>11</v>
      </c>
      <c r="C58" s="704" t="s">
        <v>260</v>
      </c>
      <c r="D58" t="s">
        <v>94</v>
      </c>
      <c r="E58">
        <v>4.5306159090909093</v>
      </c>
      <c r="F58">
        <v>9.0612318181818186</v>
      </c>
      <c r="G58">
        <v>2.7482644309378399E-3</v>
      </c>
      <c r="H58">
        <v>6.0659841533317993E-4</v>
      </c>
      <c r="I58">
        <v>5.4965288618756799E-3</v>
      </c>
      <c r="J58">
        <v>0.86254222261940505</v>
      </c>
      <c r="K58">
        <v>0.19038078705561215</v>
      </c>
      <c r="L58">
        <v>1.7250844452388101</v>
      </c>
    </row>
    <row r="59" spans="2:12" x14ac:dyDescent="0.25">
      <c r="B59" s="705"/>
      <c r="C59" s="704"/>
      <c r="D59" t="s">
        <v>209</v>
      </c>
      <c r="E59">
        <v>10.849065909090909</v>
      </c>
      <c r="F59">
        <v>19.906542952460381</v>
      </c>
      <c r="G59">
        <v>2.7914308879682802E-3</v>
      </c>
      <c r="H59">
        <v>2.572968872489951E-4</v>
      </c>
      <c r="I59">
        <v>5.1218915375564767E-3</v>
      </c>
      <c r="J59">
        <v>0.60224841579343102</v>
      </c>
      <c r="K59">
        <v>5.5511545495246797E-2</v>
      </c>
      <c r="L59">
        <v>1.1050429647585889</v>
      </c>
    </row>
    <row r="60" spans="2:12" x14ac:dyDescent="0.25">
      <c r="B60" s="705"/>
      <c r="C60" s="704"/>
      <c r="D60" t="s">
        <v>211</v>
      </c>
      <c r="E60">
        <v>2.5353159090909099</v>
      </c>
      <c r="F60">
        <v>4.5273498376623387</v>
      </c>
      <c r="G60">
        <v>9.6405087367976605E-4</v>
      </c>
      <c r="H60">
        <v>3.8024881641887637E-4</v>
      </c>
      <c r="I60">
        <v>1.7215194172852963E-3</v>
      </c>
      <c r="J60">
        <v>0.35216220923514202</v>
      </c>
      <c r="K60">
        <v>0.1389026937323235</v>
      </c>
      <c r="L60">
        <v>0.62886108791989637</v>
      </c>
    </row>
    <row r="61" spans="2:12" x14ac:dyDescent="0.25">
      <c r="B61" s="705"/>
      <c r="C61" s="704"/>
      <c r="D61" t="s">
        <v>212</v>
      </c>
      <c r="E61">
        <v>9.5188659090909091</v>
      </c>
      <c r="F61">
        <v>20.470679374389054</v>
      </c>
      <c r="G61">
        <v>9.7843969268991194E-4</v>
      </c>
      <c r="H61">
        <v>1.0278952367166573E-4</v>
      </c>
      <c r="I61">
        <v>2.1041713821288431E-3</v>
      </c>
      <c r="J61">
        <v>0.42361541110893902</v>
      </c>
      <c r="K61">
        <v>4.4502718617390004E-2</v>
      </c>
      <c r="L61">
        <v>0.91100088410524527</v>
      </c>
    </row>
    <row r="62" spans="2:12" x14ac:dyDescent="0.25">
      <c r="B62" s="705"/>
      <c r="C62" s="704" t="s">
        <v>284</v>
      </c>
      <c r="D62" t="s">
        <v>80</v>
      </c>
      <c r="E62">
        <v>0.8725659090909097</v>
      </c>
      <c r="F62">
        <v>1.3961054545454554</v>
      </c>
      <c r="G62">
        <v>3.3382112222929798E-3</v>
      </c>
      <c r="H62">
        <v>3.8257410557913313E-3</v>
      </c>
      <c r="I62">
        <v>5.3411379556687674E-3</v>
      </c>
      <c r="J62">
        <v>0.220386504933201</v>
      </c>
      <c r="K62">
        <v>0.25257290324671583</v>
      </c>
      <c r="L62">
        <v>0.3526184078931216</v>
      </c>
    </row>
    <row r="63" spans="2:12" x14ac:dyDescent="0.25">
      <c r="B63" s="705"/>
      <c r="C63" s="704"/>
      <c r="D63" t="s">
        <v>79</v>
      </c>
      <c r="E63">
        <v>-1.4552840909090907</v>
      </c>
      <c r="F63">
        <v>-2.8257943512797876</v>
      </c>
      <c r="G63">
        <v>8.2424968451678504E-4</v>
      </c>
      <c r="H63">
        <v>-5.6638404120936314E-4</v>
      </c>
      <c r="I63">
        <v>1.6004848243044369E-3</v>
      </c>
      <c r="J63">
        <v>0.220386504933201</v>
      </c>
      <c r="K63">
        <v>-0.15143881961598946</v>
      </c>
      <c r="L63">
        <v>0.42793496103534173</v>
      </c>
    </row>
    <row r="64" spans="2:12" x14ac:dyDescent="0.25">
      <c r="B64" s="705"/>
      <c r="C64" s="704"/>
      <c r="D64" t="s">
        <v>81</v>
      </c>
      <c r="E64">
        <v>-0.1250840909090904</v>
      </c>
      <c r="F64">
        <v>-0.21200693374422103</v>
      </c>
      <c r="G64">
        <v>1.6897118532594099E-3</v>
      </c>
      <c r="H64">
        <v>-1.3508607217583506E-2</v>
      </c>
      <c r="I64">
        <v>2.8639183953549324E-3</v>
      </c>
      <c r="J64">
        <v>0.75131763045409405</v>
      </c>
      <c r="K64">
        <v>-6.0065003070625718</v>
      </c>
      <c r="L64">
        <v>1.2734197126340578</v>
      </c>
    </row>
    <row r="65" spans="2:12" x14ac:dyDescent="0.25">
      <c r="B65" s="705"/>
      <c r="C65" s="704"/>
      <c r="D65" t="s">
        <v>82</v>
      </c>
      <c r="E65">
        <v>-0.1250840909090904</v>
      </c>
      <c r="F65">
        <v>-0.22336444805194711</v>
      </c>
      <c r="G65">
        <v>1.70344934800136E-3</v>
      </c>
      <c r="H65">
        <v>-1.3618433292523239E-2</v>
      </c>
      <c r="I65">
        <v>3.0418738357167142E-3</v>
      </c>
      <c r="J65">
        <v>0.13022838927871</v>
      </c>
      <c r="K65">
        <v>-1.0411267198908487</v>
      </c>
      <c r="L65">
        <v>0.23255069514055354</v>
      </c>
    </row>
    <row r="66" spans="2:12" x14ac:dyDescent="0.25">
      <c r="B66" s="705"/>
      <c r="C66" s="704"/>
      <c r="D66" t="s">
        <v>83</v>
      </c>
      <c r="E66">
        <v>6.1933659090909092</v>
      </c>
      <c r="F66">
        <v>11.05958198051948</v>
      </c>
      <c r="G66">
        <v>1.8957742743886E-3</v>
      </c>
      <c r="H66">
        <v>3.0609757314772808E-4</v>
      </c>
      <c r="I66">
        <v>3.3853112042653566E-3</v>
      </c>
      <c r="J66">
        <v>0.235412857542283</v>
      </c>
      <c r="K66">
        <v>3.8010487511602228E-2</v>
      </c>
      <c r="L66">
        <v>0.42038010275407672</v>
      </c>
    </row>
    <row r="67" spans="2:12" x14ac:dyDescent="0.25">
      <c r="B67" s="705"/>
      <c r="C67" s="704" t="s">
        <v>284</v>
      </c>
      <c r="D67" t="s">
        <v>80</v>
      </c>
      <c r="E67">
        <v>5.5282659090909103</v>
      </c>
      <c r="F67">
        <v>11.205944410319413</v>
      </c>
      <c r="G67">
        <v>1.46991193738827E-3</v>
      </c>
      <c r="H67">
        <v>2.6589023783589818E-4</v>
      </c>
      <c r="I67">
        <v>2.9795512244356823E-3</v>
      </c>
      <c r="J67">
        <v>0.165289878699901</v>
      </c>
      <c r="K67">
        <v>2.9899046358839478E-2</v>
      </c>
      <c r="L67">
        <v>0.33504705141871821</v>
      </c>
    </row>
    <row r="68" spans="2:12" x14ac:dyDescent="0.25">
      <c r="B68" s="705"/>
      <c r="C68" s="704"/>
      <c r="D68" t="s">
        <v>79</v>
      </c>
      <c r="E68">
        <v>0.2074659090909094</v>
      </c>
      <c r="F68">
        <v>0.36081027667984245</v>
      </c>
      <c r="G68">
        <v>3.6679110960996901E-3</v>
      </c>
      <c r="H68">
        <v>1.7679584622707578E-2</v>
      </c>
      <c r="I68">
        <v>6.3789758193038091E-3</v>
      </c>
      <c r="J68">
        <v>0.210368936527146</v>
      </c>
      <c r="K68">
        <v>1.0139927925940089</v>
      </c>
      <c r="L68">
        <v>0.36585902004721044</v>
      </c>
    </row>
    <row r="69" spans="2:12" x14ac:dyDescent="0.25">
      <c r="B69" s="705"/>
      <c r="C69" s="704"/>
      <c r="D69" t="s">
        <v>81</v>
      </c>
      <c r="E69">
        <v>0.54001590909090957</v>
      </c>
      <c r="F69">
        <v>0.80599389416553679</v>
      </c>
      <c r="G69">
        <v>1.9781992428402799E-3</v>
      </c>
      <c r="H69">
        <v>3.6632240079194738E-3</v>
      </c>
      <c r="I69">
        <v>2.9525361833437017E-3</v>
      </c>
      <c r="J69">
        <v>0.235412857542283</v>
      </c>
      <c r="K69">
        <v>0.43593689293078247</v>
      </c>
      <c r="L69">
        <v>0.35136247394370601</v>
      </c>
    </row>
    <row r="70" spans="2:12" x14ac:dyDescent="0.25">
      <c r="B70" s="705"/>
      <c r="C70" s="704"/>
      <c r="D70" t="s">
        <v>82</v>
      </c>
      <c r="E70">
        <v>2.5353159090909099</v>
      </c>
      <c r="F70">
        <v>4.1224648928307479</v>
      </c>
      <c r="G70">
        <v>7.0885472868443501E-3</v>
      </c>
      <c r="H70">
        <v>2.7959226940622544E-3</v>
      </c>
      <c r="I70">
        <v>1.1526093149340408E-2</v>
      </c>
      <c r="J70">
        <v>0.360632462617965</v>
      </c>
      <c r="K70">
        <v>0.14224360022545562</v>
      </c>
      <c r="L70">
        <v>0.58639424815929264</v>
      </c>
    </row>
  </sheetData>
  <mergeCells count="30">
    <mergeCell ref="G1:I1"/>
    <mergeCell ref="J1:L1"/>
    <mergeCell ref="D1:D2"/>
    <mergeCell ref="C1:C2"/>
    <mergeCell ref="B1:B2"/>
    <mergeCell ref="E1:F1"/>
    <mergeCell ref="C67:C70"/>
    <mergeCell ref="C62:C66"/>
    <mergeCell ref="C58:C61"/>
    <mergeCell ref="B58:B70"/>
    <mergeCell ref="C41:C42"/>
    <mergeCell ref="B41:B42"/>
    <mergeCell ref="B48:B57"/>
    <mergeCell ref="C25:C29"/>
    <mergeCell ref="C23:C24"/>
    <mergeCell ref="B23:B30"/>
    <mergeCell ref="B43:B47"/>
    <mergeCell ref="C48:C57"/>
    <mergeCell ref="C43:C47"/>
    <mergeCell ref="B36:B40"/>
    <mergeCell ref="B31:B35"/>
    <mergeCell ref="C36:C40"/>
    <mergeCell ref="C31:C35"/>
    <mergeCell ref="C18:C22"/>
    <mergeCell ref="C15:C17"/>
    <mergeCell ref="C9:C14"/>
    <mergeCell ref="C3:C8"/>
    <mergeCell ref="B3:B8"/>
    <mergeCell ref="B15:B22"/>
    <mergeCell ref="B9:B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65BF-D043-4FF8-8719-27A6A8B38F89}">
  <dimension ref="B1:S49"/>
  <sheetViews>
    <sheetView workbookViewId="0">
      <selection activeCell="M33" sqref="M33"/>
    </sheetView>
  </sheetViews>
  <sheetFormatPr defaultRowHeight="15" x14ac:dyDescent="0.25"/>
  <sheetData>
    <row r="1" spans="2:19" x14ac:dyDescent="0.25">
      <c r="B1" s="704" t="s">
        <v>290</v>
      </c>
      <c r="C1" s="704" t="s">
        <v>53</v>
      </c>
      <c r="D1" s="704" t="s">
        <v>54</v>
      </c>
      <c r="E1" s="691" t="s">
        <v>31</v>
      </c>
      <c r="F1" s="656"/>
      <c r="G1" s="691" t="s">
        <v>34</v>
      </c>
      <c r="H1" s="655"/>
      <c r="I1" s="656"/>
      <c r="J1" s="655" t="s">
        <v>35</v>
      </c>
      <c r="K1" s="655"/>
      <c r="L1" s="656"/>
    </row>
    <row r="2" spans="2:19" ht="15.75" thickBot="1" x14ac:dyDescent="0.3">
      <c r="B2" s="704"/>
      <c r="C2" s="704"/>
      <c r="D2" s="704"/>
      <c r="E2" s="88" t="s">
        <v>37</v>
      </c>
      <c r="F2" s="3" t="s">
        <v>38</v>
      </c>
      <c r="G2" s="4" t="s">
        <v>37</v>
      </c>
      <c r="H2" s="5" t="s">
        <v>39</v>
      </c>
      <c r="I2" s="6" t="s">
        <v>40</v>
      </c>
      <c r="J2" s="4" t="s">
        <v>37</v>
      </c>
      <c r="K2" s="5" t="s">
        <v>39</v>
      </c>
      <c r="L2" s="6" t="s">
        <v>40</v>
      </c>
    </row>
    <row r="3" spans="2:19" x14ac:dyDescent="0.25">
      <c r="B3" s="705">
        <v>1</v>
      </c>
      <c r="C3" s="704" t="s">
        <v>160</v>
      </c>
      <c r="D3" s="68" t="s">
        <v>80</v>
      </c>
      <c r="E3" s="91">
        <v>31.750363333333336</v>
      </c>
      <c r="F3" s="89">
        <v>56.195333333333345</v>
      </c>
      <c r="Q3" t="s">
        <v>291</v>
      </c>
      <c r="R3" t="s">
        <v>101</v>
      </c>
      <c r="S3" t="s">
        <v>103</v>
      </c>
    </row>
    <row r="4" spans="2:19" x14ac:dyDescent="0.25">
      <c r="B4" s="705"/>
      <c r="C4" s="704"/>
      <c r="D4" s="68" t="s">
        <v>79</v>
      </c>
      <c r="E4" s="91">
        <v>42.726863333333327</v>
      </c>
      <c r="F4" s="89">
        <v>101.73062698412697</v>
      </c>
      <c r="P4">
        <v>1</v>
      </c>
      <c r="Q4">
        <f>AVERAGE(F3:F7)</f>
        <v>61.419816938729511</v>
      </c>
    </row>
    <row r="5" spans="2:19" x14ac:dyDescent="0.25">
      <c r="B5" s="705"/>
      <c r="C5" s="704"/>
      <c r="D5" s="68" t="s">
        <v>81</v>
      </c>
      <c r="E5" s="91">
        <v>20.773863333333331</v>
      </c>
      <c r="F5" s="89">
        <v>47.756007662835245</v>
      </c>
      <c r="P5">
        <v>2</v>
      </c>
      <c r="Q5">
        <f>AVERAGE(F8:F10)</f>
        <v>75.559179766291379</v>
      </c>
      <c r="R5">
        <f>AVERAGE(I8:I10)</f>
        <v>4.8104708131357738E-3</v>
      </c>
      <c r="S5">
        <f>AVERAGE(L8:L10)</f>
        <v>2.3003254929848738</v>
      </c>
    </row>
    <row r="6" spans="2:19" x14ac:dyDescent="0.25">
      <c r="B6" s="705"/>
      <c r="C6" s="704"/>
      <c r="D6" s="68" t="s">
        <v>82</v>
      </c>
      <c r="E6" s="91">
        <v>25.164463333333334</v>
      </c>
      <c r="F6" s="89">
        <v>49.342084967320261</v>
      </c>
      <c r="P6">
        <v>3</v>
      </c>
      <c r="Q6">
        <f>AVERAGE(F11:F27)</f>
        <v>51.191006264261262</v>
      </c>
      <c r="R6">
        <f>AVERAGE(I11:I27)</f>
        <v>4.0325916516057358E-3</v>
      </c>
      <c r="S6">
        <f>AVERAGE(L11:L27)</f>
        <v>1.2506066815761299</v>
      </c>
    </row>
    <row r="7" spans="2:19" x14ac:dyDescent="0.25">
      <c r="B7" s="705"/>
      <c r="C7" s="704"/>
      <c r="D7" s="68" t="s">
        <v>83</v>
      </c>
      <c r="E7" s="91">
        <v>21.871513333333333</v>
      </c>
      <c r="F7" s="89">
        <v>52.075031746031748</v>
      </c>
      <c r="P7">
        <v>4</v>
      </c>
      <c r="Q7">
        <f>AVERAGE(F28:F35)</f>
        <v>21.369336853534016</v>
      </c>
      <c r="R7">
        <f>AVERAGE(I28:I35)</f>
        <v>4.9596739195733519E-3</v>
      </c>
      <c r="S7">
        <f>AVERAGE(L28:L35)</f>
        <v>3.8817987944798227</v>
      </c>
    </row>
    <row r="8" spans="2:19" x14ac:dyDescent="0.25">
      <c r="B8" s="705">
        <v>2</v>
      </c>
      <c r="C8" s="704" t="s">
        <v>147</v>
      </c>
      <c r="D8" s="68" t="s">
        <v>80</v>
      </c>
      <c r="E8" s="91">
        <v>29.501235714285713</v>
      </c>
      <c r="F8" s="89">
        <v>80.457915584415574</v>
      </c>
      <c r="G8">
        <v>3.0613574401731156E-3</v>
      </c>
      <c r="H8">
        <v>1.0377048167818545E-4</v>
      </c>
      <c r="I8">
        <v>8.349156655017587E-3</v>
      </c>
      <c r="J8">
        <v>1.5932451150469624</v>
      </c>
      <c r="K8">
        <v>5.4006046745880804E-2</v>
      </c>
      <c r="L8">
        <v>4.3452139501280787</v>
      </c>
      <c r="P8">
        <v>5</v>
      </c>
      <c r="Q8">
        <f>AVERAGE(F36:F45)</f>
        <v>27.663029071864241</v>
      </c>
      <c r="R8">
        <f>AVERAGE(I36:I45)</f>
        <v>6.9601430514636383E-3</v>
      </c>
      <c r="S8">
        <f>AVERAGE(L36:L45)</f>
        <v>1.0143312862563656</v>
      </c>
    </row>
    <row r="9" spans="2:19" x14ac:dyDescent="0.25">
      <c r="B9" s="705"/>
      <c r="C9" s="704"/>
      <c r="D9" s="68" t="s">
        <v>81</v>
      </c>
      <c r="E9" s="91">
        <v>24.864885714285712</v>
      </c>
      <c r="F9" s="89">
        <v>52.347127819548874</v>
      </c>
      <c r="G9">
        <v>6.004970363416496E-4</v>
      </c>
      <c r="H9">
        <v>2.4150404037314511E-5</v>
      </c>
      <c r="I9">
        <v>1.2642042870350519E-3</v>
      </c>
      <c r="J9">
        <v>0.10971448397029981</v>
      </c>
      <c r="K9">
        <v>4.4124266337273029E-3</v>
      </c>
      <c r="L9">
        <v>0.23097786099010489</v>
      </c>
      <c r="P9">
        <v>6</v>
      </c>
      <c r="Q9">
        <f>AVERAGE(F46:F49)</f>
        <v>29.661330718972689</v>
      </c>
      <c r="R9">
        <f>AVERAGE(I46:I49)</f>
        <v>6.724906261322652E-3</v>
      </c>
      <c r="S9">
        <f>AVERAGE(L46:L49)</f>
        <v>7.5659126822959912</v>
      </c>
    </row>
    <row r="10" spans="2:19" x14ac:dyDescent="0.25">
      <c r="B10" s="705"/>
      <c r="C10" s="704"/>
      <c r="D10" s="68" t="s">
        <v>82</v>
      </c>
      <c r="E10" s="91">
        <v>40.834535714285707</v>
      </c>
      <c r="F10" s="89">
        <v>93.872495894909676</v>
      </c>
      <c r="G10">
        <v>2.0958524013492872E-3</v>
      </c>
      <c r="H10">
        <v>5.1325486250504041E-5</v>
      </c>
      <c r="I10">
        <v>4.8180514973546829E-3</v>
      </c>
      <c r="J10">
        <v>1.0112813305088504</v>
      </c>
      <c r="K10">
        <v>2.4765344158304215E-2</v>
      </c>
      <c r="L10">
        <v>2.3247846678364379</v>
      </c>
    </row>
    <row r="11" spans="2:19" x14ac:dyDescent="0.25">
      <c r="B11" s="705">
        <v>3</v>
      </c>
      <c r="C11" s="704" t="s">
        <v>161</v>
      </c>
      <c r="D11" s="68" t="s">
        <v>136</v>
      </c>
      <c r="E11" s="91">
        <v>41.439070000000001</v>
      </c>
      <c r="F11" s="89">
        <v>72.700122807017536</v>
      </c>
      <c r="G11">
        <v>1.8735551142939815E-4</v>
      </c>
      <c r="H11">
        <v>4.5212286721057722E-6</v>
      </c>
      <c r="I11">
        <v>3.2869387970069848E-4</v>
      </c>
      <c r="J11">
        <v>0.12561334845156072</v>
      </c>
      <c r="K11">
        <v>3.0312781742341398E-3</v>
      </c>
      <c r="L11">
        <v>0.22037429552905388</v>
      </c>
    </row>
    <row r="12" spans="2:19" x14ac:dyDescent="0.25">
      <c r="B12" s="705"/>
      <c r="C12" s="704"/>
      <c r="D12" s="68" t="s">
        <v>137</v>
      </c>
      <c r="E12" s="91">
        <v>30.712789999999995</v>
      </c>
      <c r="F12" s="89">
        <v>46.889755725190831</v>
      </c>
      <c r="G12">
        <v>4.0147609592013885E-5</v>
      </c>
      <c r="H12">
        <v>1.3071951324517861E-6</v>
      </c>
      <c r="I12">
        <v>6.1294060445822717E-5</v>
      </c>
      <c r="J12">
        <v>0.11514556941393064</v>
      </c>
      <c r="K12">
        <v>3.749108088647455E-3</v>
      </c>
      <c r="L12">
        <v>0.17579476246401624</v>
      </c>
    </row>
    <row r="13" spans="2:19" x14ac:dyDescent="0.25">
      <c r="B13" s="705"/>
      <c r="C13" s="704"/>
      <c r="D13" s="68" t="s">
        <v>138</v>
      </c>
      <c r="E13" s="91">
        <v>24.650109999999998</v>
      </c>
      <c r="F13" s="89">
        <v>44.018053571428567</v>
      </c>
      <c r="G13">
        <v>9.3677755714699075E-5</v>
      </c>
      <c r="H13">
        <v>3.8002976747243352E-6</v>
      </c>
      <c r="I13">
        <v>1.6728170663339118E-4</v>
      </c>
      <c r="J13">
        <v>9.4210011338670532E-2</v>
      </c>
      <c r="K13">
        <v>3.8218900986109407E-3</v>
      </c>
      <c r="L13">
        <v>0.16823216310476879</v>
      </c>
    </row>
    <row r="14" spans="2:19" x14ac:dyDescent="0.25">
      <c r="B14" s="705"/>
      <c r="C14" s="704"/>
      <c r="D14" s="68" t="s">
        <v>139</v>
      </c>
      <c r="E14" s="91">
        <v>31.17915</v>
      </c>
      <c r="F14" s="89">
        <v>52.846016949152542</v>
      </c>
      <c r="G14">
        <v>0</v>
      </c>
      <c r="H14">
        <v>0</v>
      </c>
      <c r="I14">
        <v>0</v>
      </c>
      <c r="J14">
        <v>0.12037945893274568</v>
      </c>
      <c r="K14">
        <v>3.8608961095073367E-3</v>
      </c>
      <c r="L14">
        <v>0.20403298124194183</v>
      </c>
    </row>
    <row r="15" spans="2:19" x14ac:dyDescent="0.25">
      <c r="B15" s="705"/>
      <c r="C15" s="704"/>
      <c r="D15" s="68" t="s">
        <v>140</v>
      </c>
      <c r="E15" s="91">
        <v>34.910029999999992</v>
      </c>
      <c r="F15" s="89">
        <v>53.297755725190825</v>
      </c>
      <c r="G15">
        <v>2.007380479600694E-4</v>
      </c>
      <c r="H15">
        <v>5.7501539803910064E-6</v>
      </c>
      <c r="I15">
        <v>3.0647030222911357E-4</v>
      </c>
      <c r="J15">
        <v>8.8976121819855508E-2</v>
      </c>
      <c r="K15">
        <v>2.5487265928976722E-3</v>
      </c>
      <c r="L15">
        <v>0.13584140735855801</v>
      </c>
    </row>
    <row r="16" spans="2:19" x14ac:dyDescent="0.25">
      <c r="B16" s="705"/>
      <c r="C16" s="704"/>
      <c r="D16" s="68" t="s">
        <v>141</v>
      </c>
      <c r="E16" s="91">
        <v>30.246429999999997</v>
      </c>
      <c r="F16" s="89">
        <v>63.013395833333327</v>
      </c>
    </row>
    <row r="17" spans="2:12" x14ac:dyDescent="0.25">
      <c r="B17" s="705"/>
      <c r="C17" s="704"/>
      <c r="D17" s="68" t="s">
        <v>149</v>
      </c>
      <c r="E17" s="91">
        <v>23.717389999999998</v>
      </c>
      <c r="F17" s="89">
        <v>41.247634782608692</v>
      </c>
    </row>
    <row r="18" spans="2:12" x14ac:dyDescent="0.25">
      <c r="B18" s="705"/>
      <c r="C18" s="704"/>
      <c r="D18" s="68" t="s">
        <v>142</v>
      </c>
      <c r="E18" s="91">
        <v>27.448269999999997</v>
      </c>
      <c r="F18" s="89">
        <v>57.183895833333331</v>
      </c>
    </row>
    <row r="19" spans="2:12" x14ac:dyDescent="0.25">
      <c r="B19" s="705"/>
      <c r="C19" s="704"/>
      <c r="D19" s="68" t="s">
        <v>143</v>
      </c>
      <c r="E19" s="91">
        <v>43.770870000000002</v>
      </c>
      <c r="F19" s="89">
        <v>84.174750000000003</v>
      </c>
    </row>
    <row r="20" spans="2:12" x14ac:dyDescent="0.25">
      <c r="B20" s="705"/>
      <c r="C20" s="704"/>
      <c r="D20" s="68" t="s">
        <v>144</v>
      </c>
      <c r="E20" s="91">
        <v>22.31831</v>
      </c>
      <c r="F20" s="89">
        <v>35.997274193548385</v>
      </c>
    </row>
    <row r="21" spans="2:12" x14ac:dyDescent="0.25">
      <c r="B21" s="705"/>
      <c r="C21" s="704" t="s">
        <v>148</v>
      </c>
      <c r="D21" s="68" t="s">
        <v>136</v>
      </c>
      <c r="E21" s="91">
        <v>18.121069999999996</v>
      </c>
      <c r="F21" s="89">
        <v>34.407094936708852</v>
      </c>
      <c r="G21">
        <v>7.0060981077860159E-3</v>
      </c>
      <c r="H21">
        <v>3.866271753150348E-4</v>
      </c>
      <c r="I21">
        <v>1.3302717926175978E-2</v>
      </c>
      <c r="J21">
        <v>2.1140802841041015</v>
      </c>
      <c r="K21">
        <v>0.11666420824510373</v>
      </c>
      <c r="L21">
        <v>4.014076488805256</v>
      </c>
    </row>
    <row r="22" spans="2:12" x14ac:dyDescent="0.25">
      <c r="B22" s="705"/>
      <c r="C22" s="704"/>
      <c r="D22" s="68" t="s">
        <v>137</v>
      </c>
      <c r="E22" s="91">
        <v>23.251029999999997</v>
      </c>
      <c r="F22" s="89">
        <v>49.470276595744679</v>
      </c>
      <c r="G22">
        <v>6.6089913324459187E-3</v>
      </c>
      <c r="H22">
        <v>2.842450993545628E-4</v>
      </c>
      <c r="I22">
        <v>1.4061683686055147E-2</v>
      </c>
      <c r="J22">
        <v>1.8028704960887774</v>
      </c>
      <c r="K22">
        <v>7.7539381958080036E-2</v>
      </c>
      <c r="L22">
        <v>3.8358946725293137</v>
      </c>
    </row>
    <row r="23" spans="2:12" x14ac:dyDescent="0.25">
      <c r="B23" s="705"/>
      <c r="C23" s="704"/>
      <c r="D23" s="68" t="s">
        <v>141</v>
      </c>
      <c r="E23" s="91">
        <v>26.981909999999999</v>
      </c>
      <c r="F23" s="89">
        <v>52.90570588235294</v>
      </c>
    </row>
    <row r="24" spans="2:12" x14ac:dyDescent="0.25">
      <c r="B24" s="705"/>
      <c r="C24" s="704"/>
      <c r="D24" s="68" t="s">
        <v>149</v>
      </c>
      <c r="E24" s="91">
        <v>34.443669999999997</v>
      </c>
      <c r="F24" s="89">
        <v>56.005967479674794</v>
      </c>
    </row>
    <row r="25" spans="2:12" x14ac:dyDescent="0.25">
      <c r="B25" s="705"/>
      <c r="C25" s="704"/>
      <c r="D25" s="68" t="s">
        <v>142</v>
      </c>
      <c r="E25" s="91">
        <v>32.111869999999996</v>
      </c>
      <c r="F25" s="89">
        <v>48.654348484848477</v>
      </c>
    </row>
    <row r="26" spans="2:12" x14ac:dyDescent="0.25">
      <c r="B26" s="705"/>
      <c r="C26" s="704"/>
      <c r="D26" s="68" t="s">
        <v>143</v>
      </c>
      <c r="E26" s="91">
        <v>26.515549999999998</v>
      </c>
      <c r="F26" s="89">
        <v>40.793153846153842</v>
      </c>
    </row>
    <row r="27" spans="2:12" x14ac:dyDescent="0.25">
      <c r="B27" s="705"/>
      <c r="C27" s="704"/>
      <c r="D27" s="68" t="s">
        <v>144</v>
      </c>
      <c r="E27" s="91">
        <v>19.053789999999999</v>
      </c>
      <c r="F27" s="89">
        <v>36.641903846153845</v>
      </c>
    </row>
    <row r="28" spans="2:12" x14ac:dyDescent="0.25">
      <c r="B28" s="704">
        <v>4</v>
      </c>
      <c r="C28" s="704" t="s">
        <v>145</v>
      </c>
      <c r="D28" s="68" t="s">
        <v>136</v>
      </c>
      <c r="E28" s="91">
        <v>13.545001153846153</v>
      </c>
      <c r="F28" s="89">
        <v>25.317759166067574</v>
      </c>
      <c r="G28">
        <v>3.1956690248115603E-3</v>
      </c>
      <c r="H28">
        <v>2.3592977132409754E-4</v>
      </c>
      <c r="I28">
        <v>5.9732131304888973E-3</v>
      </c>
      <c r="J28">
        <v>3.89262654301419</v>
      </c>
      <c r="K28">
        <v>0.28738473321642088</v>
      </c>
      <c r="L28">
        <v>7.2759374635779244</v>
      </c>
    </row>
    <row r="29" spans="2:12" x14ac:dyDescent="0.25">
      <c r="B29" s="704"/>
      <c r="C29" s="704"/>
      <c r="D29" s="68" t="s">
        <v>137</v>
      </c>
      <c r="E29" s="91">
        <v>15.076651153846152</v>
      </c>
      <c r="F29" s="89">
        <v>25.994226127320953</v>
      </c>
      <c r="G29">
        <v>3.1104511841499199E-3</v>
      </c>
      <c r="H29">
        <v>2.0630915661641635E-4</v>
      </c>
      <c r="I29">
        <v>5.3628468692240002E-3</v>
      </c>
      <c r="J29">
        <v>3.2446861453293701</v>
      </c>
      <c r="K29">
        <v>0.21521265645929796</v>
      </c>
      <c r="L29">
        <v>5.5942864574644311</v>
      </c>
    </row>
    <row r="30" spans="2:12" x14ac:dyDescent="0.25">
      <c r="B30" s="704"/>
      <c r="C30" s="704"/>
      <c r="D30" s="68" t="s">
        <v>138</v>
      </c>
      <c r="E30" s="91">
        <v>15.382981153846151</v>
      </c>
      <c r="F30" s="89">
        <v>25.012977485928701</v>
      </c>
      <c r="G30">
        <v>2.7269709011725303E-3</v>
      </c>
      <c r="H30">
        <v>1.7727193928796536E-4</v>
      </c>
      <c r="I30">
        <v>4.4340990262967976E-3</v>
      </c>
      <c r="J30">
        <v>2.9057634757711597</v>
      </c>
      <c r="K30">
        <v>0.18889469126370489</v>
      </c>
      <c r="L30">
        <v>4.724818659790504</v>
      </c>
    </row>
    <row r="31" spans="2:12" x14ac:dyDescent="0.25">
      <c r="B31" s="704"/>
      <c r="C31" s="704"/>
      <c r="D31" s="68" t="s">
        <v>139</v>
      </c>
      <c r="E31" s="91">
        <v>12.319681153846153</v>
      </c>
      <c r="F31" s="89">
        <v>19.870453473945407</v>
      </c>
      <c r="G31">
        <v>1.98131479538317E-3</v>
      </c>
      <c r="H31">
        <v>1.6082516833356615E-4</v>
      </c>
      <c r="I31">
        <v>3.1956690248115646E-3</v>
      </c>
      <c r="J31">
        <v>3.0901772812660697</v>
      </c>
      <c r="K31">
        <v>0.2508325696644616</v>
      </c>
      <c r="L31">
        <v>4.984156905267854</v>
      </c>
    </row>
    <row r="32" spans="2:12" x14ac:dyDescent="0.25">
      <c r="B32" s="704"/>
      <c r="C32" s="704"/>
      <c r="D32" s="68" t="s">
        <v>140</v>
      </c>
      <c r="E32" s="91">
        <v>13.851331153846152</v>
      </c>
      <c r="F32" s="89">
        <v>23.344940146931719</v>
      </c>
      <c r="G32">
        <v>3.5578448476235301E-3</v>
      </c>
      <c r="H32">
        <v>2.5685941720017357E-4</v>
      </c>
      <c r="I32">
        <v>5.9963677207138157E-3</v>
      </c>
      <c r="J32">
        <v>4.38107391973044</v>
      </c>
      <c r="K32">
        <v>0.31629262711793088</v>
      </c>
      <c r="L32">
        <v>7.3838324489838882</v>
      </c>
    </row>
    <row r="33" spans="2:12" x14ac:dyDescent="0.25">
      <c r="B33" s="704"/>
      <c r="C33" s="704" t="s">
        <v>145</v>
      </c>
      <c r="D33" s="68" t="s">
        <v>136</v>
      </c>
      <c r="E33" s="91">
        <v>13.851331153846152</v>
      </c>
      <c r="F33" s="89">
        <v>25.890338605319908</v>
      </c>
      <c r="G33">
        <v>3.0039288833228601E-3</v>
      </c>
      <c r="H33">
        <v>2.1686932829475728E-4</v>
      </c>
      <c r="I33">
        <v>5.6148203426595513E-3</v>
      </c>
      <c r="J33">
        <v>0.20933459002124999</v>
      </c>
      <c r="K33">
        <v>1.5112958292324364E-2</v>
      </c>
      <c r="L33">
        <v>0.3912796075163551</v>
      </c>
    </row>
    <row r="34" spans="2:12" x14ac:dyDescent="0.25">
      <c r="B34" s="704"/>
      <c r="C34" s="704"/>
      <c r="D34" s="68" t="s">
        <v>137</v>
      </c>
      <c r="E34" s="91">
        <v>5.8867511538461539</v>
      </c>
      <c r="F34" s="89">
        <v>11.393711910669976</v>
      </c>
      <c r="G34">
        <v>2.9826244231574502E-3</v>
      </c>
      <c r="H34">
        <v>5.0666731873127166E-4</v>
      </c>
      <c r="I34">
        <v>5.7728214641757109E-3</v>
      </c>
      <c r="J34">
        <v>0.229271217642321</v>
      </c>
      <c r="K34">
        <v>3.8946986487194198E-2</v>
      </c>
      <c r="L34">
        <v>0.44375074382384716</v>
      </c>
    </row>
    <row r="35" spans="2:12" x14ac:dyDescent="0.25">
      <c r="B35" s="704"/>
      <c r="C35" s="704"/>
      <c r="D35" s="68" t="s">
        <v>138</v>
      </c>
      <c r="E35" s="91">
        <v>7.418401153846153</v>
      </c>
      <c r="F35" s="89">
        <v>14.13028791208791</v>
      </c>
      <c r="G35">
        <v>1.74696573356365E-3</v>
      </c>
      <c r="H35">
        <v>2.3549086889941453E-4</v>
      </c>
      <c r="I35">
        <v>3.3275537782164761E-3</v>
      </c>
      <c r="J35">
        <v>0.13457223644223198</v>
      </c>
      <c r="K35">
        <v>1.8140328845988804E-2</v>
      </c>
      <c r="L35">
        <v>0.25632806941377517</v>
      </c>
    </row>
    <row r="36" spans="2:12" x14ac:dyDescent="0.25">
      <c r="B36" s="705">
        <v>5</v>
      </c>
      <c r="C36" s="89" t="s">
        <v>12</v>
      </c>
      <c r="D36" t="s">
        <v>79</v>
      </c>
      <c r="E36">
        <v>12.277247962962964</v>
      </c>
      <c r="F36">
        <v>24.073035221496006</v>
      </c>
      <c r="G36">
        <v>1.0543323604586901E-3</v>
      </c>
      <c r="H36">
        <v>8.5876929719047547E-5</v>
      </c>
      <c r="I36">
        <v>2.0673183538405687E-3</v>
      </c>
      <c r="J36">
        <v>0.69290589770523492</v>
      </c>
      <c r="K36">
        <v>5.6438209914431881E-2</v>
      </c>
      <c r="L36">
        <v>1.3586390151083036</v>
      </c>
    </row>
    <row r="37" spans="2:12" x14ac:dyDescent="0.25">
      <c r="B37" s="705"/>
      <c r="C37" s="704" t="s">
        <v>70</v>
      </c>
      <c r="D37" t="s">
        <v>80</v>
      </c>
      <c r="E37">
        <v>17.269172962962962</v>
      </c>
      <c r="F37">
        <v>31.39849629629629</v>
      </c>
      <c r="G37">
        <v>6.6016566360032804E-3</v>
      </c>
      <c r="H37">
        <v>3.8227983761363635E-4</v>
      </c>
      <c r="I37">
        <v>1.2003012065460509E-2</v>
      </c>
      <c r="J37">
        <v>0.436402804496138</v>
      </c>
      <c r="K37">
        <v>2.5270625607380685E-2</v>
      </c>
      <c r="L37">
        <v>0.79345964453843265</v>
      </c>
    </row>
    <row r="38" spans="2:12" x14ac:dyDescent="0.25">
      <c r="B38" s="705"/>
      <c r="C38" s="704"/>
      <c r="D38" t="s">
        <v>79</v>
      </c>
      <c r="E38">
        <v>17.934762962962964</v>
      </c>
      <c r="F38">
        <v>42.701816578483246</v>
      </c>
      <c r="G38">
        <v>2.6296292449818097E-3</v>
      </c>
      <c r="H38">
        <v>1.4662191245082249E-4</v>
      </c>
      <c r="I38">
        <v>6.2610220118614517E-3</v>
      </c>
      <c r="J38">
        <v>0.22968568657691502</v>
      </c>
      <c r="K38">
        <v>1.2806731098216262E-2</v>
      </c>
      <c r="L38">
        <v>0.54687068232598812</v>
      </c>
    </row>
    <row r="39" spans="2:12" x14ac:dyDescent="0.25">
      <c r="B39" s="705"/>
      <c r="C39" s="704"/>
      <c r="D39" t="s">
        <v>81</v>
      </c>
      <c r="E39">
        <v>13.275632962962963</v>
      </c>
      <c r="F39">
        <v>33.189082407407405</v>
      </c>
      <c r="G39">
        <v>4.90986719167932E-3</v>
      </c>
      <c r="H39">
        <v>3.6984053456261691E-4</v>
      </c>
      <c r="I39">
        <v>1.22746679791983E-2</v>
      </c>
      <c r="J39">
        <v>0.32730210337210403</v>
      </c>
      <c r="K39">
        <v>2.4654350137972941E-2</v>
      </c>
      <c r="L39">
        <v>0.81825525843026004</v>
      </c>
    </row>
    <row r="40" spans="2:12" x14ac:dyDescent="0.25">
      <c r="B40" s="705"/>
      <c r="C40" s="704"/>
      <c r="D40" t="s">
        <v>82</v>
      </c>
      <c r="E40">
        <v>5.6213479629629628</v>
      </c>
      <c r="F40">
        <v>14.600903799903799</v>
      </c>
      <c r="G40">
        <v>5.0937573486710503E-3</v>
      </c>
      <c r="H40">
        <v>9.0614517767481802E-4</v>
      </c>
      <c r="I40">
        <v>1.3230538567976754E-2</v>
      </c>
      <c r="J40">
        <v>0.41917637800287</v>
      </c>
      <c r="K40">
        <v>7.4568658756702516E-2</v>
      </c>
      <c r="L40">
        <v>1.0887698129944674</v>
      </c>
    </row>
    <row r="41" spans="2:12" x14ac:dyDescent="0.25">
      <c r="B41" s="705"/>
      <c r="C41" s="704"/>
      <c r="D41" t="s">
        <v>83</v>
      </c>
      <c r="E41">
        <v>16.936377962962961</v>
      </c>
      <c r="F41">
        <v>36.034846729708427</v>
      </c>
      <c r="G41">
        <v>3.5674690456396502E-3</v>
      </c>
      <c r="H41">
        <v>2.106394326721517E-4</v>
      </c>
      <c r="I41">
        <v>7.5903596715737242E-3</v>
      </c>
      <c r="J41">
        <v>0.350270672029795</v>
      </c>
      <c r="K41">
        <v>2.0681557343357516E-2</v>
      </c>
      <c r="L41">
        <v>0.74525674899956385</v>
      </c>
    </row>
    <row r="42" spans="2:12" x14ac:dyDescent="0.25">
      <c r="B42" s="705"/>
      <c r="C42" s="704" t="s">
        <v>78</v>
      </c>
      <c r="D42" t="s">
        <v>80</v>
      </c>
      <c r="E42">
        <v>13.608427962962963</v>
      </c>
      <c r="F42">
        <v>26.947382104877153</v>
      </c>
      <c r="G42">
        <v>3.9056339269284302E-3</v>
      </c>
      <c r="H42">
        <v>2.8700110972098327E-4</v>
      </c>
      <c r="I42">
        <v>7.7339285681751095E-3</v>
      </c>
      <c r="J42">
        <v>0.31899372842346296</v>
      </c>
      <c r="K42">
        <v>2.3440894811042411E-2</v>
      </c>
      <c r="L42">
        <v>0.63167074935339196</v>
      </c>
    </row>
    <row r="43" spans="2:12" x14ac:dyDescent="0.25">
      <c r="B43" s="705"/>
      <c r="C43" s="704"/>
      <c r="D43" t="s">
        <v>79</v>
      </c>
      <c r="E43">
        <v>11.611657962962962</v>
      </c>
      <c r="F43">
        <v>27.979898705934851</v>
      </c>
      <c r="G43">
        <v>1.1702273938362302E-3</v>
      </c>
      <c r="H43">
        <v>1.0078038791435618E-4</v>
      </c>
      <c r="I43">
        <v>2.8198250453885065E-3</v>
      </c>
      <c r="J43">
        <v>0.26203056263355901</v>
      </c>
      <c r="K43">
        <v>2.2566162684893306E-2</v>
      </c>
      <c r="L43">
        <v>0.6313989461049615</v>
      </c>
    </row>
    <row r="44" spans="2:12" x14ac:dyDescent="0.25">
      <c r="B44" s="705"/>
      <c r="C44" s="704"/>
      <c r="D44" t="s">
        <v>83</v>
      </c>
      <c r="E44">
        <v>8.9492979629629641</v>
      </c>
      <c r="F44">
        <v>18.263873393801969</v>
      </c>
      <c r="G44">
        <v>1.7260854059084401E-3</v>
      </c>
      <c r="H44">
        <v>1.9287383357352892E-4</v>
      </c>
      <c r="I44">
        <v>3.5226232773641637E-3</v>
      </c>
      <c r="J44">
        <v>1.4867386271165</v>
      </c>
      <c r="K44">
        <v>0.16612907886958603</v>
      </c>
      <c r="L44">
        <v>3.0341604635030612</v>
      </c>
    </row>
    <row r="45" spans="2:12" x14ac:dyDescent="0.25">
      <c r="B45" s="705"/>
      <c r="C45" s="704"/>
      <c r="D45" t="s">
        <v>94</v>
      </c>
      <c r="E45">
        <v>10.613272962962963</v>
      </c>
      <c r="F45">
        <v>21.440955480733258</v>
      </c>
      <c r="G45">
        <v>1.0385768120296599E-3</v>
      </c>
      <c r="H45">
        <v>9.7856412028030516E-5</v>
      </c>
      <c r="I45">
        <v>2.0981349737972926E-3</v>
      </c>
      <c r="J45">
        <v>0.24494161289658697</v>
      </c>
      <c r="K45">
        <v>2.3078800832821069E-2</v>
      </c>
      <c r="L45">
        <v>0.49483154120522621</v>
      </c>
    </row>
    <row r="46" spans="2:12" x14ac:dyDescent="0.25">
      <c r="B46" s="705">
        <v>6</v>
      </c>
      <c r="C46" s="704" t="s">
        <v>208</v>
      </c>
      <c r="D46" t="s">
        <v>94</v>
      </c>
      <c r="E46">
        <v>16.103303030303032</v>
      </c>
      <c r="F46">
        <v>25.560798460798463</v>
      </c>
      <c r="G46">
        <v>4.1187320657078402E-3</v>
      </c>
      <c r="H46">
        <v>2.5576939451224707E-4</v>
      </c>
      <c r="I46">
        <v>6.5376699455680001E-3</v>
      </c>
      <c r="J46">
        <v>4.1265543878431696</v>
      </c>
      <c r="K46">
        <v>0.25625515337306026</v>
      </c>
      <c r="L46">
        <v>6.5500863299097931</v>
      </c>
    </row>
    <row r="47" spans="2:12" x14ac:dyDescent="0.25">
      <c r="B47" s="705"/>
      <c r="C47" s="704"/>
      <c r="D47" t="s">
        <v>209</v>
      </c>
      <c r="E47">
        <v>20.239403030303031</v>
      </c>
      <c r="F47">
        <v>35.821952266023068</v>
      </c>
      <c r="G47">
        <v>3.76443253317384E-3</v>
      </c>
      <c r="H47">
        <v>1.8599523550855826E-4</v>
      </c>
      <c r="I47">
        <v>6.662712448095293E-3</v>
      </c>
      <c r="J47">
        <v>4.8882660400794604</v>
      </c>
      <c r="K47">
        <v>0.24152224414725101</v>
      </c>
      <c r="L47">
        <v>8.651798301025595</v>
      </c>
    </row>
    <row r="48" spans="2:12" x14ac:dyDescent="0.25">
      <c r="B48" s="705"/>
      <c r="C48" s="704"/>
      <c r="D48" t="s">
        <v>210</v>
      </c>
      <c r="E48">
        <v>10.588503030303031</v>
      </c>
      <c r="F48">
        <v>21.390915212733397</v>
      </c>
      <c r="G48">
        <v>3.61680772795133E-3</v>
      </c>
      <c r="H48">
        <v>3.4157875930152339E-4</v>
      </c>
      <c r="I48">
        <v>7.3066822786895559E-3</v>
      </c>
      <c r="J48">
        <v>3.5867004983941602</v>
      </c>
      <c r="K48">
        <v>0.33873537063071635</v>
      </c>
      <c r="L48">
        <v>7.2458595927154752</v>
      </c>
    </row>
    <row r="49" spans="2:12" x14ac:dyDescent="0.25">
      <c r="B49" s="705"/>
      <c r="C49" s="704"/>
      <c r="D49" t="s">
        <v>211</v>
      </c>
      <c r="E49">
        <v>19.550053030303033</v>
      </c>
      <c r="F49">
        <v>35.871656936335839</v>
      </c>
      <c r="G49">
        <v>3.4839454032510801E-3</v>
      </c>
      <c r="H49">
        <v>1.7820644260406273E-4</v>
      </c>
      <c r="I49">
        <v>6.3925603729377608E-3</v>
      </c>
      <c r="J49">
        <v>4.2596690455155404</v>
      </c>
      <c r="K49">
        <v>0.21788529365689982</v>
      </c>
      <c r="L49">
        <v>7.8159065055331007</v>
      </c>
    </row>
  </sheetData>
  <mergeCells count="21">
    <mergeCell ref="J1:L1"/>
    <mergeCell ref="B1:B2"/>
    <mergeCell ref="C1:C2"/>
    <mergeCell ref="D1:D2"/>
    <mergeCell ref="E1:F1"/>
    <mergeCell ref="G1:I1"/>
    <mergeCell ref="C46:C49"/>
    <mergeCell ref="B36:B45"/>
    <mergeCell ref="B46:B49"/>
    <mergeCell ref="C3:C7"/>
    <mergeCell ref="C8:C10"/>
    <mergeCell ref="B3:B7"/>
    <mergeCell ref="B8:B10"/>
    <mergeCell ref="C11:C20"/>
    <mergeCell ref="C21:C27"/>
    <mergeCell ref="B11:B27"/>
    <mergeCell ref="C28:C32"/>
    <mergeCell ref="C33:C35"/>
    <mergeCell ref="B28:B35"/>
    <mergeCell ref="C37:C41"/>
    <mergeCell ref="C42:C4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6ED0-2CF6-40B5-9552-F5A5C4AA4AB9}">
  <dimension ref="A1:AD163"/>
  <sheetViews>
    <sheetView zoomScale="95" zoomScaleNormal="95" workbookViewId="0">
      <selection activeCell="E18" sqref="E18"/>
    </sheetView>
  </sheetViews>
  <sheetFormatPr defaultRowHeight="15" x14ac:dyDescent="0.25"/>
  <cols>
    <col min="2" max="2" width="9.85546875" customWidth="1"/>
  </cols>
  <sheetData>
    <row r="1" spans="1:30" ht="15.75" thickBot="1" x14ac:dyDescent="0.3">
      <c r="A1" s="356" t="s">
        <v>262</v>
      </c>
      <c r="B1" s="644" t="s">
        <v>52</v>
      </c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  <c r="Q1" s="644" t="s">
        <v>61</v>
      </c>
      <c r="R1" s="645"/>
      <c r="S1" s="645"/>
      <c r="T1" s="645"/>
      <c r="U1" s="645"/>
      <c r="V1" s="645"/>
      <c r="W1" s="645"/>
      <c r="X1" s="645"/>
      <c r="Y1" s="645"/>
      <c r="Z1" s="645"/>
      <c r="AA1" s="645"/>
      <c r="AB1" s="645"/>
      <c r="AC1" s="645"/>
      <c r="AD1" s="646"/>
    </row>
    <row r="2" spans="1:30" x14ac:dyDescent="0.25">
      <c r="B2" s="706" t="s">
        <v>59</v>
      </c>
      <c r="C2" s="44"/>
      <c r="D2" s="42">
        <v>1</v>
      </c>
      <c r="E2" s="42">
        <v>2</v>
      </c>
      <c r="F2" s="42">
        <v>3</v>
      </c>
      <c r="G2" s="42">
        <v>4</v>
      </c>
      <c r="H2" s="42">
        <v>5</v>
      </c>
      <c r="I2" s="42">
        <v>6</v>
      </c>
      <c r="J2" s="42">
        <v>7</v>
      </c>
      <c r="K2" s="42">
        <v>8</v>
      </c>
      <c r="L2" s="42">
        <v>9</v>
      </c>
      <c r="M2" s="42">
        <v>10</v>
      </c>
      <c r="N2" s="42">
        <v>11</v>
      </c>
      <c r="O2" s="43">
        <v>12</v>
      </c>
      <c r="Q2" s="706" t="s">
        <v>60</v>
      </c>
      <c r="R2" s="131"/>
      <c r="S2" s="132">
        <v>1</v>
      </c>
      <c r="T2" s="132">
        <v>2</v>
      </c>
      <c r="U2" s="132">
        <v>3</v>
      </c>
      <c r="V2" s="132">
        <v>4</v>
      </c>
      <c r="W2" s="132">
        <v>5</v>
      </c>
      <c r="X2" s="132">
        <v>6</v>
      </c>
      <c r="Y2" s="132">
        <v>7</v>
      </c>
      <c r="Z2" s="132">
        <v>8</v>
      </c>
      <c r="AA2" s="132">
        <v>9</v>
      </c>
      <c r="AB2" s="132">
        <v>10</v>
      </c>
      <c r="AC2" s="132">
        <v>11</v>
      </c>
      <c r="AD2" s="133">
        <v>12</v>
      </c>
    </row>
    <row r="3" spans="1:30" x14ac:dyDescent="0.25">
      <c r="B3" s="707"/>
      <c r="C3" s="45" t="s">
        <v>44</v>
      </c>
      <c r="D3" s="34">
        <v>69</v>
      </c>
      <c r="E3" s="35">
        <v>63</v>
      </c>
      <c r="F3" s="35">
        <v>67</v>
      </c>
      <c r="G3" s="18">
        <v>0</v>
      </c>
      <c r="H3" s="18">
        <v>2</v>
      </c>
      <c r="I3" s="18">
        <v>2</v>
      </c>
      <c r="J3" s="18">
        <v>0</v>
      </c>
      <c r="K3" s="18">
        <v>3</v>
      </c>
      <c r="L3" s="18">
        <v>4</v>
      </c>
      <c r="M3" s="18">
        <v>3</v>
      </c>
      <c r="N3" s="18">
        <v>1</v>
      </c>
      <c r="O3" s="39">
        <v>0</v>
      </c>
      <c r="Q3" s="707"/>
      <c r="R3" s="45" t="s">
        <v>44</v>
      </c>
      <c r="S3" s="17">
        <v>67</v>
      </c>
      <c r="T3" s="17">
        <v>64</v>
      </c>
      <c r="U3" s="17">
        <v>61</v>
      </c>
      <c r="V3" s="18">
        <v>2</v>
      </c>
      <c r="W3" s="18">
        <v>5</v>
      </c>
      <c r="X3" s="18">
        <v>2</v>
      </c>
      <c r="Y3" s="18">
        <v>4</v>
      </c>
      <c r="Z3" s="18">
        <v>2</v>
      </c>
      <c r="AA3" s="18">
        <v>2</v>
      </c>
      <c r="AB3" s="18">
        <v>2</v>
      </c>
      <c r="AC3" s="18">
        <v>2</v>
      </c>
      <c r="AD3" s="39">
        <v>3</v>
      </c>
    </row>
    <row r="4" spans="1:30" x14ac:dyDescent="0.25">
      <c r="B4" s="707"/>
      <c r="C4" s="45" t="s">
        <v>45</v>
      </c>
      <c r="D4" s="20">
        <v>105</v>
      </c>
      <c r="E4" s="20">
        <v>106</v>
      </c>
      <c r="F4" s="20">
        <v>102</v>
      </c>
      <c r="G4" s="18">
        <v>3</v>
      </c>
      <c r="H4" s="18">
        <v>4</v>
      </c>
      <c r="I4" s="18">
        <v>2</v>
      </c>
      <c r="J4" s="18">
        <v>1</v>
      </c>
      <c r="K4" s="18">
        <v>0</v>
      </c>
      <c r="L4" s="18">
        <v>5</v>
      </c>
      <c r="M4" s="18">
        <v>0</v>
      </c>
      <c r="N4" s="18">
        <v>0</v>
      </c>
      <c r="O4" s="39">
        <v>4</v>
      </c>
      <c r="Q4" s="707"/>
      <c r="R4" s="45" t="s">
        <v>45</v>
      </c>
      <c r="S4" s="19">
        <v>196</v>
      </c>
      <c r="T4" s="19">
        <v>196</v>
      </c>
      <c r="U4" s="19">
        <v>193</v>
      </c>
      <c r="V4" s="18">
        <v>2</v>
      </c>
      <c r="W4" s="18">
        <v>1</v>
      </c>
      <c r="X4" s="18">
        <v>6</v>
      </c>
      <c r="Y4" s="18">
        <v>2</v>
      </c>
      <c r="Z4" s="18">
        <v>0</v>
      </c>
      <c r="AA4" s="18">
        <v>0</v>
      </c>
      <c r="AB4" s="18">
        <v>5</v>
      </c>
      <c r="AC4" s="18">
        <v>2</v>
      </c>
      <c r="AD4" s="39">
        <v>1</v>
      </c>
    </row>
    <row r="5" spans="1:30" x14ac:dyDescent="0.25">
      <c r="B5" s="707"/>
      <c r="C5" s="45" t="s">
        <v>46</v>
      </c>
      <c r="D5" s="36">
        <v>91</v>
      </c>
      <c r="E5" s="37">
        <v>85</v>
      </c>
      <c r="F5" s="38">
        <v>82</v>
      </c>
      <c r="G5" s="18">
        <v>3</v>
      </c>
      <c r="H5" s="18">
        <v>5</v>
      </c>
      <c r="I5" s="18">
        <v>2</v>
      </c>
      <c r="J5" s="18">
        <v>4</v>
      </c>
      <c r="K5" s="18">
        <v>4</v>
      </c>
      <c r="L5" s="18">
        <v>0</v>
      </c>
      <c r="M5" s="18">
        <v>1</v>
      </c>
      <c r="N5" s="18">
        <v>2</v>
      </c>
      <c r="O5" s="39">
        <v>4</v>
      </c>
      <c r="Q5" s="707"/>
      <c r="R5" s="45" t="s">
        <v>46</v>
      </c>
      <c r="S5" s="20">
        <v>373</v>
      </c>
      <c r="T5" s="20">
        <v>374</v>
      </c>
      <c r="U5" s="20">
        <v>375</v>
      </c>
      <c r="V5" s="18">
        <v>2</v>
      </c>
      <c r="W5" s="18">
        <v>2</v>
      </c>
      <c r="X5" s="18">
        <v>2</v>
      </c>
      <c r="Y5" s="18">
        <v>2</v>
      </c>
      <c r="Z5" s="18">
        <v>1</v>
      </c>
      <c r="AA5" s="18">
        <v>0</v>
      </c>
      <c r="AB5" s="18">
        <v>3</v>
      </c>
      <c r="AC5" s="18">
        <v>2</v>
      </c>
      <c r="AD5" s="39">
        <v>3</v>
      </c>
    </row>
    <row r="6" spans="1:30" x14ac:dyDescent="0.25">
      <c r="B6" s="707"/>
      <c r="C6" s="45" t="s">
        <v>47</v>
      </c>
      <c r="D6" s="36">
        <v>93</v>
      </c>
      <c r="E6" s="36">
        <v>91</v>
      </c>
      <c r="F6" s="37">
        <v>88</v>
      </c>
      <c r="G6" s="18">
        <v>0</v>
      </c>
      <c r="H6" s="18">
        <v>5</v>
      </c>
      <c r="I6" s="18">
        <v>4</v>
      </c>
      <c r="J6" s="18">
        <v>5</v>
      </c>
      <c r="K6" s="18">
        <v>0</v>
      </c>
      <c r="L6" s="18">
        <v>3</v>
      </c>
      <c r="M6" s="18">
        <v>1</v>
      </c>
      <c r="N6" s="18">
        <v>2</v>
      </c>
      <c r="O6" s="39">
        <v>1</v>
      </c>
      <c r="Q6" s="707"/>
      <c r="R6" s="45" t="s">
        <v>47</v>
      </c>
      <c r="S6" s="21">
        <v>136</v>
      </c>
      <c r="T6" s="21">
        <v>140</v>
      </c>
      <c r="U6" s="21">
        <v>139</v>
      </c>
      <c r="V6" s="18">
        <v>3</v>
      </c>
      <c r="W6" s="18">
        <v>0</v>
      </c>
      <c r="X6" s="18">
        <v>2</v>
      </c>
      <c r="Y6" s="18">
        <v>2</v>
      </c>
      <c r="Z6" s="18">
        <v>1</v>
      </c>
      <c r="AA6" s="18">
        <v>2</v>
      </c>
      <c r="AB6" s="18">
        <v>7</v>
      </c>
      <c r="AC6" s="18">
        <v>3</v>
      </c>
      <c r="AD6" s="39">
        <v>1</v>
      </c>
    </row>
    <row r="7" spans="1:30" x14ac:dyDescent="0.25">
      <c r="B7" s="707"/>
      <c r="C7" s="45" t="s">
        <v>48</v>
      </c>
      <c r="D7" s="36">
        <v>93</v>
      </c>
      <c r="E7" s="37">
        <v>89</v>
      </c>
      <c r="F7" s="36">
        <v>92</v>
      </c>
      <c r="G7" s="18">
        <v>2</v>
      </c>
      <c r="H7" s="18">
        <v>2</v>
      </c>
      <c r="I7" s="18">
        <v>3</v>
      </c>
      <c r="J7" s="18">
        <v>1</v>
      </c>
      <c r="K7" s="18">
        <v>2</v>
      </c>
      <c r="L7" s="18">
        <v>5</v>
      </c>
      <c r="M7" s="18">
        <v>1</v>
      </c>
      <c r="N7" s="18">
        <v>1</v>
      </c>
      <c r="O7" s="39">
        <v>3</v>
      </c>
      <c r="Q7" s="707"/>
      <c r="R7" s="45" t="s">
        <v>48</v>
      </c>
      <c r="S7" s="18">
        <v>3</v>
      </c>
      <c r="T7" s="18">
        <v>1</v>
      </c>
      <c r="U7" s="18">
        <v>7</v>
      </c>
      <c r="V7" s="18">
        <v>2</v>
      </c>
      <c r="W7" s="18">
        <v>3</v>
      </c>
      <c r="X7" s="18">
        <v>2</v>
      </c>
      <c r="Y7" s="18">
        <v>0</v>
      </c>
      <c r="Z7" s="18">
        <v>2</v>
      </c>
      <c r="AA7" s="18">
        <v>3</v>
      </c>
      <c r="AB7" s="18">
        <v>1</v>
      </c>
      <c r="AC7" s="18">
        <v>2</v>
      </c>
      <c r="AD7" s="39">
        <v>3</v>
      </c>
    </row>
    <row r="8" spans="1:30" x14ac:dyDescent="0.25">
      <c r="B8" s="707"/>
      <c r="C8" s="45" t="s">
        <v>49</v>
      </c>
      <c r="D8" s="36">
        <v>95</v>
      </c>
      <c r="E8" s="36">
        <v>93</v>
      </c>
      <c r="F8" s="36">
        <v>97</v>
      </c>
      <c r="G8" s="18">
        <v>0</v>
      </c>
      <c r="H8" s="18">
        <v>2</v>
      </c>
      <c r="I8" s="18">
        <v>0</v>
      </c>
      <c r="J8" s="18">
        <v>1</v>
      </c>
      <c r="K8" s="18">
        <v>3</v>
      </c>
      <c r="L8" s="18">
        <v>0</v>
      </c>
      <c r="M8" s="18">
        <v>4</v>
      </c>
      <c r="N8" s="18">
        <v>0</v>
      </c>
      <c r="O8" s="39">
        <v>1</v>
      </c>
      <c r="Q8" s="707"/>
      <c r="R8" s="45" t="s">
        <v>49</v>
      </c>
      <c r="S8" s="18">
        <v>3</v>
      </c>
      <c r="T8" s="18">
        <v>3</v>
      </c>
      <c r="U8" s="18">
        <v>6</v>
      </c>
      <c r="V8" s="18">
        <v>5</v>
      </c>
      <c r="W8" s="18">
        <v>0</v>
      </c>
      <c r="X8" s="18">
        <v>0</v>
      </c>
      <c r="Y8" s="18">
        <v>1</v>
      </c>
      <c r="Z8" s="18">
        <v>6</v>
      </c>
      <c r="AA8" s="18">
        <v>0</v>
      </c>
      <c r="AB8" s="18">
        <v>4</v>
      </c>
      <c r="AC8" s="18">
        <v>0</v>
      </c>
      <c r="AD8" s="39">
        <v>4</v>
      </c>
    </row>
    <row r="9" spans="1:30" x14ac:dyDescent="0.25">
      <c r="B9" s="707"/>
      <c r="C9" s="45" t="s">
        <v>50</v>
      </c>
      <c r="D9" s="18">
        <v>0</v>
      </c>
      <c r="E9" s="18">
        <v>6</v>
      </c>
      <c r="F9" s="18">
        <v>2</v>
      </c>
      <c r="G9" s="18">
        <v>1</v>
      </c>
      <c r="H9" s="18">
        <v>3</v>
      </c>
      <c r="I9" s="18">
        <v>5</v>
      </c>
      <c r="J9" s="18">
        <v>2</v>
      </c>
      <c r="K9" s="18">
        <v>0</v>
      </c>
      <c r="L9" s="18">
        <v>0</v>
      </c>
      <c r="M9" s="18">
        <v>5</v>
      </c>
      <c r="N9" s="18">
        <v>1</v>
      </c>
      <c r="O9" s="39">
        <v>3</v>
      </c>
      <c r="Q9" s="707"/>
      <c r="R9" s="45" t="s">
        <v>50</v>
      </c>
      <c r="S9" s="18">
        <v>3</v>
      </c>
      <c r="T9" s="18">
        <v>3</v>
      </c>
      <c r="U9" s="18">
        <v>2</v>
      </c>
      <c r="V9" s="18">
        <v>4</v>
      </c>
      <c r="W9" s="18">
        <v>3</v>
      </c>
      <c r="X9" s="18">
        <v>6</v>
      </c>
      <c r="Y9" s="18">
        <v>4</v>
      </c>
      <c r="Z9" s="18">
        <v>4</v>
      </c>
      <c r="AA9" s="18">
        <v>2</v>
      </c>
      <c r="AB9" s="18">
        <v>4</v>
      </c>
      <c r="AC9" s="18">
        <v>2</v>
      </c>
      <c r="AD9" s="39">
        <v>2</v>
      </c>
    </row>
    <row r="10" spans="1:30" ht="15.75" thickBot="1" x14ac:dyDescent="0.3">
      <c r="B10" s="708"/>
      <c r="C10" s="46" t="s">
        <v>51</v>
      </c>
      <c r="D10" s="40">
        <v>0</v>
      </c>
      <c r="E10" s="40">
        <v>6</v>
      </c>
      <c r="F10" s="40">
        <v>3</v>
      </c>
      <c r="G10" s="40">
        <v>2</v>
      </c>
      <c r="H10" s="40">
        <v>0</v>
      </c>
      <c r="I10" s="40">
        <v>0</v>
      </c>
      <c r="J10" s="40">
        <v>2</v>
      </c>
      <c r="K10" s="40">
        <v>1</v>
      </c>
      <c r="L10" s="40">
        <v>0</v>
      </c>
      <c r="M10" s="40">
        <v>2</v>
      </c>
      <c r="N10" s="40">
        <v>3</v>
      </c>
      <c r="O10" s="41">
        <v>1</v>
      </c>
      <c r="Q10" s="707"/>
      <c r="R10" s="291" t="s">
        <v>51</v>
      </c>
      <c r="S10" s="247">
        <v>2</v>
      </c>
      <c r="T10" s="247">
        <v>4</v>
      </c>
      <c r="U10" s="247">
        <v>3</v>
      </c>
      <c r="V10" s="247">
        <v>0</v>
      </c>
      <c r="W10" s="247">
        <v>4</v>
      </c>
      <c r="X10" s="247">
        <v>6</v>
      </c>
      <c r="Y10" s="247">
        <v>1</v>
      </c>
      <c r="Z10" s="247">
        <v>1</v>
      </c>
      <c r="AA10" s="247">
        <v>4</v>
      </c>
      <c r="AB10" s="247">
        <v>2</v>
      </c>
      <c r="AC10" s="247">
        <v>0</v>
      </c>
      <c r="AD10" s="290">
        <v>3</v>
      </c>
    </row>
    <row r="11" spans="1:30" x14ac:dyDescent="0.25">
      <c r="B11" s="706" t="s">
        <v>168</v>
      </c>
      <c r="C11" s="200"/>
      <c r="D11" s="132">
        <v>1</v>
      </c>
      <c r="E11" s="132">
        <v>2</v>
      </c>
      <c r="F11" s="132">
        <v>3</v>
      </c>
      <c r="G11" s="132">
        <v>4</v>
      </c>
      <c r="H11" s="132">
        <v>5</v>
      </c>
      <c r="I11" s="132">
        <v>6</v>
      </c>
      <c r="J11" s="132">
        <v>7</v>
      </c>
      <c r="K11" s="132">
        <v>8</v>
      </c>
      <c r="L11" s="132">
        <v>9</v>
      </c>
      <c r="M11" s="132">
        <v>10</v>
      </c>
      <c r="N11" s="132">
        <v>11</v>
      </c>
      <c r="O11" s="133">
        <v>12</v>
      </c>
      <c r="Q11" s="706" t="s">
        <v>84</v>
      </c>
      <c r="R11" s="131"/>
      <c r="S11" s="132">
        <v>1</v>
      </c>
      <c r="T11" s="132">
        <v>2</v>
      </c>
      <c r="U11" s="132">
        <v>3</v>
      </c>
      <c r="V11" s="132">
        <v>4</v>
      </c>
      <c r="W11" s="132">
        <v>5</v>
      </c>
      <c r="X11" s="132">
        <v>6</v>
      </c>
      <c r="Y11" s="132">
        <v>7</v>
      </c>
      <c r="Z11" s="132">
        <v>8</v>
      </c>
      <c r="AA11" s="132">
        <v>9</v>
      </c>
      <c r="AB11" s="132">
        <v>10</v>
      </c>
      <c r="AC11" s="132">
        <v>11</v>
      </c>
      <c r="AD11" s="133">
        <v>12</v>
      </c>
    </row>
    <row r="12" spans="1:30" x14ac:dyDescent="0.25">
      <c r="B12" s="707"/>
      <c r="C12" s="81" t="s">
        <v>44</v>
      </c>
      <c r="D12" s="83">
        <v>56</v>
      </c>
      <c r="E12" s="83">
        <v>59</v>
      </c>
      <c r="F12" s="83">
        <v>55</v>
      </c>
      <c r="G12" s="18">
        <v>3</v>
      </c>
      <c r="H12" s="18">
        <v>1</v>
      </c>
      <c r="I12" s="18">
        <v>1</v>
      </c>
      <c r="J12" s="18">
        <v>0</v>
      </c>
      <c r="K12" s="18">
        <v>0</v>
      </c>
      <c r="L12" s="18">
        <v>2</v>
      </c>
      <c r="M12" s="18">
        <v>2</v>
      </c>
      <c r="N12" s="18">
        <v>0</v>
      </c>
      <c r="O12" s="39">
        <v>6</v>
      </c>
      <c r="Q12" s="707"/>
      <c r="R12" s="45" t="s">
        <v>44</v>
      </c>
      <c r="S12" s="82">
        <v>70</v>
      </c>
      <c r="T12" s="82">
        <v>70</v>
      </c>
      <c r="U12" s="82">
        <v>70</v>
      </c>
      <c r="V12" s="18">
        <v>2</v>
      </c>
      <c r="W12" s="18">
        <v>0</v>
      </c>
      <c r="X12" s="18">
        <v>1</v>
      </c>
      <c r="Y12" s="18">
        <v>4</v>
      </c>
      <c r="Z12" s="18">
        <v>2</v>
      </c>
      <c r="AA12" s="18">
        <v>4</v>
      </c>
      <c r="AB12" s="18">
        <v>2</v>
      </c>
      <c r="AC12" s="18">
        <v>7</v>
      </c>
      <c r="AD12" s="39">
        <v>6</v>
      </c>
    </row>
    <row r="13" spans="1:30" x14ac:dyDescent="0.25">
      <c r="B13" s="707"/>
      <c r="C13" s="81" t="s">
        <v>45</v>
      </c>
      <c r="D13" s="20">
        <v>210</v>
      </c>
      <c r="E13" s="20">
        <v>215</v>
      </c>
      <c r="F13" s="20">
        <v>203</v>
      </c>
      <c r="G13" s="18">
        <v>2</v>
      </c>
      <c r="H13" s="18">
        <v>2</v>
      </c>
      <c r="I13" s="18">
        <v>6</v>
      </c>
      <c r="J13" s="18">
        <v>1</v>
      </c>
      <c r="K13" s="18">
        <v>2</v>
      </c>
      <c r="L13" s="18">
        <v>2</v>
      </c>
      <c r="M13" s="18">
        <v>0</v>
      </c>
      <c r="N13" s="18">
        <v>0</v>
      </c>
      <c r="O13" s="39">
        <v>4</v>
      </c>
      <c r="Q13" s="707"/>
      <c r="R13" s="45" t="s">
        <v>45</v>
      </c>
      <c r="S13" s="20">
        <v>198</v>
      </c>
      <c r="T13" s="20">
        <v>191</v>
      </c>
      <c r="U13" s="20">
        <v>198</v>
      </c>
      <c r="V13" s="18">
        <v>2</v>
      </c>
      <c r="W13" s="18">
        <v>4</v>
      </c>
      <c r="X13" s="18">
        <v>8</v>
      </c>
      <c r="Y13" s="18">
        <v>0</v>
      </c>
      <c r="Z13" s="18">
        <v>3</v>
      </c>
      <c r="AA13" s="18">
        <v>5</v>
      </c>
      <c r="AB13" s="18">
        <v>0</v>
      </c>
      <c r="AC13" s="18">
        <v>3</v>
      </c>
      <c r="AD13" s="39">
        <v>4</v>
      </c>
    </row>
    <row r="14" spans="1:30" x14ac:dyDescent="0.25">
      <c r="B14" s="707"/>
      <c r="C14" s="81" t="s">
        <v>46</v>
      </c>
      <c r="D14" s="20">
        <v>207</v>
      </c>
      <c r="E14" s="20">
        <v>214</v>
      </c>
      <c r="F14" s="20">
        <v>205</v>
      </c>
      <c r="G14" s="18">
        <v>2</v>
      </c>
      <c r="H14" s="18">
        <v>2</v>
      </c>
      <c r="I14" s="18">
        <v>0</v>
      </c>
      <c r="J14" s="18">
        <v>2</v>
      </c>
      <c r="K14" s="18">
        <v>5</v>
      </c>
      <c r="L14" s="18">
        <v>0</v>
      </c>
      <c r="M14" s="18">
        <v>4</v>
      </c>
      <c r="N14" s="18">
        <v>2</v>
      </c>
      <c r="O14" s="39">
        <v>3</v>
      </c>
      <c r="Q14" s="707"/>
      <c r="R14" s="45" t="s">
        <v>46</v>
      </c>
      <c r="S14" s="36">
        <v>177</v>
      </c>
      <c r="T14" s="36">
        <v>181</v>
      </c>
      <c r="U14" s="36">
        <v>184</v>
      </c>
      <c r="V14" s="18">
        <v>4</v>
      </c>
      <c r="W14" s="18">
        <v>0</v>
      </c>
      <c r="X14" s="18">
        <v>3</v>
      </c>
      <c r="Y14" s="18">
        <v>3</v>
      </c>
      <c r="Z14" s="18">
        <v>1</v>
      </c>
      <c r="AA14" s="18">
        <v>3</v>
      </c>
      <c r="AB14" s="18">
        <v>6</v>
      </c>
      <c r="AC14" s="18">
        <v>4</v>
      </c>
      <c r="AD14" s="39">
        <v>2</v>
      </c>
    </row>
    <row r="15" spans="1:30" x14ac:dyDescent="0.25">
      <c r="B15" s="707"/>
      <c r="C15" s="81" t="s">
        <v>47</v>
      </c>
      <c r="D15" s="35">
        <v>136</v>
      </c>
      <c r="E15" s="35">
        <v>136</v>
      </c>
      <c r="F15" s="35">
        <v>133</v>
      </c>
      <c r="G15" s="18">
        <v>5</v>
      </c>
      <c r="H15" s="18">
        <v>7</v>
      </c>
      <c r="I15" s="18">
        <v>0</v>
      </c>
      <c r="J15" s="18">
        <v>2</v>
      </c>
      <c r="K15" s="18">
        <v>0</v>
      </c>
      <c r="L15" s="18">
        <v>1</v>
      </c>
      <c r="M15" s="18">
        <v>0</v>
      </c>
      <c r="N15" s="18">
        <v>5</v>
      </c>
      <c r="O15" s="39">
        <v>0</v>
      </c>
      <c r="Q15" s="707"/>
      <c r="R15" s="45" t="s">
        <v>47</v>
      </c>
      <c r="S15" s="20">
        <v>189</v>
      </c>
      <c r="T15" s="20">
        <v>193</v>
      </c>
      <c r="U15" s="36">
        <v>186</v>
      </c>
      <c r="V15" s="18">
        <v>1</v>
      </c>
      <c r="W15" s="18">
        <v>7</v>
      </c>
      <c r="X15" s="18">
        <v>0</v>
      </c>
      <c r="Y15" s="18">
        <v>6</v>
      </c>
      <c r="Z15" s="18">
        <v>3</v>
      </c>
      <c r="AA15" s="18">
        <v>3</v>
      </c>
      <c r="AB15" s="18">
        <v>3</v>
      </c>
      <c r="AC15" s="18">
        <v>0</v>
      </c>
      <c r="AD15" s="39">
        <v>3</v>
      </c>
    </row>
    <row r="16" spans="1:30" x14ac:dyDescent="0.25">
      <c r="B16" s="707"/>
      <c r="C16" s="81" t="s">
        <v>48</v>
      </c>
      <c r="D16" s="37">
        <v>177</v>
      </c>
      <c r="E16" s="36">
        <v>185</v>
      </c>
      <c r="F16" s="37">
        <v>183</v>
      </c>
      <c r="G16" s="18">
        <v>3</v>
      </c>
      <c r="H16" s="18">
        <v>2</v>
      </c>
      <c r="I16" s="18">
        <v>2</v>
      </c>
      <c r="J16" s="18">
        <v>2</v>
      </c>
      <c r="K16" s="18">
        <v>1</v>
      </c>
      <c r="L16" s="18">
        <v>4</v>
      </c>
      <c r="M16" s="18">
        <v>1</v>
      </c>
      <c r="N16" s="18">
        <v>3</v>
      </c>
      <c r="O16" s="39">
        <v>0</v>
      </c>
      <c r="Q16" s="707"/>
      <c r="R16" s="45" t="s">
        <v>48</v>
      </c>
      <c r="S16" s="20">
        <v>192</v>
      </c>
      <c r="T16" s="20">
        <v>197</v>
      </c>
      <c r="U16" s="20">
        <v>195</v>
      </c>
      <c r="V16" s="18">
        <v>3</v>
      </c>
      <c r="W16" s="18">
        <v>0</v>
      </c>
      <c r="X16" s="18">
        <v>5</v>
      </c>
      <c r="Y16" s="18">
        <v>3</v>
      </c>
      <c r="Z16" s="18">
        <v>4</v>
      </c>
      <c r="AA16" s="18">
        <v>2</v>
      </c>
      <c r="AB16" s="18">
        <v>3</v>
      </c>
      <c r="AC16" s="18">
        <v>2</v>
      </c>
      <c r="AD16" s="39">
        <v>3</v>
      </c>
    </row>
    <row r="17" spans="2:30" x14ac:dyDescent="0.25">
      <c r="B17" s="707"/>
      <c r="C17" s="81" t="s">
        <v>49</v>
      </c>
      <c r="D17" s="37">
        <v>184</v>
      </c>
      <c r="E17" s="36">
        <v>191</v>
      </c>
      <c r="F17" s="36">
        <v>191</v>
      </c>
      <c r="G17" s="18">
        <v>0</v>
      </c>
      <c r="H17" s="18">
        <v>1</v>
      </c>
      <c r="I17" s="18">
        <v>2</v>
      </c>
      <c r="J17" s="18">
        <v>5</v>
      </c>
      <c r="K17" s="18">
        <v>3</v>
      </c>
      <c r="L17" s="18">
        <v>5</v>
      </c>
      <c r="M17" s="18">
        <v>0</v>
      </c>
      <c r="N17" s="18">
        <v>0</v>
      </c>
      <c r="O17" s="39">
        <v>1</v>
      </c>
      <c r="Q17" s="707"/>
      <c r="R17" s="45" t="s">
        <v>49</v>
      </c>
      <c r="S17" s="20">
        <v>192</v>
      </c>
      <c r="T17" s="20">
        <v>190</v>
      </c>
      <c r="U17" s="20">
        <v>201</v>
      </c>
      <c r="V17" s="18">
        <v>2</v>
      </c>
      <c r="W17" s="18">
        <v>1</v>
      </c>
      <c r="X17" s="18">
        <v>4</v>
      </c>
      <c r="Y17" s="18">
        <v>4</v>
      </c>
      <c r="Z17" s="18">
        <v>4</v>
      </c>
      <c r="AA17" s="18">
        <v>0</v>
      </c>
      <c r="AB17" s="18">
        <v>7</v>
      </c>
      <c r="AC17" s="18">
        <v>3</v>
      </c>
      <c r="AD17" s="39">
        <v>5</v>
      </c>
    </row>
    <row r="18" spans="2:30" x14ac:dyDescent="0.25">
      <c r="B18" s="707"/>
      <c r="C18" s="81" t="s">
        <v>50</v>
      </c>
      <c r="D18" s="18">
        <v>0</v>
      </c>
      <c r="E18" s="18">
        <v>4</v>
      </c>
      <c r="F18" s="18">
        <v>2</v>
      </c>
      <c r="G18" s="18">
        <v>1</v>
      </c>
      <c r="H18" s="18">
        <v>2</v>
      </c>
      <c r="I18" s="18">
        <v>4</v>
      </c>
      <c r="J18" s="18">
        <v>0</v>
      </c>
      <c r="K18" s="18">
        <v>2</v>
      </c>
      <c r="L18" s="18">
        <v>2</v>
      </c>
      <c r="M18" s="18">
        <v>0</v>
      </c>
      <c r="N18" s="18">
        <v>2</v>
      </c>
      <c r="O18" s="39">
        <v>3</v>
      </c>
      <c r="Q18" s="707"/>
      <c r="R18" s="45" t="s">
        <v>50</v>
      </c>
      <c r="S18" s="18">
        <v>6</v>
      </c>
      <c r="T18" s="18">
        <v>2</v>
      </c>
      <c r="U18" s="18">
        <v>0</v>
      </c>
      <c r="V18" s="18">
        <v>0</v>
      </c>
      <c r="W18" s="18">
        <v>2</v>
      </c>
      <c r="X18" s="18">
        <v>4</v>
      </c>
      <c r="Y18" s="18">
        <v>5</v>
      </c>
      <c r="Z18" s="18">
        <v>1</v>
      </c>
      <c r="AA18" s="18">
        <v>4</v>
      </c>
      <c r="AB18" s="18">
        <v>6</v>
      </c>
      <c r="AC18" s="18">
        <v>6</v>
      </c>
      <c r="AD18" s="39">
        <v>6</v>
      </c>
    </row>
    <row r="19" spans="2:30" ht="15.75" thickBot="1" x14ac:dyDescent="0.3">
      <c r="B19" s="708"/>
      <c r="C19" s="201" t="s">
        <v>51</v>
      </c>
      <c r="D19" s="40">
        <v>0</v>
      </c>
      <c r="E19" s="40">
        <v>3</v>
      </c>
      <c r="F19" s="40">
        <v>2</v>
      </c>
      <c r="G19" s="40">
        <v>3</v>
      </c>
      <c r="H19" s="40">
        <v>0</v>
      </c>
      <c r="I19" s="40">
        <v>0</v>
      </c>
      <c r="J19" s="40">
        <v>2</v>
      </c>
      <c r="K19" s="40">
        <v>1</v>
      </c>
      <c r="L19" s="40">
        <v>5</v>
      </c>
      <c r="M19" s="40">
        <v>0</v>
      </c>
      <c r="N19" s="40">
        <v>3</v>
      </c>
      <c r="O19" s="41">
        <v>3</v>
      </c>
      <c r="Q19" s="708"/>
      <c r="R19" s="46" t="s">
        <v>51</v>
      </c>
      <c r="S19" s="40">
        <v>1</v>
      </c>
      <c r="T19" s="40">
        <v>0</v>
      </c>
      <c r="U19" s="40">
        <v>1</v>
      </c>
      <c r="V19" s="40">
        <v>3</v>
      </c>
      <c r="W19" s="40">
        <v>3</v>
      </c>
      <c r="X19" s="40">
        <v>2</v>
      </c>
      <c r="Y19" s="40">
        <v>0</v>
      </c>
      <c r="Z19" s="40">
        <v>3</v>
      </c>
      <c r="AA19" s="40">
        <v>0</v>
      </c>
      <c r="AB19" s="40">
        <v>8</v>
      </c>
      <c r="AC19" s="40">
        <v>1</v>
      </c>
      <c r="AD19" s="41">
        <v>3</v>
      </c>
    </row>
    <row r="20" spans="2:30" x14ac:dyDescent="0.25">
      <c r="B20" s="706" t="s">
        <v>177</v>
      </c>
      <c r="C20" s="131"/>
      <c r="D20" s="132">
        <v>1</v>
      </c>
      <c r="E20" s="132">
        <v>2</v>
      </c>
      <c r="F20" s="132">
        <v>3</v>
      </c>
      <c r="G20" s="132">
        <v>4</v>
      </c>
      <c r="H20" s="132">
        <v>5</v>
      </c>
      <c r="I20" s="132">
        <v>6</v>
      </c>
      <c r="J20" s="132">
        <v>7</v>
      </c>
      <c r="K20" s="132">
        <v>8</v>
      </c>
      <c r="L20" s="132">
        <v>9</v>
      </c>
      <c r="M20" s="132">
        <v>10</v>
      </c>
      <c r="N20" s="132">
        <v>11</v>
      </c>
      <c r="O20" s="133">
        <v>12</v>
      </c>
      <c r="Q20" s="706" t="s">
        <v>85</v>
      </c>
      <c r="R20" s="131"/>
      <c r="S20" s="132">
        <v>1</v>
      </c>
      <c r="T20" s="132">
        <v>2</v>
      </c>
      <c r="U20" s="132">
        <v>3</v>
      </c>
      <c r="V20" s="132">
        <v>4</v>
      </c>
      <c r="W20" s="132">
        <v>5</v>
      </c>
      <c r="X20" s="132">
        <v>6</v>
      </c>
      <c r="Y20" s="132">
        <v>7</v>
      </c>
      <c r="Z20" s="132">
        <v>8</v>
      </c>
      <c r="AA20" s="132">
        <v>9</v>
      </c>
      <c r="AB20" s="132">
        <v>10</v>
      </c>
      <c r="AC20" s="132">
        <v>11</v>
      </c>
      <c r="AD20" s="133">
        <v>12</v>
      </c>
    </row>
    <row r="21" spans="2:30" x14ac:dyDescent="0.25">
      <c r="B21" s="707"/>
      <c r="C21" s="45" t="s">
        <v>44</v>
      </c>
      <c r="D21" s="19">
        <v>54</v>
      </c>
      <c r="E21" s="35">
        <v>57</v>
      </c>
      <c r="F21" s="19">
        <v>52</v>
      </c>
      <c r="G21" s="18">
        <v>1</v>
      </c>
      <c r="H21" s="18">
        <v>1</v>
      </c>
      <c r="I21" s="18">
        <v>1</v>
      </c>
      <c r="J21" s="18">
        <v>2</v>
      </c>
      <c r="K21" s="18">
        <v>5</v>
      </c>
      <c r="L21" s="18">
        <v>1</v>
      </c>
      <c r="M21" s="18">
        <v>5</v>
      </c>
      <c r="N21" s="18">
        <v>0</v>
      </c>
      <c r="O21" s="39">
        <v>2</v>
      </c>
      <c r="Q21" s="707"/>
      <c r="R21" s="45" t="s">
        <v>44</v>
      </c>
      <c r="S21" s="82">
        <v>66</v>
      </c>
      <c r="T21" s="83">
        <v>61</v>
      </c>
      <c r="U21" s="82">
        <v>63</v>
      </c>
      <c r="V21" s="18">
        <v>0</v>
      </c>
      <c r="W21" s="18">
        <v>0</v>
      </c>
      <c r="X21" s="18">
        <v>1</v>
      </c>
      <c r="Y21" s="18">
        <v>2</v>
      </c>
      <c r="Z21" s="18">
        <v>3</v>
      </c>
      <c r="AA21" s="18">
        <v>3</v>
      </c>
      <c r="AB21" s="18">
        <v>3</v>
      </c>
      <c r="AC21" s="18">
        <v>6</v>
      </c>
      <c r="AD21" s="39">
        <v>0</v>
      </c>
    </row>
    <row r="22" spans="2:30" x14ac:dyDescent="0.25">
      <c r="B22" s="707"/>
      <c r="C22" s="45" t="s">
        <v>45</v>
      </c>
      <c r="D22" s="37">
        <v>81</v>
      </c>
      <c r="E22" s="37">
        <v>80</v>
      </c>
      <c r="F22" s="38">
        <v>74</v>
      </c>
      <c r="G22" s="18">
        <v>3</v>
      </c>
      <c r="H22" s="18">
        <v>1</v>
      </c>
      <c r="I22" s="18">
        <v>5</v>
      </c>
      <c r="J22" s="18">
        <v>4</v>
      </c>
      <c r="K22" s="18">
        <v>4</v>
      </c>
      <c r="L22" s="18">
        <v>2</v>
      </c>
      <c r="M22" s="18">
        <v>3</v>
      </c>
      <c r="N22" s="18">
        <v>0</v>
      </c>
      <c r="O22" s="39">
        <v>0</v>
      </c>
      <c r="Q22" s="707"/>
      <c r="R22" s="45" t="s">
        <v>45</v>
      </c>
      <c r="S22" s="36">
        <v>195</v>
      </c>
      <c r="T22" s="36">
        <v>194</v>
      </c>
      <c r="U22" s="36">
        <v>199</v>
      </c>
      <c r="V22" s="18">
        <v>6</v>
      </c>
      <c r="W22" s="18">
        <v>3</v>
      </c>
      <c r="X22" s="18">
        <v>3</v>
      </c>
      <c r="Y22" s="18">
        <v>1</v>
      </c>
      <c r="Z22" s="18">
        <v>5</v>
      </c>
      <c r="AA22" s="18">
        <v>3</v>
      </c>
      <c r="AB22" s="18">
        <v>4</v>
      </c>
      <c r="AC22" s="18">
        <v>4</v>
      </c>
      <c r="AD22" s="39">
        <v>1</v>
      </c>
    </row>
    <row r="23" spans="2:30" x14ac:dyDescent="0.25">
      <c r="B23" s="707"/>
      <c r="C23" s="45" t="s">
        <v>46</v>
      </c>
      <c r="D23" s="38">
        <v>69</v>
      </c>
      <c r="E23" s="34">
        <v>68</v>
      </c>
      <c r="F23" s="38">
        <v>74</v>
      </c>
      <c r="G23" s="18">
        <v>4</v>
      </c>
      <c r="H23" s="18">
        <v>0</v>
      </c>
      <c r="I23" s="18">
        <v>2</v>
      </c>
      <c r="J23" s="18">
        <v>1</v>
      </c>
      <c r="K23" s="18">
        <v>4</v>
      </c>
      <c r="L23" s="18">
        <v>2</v>
      </c>
      <c r="M23" s="18">
        <v>2</v>
      </c>
      <c r="N23" s="18">
        <v>0</v>
      </c>
      <c r="O23" s="39">
        <v>4</v>
      </c>
      <c r="Q23" s="707"/>
      <c r="R23" s="45" t="s">
        <v>46</v>
      </c>
      <c r="S23" s="34">
        <v>147</v>
      </c>
      <c r="T23" s="34">
        <v>142</v>
      </c>
      <c r="U23" s="34">
        <v>147</v>
      </c>
      <c r="V23" s="18">
        <v>2</v>
      </c>
      <c r="W23" s="18">
        <v>3</v>
      </c>
      <c r="X23" s="18">
        <v>2</v>
      </c>
      <c r="Y23" s="18">
        <v>1</v>
      </c>
      <c r="Z23" s="18">
        <v>0</v>
      </c>
      <c r="AA23" s="18">
        <v>2</v>
      </c>
      <c r="AB23" s="18">
        <v>2</v>
      </c>
      <c r="AC23" s="18">
        <v>1</v>
      </c>
      <c r="AD23" s="39">
        <v>5</v>
      </c>
    </row>
    <row r="24" spans="2:30" x14ac:dyDescent="0.25">
      <c r="B24" s="707"/>
      <c r="C24" s="45" t="s">
        <v>47</v>
      </c>
      <c r="D24" s="38">
        <v>72</v>
      </c>
      <c r="E24" s="38">
        <v>74</v>
      </c>
      <c r="F24" s="38">
        <v>74</v>
      </c>
      <c r="G24" s="120">
        <v>7</v>
      </c>
      <c r="H24" s="18">
        <v>4</v>
      </c>
      <c r="I24" s="18">
        <v>2</v>
      </c>
      <c r="J24" s="18">
        <v>4</v>
      </c>
      <c r="K24" s="18">
        <v>2</v>
      </c>
      <c r="L24" s="18">
        <v>5</v>
      </c>
      <c r="M24" s="18">
        <v>3</v>
      </c>
      <c r="N24" s="18">
        <v>2</v>
      </c>
      <c r="O24" s="39">
        <v>3</v>
      </c>
      <c r="Q24" s="707"/>
      <c r="R24" s="45" t="s">
        <v>47</v>
      </c>
      <c r="S24" s="83">
        <v>51</v>
      </c>
      <c r="T24" s="83">
        <v>55</v>
      </c>
      <c r="U24" s="83">
        <v>61</v>
      </c>
      <c r="V24" s="18">
        <v>2</v>
      </c>
      <c r="W24" s="18">
        <v>3</v>
      </c>
      <c r="X24" s="18">
        <v>0</v>
      </c>
      <c r="Y24" s="18">
        <v>0</v>
      </c>
      <c r="Z24" s="18">
        <v>0</v>
      </c>
      <c r="AA24" s="18">
        <v>4</v>
      </c>
      <c r="AB24" s="18">
        <v>5</v>
      </c>
      <c r="AC24" s="18">
        <v>0</v>
      </c>
      <c r="AD24" s="39">
        <v>2</v>
      </c>
    </row>
    <row r="25" spans="2:30" x14ac:dyDescent="0.25">
      <c r="B25" s="707"/>
      <c r="C25" s="45" t="s">
        <v>48</v>
      </c>
      <c r="D25" s="20">
        <v>96</v>
      </c>
      <c r="E25" s="20">
        <v>93</v>
      </c>
      <c r="F25" s="20">
        <v>96</v>
      </c>
      <c r="G25" s="18">
        <v>4</v>
      </c>
      <c r="H25" s="18">
        <v>3</v>
      </c>
      <c r="I25" s="18">
        <v>3</v>
      </c>
      <c r="J25" s="18">
        <v>5</v>
      </c>
      <c r="K25" s="18">
        <v>2</v>
      </c>
      <c r="L25" s="18">
        <v>3</v>
      </c>
      <c r="M25" s="18">
        <v>2</v>
      </c>
      <c r="N25" s="18">
        <v>3</v>
      </c>
      <c r="O25" s="39">
        <v>3</v>
      </c>
      <c r="Q25" s="707"/>
      <c r="R25" s="45" t="s">
        <v>48</v>
      </c>
      <c r="S25" s="83">
        <v>49</v>
      </c>
      <c r="T25" s="83">
        <v>52</v>
      </c>
      <c r="U25" s="83">
        <v>51</v>
      </c>
      <c r="V25" s="18">
        <v>1</v>
      </c>
      <c r="W25" s="18">
        <v>5</v>
      </c>
      <c r="X25" s="18">
        <v>2</v>
      </c>
      <c r="Y25" s="18">
        <v>4</v>
      </c>
      <c r="Z25" s="18">
        <v>3</v>
      </c>
      <c r="AA25" s="18">
        <v>1</v>
      </c>
      <c r="AB25" s="18">
        <v>2</v>
      </c>
      <c r="AC25" s="18">
        <v>1</v>
      </c>
      <c r="AD25" s="39">
        <v>7</v>
      </c>
    </row>
    <row r="26" spans="2:30" x14ac:dyDescent="0.25">
      <c r="B26" s="707"/>
      <c r="C26" s="45" t="s">
        <v>49</v>
      </c>
      <c r="D26" s="37">
        <v>76</v>
      </c>
      <c r="E26" s="38">
        <v>72</v>
      </c>
      <c r="F26" s="38">
        <v>72</v>
      </c>
      <c r="G26" s="18">
        <v>0</v>
      </c>
      <c r="H26" s="18">
        <v>5</v>
      </c>
      <c r="I26" s="18">
        <v>6</v>
      </c>
      <c r="J26" s="18">
        <v>2</v>
      </c>
      <c r="K26" s="18">
        <v>0</v>
      </c>
      <c r="L26" s="18">
        <v>4</v>
      </c>
      <c r="M26" s="120">
        <v>7</v>
      </c>
      <c r="N26" s="18">
        <v>1</v>
      </c>
      <c r="O26" s="39">
        <v>3</v>
      </c>
      <c r="Q26" s="707"/>
      <c r="R26" s="45" t="s">
        <v>49</v>
      </c>
      <c r="S26" s="20">
        <v>214</v>
      </c>
      <c r="T26" s="20">
        <v>219</v>
      </c>
      <c r="U26" s="20">
        <v>218</v>
      </c>
      <c r="V26" s="18">
        <v>3</v>
      </c>
      <c r="W26" s="18">
        <v>2</v>
      </c>
      <c r="X26" s="18">
        <v>2</v>
      </c>
      <c r="Y26" s="18">
        <v>5</v>
      </c>
      <c r="Z26" s="18">
        <v>2</v>
      </c>
      <c r="AA26" s="18">
        <v>5</v>
      </c>
      <c r="AB26" s="18">
        <v>7</v>
      </c>
      <c r="AC26" s="18">
        <v>4</v>
      </c>
      <c r="AD26" s="39">
        <v>1</v>
      </c>
    </row>
    <row r="27" spans="2:30" x14ac:dyDescent="0.25">
      <c r="B27" s="707"/>
      <c r="C27" s="45" t="s">
        <v>50</v>
      </c>
      <c r="D27" s="36">
        <v>85</v>
      </c>
      <c r="E27" s="20">
        <v>90</v>
      </c>
      <c r="F27" s="36">
        <v>85</v>
      </c>
      <c r="G27" s="18">
        <v>3</v>
      </c>
      <c r="H27" s="120">
        <v>7</v>
      </c>
      <c r="I27" s="18">
        <v>3</v>
      </c>
      <c r="J27" s="18">
        <v>4</v>
      </c>
      <c r="K27" s="18">
        <v>6</v>
      </c>
      <c r="L27" s="18">
        <v>3</v>
      </c>
      <c r="M27" s="18">
        <v>1</v>
      </c>
      <c r="N27" s="18">
        <v>3</v>
      </c>
      <c r="O27" s="39">
        <v>4</v>
      </c>
      <c r="Q27" s="707"/>
      <c r="R27" s="45" t="s">
        <v>50</v>
      </c>
      <c r="S27" s="38">
        <v>159</v>
      </c>
      <c r="T27" s="34">
        <v>156</v>
      </c>
      <c r="U27" s="34">
        <v>148</v>
      </c>
      <c r="V27" s="18">
        <v>5</v>
      </c>
      <c r="W27" s="18">
        <v>3</v>
      </c>
      <c r="X27" s="18">
        <v>5</v>
      </c>
      <c r="Y27" s="18">
        <v>4</v>
      </c>
      <c r="Z27" s="18">
        <v>3</v>
      </c>
      <c r="AA27" s="18">
        <v>5</v>
      </c>
      <c r="AB27" s="18">
        <v>3</v>
      </c>
      <c r="AC27" s="18">
        <v>3</v>
      </c>
      <c r="AD27" s="39">
        <v>3</v>
      </c>
    </row>
    <row r="28" spans="2:30" ht="15.75" thickBot="1" x14ac:dyDescent="0.3">
      <c r="B28" s="708"/>
      <c r="C28" s="46" t="s">
        <v>51</v>
      </c>
      <c r="D28" s="40">
        <v>3</v>
      </c>
      <c r="E28" s="40">
        <v>2</v>
      </c>
      <c r="F28" s="40">
        <v>6</v>
      </c>
      <c r="G28" s="40">
        <v>4</v>
      </c>
      <c r="H28" s="205">
        <v>8</v>
      </c>
      <c r="I28" s="40">
        <v>6</v>
      </c>
      <c r="J28" s="40">
        <v>5</v>
      </c>
      <c r="K28" s="40">
        <v>5</v>
      </c>
      <c r="L28" s="40">
        <v>3</v>
      </c>
      <c r="M28" s="40">
        <v>5</v>
      </c>
      <c r="N28" s="40">
        <v>5</v>
      </c>
      <c r="O28" s="41">
        <v>4</v>
      </c>
      <c r="Q28" s="708"/>
      <c r="R28" s="46" t="s">
        <v>51</v>
      </c>
      <c r="S28" s="40">
        <v>3</v>
      </c>
      <c r="T28" s="40">
        <v>1</v>
      </c>
      <c r="U28" s="40">
        <v>4</v>
      </c>
      <c r="V28" s="40">
        <v>4</v>
      </c>
      <c r="W28" s="40">
        <v>0</v>
      </c>
      <c r="X28" s="40">
        <v>4</v>
      </c>
      <c r="Y28" s="40">
        <v>3</v>
      </c>
      <c r="Z28" s="40">
        <v>6</v>
      </c>
      <c r="AA28" s="40">
        <v>4</v>
      </c>
      <c r="AB28" s="40">
        <v>0</v>
      </c>
      <c r="AC28" s="40">
        <v>3</v>
      </c>
      <c r="AD28" s="41">
        <v>1</v>
      </c>
    </row>
    <row r="29" spans="2:30" x14ac:dyDescent="0.25">
      <c r="B29" s="706" t="s">
        <v>178</v>
      </c>
      <c r="C29" s="131"/>
      <c r="D29" s="132">
        <v>1</v>
      </c>
      <c r="E29" s="132">
        <v>2</v>
      </c>
      <c r="F29" s="132">
        <v>3</v>
      </c>
      <c r="G29" s="132">
        <v>4</v>
      </c>
      <c r="H29" s="132">
        <v>5</v>
      </c>
      <c r="I29" s="132">
        <v>6</v>
      </c>
      <c r="J29" s="132">
        <v>7</v>
      </c>
      <c r="K29" s="132">
        <v>8</v>
      </c>
      <c r="L29" s="132">
        <v>9</v>
      </c>
      <c r="M29" s="132">
        <v>10</v>
      </c>
      <c r="N29" s="132">
        <v>11</v>
      </c>
      <c r="O29" s="133">
        <v>12</v>
      </c>
      <c r="Q29" s="706" t="s">
        <v>180</v>
      </c>
      <c r="R29" s="131"/>
      <c r="S29" s="132">
        <v>1</v>
      </c>
      <c r="T29" s="132">
        <v>2</v>
      </c>
      <c r="U29" s="132">
        <v>3</v>
      </c>
      <c r="V29" s="132">
        <v>4</v>
      </c>
      <c r="W29" s="132">
        <v>5</v>
      </c>
      <c r="X29" s="132">
        <v>6</v>
      </c>
      <c r="Y29" s="132">
        <v>7</v>
      </c>
      <c r="Z29" s="132">
        <v>8</v>
      </c>
      <c r="AA29" s="132">
        <v>9</v>
      </c>
      <c r="AB29" s="132">
        <v>10</v>
      </c>
      <c r="AC29" s="132">
        <v>11</v>
      </c>
      <c r="AD29" s="133">
        <v>12</v>
      </c>
    </row>
    <row r="30" spans="2:30" x14ac:dyDescent="0.25">
      <c r="B30" s="707"/>
      <c r="C30" s="45" t="s">
        <v>44</v>
      </c>
      <c r="D30" s="35">
        <v>45</v>
      </c>
      <c r="E30" s="35">
        <v>44</v>
      </c>
      <c r="F30" s="35">
        <v>43</v>
      </c>
      <c r="G30" s="18">
        <v>3</v>
      </c>
      <c r="H30" s="18">
        <v>0</v>
      </c>
      <c r="I30" s="18">
        <v>3</v>
      </c>
      <c r="J30" s="18">
        <v>4</v>
      </c>
      <c r="K30" s="18">
        <v>4</v>
      </c>
      <c r="L30" s="18">
        <v>2</v>
      </c>
      <c r="M30" s="18">
        <v>0</v>
      </c>
      <c r="N30" s="18">
        <v>1</v>
      </c>
      <c r="O30" s="39">
        <v>1</v>
      </c>
      <c r="Q30" s="707"/>
      <c r="R30" s="45" t="s">
        <v>44</v>
      </c>
      <c r="S30" s="19">
        <v>51</v>
      </c>
      <c r="T30" s="35">
        <v>55</v>
      </c>
      <c r="U30" s="35">
        <v>57</v>
      </c>
      <c r="V30" s="18">
        <v>2</v>
      </c>
      <c r="W30" s="18">
        <v>2</v>
      </c>
      <c r="X30" s="18">
        <v>2</v>
      </c>
      <c r="Y30" s="18">
        <v>1</v>
      </c>
      <c r="Z30" s="18">
        <v>0</v>
      </c>
      <c r="AA30" s="18">
        <v>3</v>
      </c>
      <c r="AB30" s="18">
        <v>1</v>
      </c>
      <c r="AC30" s="18">
        <v>0</v>
      </c>
      <c r="AD30" s="39">
        <v>0</v>
      </c>
    </row>
    <row r="31" spans="2:30" x14ac:dyDescent="0.25">
      <c r="B31" s="707"/>
      <c r="C31" s="45" t="s">
        <v>45</v>
      </c>
      <c r="D31" s="20">
        <v>69</v>
      </c>
      <c r="E31" s="20">
        <v>66</v>
      </c>
      <c r="F31" s="36">
        <v>62</v>
      </c>
      <c r="G31" s="18">
        <v>0</v>
      </c>
      <c r="H31" s="18">
        <v>4</v>
      </c>
      <c r="I31" s="18">
        <v>1</v>
      </c>
      <c r="J31" s="18">
        <v>3</v>
      </c>
      <c r="K31" s="18">
        <v>3</v>
      </c>
      <c r="L31" s="18">
        <v>2</v>
      </c>
      <c r="M31" s="18">
        <v>1</v>
      </c>
      <c r="N31" s="18">
        <v>2</v>
      </c>
      <c r="O31" s="39">
        <v>3</v>
      </c>
      <c r="Q31" s="707"/>
      <c r="R31" s="45" t="s">
        <v>45</v>
      </c>
      <c r="S31" s="36">
        <v>86</v>
      </c>
      <c r="T31" s="36">
        <v>86</v>
      </c>
      <c r="U31" s="20">
        <v>88</v>
      </c>
      <c r="V31" s="18">
        <v>5</v>
      </c>
      <c r="W31" s="18">
        <v>1</v>
      </c>
      <c r="X31" s="18">
        <v>6</v>
      </c>
      <c r="Y31" s="18">
        <v>5</v>
      </c>
      <c r="Z31" s="18">
        <v>0</v>
      </c>
      <c r="AA31" s="18">
        <v>3</v>
      </c>
      <c r="AB31" s="18">
        <v>2</v>
      </c>
      <c r="AC31" s="18">
        <v>6</v>
      </c>
      <c r="AD31" s="39">
        <v>0</v>
      </c>
    </row>
    <row r="32" spans="2:30" x14ac:dyDescent="0.25">
      <c r="B32" s="707"/>
      <c r="C32" s="45" t="s">
        <v>46</v>
      </c>
      <c r="D32" s="37">
        <v>59</v>
      </c>
      <c r="E32" s="36">
        <v>61</v>
      </c>
      <c r="F32" s="36">
        <v>65</v>
      </c>
      <c r="G32" s="18">
        <v>2</v>
      </c>
      <c r="H32" s="18">
        <v>1</v>
      </c>
      <c r="I32" s="18">
        <v>0</v>
      </c>
      <c r="J32" s="18">
        <v>4</v>
      </c>
      <c r="K32" s="18">
        <v>3</v>
      </c>
      <c r="L32" s="18">
        <v>5</v>
      </c>
      <c r="M32" s="18">
        <v>3</v>
      </c>
      <c r="N32" s="18">
        <v>0</v>
      </c>
      <c r="O32" s="39">
        <v>2</v>
      </c>
      <c r="Q32" s="707"/>
      <c r="R32" s="45" t="s">
        <v>46</v>
      </c>
      <c r="S32" s="36">
        <v>81</v>
      </c>
      <c r="T32" s="37">
        <v>77</v>
      </c>
      <c r="U32" s="37">
        <v>78</v>
      </c>
      <c r="V32" s="18">
        <v>4</v>
      </c>
      <c r="W32" s="18">
        <v>4</v>
      </c>
      <c r="X32" s="18">
        <v>1</v>
      </c>
      <c r="Y32" s="18">
        <v>6</v>
      </c>
      <c r="Z32" s="18">
        <v>1</v>
      </c>
      <c r="AA32" s="18">
        <v>3</v>
      </c>
      <c r="AB32" s="18">
        <v>6</v>
      </c>
      <c r="AC32" s="18">
        <v>6</v>
      </c>
      <c r="AD32" s="39">
        <v>3</v>
      </c>
    </row>
    <row r="33" spans="2:30" x14ac:dyDescent="0.25">
      <c r="B33" s="707"/>
      <c r="C33" s="45" t="s">
        <v>47</v>
      </c>
      <c r="D33" s="37">
        <v>58</v>
      </c>
      <c r="E33" s="37">
        <v>59</v>
      </c>
      <c r="F33" s="36">
        <v>61</v>
      </c>
      <c r="G33" s="18">
        <v>1</v>
      </c>
      <c r="H33" s="18">
        <v>4</v>
      </c>
      <c r="I33" s="18">
        <v>3</v>
      </c>
      <c r="J33" s="18">
        <v>3</v>
      </c>
      <c r="K33" s="18">
        <v>0</v>
      </c>
      <c r="L33" s="18">
        <v>3</v>
      </c>
      <c r="M33" s="18">
        <v>3</v>
      </c>
      <c r="N33" s="18">
        <v>2</v>
      </c>
      <c r="O33" s="39">
        <v>3</v>
      </c>
      <c r="Q33" s="707"/>
      <c r="R33" s="45" t="s">
        <v>47</v>
      </c>
      <c r="S33" s="20">
        <v>90</v>
      </c>
      <c r="T33" s="20">
        <v>91</v>
      </c>
      <c r="U33" s="20">
        <v>91</v>
      </c>
      <c r="V33" s="18">
        <v>6</v>
      </c>
      <c r="W33" s="18">
        <v>1</v>
      </c>
      <c r="X33" s="18">
        <v>3</v>
      </c>
      <c r="Y33" s="18">
        <v>3</v>
      </c>
      <c r="Z33" s="18">
        <v>3</v>
      </c>
      <c r="AA33" s="18">
        <v>4</v>
      </c>
      <c r="AB33" s="18">
        <v>2</v>
      </c>
      <c r="AC33" s="18">
        <v>6</v>
      </c>
      <c r="AD33" s="39">
        <v>1</v>
      </c>
    </row>
    <row r="34" spans="2:30" x14ac:dyDescent="0.25">
      <c r="B34" s="707"/>
      <c r="C34" s="45" t="s">
        <v>48</v>
      </c>
      <c r="D34" s="20">
        <v>68</v>
      </c>
      <c r="E34" s="20">
        <v>70</v>
      </c>
      <c r="F34" s="20">
        <v>68</v>
      </c>
      <c r="G34" s="18">
        <v>2</v>
      </c>
      <c r="H34" s="18">
        <v>2</v>
      </c>
      <c r="I34" s="18">
        <v>1</v>
      </c>
      <c r="J34" s="18">
        <v>3</v>
      </c>
      <c r="K34" s="18">
        <v>3</v>
      </c>
      <c r="L34" s="18">
        <v>2</v>
      </c>
      <c r="M34" s="18">
        <v>1</v>
      </c>
      <c r="N34" s="18">
        <v>3</v>
      </c>
      <c r="O34" s="39">
        <v>3</v>
      </c>
      <c r="Q34" s="707"/>
      <c r="R34" s="45" t="s">
        <v>48</v>
      </c>
      <c r="S34" s="36">
        <v>86</v>
      </c>
      <c r="T34" s="36">
        <v>85</v>
      </c>
      <c r="U34" s="36">
        <v>86</v>
      </c>
      <c r="V34" s="18">
        <v>3</v>
      </c>
      <c r="W34" s="18">
        <v>2</v>
      </c>
      <c r="X34" s="18">
        <v>3</v>
      </c>
      <c r="Y34" s="120">
        <v>7</v>
      </c>
      <c r="Z34" s="18">
        <v>3</v>
      </c>
      <c r="AA34" s="18">
        <v>1</v>
      </c>
      <c r="AB34" s="18">
        <v>2</v>
      </c>
      <c r="AC34" s="18">
        <v>4</v>
      </c>
      <c r="AD34" s="39">
        <v>3</v>
      </c>
    </row>
    <row r="35" spans="2:30" x14ac:dyDescent="0.25">
      <c r="B35" s="707"/>
      <c r="C35" s="45" t="s">
        <v>49</v>
      </c>
      <c r="D35" s="20">
        <v>69</v>
      </c>
      <c r="E35" s="20">
        <v>66</v>
      </c>
      <c r="F35" s="36">
        <v>65</v>
      </c>
      <c r="G35" s="18">
        <v>1</v>
      </c>
      <c r="H35" s="18">
        <v>2</v>
      </c>
      <c r="I35" s="18">
        <v>0</v>
      </c>
      <c r="J35" s="18">
        <v>3</v>
      </c>
      <c r="K35" s="18">
        <v>3</v>
      </c>
      <c r="L35" s="18">
        <v>2</v>
      </c>
      <c r="M35" s="18">
        <v>0</v>
      </c>
      <c r="N35" s="18">
        <v>4</v>
      </c>
      <c r="O35" s="39">
        <v>3</v>
      </c>
      <c r="Q35" s="707"/>
      <c r="R35" s="45" t="s">
        <v>49</v>
      </c>
      <c r="S35" s="20">
        <v>93</v>
      </c>
      <c r="T35" s="20">
        <v>91</v>
      </c>
      <c r="U35" s="36">
        <v>85</v>
      </c>
      <c r="V35" s="18">
        <v>4</v>
      </c>
      <c r="W35" s="18">
        <v>2</v>
      </c>
      <c r="X35" s="18">
        <v>3</v>
      </c>
      <c r="Y35" s="18">
        <v>3</v>
      </c>
      <c r="Z35" s="18">
        <v>5</v>
      </c>
      <c r="AA35" s="18">
        <v>6</v>
      </c>
      <c r="AB35" s="18">
        <v>0</v>
      </c>
      <c r="AC35" s="18">
        <v>4</v>
      </c>
      <c r="AD35" s="39">
        <v>3</v>
      </c>
    </row>
    <row r="36" spans="2:30" x14ac:dyDescent="0.25">
      <c r="B36" s="707"/>
      <c r="C36" s="45" t="s">
        <v>50</v>
      </c>
      <c r="D36" s="37">
        <v>60</v>
      </c>
      <c r="E36" s="36">
        <v>62</v>
      </c>
      <c r="F36" s="36">
        <v>64</v>
      </c>
      <c r="G36" s="18">
        <v>1</v>
      </c>
      <c r="H36" s="18">
        <v>0</v>
      </c>
      <c r="I36" s="18">
        <v>4</v>
      </c>
      <c r="J36" s="18">
        <v>1</v>
      </c>
      <c r="K36" s="18">
        <v>2</v>
      </c>
      <c r="L36" s="18">
        <v>2</v>
      </c>
      <c r="M36" s="18">
        <v>4</v>
      </c>
      <c r="N36" s="18">
        <v>3</v>
      </c>
      <c r="O36" s="39">
        <v>2</v>
      </c>
      <c r="Q36" s="707"/>
      <c r="R36" s="45" t="s">
        <v>50</v>
      </c>
      <c r="S36" s="38">
        <v>72</v>
      </c>
      <c r="T36" s="38">
        <v>71</v>
      </c>
      <c r="U36" s="37">
        <v>74</v>
      </c>
      <c r="V36" s="18">
        <v>3</v>
      </c>
      <c r="W36" s="18">
        <v>1</v>
      </c>
      <c r="X36" s="18">
        <v>2</v>
      </c>
      <c r="Y36" s="18">
        <v>4</v>
      </c>
      <c r="Z36" s="18">
        <v>2</v>
      </c>
      <c r="AA36" s="18">
        <v>4</v>
      </c>
      <c r="AB36" s="18">
        <v>6</v>
      </c>
      <c r="AC36" s="18">
        <v>3</v>
      </c>
      <c r="AD36" s="39">
        <v>6</v>
      </c>
    </row>
    <row r="37" spans="2:30" ht="15.75" thickBot="1" x14ac:dyDescent="0.3">
      <c r="B37" s="708"/>
      <c r="C37" s="46" t="s">
        <v>51</v>
      </c>
      <c r="D37" s="40">
        <v>3</v>
      </c>
      <c r="E37" s="40">
        <v>4</v>
      </c>
      <c r="F37" s="40">
        <v>2</v>
      </c>
      <c r="G37" s="40">
        <v>3</v>
      </c>
      <c r="H37" s="40">
        <v>1</v>
      </c>
      <c r="I37" s="40">
        <v>1</v>
      </c>
      <c r="J37" s="40">
        <v>3</v>
      </c>
      <c r="K37" s="40">
        <v>1</v>
      </c>
      <c r="L37" s="40">
        <v>4</v>
      </c>
      <c r="M37" s="40">
        <v>3</v>
      </c>
      <c r="N37" s="40">
        <v>1</v>
      </c>
      <c r="O37" s="41">
        <v>1</v>
      </c>
      <c r="Q37" s="708"/>
      <c r="R37" s="46" t="s">
        <v>51</v>
      </c>
      <c r="S37" s="205">
        <v>7</v>
      </c>
      <c r="T37" s="40">
        <v>6</v>
      </c>
      <c r="U37" s="40">
        <v>1</v>
      </c>
      <c r="V37" s="40">
        <v>3</v>
      </c>
      <c r="W37" s="40">
        <v>3</v>
      </c>
      <c r="X37" s="40">
        <v>2</v>
      </c>
      <c r="Y37" s="40">
        <v>3</v>
      </c>
      <c r="Z37" s="40">
        <v>2</v>
      </c>
      <c r="AA37" s="40">
        <v>5</v>
      </c>
      <c r="AB37" s="40">
        <v>4</v>
      </c>
      <c r="AC37" s="40">
        <v>5</v>
      </c>
      <c r="AD37" s="41">
        <v>2</v>
      </c>
    </row>
    <row r="38" spans="2:30" x14ac:dyDescent="0.25">
      <c r="B38" s="706" t="s">
        <v>204</v>
      </c>
      <c r="C38" s="131"/>
      <c r="D38" s="132">
        <v>1</v>
      </c>
      <c r="E38" s="132">
        <v>2</v>
      </c>
      <c r="F38" s="132">
        <v>3</v>
      </c>
      <c r="G38" s="132">
        <v>4</v>
      </c>
      <c r="H38" s="132">
        <v>5</v>
      </c>
      <c r="I38" s="132">
        <v>6</v>
      </c>
      <c r="J38" s="132">
        <v>7</v>
      </c>
      <c r="K38" s="132">
        <v>8</v>
      </c>
      <c r="L38" s="132">
        <v>9</v>
      </c>
      <c r="M38" s="132">
        <v>10</v>
      </c>
      <c r="N38" s="132">
        <v>11</v>
      </c>
      <c r="O38" s="133">
        <v>12</v>
      </c>
      <c r="Q38" s="706" t="s">
        <v>183</v>
      </c>
      <c r="R38" s="200"/>
      <c r="S38" s="132">
        <v>1</v>
      </c>
      <c r="T38" s="132">
        <v>2</v>
      </c>
      <c r="U38" s="132">
        <v>3</v>
      </c>
      <c r="V38" s="132">
        <v>4</v>
      </c>
      <c r="W38" s="132">
        <v>5</v>
      </c>
      <c r="X38" s="132">
        <v>6</v>
      </c>
      <c r="Y38" s="132">
        <v>7</v>
      </c>
      <c r="Z38" s="132">
        <v>8</v>
      </c>
      <c r="AA38" s="132">
        <v>9</v>
      </c>
      <c r="AB38" s="132">
        <v>10</v>
      </c>
      <c r="AC38" s="132">
        <v>11</v>
      </c>
      <c r="AD38" s="133">
        <v>12</v>
      </c>
    </row>
    <row r="39" spans="2:30" x14ac:dyDescent="0.25">
      <c r="B39" s="707"/>
      <c r="C39" s="45" t="s">
        <v>44</v>
      </c>
      <c r="D39" s="34">
        <v>62</v>
      </c>
      <c r="E39" s="34">
        <v>65</v>
      </c>
      <c r="F39" s="34">
        <v>65</v>
      </c>
      <c r="G39" s="17">
        <v>14</v>
      </c>
      <c r="H39" s="17">
        <v>15</v>
      </c>
      <c r="I39" s="17">
        <v>15</v>
      </c>
      <c r="J39" s="18">
        <v>3</v>
      </c>
      <c r="K39" s="18">
        <v>5</v>
      </c>
      <c r="L39" s="18">
        <v>3</v>
      </c>
      <c r="M39" s="18">
        <v>1</v>
      </c>
      <c r="N39" s="18">
        <v>0</v>
      </c>
      <c r="O39" s="39">
        <v>3</v>
      </c>
      <c r="Q39" s="707"/>
      <c r="R39" s="81" t="s">
        <v>44</v>
      </c>
      <c r="S39" s="38">
        <v>62</v>
      </c>
      <c r="T39" s="38">
        <v>61</v>
      </c>
      <c r="U39" s="38">
        <v>62</v>
      </c>
      <c r="V39" s="18">
        <v>0</v>
      </c>
      <c r="W39" s="18">
        <v>2</v>
      </c>
      <c r="X39" s="18">
        <v>0</v>
      </c>
      <c r="Y39" s="18">
        <v>1</v>
      </c>
      <c r="Z39" s="18">
        <v>1</v>
      </c>
      <c r="AA39" s="18">
        <v>0</v>
      </c>
      <c r="AB39" s="18">
        <v>0</v>
      </c>
      <c r="AC39" s="18">
        <v>2</v>
      </c>
      <c r="AD39" s="39">
        <v>0</v>
      </c>
    </row>
    <row r="40" spans="2:30" x14ac:dyDescent="0.25">
      <c r="B40" s="707"/>
      <c r="C40" s="45" t="s">
        <v>45</v>
      </c>
      <c r="D40" s="20">
        <v>88</v>
      </c>
      <c r="E40" s="20">
        <v>87</v>
      </c>
      <c r="F40" s="20">
        <v>92</v>
      </c>
      <c r="G40" s="18">
        <v>4</v>
      </c>
      <c r="H40" s="18">
        <v>2</v>
      </c>
      <c r="I40" s="18">
        <v>2</v>
      </c>
      <c r="J40" s="18">
        <v>3</v>
      </c>
      <c r="K40" s="18">
        <v>2</v>
      </c>
      <c r="L40" s="18">
        <v>2</v>
      </c>
      <c r="M40" s="18">
        <v>4</v>
      </c>
      <c r="N40" s="18">
        <v>3</v>
      </c>
      <c r="O40" s="39">
        <v>4</v>
      </c>
      <c r="Q40" s="707"/>
      <c r="R40" s="81" t="s">
        <v>45</v>
      </c>
      <c r="S40" s="36">
        <v>73</v>
      </c>
      <c r="T40" s="36">
        <v>76</v>
      </c>
      <c r="U40" s="36">
        <v>76</v>
      </c>
      <c r="V40" s="18">
        <v>2</v>
      </c>
      <c r="W40" s="18">
        <v>2</v>
      </c>
      <c r="X40" s="18">
        <v>0</v>
      </c>
      <c r="Y40" s="18">
        <v>2</v>
      </c>
      <c r="Z40" s="18">
        <v>4</v>
      </c>
      <c r="AA40" s="18">
        <v>1</v>
      </c>
      <c r="AB40" s="18">
        <v>0</v>
      </c>
      <c r="AC40" s="18">
        <v>1</v>
      </c>
      <c r="AD40" s="39">
        <v>2</v>
      </c>
    </row>
    <row r="41" spans="2:30" x14ac:dyDescent="0.25">
      <c r="B41" s="707"/>
      <c r="C41" s="45" t="s">
        <v>46</v>
      </c>
      <c r="D41" s="38">
        <v>71</v>
      </c>
      <c r="E41" s="37">
        <v>73</v>
      </c>
      <c r="F41" s="37">
        <v>78</v>
      </c>
      <c r="G41" s="18">
        <v>3</v>
      </c>
      <c r="H41" s="18">
        <v>2</v>
      </c>
      <c r="I41" s="18">
        <v>5</v>
      </c>
      <c r="J41" s="18">
        <v>1</v>
      </c>
      <c r="K41" s="18">
        <v>5</v>
      </c>
      <c r="L41" s="18">
        <v>1</v>
      </c>
      <c r="M41" s="18">
        <v>2</v>
      </c>
      <c r="N41" s="18">
        <v>3</v>
      </c>
      <c r="O41" s="39">
        <v>0</v>
      </c>
      <c r="Q41" s="707"/>
      <c r="R41" s="81" t="s">
        <v>46</v>
      </c>
      <c r="S41" s="36">
        <v>76</v>
      </c>
      <c r="T41" s="20">
        <v>78</v>
      </c>
      <c r="U41" s="20">
        <v>80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2</v>
      </c>
      <c r="AB41" s="18">
        <v>4</v>
      </c>
      <c r="AC41" s="18">
        <v>1</v>
      </c>
      <c r="AD41" s="39">
        <v>4</v>
      </c>
    </row>
    <row r="42" spans="2:30" x14ac:dyDescent="0.25">
      <c r="B42" s="707"/>
      <c r="C42" s="45" t="s">
        <v>47</v>
      </c>
      <c r="D42" s="37">
        <v>74</v>
      </c>
      <c r="E42" s="37">
        <v>75</v>
      </c>
      <c r="F42" s="37">
        <v>77</v>
      </c>
      <c r="G42" s="18">
        <v>4</v>
      </c>
      <c r="H42" s="18">
        <v>0</v>
      </c>
      <c r="I42" s="18">
        <v>0</v>
      </c>
      <c r="J42" s="18">
        <v>1</v>
      </c>
      <c r="K42" s="18">
        <v>1</v>
      </c>
      <c r="L42" s="18">
        <v>2</v>
      </c>
      <c r="M42" s="18">
        <v>1</v>
      </c>
      <c r="N42" s="18">
        <v>2</v>
      </c>
      <c r="O42" s="39">
        <v>3</v>
      </c>
      <c r="Q42" s="707"/>
      <c r="R42" s="81" t="s">
        <v>47</v>
      </c>
      <c r="S42" s="20">
        <v>80</v>
      </c>
      <c r="T42" s="20">
        <v>81</v>
      </c>
      <c r="U42" s="20">
        <v>79</v>
      </c>
      <c r="V42" s="18">
        <v>1</v>
      </c>
      <c r="W42" s="18">
        <v>3</v>
      </c>
      <c r="X42" s="18">
        <v>1</v>
      </c>
      <c r="Y42" s="18">
        <v>4</v>
      </c>
      <c r="Z42" s="18">
        <v>5</v>
      </c>
      <c r="AA42" s="18">
        <v>4</v>
      </c>
      <c r="AB42" s="18">
        <v>2</v>
      </c>
      <c r="AC42" s="18">
        <v>1</v>
      </c>
      <c r="AD42" s="39">
        <v>3</v>
      </c>
    </row>
    <row r="43" spans="2:30" x14ac:dyDescent="0.25">
      <c r="B43" s="707"/>
      <c r="C43" s="45" t="s">
        <v>48</v>
      </c>
      <c r="D43" s="37">
        <v>73</v>
      </c>
      <c r="E43" s="37">
        <v>75</v>
      </c>
      <c r="F43" s="38">
        <v>71</v>
      </c>
      <c r="G43" s="18">
        <v>2</v>
      </c>
      <c r="H43" s="18">
        <v>3</v>
      </c>
      <c r="I43" s="18">
        <v>6</v>
      </c>
      <c r="J43" s="18">
        <v>2</v>
      </c>
      <c r="K43" s="18">
        <v>3</v>
      </c>
      <c r="L43" s="18">
        <v>1</v>
      </c>
      <c r="M43" s="18">
        <v>2</v>
      </c>
      <c r="N43" s="18">
        <v>4</v>
      </c>
      <c r="O43" s="39">
        <v>3</v>
      </c>
      <c r="Q43" s="707"/>
      <c r="R43" s="81" t="s">
        <v>48</v>
      </c>
      <c r="S43" s="36">
        <v>74</v>
      </c>
      <c r="T43" s="36">
        <v>75</v>
      </c>
      <c r="U43" s="20">
        <v>77</v>
      </c>
      <c r="V43" s="18">
        <v>2</v>
      </c>
      <c r="W43" s="18">
        <v>2</v>
      </c>
      <c r="X43" s="120">
        <v>6</v>
      </c>
      <c r="Y43" s="18">
        <v>5</v>
      </c>
      <c r="Z43" s="18">
        <v>1</v>
      </c>
      <c r="AA43" s="18">
        <v>1</v>
      </c>
      <c r="AB43" s="18">
        <v>0</v>
      </c>
      <c r="AC43" s="18">
        <v>5</v>
      </c>
      <c r="AD43" s="39">
        <v>1</v>
      </c>
    </row>
    <row r="44" spans="2:30" x14ac:dyDescent="0.25">
      <c r="B44" s="707"/>
      <c r="C44" s="45" t="s">
        <v>49</v>
      </c>
      <c r="D44" s="38">
        <v>70</v>
      </c>
      <c r="E44" s="38">
        <v>66</v>
      </c>
      <c r="F44" s="38">
        <v>68</v>
      </c>
      <c r="G44" s="18">
        <v>5</v>
      </c>
      <c r="H44" s="18">
        <v>4</v>
      </c>
      <c r="I44" s="18">
        <v>2</v>
      </c>
      <c r="J44" s="18">
        <v>0</v>
      </c>
      <c r="K44" s="18">
        <v>1</v>
      </c>
      <c r="L44" s="18">
        <v>4</v>
      </c>
      <c r="M44" s="18">
        <v>1</v>
      </c>
      <c r="N44" s="18">
        <v>2</v>
      </c>
      <c r="O44" s="39">
        <v>4</v>
      </c>
      <c r="Q44" s="707"/>
      <c r="R44" s="81" t="s">
        <v>49</v>
      </c>
      <c r="S44" s="20">
        <v>78</v>
      </c>
      <c r="T44" s="20">
        <v>82</v>
      </c>
      <c r="U44" s="20">
        <v>80</v>
      </c>
      <c r="V44" s="18">
        <v>1</v>
      </c>
      <c r="W44" s="18">
        <v>0</v>
      </c>
      <c r="X44" s="18">
        <v>1</v>
      </c>
      <c r="Y44" s="18">
        <v>1</v>
      </c>
      <c r="Z44" s="18">
        <v>0</v>
      </c>
      <c r="AA44" s="18">
        <v>1</v>
      </c>
      <c r="AB44" s="18">
        <v>3</v>
      </c>
      <c r="AC44" s="18">
        <v>3</v>
      </c>
      <c r="AD44" s="39">
        <v>0</v>
      </c>
    </row>
    <row r="45" spans="2:30" x14ac:dyDescent="0.25">
      <c r="B45" s="707"/>
      <c r="C45" s="45" t="s">
        <v>50</v>
      </c>
      <c r="D45" s="18">
        <v>2</v>
      </c>
      <c r="E45" s="18">
        <v>3</v>
      </c>
      <c r="F45" s="18">
        <v>2</v>
      </c>
      <c r="G45" s="18">
        <v>4</v>
      </c>
      <c r="H45" s="18">
        <v>1</v>
      </c>
      <c r="I45" s="18">
        <v>2</v>
      </c>
      <c r="J45" s="18">
        <v>1</v>
      </c>
      <c r="K45" s="18">
        <v>0</v>
      </c>
      <c r="L45" s="18">
        <v>3</v>
      </c>
      <c r="M45" s="18">
        <v>1</v>
      </c>
      <c r="N45" s="18">
        <v>4</v>
      </c>
      <c r="O45" s="39">
        <v>2</v>
      </c>
      <c r="Q45" s="707"/>
      <c r="R45" s="81" t="s">
        <v>50</v>
      </c>
      <c r="S45" s="36">
        <v>76</v>
      </c>
      <c r="T45" s="36">
        <v>75</v>
      </c>
      <c r="U45" s="20">
        <v>81</v>
      </c>
      <c r="V45" s="18">
        <v>1</v>
      </c>
      <c r="W45" s="18">
        <v>2</v>
      </c>
      <c r="X45" s="18">
        <v>5</v>
      </c>
      <c r="Y45" s="18">
        <v>1</v>
      </c>
      <c r="Z45" s="18">
        <v>3</v>
      </c>
      <c r="AA45" s="18">
        <v>3</v>
      </c>
      <c r="AB45" s="18">
        <v>1</v>
      </c>
      <c r="AC45" s="18">
        <v>4</v>
      </c>
      <c r="AD45" s="39">
        <v>5</v>
      </c>
    </row>
    <row r="46" spans="2:30" ht="15.75" thickBot="1" x14ac:dyDescent="0.3">
      <c r="B46" s="708"/>
      <c r="C46" s="46" t="s">
        <v>51</v>
      </c>
      <c r="D46" s="40">
        <v>0</v>
      </c>
      <c r="E46" s="40">
        <v>2</v>
      </c>
      <c r="F46" s="40">
        <v>4</v>
      </c>
      <c r="G46" s="40">
        <v>3</v>
      </c>
      <c r="H46" s="40">
        <v>1</v>
      </c>
      <c r="I46" s="40">
        <v>4</v>
      </c>
      <c r="J46" s="40">
        <v>5</v>
      </c>
      <c r="K46" s="40">
        <v>3</v>
      </c>
      <c r="L46" s="40">
        <v>2</v>
      </c>
      <c r="M46" s="40">
        <v>4</v>
      </c>
      <c r="N46" s="40">
        <v>0</v>
      </c>
      <c r="O46" s="41">
        <v>2</v>
      </c>
      <c r="Q46" s="708"/>
      <c r="R46" s="201" t="s">
        <v>51</v>
      </c>
      <c r="S46" s="40">
        <v>4</v>
      </c>
      <c r="T46" s="40">
        <v>0</v>
      </c>
      <c r="U46" s="40">
        <v>4</v>
      </c>
      <c r="V46" s="40">
        <v>2</v>
      </c>
      <c r="W46" s="40">
        <v>1</v>
      </c>
      <c r="X46" s="40">
        <v>1</v>
      </c>
      <c r="Y46" s="40">
        <v>0</v>
      </c>
      <c r="Z46" s="40">
        <v>3</v>
      </c>
      <c r="AA46" s="40">
        <v>2</v>
      </c>
      <c r="AB46" s="40">
        <v>1</v>
      </c>
      <c r="AC46" s="40">
        <v>1</v>
      </c>
      <c r="AD46" s="41">
        <v>2</v>
      </c>
    </row>
    <row r="47" spans="2:30" x14ac:dyDescent="0.25">
      <c r="B47" s="706" t="s">
        <v>205</v>
      </c>
      <c r="C47" s="131"/>
      <c r="D47" s="132">
        <v>1</v>
      </c>
      <c r="E47" s="132">
        <v>2</v>
      </c>
      <c r="F47" s="132">
        <v>3</v>
      </c>
      <c r="G47" s="132">
        <v>4</v>
      </c>
      <c r="H47" s="132">
        <v>5</v>
      </c>
      <c r="I47" s="132">
        <v>6</v>
      </c>
      <c r="J47" s="132">
        <v>7</v>
      </c>
      <c r="K47" s="132">
        <v>8</v>
      </c>
      <c r="L47" s="132">
        <v>9</v>
      </c>
      <c r="M47" s="132">
        <v>10</v>
      </c>
      <c r="N47" s="132">
        <v>11</v>
      </c>
      <c r="O47" s="133">
        <v>12</v>
      </c>
      <c r="Q47" s="706" t="s">
        <v>207</v>
      </c>
      <c r="R47" s="44"/>
      <c r="S47" s="42">
        <v>1</v>
      </c>
      <c r="T47" s="42">
        <v>2</v>
      </c>
      <c r="U47" s="42">
        <v>3</v>
      </c>
      <c r="V47" s="42">
        <v>4</v>
      </c>
      <c r="W47" s="42">
        <v>5</v>
      </c>
      <c r="X47" s="42">
        <v>6</v>
      </c>
      <c r="Y47" s="42">
        <v>7</v>
      </c>
      <c r="Z47" s="42">
        <v>8</v>
      </c>
      <c r="AA47" s="42">
        <v>9</v>
      </c>
      <c r="AB47" s="42">
        <v>10</v>
      </c>
      <c r="AC47" s="42">
        <v>11</v>
      </c>
      <c r="AD47" s="43">
        <v>12</v>
      </c>
    </row>
    <row r="48" spans="2:30" x14ac:dyDescent="0.25">
      <c r="B48" s="707"/>
      <c r="C48" s="45" t="s">
        <v>44</v>
      </c>
      <c r="D48" s="120">
        <v>60</v>
      </c>
      <c r="E48" s="120">
        <v>61</v>
      </c>
      <c r="F48" s="120">
        <v>65</v>
      </c>
      <c r="G48" s="18">
        <v>3</v>
      </c>
      <c r="H48" s="18">
        <v>0</v>
      </c>
      <c r="I48" s="18">
        <v>0</v>
      </c>
      <c r="J48" s="18">
        <v>5</v>
      </c>
      <c r="K48" s="18">
        <v>3</v>
      </c>
      <c r="L48" s="18">
        <v>1</v>
      </c>
      <c r="M48" s="18">
        <v>5</v>
      </c>
      <c r="N48" s="18">
        <v>2</v>
      </c>
      <c r="O48" s="39">
        <v>3</v>
      </c>
      <c r="Q48" s="707"/>
      <c r="R48" s="45" t="s">
        <v>44</v>
      </c>
      <c r="S48" s="34">
        <v>58</v>
      </c>
      <c r="T48" s="34">
        <v>60</v>
      </c>
      <c r="U48" s="38">
        <v>61</v>
      </c>
      <c r="V48" s="18">
        <v>6</v>
      </c>
      <c r="W48" s="18">
        <v>3</v>
      </c>
      <c r="X48" s="18">
        <v>3</v>
      </c>
      <c r="Y48" s="18">
        <v>2</v>
      </c>
      <c r="Z48" s="18">
        <v>3</v>
      </c>
      <c r="AA48" s="18">
        <v>4</v>
      </c>
      <c r="AB48" s="18">
        <v>4</v>
      </c>
      <c r="AC48" s="18">
        <v>0</v>
      </c>
      <c r="AD48" s="39">
        <v>0</v>
      </c>
    </row>
    <row r="49" spans="2:30" x14ac:dyDescent="0.25">
      <c r="B49" s="707"/>
      <c r="C49" s="45" t="s">
        <v>45</v>
      </c>
      <c r="D49" s="35">
        <v>298</v>
      </c>
      <c r="E49" s="35">
        <v>287</v>
      </c>
      <c r="F49" s="19">
        <v>268</v>
      </c>
      <c r="G49" s="18">
        <v>4</v>
      </c>
      <c r="H49" s="18">
        <v>4</v>
      </c>
      <c r="I49" s="18">
        <v>1</v>
      </c>
      <c r="J49" s="18">
        <v>4</v>
      </c>
      <c r="K49" s="18">
        <v>0</v>
      </c>
      <c r="L49" s="18">
        <v>3</v>
      </c>
      <c r="M49" s="18">
        <v>5</v>
      </c>
      <c r="N49" s="18">
        <v>2</v>
      </c>
      <c r="O49" s="39">
        <v>4</v>
      </c>
      <c r="Q49" s="707"/>
      <c r="R49" s="45" t="s">
        <v>45</v>
      </c>
      <c r="S49" s="37">
        <v>72</v>
      </c>
      <c r="T49" s="36">
        <v>77</v>
      </c>
      <c r="U49" s="36">
        <v>76</v>
      </c>
      <c r="V49" s="18">
        <v>4</v>
      </c>
      <c r="W49" s="18">
        <v>0</v>
      </c>
      <c r="X49" s="18">
        <v>2</v>
      </c>
      <c r="Y49" s="18">
        <v>2</v>
      </c>
      <c r="Z49" s="18">
        <v>0</v>
      </c>
      <c r="AA49" s="18">
        <v>1</v>
      </c>
      <c r="AB49" s="18">
        <v>0</v>
      </c>
      <c r="AC49" s="18">
        <v>2</v>
      </c>
      <c r="AD49" s="39">
        <v>0</v>
      </c>
    </row>
    <row r="50" spans="2:30" x14ac:dyDescent="0.25">
      <c r="B50" s="707"/>
      <c r="C50" s="45" t="s">
        <v>46</v>
      </c>
      <c r="D50" s="20">
        <v>482</v>
      </c>
      <c r="E50" s="20">
        <v>487</v>
      </c>
      <c r="F50" s="20">
        <v>497</v>
      </c>
      <c r="G50" s="18">
        <v>3</v>
      </c>
      <c r="H50" s="18">
        <v>3</v>
      </c>
      <c r="I50" s="18">
        <v>2</v>
      </c>
      <c r="J50" s="18">
        <v>3</v>
      </c>
      <c r="K50" s="18">
        <v>2</v>
      </c>
      <c r="L50" s="18">
        <v>1</v>
      </c>
      <c r="M50" s="18">
        <v>3</v>
      </c>
      <c r="N50" s="18">
        <v>4</v>
      </c>
      <c r="O50" s="39">
        <v>2</v>
      </c>
      <c r="Q50" s="707"/>
      <c r="R50" s="45" t="s">
        <v>46</v>
      </c>
      <c r="S50" s="20">
        <v>85</v>
      </c>
      <c r="T50" s="20">
        <v>82</v>
      </c>
      <c r="U50" s="20">
        <v>82</v>
      </c>
      <c r="V50" s="18">
        <v>3</v>
      </c>
      <c r="W50" s="18">
        <v>3</v>
      </c>
      <c r="X50" s="18">
        <v>3</v>
      </c>
      <c r="Y50" s="18">
        <v>1</v>
      </c>
      <c r="Z50" s="120">
        <v>8</v>
      </c>
      <c r="AA50" s="18">
        <v>0</v>
      </c>
      <c r="AB50" s="18">
        <v>6</v>
      </c>
      <c r="AC50" s="18">
        <v>4</v>
      </c>
      <c r="AD50" s="39">
        <v>4</v>
      </c>
    </row>
    <row r="51" spans="2:30" x14ac:dyDescent="0.25">
      <c r="B51" s="707"/>
      <c r="C51" s="45" t="s">
        <v>47</v>
      </c>
      <c r="D51" s="17">
        <v>88</v>
      </c>
      <c r="E51" s="17">
        <v>91</v>
      </c>
      <c r="F51" s="17">
        <v>91</v>
      </c>
      <c r="G51" s="18">
        <v>2</v>
      </c>
      <c r="H51" s="18">
        <v>3</v>
      </c>
      <c r="I51" s="18">
        <v>1</v>
      </c>
      <c r="J51" s="18">
        <v>2</v>
      </c>
      <c r="K51" s="18">
        <v>0</v>
      </c>
      <c r="L51" s="18">
        <v>3</v>
      </c>
      <c r="M51" s="18">
        <v>6</v>
      </c>
      <c r="N51" s="18">
        <v>3</v>
      </c>
      <c r="O51" s="39">
        <v>4</v>
      </c>
      <c r="Q51" s="707"/>
      <c r="R51" s="45" t="s">
        <v>47</v>
      </c>
      <c r="S51" s="37">
        <v>67</v>
      </c>
      <c r="T51" s="37">
        <v>71</v>
      </c>
      <c r="U51" s="37">
        <v>67</v>
      </c>
      <c r="V51" s="18">
        <v>3</v>
      </c>
      <c r="W51" s="18">
        <v>4</v>
      </c>
      <c r="X51" s="18">
        <v>3</v>
      </c>
      <c r="Y51" s="18">
        <v>2</v>
      </c>
      <c r="Z51" s="18">
        <v>0</v>
      </c>
      <c r="AA51" s="18">
        <v>3</v>
      </c>
      <c r="AB51" s="18">
        <v>2</v>
      </c>
      <c r="AC51" s="18">
        <v>4</v>
      </c>
      <c r="AD51" s="39">
        <v>0</v>
      </c>
    </row>
    <row r="52" spans="2:30" x14ac:dyDescent="0.25">
      <c r="B52" s="707"/>
      <c r="C52" s="45" t="s">
        <v>48</v>
      </c>
      <c r="D52" s="17">
        <v>102</v>
      </c>
      <c r="E52" s="17">
        <v>106</v>
      </c>
      <c r="F52" s="17">
        <v>105</v>
      </c>
      <c r="G52" s="18">
        <v>4</v>
      </c>
      <c r="H52" s="18">
        <v>4</v>
      </c>
      <c r="I52" s="18">
        <v>2</v>
      </c>
      <c r="J52" s="18">
        <v>2</v>
      </c>
      <c r="K52" s="18">
        <v>1</v>
      </c>
      <c r="L52" s="18">
        <v>4</v>
      </c>
      <c r="M52" s="18">
        <v>3</v>
      </c>
      <c r="N52" s="18">
        <v>0</v>
      </c>
      <c r="O52" s="39">
        <v>3</v>
      </c>
      <c r="Q52" s="707"/>
      <c r="R52" s="45" t="s">
        <v>48</v>
      </c>
      <c r="S52" s="36">
        <v>75</v>
      </c>
      <c r="T52" s="36">
        <v>75</v>
      </c>
      <c r="U52" s="36">
        <v>77</v>
      </c>
      <c r="V52" s="18">
        <v>3</v>
      </c>
      <c r="W52" s="18">
        <v>5</v>
      </c>
      <c r="X52" s="18">
        <v>3</v>
      </c>
      <c r="Y52" s="18">
        <v>4</v>
      </c>
      <c r="Z52" s="18">
        <v>3</v>
      </c>
      <c r="AA52" s="18">
        <v>1</v>
      </c>
      <c r="AB52" s="18">
        <v>5</v>
      </c>
      <c r="AC52" s="18">
        <v>4</v>
      </c>
      <c r="AD52" s="39">
        <v>6</v>
      </c>
    </row>
    <row r="53" spans="2:30" x14ac:dyDescent="0.25">
      <c r="B53" s="707"/>
      <c r="C53" s="45" t="s">
        <v>49</v>
      </c>
      <c r="D53" s="17">
        <v>83</v>
      </c>
      <c r="E53" s="17">
        <v>84</v>
      </c>
      <c r="F53" s="17">
        <v>85</v>
      </c>
      <c r="G53" s="18">
        <v>2</v>
      </c>
      <c r="H53" s="18">
        <v>3</v>
      </c>
      <c r="I53" s="18">
        <v>2</v>
      </c>
      <c r="J53" s="18">
        <v>3</v>
      </c>
      <c r="K53" s="18">
        <v>0</v>
      </c>
      <c r="L53" s="18">
        <v>2</v>
      </c>
      <c r="M53" s="18">
        <v>3</v>
      </c>
      <c r="N53" s="18">
        <v>3</v>
      </c>
      <c r="O53" s="39">
        <v>3</v>
      </c>
      <c r="Q53" s="707"/>
      <c r="R53" s="45" t="s">
        <v>49</v>
      </c>
      <c r="S53" s="36">
        <v>73</v>
      </c>
      <c r="T53" s="36">
        <v>73</v>
      </c>
      <c r="U53" s="36">
        <v>74</v>
      </c>
      <c r="V53" s="18">
        <v>3</v>
      </c>
      <c r="W53" s="18">
        <v>5</v>
      </c>
      <c r="X53" s="18">
        <v>6</v>
      </c>
      <c r="Y53" s="18">
        <v>4</v>
      </c>
      <c r="Z53" s="18">
        <v>5</v>
      </c>
      <c r="AA53" s="18">
        <v>5</v>
      </c>
      <c r="AB53" s="120">
        <v>7</v>
      </c>
      <c r="AC53" s="18">
        <v>2</v>
      </c>
      <c r="AD53" s="39">
        <v>3</v>
      </c>
    </row>
    <row r="54" spans="2:30" x14ac:dyDescent="0.25">
      <c r="B54" s="707"/>
      <c r="C54" s="45" t="s">
        <v>50</v>
      </c>
      <c r="D54" s="18">
        <v>3</v>
      </c>
      <c r="E54" s="18">
        <v>4</v>
      </c>
      <c r="F54" s="18">
        <v>1</v>
      </c>
      <c r="G54" s="18">
        <v>1</v>
      </c>
      <c r="H54" s="18">
        <v>1</v>
      </c>
      <c r="I54" s="18">
        <v>0</v>
      </c>
      <c r="J54" s="18">
        <v>4</v>
      </c>
      <c r="K54" s="18">
        <v>2</v>
      </c>
      <c r="L54" s="18">
        <v>4</v>
      </c>
      <c r="M54" s="18">
        <v>1</v>
      </c>
      <c r="N54" s="18">
        <v>4</v>
      </c>
      <c r="O54" s="39">
        <v>2</v>
      </c>
      <c r="Q54" s="707"/>
      <c r="R54" s="45" t="s">
        <v>50</v>
      </c>
      <c r="S54" s="18">
        <v>3</v>
      </c>
      <c r="T54" s="18">
        <v>2</v>
      </c>
      <c r="U54" s="18">
        <v>6</v>
      </c>
      <c r="V54" s="18">
        <v>4</v>
      </c>
      <c r="W54" s="18">
        <v>6</v>
      </c>
      <c r="X54" s="18">
        <v>4</v>
      </c>
      <c r="Y54" s="18">
        <v>3</v>
      </c>
      <c r="Z54" s="120">
        <v>7</v>
      </c>
      <c r="AA54" s="18">
        <v>1</v>
      </c>
      <c r="AB54" s="18">
        <v>3</v>
      </c>
      <c r="AC54" s="18">
        <v>4</v>
      </c>
      <c r="AD54" s="39">
        <v>2</v>
      </c>
    </row>
    <row r="55" spans="2:30" ht="15.75" thickBot="1" x14ac:dyDescent="0.3">
      <c r="B55" s="708"/>
      <c r="C55" s="46" t="s">
        <v>51</v>
      </c>
      <c r="D55" s="40">
        <v>7</v>
      </c>
      <c r="E55" s="40">
        <v>2</v>
      </c>
      <c r="F55" s="40">
        <v>3</v>
      </c>
      <c r="G55" s="40">
        <v>2</v>
      </c>
      <c r="H55" s="40">
        <v>2</v>
      </c>
      <c r="I55" s="40">
        <v>4</v>
      </c>
      <c r="J55" s="40">
        <v>1</v>
      </c>
      <c r="K55" s="40">
        <v>0</v>
      </c>
      <c r="L55" s="40">
        <v>6</v>
      </c>
      <c r="M55" s="40">
        <v>2</v>
      </c>
      <c r="N55" s="40">
        <v>2</v>
      </c>
      <c r="O55" s="41">
        <v>1</v>
      </c>
      <c r="Q55" s="708"/>
      <c r="R55" s="46" t="s">
        <v>51</v>
      </c>
      <c r="S55" s="40">
        <v>4</v>
      </c>
      <c r="T55" s="40">
        <v>3</v>
      </c>
      <c r="U55" s="40">
        <v>2</v>
      </c>
      <c r="V55" s="40">
        <v>3</v>
      </c>
      <c r="W55" s="40">
        <v>5</v>
      </c>
      <c r="X55" s="40">
        <v>3</v>
      </c>
      <c r="Y55" s="40">
        <v>5</v>
      </c>
      <c r="Z55" s="40">
        <v>5</v>
      </c>
      <c r="AA55" s="40">
        <v>6</v>
      </c>
      <c r="AB55" s="40">
        <v>2</v>
      </c>
      <c r="AC55" s="40">
        <v>4</v>
      </c>
      <c r="AD55" s="41">
        <v>2</v>
      </c>
    </row>
    <row r="56" spans="2:30" x14ac:dyDescent="0.25">
      <c r="B56" s="706" t="s">
        <v>217</v>
      </c>
      <c r="C56" s="131"/>
      <c r="D56" s="132">
        <v>1</v>
      </c>
      <c r="E56" s="132">
        <v>2</v>
      </c>
      <c r="F56" s="132">
        <v>3</v>
      </c>
      <c r="G56" s="132">
        <v>4</v>
      </c>
      <c r="H56" s="132">
        <v>5</v>
      </c>
      <c r="I56" s="132">
        <v>6</v>
      </c>
      <c r="J56" s="132">
        <v>7</v>
      </c>
      <c r="K56" s="132">
        <v>8</v>
      </c>
      <c r="L56" s="132">
        <v>9</v>
      </c>
      <c r="M56" s="132">
        <v>10</v>
      </c>
      <c r="N56" s="132">
        <v>11</v>
      </c>
      <c r="O56" s="133">
        <v>12</v>
      </c>
      <c r="Q56" s="706" t="s">
        <v>213</v>
      </c>
      <c r="R56" s="200"/>
      <c r="S56" s="132">
        <v>1</v>
      </c>
      <c r="T56" s="132">
        <v>2</v>
      </c>
      <c r="U56" s="132">
        <v>3</v>
      </c>
      <c r="V56" s="132">
        <v>4</v>
      </c>
      <c r="W56" s="132">
        <v>5</v>
      </c>
      <c r="X56" s="132">
        <v>6</v>
      </c>
      <c r="Y56" s="132">
        <v>7</v>
      </c>
      <c r="Z56" s="132">
        <v>8</v>
      </c>
      <c r="AA56" s="132">
        <v>9</v>
      </c>
      <c r="AB56" s="132">
        <v>10</v>
      </c>
      <c r="AC56" s="132">
        <v>11</v>
      </c>
      <c r="AD56" s="133">
        <v>12</v>
      </c>
    </row>
    <row r="57" spans="2:30" x14ac:dyDescent="0.25">
      <c r="B57" s="707"/>
      <c r="C57" s="45" t="s">
        <v>44</v>
      </c>
      <c r="D57" s="34">
        <v>50</v>
      </c>
      <c r="E57" s="19">
        <v>44</v>
      </c>
      <c r="F57" s="19">
        <v>40</v>
      </c>
      <c r="G57" s="18">
        <v>0</v>
      </c>
      <c r="H57" s="18">
        <v>2</v>
      </c>
      <c r="I57" s="18">
        <v>0</v>
      </c>
      <c r="J57" s="18">
        <v>4</v>
      </c>
      <c r="K57" s="18">
        <v>0</v>
      </c>
      <c r="L57" s="18">
        <v>2</v>
      </c>
      <c r="M57" s="18">
        <v>0</v>
      </c>
      <c r="N57" s="18">
        <v>5</v>
      </c>
      <c r="O57" s="332">
        <v>9</v>
      </c>
      <c r="Q57" s="707"/>
      <c r="R57" s="81" t="s">
        <v>44</v>
      </c>
      <c r="S57" s="83">
        <v>50</v>
      </c>
      <c r="T57" s="82">
        <v>52</v>
      </c>
      <c r="U57" s="83">
        <v>51</v>
      </c>
      <c r="V57" s="18">
        <v>4</v>
      </c>
      <c r="W57" s="18">
        <v>2</v>
      </c>
      <c r="X57" s="18">
        <v>4</v>
      </c>
      <c r="Y57" s="18">
        <v>3</v>
      </c>
      <c r="Z57" s="18">
        <v>1</v>
      </c>
      <c r="AA57" s="18">
        <v>2</v>
      </c>
      <c r="AB57" s="18">
        <v>2</v>
      </c>
      <c r="AC57" s="18">
        <v>1</v>
      </c>
      <c r="AD57" s="39">
        <v>3</v>
      </c>
    </row>
    <row r="58" spans="2:30" x14ac:dyDescent="0.25">
      <c r="B58" s="707"/>
      <c r="C58" s="45" t="s">
        <v>45</v>
      </c>
      <c r="D58" s="20">
        <v>76</v>
      </c>
      <c r="E58" s="20">
        <v>77</v>
      </c>
      <c r="F58" s="20">
        <v>72</v>
      </c>
      <c r="G58" s="18">
        <v>0</v>
      </c>
      <c r="H58" s="18">
        <v>0</v>
      </c>
      <c r="I58" s="18">
        <v>3</v>
      </c>
      <c r="J58" s="18">
        <v>5</v>
      </c>
      <c r="K58" s="18">
        <v>3</v>
      </c>
      <c r="L58" s="18">
        <v>0</v>
      </c>
      <c r="M58" s="18">
        <v>0</v>
      </c>
      <c r="N58" s="18">
        <v>0</v>
      </c>
      <c r="O58" s="39">
        <v>2</v>
      </c>
      <c r="Q58" s="707"/>
      <c r="R58" s="81" t="s">
        <v>45</v>
      </c>
      <c r="S58" s="20">
        <v>179</v>
      </c>
      <c r="T58" s="20">
        <v>173</v>
      </c>
      <c r="U58" s="36">
        <v>166</v>
      </c>
      <c r="V58" s="18">
        <v>0</v>
      </c>
      <c r="W58" s="18">
        <v>0</v>
      </c>
      <c r="X58" s="18">
        <v>4</v>
      </c>
      <c r="Y58" s="18">
        <v>0</v>
      </c>
      <c r="Z58" s="18">
        <v>4</v>
      </c>
      <c r="AA58" s="18">
        <v>1</v>
      </c>
      <c r="AB58" s="18">
        <v>1</v>
      </c>
      <c r="AC58" s="18">
        <v>4</v>
      </c>
      <c r="AD58" s="39">
        <v>3</v>
      </c>
    </row>
    <row r="59" spans="2:30" x14ac:dyDescent="0.25">
      <c r="B59" s="707"/>
      <c r="C59" s="45" t="s">
        <v>46</v>
      </c>
      <c r="D59" s="20">
        <v>75</v>
      </c>
      <c r="E59" s="20">
        <v>75</v>
      </c>
      <c r="F59" s="20">
        <v>75</v>
      </c>
      <c r="G59" s="120">
        <v>8</v>
      </c>
      <c r="H59" s="18">
        <v>1</v>
      </c>
      <c r="I59" s="18">
        <v>3</v>
      </c>
      <c r="J59" s="18">
        <v>4</v>
      </c>
      <c r="K59" s="120">
        <v>7</v>
      </c>
      <c r="L59" s="18">
        <v>0</v>
      </c>
      <c r="M59" s="18">
        <v>5</v>
      </c>
      <c r="N59" s="18">
        <v>3</v>
      </c>
      <c r="O59" s="332">
        <v>6</v>
      </c>
      <c r="Q59" s="707"/>
      <c r="R59" s="81" t="s">
        <v>46</v>
      </c>
      <c r="S59" s="34">
        <v>120</v>
      </c>
      <c r="T59" s="35">
        <v>114</v>
      </c>
      <c r="U59" s="35">
        <v>112</v>
      </c>
      <c r="V59" s="18">
        <v>3</v>
      </c>
      <c r="W59" s="18">
        <v>5</v>
      </c>
      <c r="X59" s="18">
        <v>2</v>
      </c>
      <c r="Y59" s="18">
        <v>0</v>
      </c>
      <c r="Z59" s="18">
        <v>4</v>
      </c>
      <c r="AA59" s="18">
        <v>2</v>
      </c>
      <c r="AB59" s="18">
        <v>0</v>
      </c>
      <c r="AC59" s="18">
        <v>1</v>
      </c>
      <c r="AD59" s="39">
        <v>3</v>
      </c>
    </row>
    <row r="60" spans="2:30" x14ac:dyDescent="0.25">
      <c r="B60" s="707"/>
      <c r="C60" s="45" t="s">
        <v>47</v>
      </c>
      <c r="D60" s="37">
        <v>65</v>
      </c>
      <c r="E60" s="37">
        <v>66</v>
      </c>
      <c r="F60" s="37">
        <v>64</v>
      </c>
      <c r="G60" s="18">
        <v>0</v>
      </c>
      <c r="H60" s="18">
        <v>3</v>
      </c>
      <c r="I60" s="18">
        <v>4</v>
      </c>
      <c r="J60" s="120">
        <v>7</v>
      </c>
      <c r="K60" s="18">
        <v>0</v>
      </c>
      <c r="L60" s="18">
        <v>3</v>
      </c>
      <c r="M60" s="18">
        <v>2</v>
      </c>
      <c r="N60" s="18">
        <v>1</v>
      </c>
      <c r="O60" s="39">
        <v>0</v>
      </c>
      <c r="Q60" s="707"/>
      <c r="R60" s="81" t="s">
        <v>47</v>
      </c>
      <c r="S60" s="34">
        <v>127</v>
      </c>
      <c r="T60" s="34">
        <v>126</v>
      </c>
      <c r="U60" s="34">
        <v>124</v>
      </c>
      <c r="V60" s="18">
        <v>6</v>
      </c>
      <c r="W60" s="18">
        <v>2</v>
      </c>
      <c r="X60" s="18">
        <v>3</v>
      </c>
      <c r="Y60" s="18">
        <v>1</v>
      </c>
      <c r="Z60" s="18">
        <v>4</v>
      </c>
      <c r="AA60" s="18">
        <v>3</v>
      </c>
      <c r="AB60" s="18">
        <v>3</v>
      </c>
      <c r="AC60" s="18">
        <v>2</v>
      </c>
      <c r="AD60" s="39">
        <v>1</v>
      </c>
    </row>
    <row r="61" spans="2:30" x14ac:dyDescent="0.25">
      <c r="B61" s="707"/>
      <c r="C61" s="45" t="s">
        <v>48</v>
      </c>
      <c r="D61" s="36">
        <v>69</v>
      </c>
      <c r="E61" s="37">
        <v>62</v>
      </c>
      <c r="F61" s="37">
        <v>65</v>
      </c>
      <c r="G61" s="18">
        <v>2</v>
      </c>
      <c r="H61" s="18">
        <v>0</v>
      </c>
      <c r="I61" s="18">
        <v>2</v>
      </c>
      <c r="J61" s="18">
        <v>3</v>
      </c>
      <c r="K61" s="18">
        <v>0</v>
      </c>
      <c r="L61" s="18">
        <v>0</v>
      </c>
      <c r="M61" s="18">
        <v>2</v>
      </c>
      <c r="N61" s="18">
        <v>3</v>
      </c>
      <c r="O61" s="39">
        <v>5</v>
      </c>
      <c r="Q61" s="707"/>
      <c r="R61" s="81" t="s">
        <v>48</v>
      </c>
      <c r="S61" s="35">
        <v>112</v>
      </c>
      <c r="T61" s="35">
        <v>110</v>
      </c>
      <c r="U61" s="35">
        <v>108</v>
      </c>
      <c r="V61" s="18">
        <v>1</v>
      </c>
      <c r="W61" s="18">
        <v>1</v>
      </c>
      <c r="X61" s="18">
        <v>4</v>
      </c>
      <c r="Y61" s="18">
        <v>1</v>
      </c>
      <c r="Z61" s="18">
        <v>2</v>
      </c>
      <c r="AA61" s="18">
        <v>4</v>
      </c>
      <c r="AB61" s="18">
        <v>5</v>
      </c>
      <c r="AC61" s="18">
        <v>6</v>
      </c>
      <c r="AD61" s="39">
        <v>4</v>
      </c>
    </row>
    <row r="62" spans="2:30" x14ac:dyDescent="0.25">
      <c r="B62" s="707"/>
      <c r="C62" s="45" t="s">
        <v>49</v>
      </c>
      <c r="D62" s="38">
        <v>60</v>
      </c>
      <c r="E62" s="34">
        <v>52</v>
      </c>
      <c r="F62" s="37">
        <v>61</v>
      </c>
      <c r="G62" s="18">
        <v>0</v>
      </c>
      <c r="H62" s="120">
        <v>10</v>
      </c>
      <c r="I62" s="18">
        <v>2</v>
      </c>
      <c r="J62" s="120">
        <v>7</v>
      </c>
      <c r="K62" s="120">
        <v>9</v>
      </c>
      <c r="L62" s="18">
        <v>2</v>
      </c>
      <c r="M62" s="18">
        <v>2</v>
      </c>
      <c r="N62" s="18">
        <v>0</v>
      </c>
      <c r="O62" s="39">
        <v>3</v>
      </c>
      <c r="Q62" s="707"/>
      <c r="R62" s="81" t="s">
        <v>49</v>
      </c>
      <c r="S62" s="18">
        <v>4</v>
      </c>
      <c r="T62" s="18">
        <v>5</v>
      </c>
      <c r="U62" s="18">
        <v>4</v>
      </c>
      <c r="V62" s="18">
        <v>4</v>
      </c>
      <c r="W62" s="18">
        <v>3</v>
      </c>
      <c r="X62" s="18">
        <v>0</v>
      </c>
      <c r="Y62" s="18">
        <v>1</v>
      </c>
      <c r="Z62" s="18">
        <v>2</v>
      </c>
      <c r="AA62" s="18">
        <v>0</v>
      </c>
      <c r="AB62" s="18">
        <v>3</v>
      </c>
      <c r="AC62" s="18">
        <v>6</v>
      </c>
      <c r="AD62" s="39">
        <v>6</v>
      </c>
    </row>
    <row r="63" spans="2:30" x14ac:dyDescent="0.25">
      <c r="B63" s="707"/>
      <c r="C63" s="45" t="s">
        <v>50</v>
      </c>
      <c r="D63" s="18">
        <v>3</v>
      </c>
      <c r="E63" s="18">
        <v>0</v>
      </c>
      <c r="F63" s="18">
        <v>0</v>
      </c>
      <c r="G63" s="18">
        <v>2</v>
      </c>
      <c r="H63" s="120">
        <v>6</v>
      </c>
      <c r="I63" s="18">
        <v>5</v>
      </c>
      <c r="J63" s="18">
        <v>0</v>
      </c>
      <c r="K63" s="18">
        <v>0</v>
      </c>
      <c r="L63" s="120">
        <v>6</v>
      </c>
      <c r="M63" s="18">
        <v>0</v>
      </c>
      <c r="N63" s="18">
        <v>3</v>
      </c>
      <c r="O63" s="39">
        <v>2</v>
      </c>
      <c r="Q63" s="707"/>
      <c r="R63" s="81" t="s">
        <v>50</v>
      </c>
      <c r="S63" s="18">
        <v>2</v>
      </c>
      <c r="T63" s="18">
        <v>4</v>
      </c>
      <c r="U63" s="18">
        <v>3</v>
      </c>
      <c r="V63" s="18">
        <v>5</v>
      </c>
      <c r="W63" s="18">
        <v>4</v>
      </c>
      <c r="X63" s="18">
        <v>4</v>
      </c>
      <c r="Y63" s="18">
        <v>2</v>
      </c>
      <c r="Z63" s="18">
        <v>2</v>
      </c>
      <c r="AA63" s="18">
        <v>1</v>
      </c>
      <c r="AB63" s="18">
        <v>0</v>
      </c>
      <c r="AC63" s="18">
        <v>1</v>
      </c>
      <c r="AD63" s="39">
        <v>3</v>
      </c>
    </row>
    <row r="64" spans="2:30" ht="15.75" thickBot="1" x14ac:dyDescent="0.3">
      <c r="B64" s="708"/>
      <c r="C64" s="46" t="s">
        <v>51</v>
      </c>
      <c r="D64" s="40">
        <v>3</v>
      </c>
      <c r="E64" s="40">
        <v>2</v>
      </c>
      <c r="F64" s="205">
        <v>6</v>
      </c>
      <c r="G64" s="40">
        <v>4</v>
      </c>
      <c r="H64" s="40">
        <v>2</v>
      </c>
      <c r="I64" s="40">
        <v>2</v>
      </c>
      <c r="J64" s="40">
        <v>0</v>
      </c>
      <c r="K64" s="40">
        <v>0</v>
      </c>
      <c r="L64" s="40">
        <v>2</v>
      </c>
      <c r="M64" s="40">
        <v>5</v>
      </c>
      <c r="N64" s="205">
        <v>8</v>
      </c>
      <c r="O64" s="41">
        <v>2</v>
      </c>
      <c r="Q64" s="708"/>
      <c r="R64" s="201" t="s">
        <v>51</v>
      </c>
      <c r="S64" s="40">
        <v>0</v>
      </c>
      <c r="T64" s="40">
        <v>1</v>
      </c>
      <c r="U64" s="40">
        <v>4</v>
      </c>
      <c r="V64" s="40">
        <v>1</v>
      </c>
      <c r="W64" s="40">
        <v>3</v>
      </c>
      <c r="X64" s="40">
        <v>4</v>
      </c>
      <c r="Y64" s="40">
        <v>1</v>
      </c>
      <c r="Z64" s="40">
        <v>2</v>
      </c>
      <c r="AA64" s="40">
        <v>2</v>
      </c>
      <c r="AB64" s="40">
        <v>3</v>
      </c>
      <c r="AC64" s="40">
        <v>3</v>
      </c>
      <c r="AD64" s="41">
        <v>1</v>
      </c>
    </row>
    <row r="65" spans="2:30" ht="30" customHeight="1" x14ac:dyDescent="0.25">
      <c r="B65" s="712" t="s">
        <v>230</v>
      </c>
      <c r="C65" s="200"/>
      <c r="D65" s="132">
        <v>1</v>
      </c>
      <c r="E65" s="132">
        <v>2</v>
      </c>
      <c r="F65" s="132">
        <v>3</v>
      </c>
      <c r="G65" s="132">
        <v>4</v>
      </c>
      <c r="H65" s="132">
        <v>5</v>
      </c>
      <c r="I65" s="132">
        <v>6</v>
      </c>
      <c r="J65" s="132">
        <v>7</v>
      </c>
      <c r="K65" s="132">
        <v>8</v>
      </c>
      <c r="L65" s="132">
        <v>9</v>
      </c>
      <c r="M65" s="132">
        <v>10</v>
      </c>
      <c r="N65" s="132">
        <v>11</v>
      </c>
      <c r="O65" s="133">
        <v>12</v>
      </c>
      <c r="Q65" s="706" t="s">
        <v>288</v>
      </c>
      <c r="R65" s="150"/>
      <c r="S65" s="132">
        <v>1</v>
      </c>
      <c r="T65" s="132">
        <v>2</v>
      </c>
      <c r="U65" s="132">
        <v>3</v>
      </c>
      <c r="V65" s="132">
        <v>4</v>
      </c>
      <c r="W65" s="132">
        <v>5</v>
      </c>
      <c r="X65" s="132">
        <v>6</v>
      </c>
      <c r="Y65" s="132">
        <v>7</v>
      </c>
      <c r="Z65" s="132">
        <v>8</v>
      </c>
      <c r="AA65" s="132">
        <v>9</v>
      </c>
      <c r="AB65" s="132">
        <v>10</v>
      </c>
      <c r="AC65" s="132">
        <v>11</v>
      </c>
      <c r="AD65" s="133">
        <v>12</v>
      </c>
    </row>
    <row r="66" spans="2:30" x14ac:dyDescent="0.25">
      <c r="B66" s="713"/>
      <c r="C66" s="81" t="s">
        <v>44</v>
      </c>
      <c r="D66" s="82">
        <v>40</v>
      </c>
      <c r="E66" s="82">
        <v>40</v>
      </c>
      <c r="F66" s="82">
        <v>44</v>
      </c>
      <c r="G66" s="18">
        <v>6</v>
      </c>
      <c r="H66" s="18">
        <v>0</v>
      </c>
      <c r="I66" s="18">
        <v>9</v>
      </c>
      <c r="J66" s="18">
        <v>2</v>
      </c>
      <c r="K66" s="18">
        <v>2</v>
      </c>
      <c r="L66" s="18">
        <v>2</v>
      </c>
      <c r="M66" s="18">
        <v>4</v>
      </c>
      <c r="N66" s="18">
        <v>4</v>
      </c>
      <c r="O66" s="39">
        <v>2</v>
      </c>
      <c r="Q66" s="707"/>
      <c r="R66" s="122" t="s">
        <v>44</v>
      </c>
      <c r="S66" s="21">
        <v>51</v>
      </c>
      <c r="T66" s="21">
        <v>53</v>
      </c>
      <c r="U66" s="21">
        <v>55</v>
      </c>
      <c r="V66" s="18">
        <v>4</v>
      </c>
      <c r="W66" s="18">
        <v>1</v>
      </c>
      <c r="X66" s="18">
        <v>5</v>
      </c>
      <c r="Y66" s="18">
        <v>4</v>
      </c>
      <c r="Z66" s="18">
        <v>9</v>
      </c>
      <c r="AA66" s="18">
        <v>6</v>
      </c>
      <c r="AB66" s="18">
        <v>7</v>
      </c>
      <c r="AC66" s="18">
        <v>3</v>
      </c>
      <c r="AD66" s="332">
        <v>10</v>
      </c>
    </row>
    <row r="67" spans="2:30" x14ac:dyDescent="0.25">
      <c r="B67" s="713"/>
      <c r="C67" s="81" t="s">
        <v>45</v>
      </c>
      <c r="D67" s="82">
        <v>39</v>
      </c>
      <c r="E67" s="82">
        <v>39</v>
      </c>
      <c r="F67" s="82">
        <v>38</v>
      </c>
      <c r="G67" s="18">
        <v>3</v>
      </c>
      <c r="H67" s="18">
        <v>1</v>
      </c>
      <c r="I67" s="18">
        <v>3</v>
      </c>
      <c r="J67" s="18">
        <v>2</v>
      </c>
      <c r="K67" s="18">
        <v>3</v>
      </c>
      <c r="L67" s="18">
        <v>2</v>
      </c>
      <c r="M67" s="18">
        <v>3</v>
      </c>
      <c r="N67" s="18">
        <v>3</v>
      </c>
      <c r="O67" s="39">
        <v>4</v>
      </c>
      <c r="Q67" s="707"/>
      <c r="R67" s="122" t="s">
        <v>45</v>
      </c>
      <c r="S67" s="19">
        <v>69</v>
      </c>
      <c r="T67" s="19">
        <v>68</v>
      </c>
      <c r="U67" s="121">
        <v>65</v>
      </c>
      <c r="V67" s="18">
        <v>0</v>
      </c>
      <c r="W67" s="18">
        <v>8</v>
      </c>
      <c r="X67" s="18">
        <v>7</v>
      </c>
      <c r="Y67" s="18">
        <v>0</v>
      </c>
      <c r="Z67" s="18">
        <v>5</v>
      </c>
      <c r="AA67" s="18">
        <v>2</v>
      </c>
      <c r="AB67" s="18">
        <v>2</v>
      </c>
      <c r="AC67" s="18">
        <v>2</v>
      </c>
      <c r="AD67" s="39">
        <v>0</v>
      </c>
    </row>
    <row r="68" spans="2:30" x14ac:dyDescent="0.25">
      <c r="B68" s="713"/>
      <c r="C68" s="81" t="s">
        <v>46</v>
      </c>
      <c r="D68" s="121">
        <v>64</v>
      </c>
      <c r="E68" s="19">
        <v>66</v>
      </c>
      <c r="F68" s="121">
        <v>64</v>
      </c>
      <c r="G68" s="18">
        <v>2</v>
      </c>
      <c r="H68" s="18">
        <v>2</v>
      </c>
      <c r="I68" s="18">
        <v>1</v>
      </c>
      <c r="J68" s="18">
        <v>4</v>
      </c>
      <c r="K68" s="18">
        <v>3</v>
      </c>
      <c r="L68" s="18">
        <v>3</v>
      </c>
      <c r="M68" s="18">
        <v>0</v>
      </c>
      <c r="N68" s="18">
        <v>2</v>
      </c>
      <c r="O68" s="39">
        <v>3</v>
      </c>
      <c r="Q68" s="707"/>
      <c r="R68" s="122" t="s">
        <v>46</v>
      </c>
      <c r="S68" s="36">
        <v>115</v>
      </c>
      <c r="T68" s="37">
        <v>111</v>
      </c>
      <c r="U68" s="36">
        <v>117</v>
      </c>
      <c r="V68" s="18">
        <v>5</v>
      </c>
      <c r="W68" s="18">
        <v>3</v>
      </c>
      <c r="X68" s="18">
        <v>7</v>
      </c>
      <c r="Y68" s="18">
        <v>4</v>
      </c>
      <c r="Z68" s="18">
        <v>7</v>
      </c>
      <c r="AA68" s="18">
        <v>0</v>
      </c>
      <c r="AB68" s="18">
        <v>2</v>
      </c>
      <c r="AC68" s="18">
        <v>0</v>
      </c>
      <c r="AD68" s="39">
        <v>5</v>
      </c>
    </row>
    <row r="69" spans="2:30" x14ac:dyDescent="0.25">
      <c r="B69" s="713"/>
      <c r="C69" s="81" t="s">
        <v>47</v>
      </c>
      <c r="D69" s="121">
        <v>57</v>
      </c>
      <c r="E69" s="121">
        <v>56</v>
      </c>
      <c r="F69" s="121">
        <v>56</v>
      </c>
      <c r="G69" s="18">
        <v>1</v>
      </c>
      <c r="H69" s="18">
        <v>2</v>
      </c>
      <c r="I69" s="18">
        <v>1</v>
      </c>
      <c r="J69" s="18">
        <v>1</v>
      </c>
      <c r="K69" s="18">
        <v>0</v>
      </c>
      <c r="L69" s="18">
        <v>2</v>
      </c>
      <c r="M69" s="18">
        <v>1</v>
      </c>
      <c r="N69" s="18">
        <v>0</v>
      </c>
      <c r="O69" s="39">
        <v>3</v>
      </c>
      <c r="Q69" s="707"/>
      <c r="R69" s="122" t="s">
        <v>47</v>
      </c>
      <c r="S69" s="36">
        <v>119</v>
      </c>
      <c r="T69" s="36">
        <v>119</v>
      </c>
      <c r="U69" s="36">
        <v>114</v>
      </c>
      <c r="V69" s="18">
        <v>7</v>
      </c>
      <c r="W69" s="120">
        <v>12</v>
      </c>
      <c r="X69" s="18">
        <v>1</v>
      </c>
      <c r="Y69" s="18">
        <v>6</v>
      </c>
      <c r="Z69" s="18">
        <v>3</v>
      </c>
      <c r="AA69" s="18">
        <v>7</v>
      </c>
      <c r="AB69" s="18">
        <v>0</v>
      </c>
      <c r="AC69" s="18">
        <v>8</v>
      </c>
      <c r="AD69" s="39">
        <v>2</v>
      </c>
    </row>
    <row r="70" spans="2:30" x14ac:dyDescent="0.25">
      <c r="B70" s="713"/>
      <c r="C70" s="81" t="s">
        <v>48</v>
      </c>
      <c r="D70" s="82">
        <v>42</v>
      </c>
      <c r="E70" s="82">
        <v>40</v>
      </c>
      <c r="F70" s="82">
        <v>38</v>
      </c>
      <c r="G70" s="18">
        <v>4</v>
      </c>
      <c r="H70" s="18">
        <v>5</v>
      </c>
      <c r="I70" s="18">
        <v>3</v>
      </c>
      <c r="J70" s="18">
        <v>1</v>
      </c>
      <c r="K70" s="18">
        <v>5</v>
      </c>
      <c r="L70" s="18">
        <v>5</v>
      </c>
      <c r="M70" s="18">
        <v>3</v>
      </c>
      <c r="N70" s="18">
        <v>1</v>
      </c>
      <c r="O70" s="39">
        <v>2</v>
      </c>
      <c r="Q70" s="707"/>
      <c r="R70" s="122" t="s">
        <v>48</v>
      </c>
      <c r="S70" s="36">
        <v>114</v>
      </c>
      <c r="T70" s="37">
        <v>109</v>
      </c>
      <c r="U70" s="37">
        <v>112</v>
      </c>
      <c r="V70" s="18">
        <v>7</v>
      </c>
      <c r="W70" s="18">
        <v>5</v>
      </c>
      <c r="X70" s="18">
        <v>4</v>
      </c>
      <c r="Y70" s="18">
        <v>5</v>
      </c>
      <c r="Z70" s="18">
        <v>8</v>
      </c>
      <c r="AA70" s="18">
        <v>0</v>
      </c>
      <c r="AB70" s="18">
        <v>0</v>
      </c>
      <c r="AC70" s="18">
        <v>3</v>
      </c>
      <c r="AD70" s="39">
        <v>5</v>
      </c>
    </row>
    <row r="71" spans="2:30" x14ac:dyDescent="0.25">
      <c r="B71" s="713"/>
      <c r="C71" s="81" t="s">
        <v>49</v>
      </c>
      <c r="D71" s="20">
        <v>129</v>
      </c>
      <c r="E71" s="20">
        <v>122</v>
      </c>
      <c r="F71" s="20">
        <v>122</v>
      </c>
      <c r="G71" s="18">
        <v>4</v>
      </c>
      <c r="H71" s="18">
        <v>3</v>
      </c>
      <c r="I71" s="18">
        <v>6</v>
      </c>
      <c r="J71" s="18">
        <v>2</v>
      </c>
      <c r="K71" s="18">
        <v>3</v>
      </c>
      <c r="L71" s="18">
        <v>2</v>
      </c>
      <c r="M71" s="18">
        <v>3</v>
      </c>
      <c r="N71" s="18">
        <v>0</v>
      </c>
      <c r="O71" s="39">
        <v>2</v>
      </c>
      <c r="Q71" s="707"/>
      <c r="R71" s="122" t="s">
        <v>49</v>
      </c>
      <c r="S71" s="20">
        <v>126</v>
      </c>
      <c r="T71" s="36">
        <v>120</v>
      </c>
      <c r="U71" s="20">
        <v>132</v>
      </c>
      <c r="V71" s="18">
        <v>1</v>
      </c>
      <c r="W71" s="18">
        <v>9</v>
      </c>
      <c r="X71" s="18">
        <v>4</v>
      </c>
      <c r="Y71" s="18">
        <v>0</v>
      </c>
      <c r="Z71" s="18">
        <v>2</v>
      </c>
      <c r="AA71" s="18">
        <v>2</v>
      </c>
      <c r="AB71" s="18">
        <v>2</v>
      </c>
      <c r="AC71" s="18">
        <v>0</v>
      </c>
      <c r="AD71" s="39">
        <v>3</v>
      </c>
    </row>
    <row r="72" spans="2:30" x14ac:dyDescent="0.25">
      <c r="B72" s="713"/>
      <c r="C72" s="81" t="s">
        <v>50</v>
      </c>
      <c r="D72" s="18">
        <v>3</v>
      </c>
      <c r="E72" s="18">
        <v>3</v>
      </c>
      <c r="F72" s="18">
        <v>4</v>
      </c>
      <c r="G72" s="18">
        <v>1</v>
      </c>
      <c r="H72" s="18">
        <v>5</v>
      </c>
      <c r="I72" s="18">
        <v>2</v>
      </c>
      <c r="J72" s="18">
        <v>2</v>
      </c>
      <c r="K72" s="18">
        <v>5</v>
      </c>
      <c r="L72" s="18">
        <v>1</v>
      </c>
      <c r="M72" s="18">
        <v>0</v>
      </c>
      <c r="N72" s="18">
        <v>2</v>
      </c>
      <c r="O72" s="39">
        <v>4</v>
      </c>
      <c r="Q72" s="707"/>
      <c r="R72" s="122" t="s">
        <v>50</v>
      </c>
      <c r="S72" s="121">
        <v>60</v>
      </c>
      <c r="T72" s="19">
        <v>68</v>
      </c>
      <c r="U72" s="21">
        <v>56</v>
      </c>
      <c r="V72" s="18">
        <v>6</v>
      </c>
      <c r="W72" s="18">
        <v>1</v>
      </c>
      <c r="X72" s="18">
        <v>1</v>
      </c>
      <c r="Y72" s="18">
        <v>5</v>
      </c>
      <c r="Z72" s="18">
        <v>7</v>
      </c>
      <c r="AA72" s="18">
        <v>0</v>
      </c>
      <c r="AB72" s="18">
        <v>4</v>
      </c>
      <c r="AC72" s="18">
        <v>1</v>
      </c>
      <c r="AD72" s="39">
        <v>2</v>
      </c>
    </row>
    <row r="73" spans="2:30" ht="15.75" thickBot="1" x14ac:dyDescent="0.3">
      <c r="B73" s="714"/>
      <c r="C73" s="201" t="s">
        <v>51</v>
      </c>
      <c r="D73" s="40">
        <v>1</v>
      </c>
      <c r="E73" s="40">
        <v>1</v>
      </c>
      <c r="F73" s="40">
        <v>4</v>
      </c>
      <c r="G73" s="40">
        <v>3</v>
      </c>
      <c r="H73" s="40">
        <v>5</v>
      </c>
      <c r="I73" s="40">
        <v>6</v>
      </c>
      <c r="J73" s="40">
        <v>0</v>
      </c>
      <c r="K73" s="40">
        <v>1</v>
      </c>
      <c r="L73" s="40">
        <v>3</v>
      </c>
      <c r="M73" s="40">
        <v>3</v>
      </c>
      <c r="N73" s="40">
        <v>3</v>
      </c>
      <c r="O73" s="41">
        <v>1</v>
      </c>
      <c r="Q73" s="708"/>
      <c r="R73" s="123" t="s">
        <v>51</v>
      </c>
      <c r="S73" s="40">
        <v>8</v>
      </c>
      <c r="T73" s="40">
        <v>2</v>
      </c>
      <c r="U73" s="40">
        <v>1</v>
      </c>
      <c r="V73" s="40">
        <v>0</v>
      </c>
      <c r="W73" s="40">
        <v>1</v>
      </c>
      <c r="X73" s="40">
        <v>0</v>
      </c>
      <c r="Y73" s="40">
        <v>1</v>
      </c>
      <c r="Z73" s="40">
        <v>0</v>
      </c>
      <c r="AA73" s="40">
        <v>4</v>
      </c>
      <c r="AB73" s="40">
        <v>4</v>
      </c>
      <c r="AC73" s="205">
        <v>10</v>
      </c>
      <c r="AD73" s="41">
        <v>2</v>
      </c>
    </row>
    <row r="74" spans="2:30" x14ac:dyDescent="0.25">
      <c r="B74" s="706" t="s">
        <v>231</v>
      </c>
      <c r="C74" s="211"/>
      <c r="D74" s="81">
        <v>1</v>
      </c>
      <c r="E74" s="81">
        <v>2</v>
      </c>
      <c r="F74" s="81">
        <v>3</v>
      </c>
      <c r="G74" s="81">
        <v>4</v>
      </c>
      <c r="H74" s="81">
        <v>5</v>
      </c>
      <c r="I74" s="81">
        <v>6</v>
      </c>
      <c r="J74" s="81">
        <v>7</v>
      </c>
      <c r="K74" s="81">
        <v>8</v>
      </c>
      <c r="L74" s="81">
        <v>9</v>
      </c>
      <c r="M74" s="81">
        <v>10</v>
      </c>
      <c r="N74" s="81">
        <v>11</v>
      </c>
      <c r="O74" s="81">
        <v>12</v>
      </c>
      <c r="Q74" s="706" t="s">
        <v>294</v>
      </c>
      <c r="R74" s="200"/>
      <c r="S74" s="132">
        <v>1</v>
      </c>
      <c r="T74" s="132">
        <v>2</v>
      </c>
      <c r="U74" s="132">
        <v>3</v>
      </c>
      <c r="V74" s="132">
        <v>4</v>
      </c>
      <c r="W74" s="132">
        <v>5</v>
      </c>
      <c r="X74" s="132">
        <v>6</v>
      </c>
      <c r="Y74" s="132">
        <v>7</v>
      </c>
      <c r="Z74" s="132">
        <v>8</v>
      </c>
      <c r="AA74" s="132">
        <v>9</v>
      </c>
      <c r="AB74" s="132">
        <v>10</v>
      </c>
      <c r="AC74" s="132">
        <v>11</v>
      </c>
      <c r="AD74" s="133">
        <v>12</v>
      </c>
    </row>
    <row r="75" spans="2:30" x14ac:dyDescent="0.25">
      <c r="B75" s="707"/>
      <c r="C75" s="81" t="s">
        <v>44</v>
      </c>
      <c r="D75" s="21">
        <v>54</v>
      </c>
      <c r="E75" s="21">
        <v>54</v>
      </c>
      <c r="F75" s="21">
        <v>59</v>
      </c>
      <c r="G75" s="18">
        <v>3</v>
      </c>
      <c r="H75" s="18">
        <v>8</v>
      </c>
      <c r="I75" s="18">
        <v>5</v>
      </c>
      <c r="J75" s="18">
        <v>2</v>
      </c>
      <c r="K75" s="18">
        <v>0</v>
      </c>
      <c r="L75" s="18">
        <v>7</v>
      </c>
      <c r="M75" s="18">
        <v>5</v>
      </c>
      <c r="N75" s="18">
        <v>3</v>
      </c>
      <c r="O75" s="18">
        <v>3</v>
      </c>
      <c r="Q75" s="707"/>
      <c r="R75" s="81" t="s">
        <v>44</v>
      </c>
      <c r="S75" s="35">
        <v>50</v>
      </c>
      <c r="T75" s="35">
        <v>51</v>
      </c>
      <c r="U75" s="35">
        <v>51</v>
      </c>
      <c r="V75" s="18">
        <v>3</v>
      </c>
      <c r="W75" s="18">
        <v>1</v>
      </c>
      <c r="X75" s="18">
        <v>2</v>
      </c>
      <c r="Y75" s="18">
        <v>3</v>
      </c>
      <c r="Z75" s="18">
        <v>0</v>
      </c>
      <c r="AA75" s="120">
        <v>7</v>
      </c>
      <c r="AB75" s="18">
        <v>1</v>
      </c>
      <c r="AC75" s="18">
        <v>1</v>
      </c>
      <c r="AD75" s="39">
        <v>4</v>
      </c>
    </row>
    <row r="76" spans="2:30" x14ac:dyDescent="0.25">
      <c r="B76" s="707"/>
      <c r="C76" s="81" t="s">
        <v>45</v>
      </c>
      <c r="D76" s="38">
        <v>108</v>
      </c>
      <c r="E76" s="38">
        <v>109</v>
      </c>
      <c r="F76" s="38">
        <v>113</v>
      </c>
      <c r="G76" s="18">
        <v>0</v>
      </c>
      <c r="H76" s="18">
        <v>4</v>
      </c>
      <c r="I76" s="18">
        <v>5</v>
      </c>
      <c r="J76" s="18">
        <v>1</v>
      </c>
      <c r="K76" s="18">
        <v>7</v>
      </c>
      <c r="L76" s="18">
        <v>3</v>
      </c>
      <c r="M76" s="18">
        <v>2</v>
      </c>
      <c r="N76" s="18">
        <v>4</v>
      </c>
      <c r="O76" s="18">
        <v>3</v>
      </c>
      <c r="Q76" s="707"/>
      <c r="R76" s="81" t="s">
        <v>45</v>
      </c>
      <c r="S76" s="38">
        <v>64</v>
      </c>
      <c r="T76" s="38">
        <v>65</v>
      </c>
      <c r="U76" s="34">
        <v>62</v>
      </c>
      <c r="V76" s="18">
        <v>4</v>
      </c>
      <c r="W76" s="18">
        <v>1</v>
      </c>
      <c r="X76" s="18">
        <v>1</v>
      </c>
      <c r="Y76" s="18">
        <v>0</v>
      </c>
      <c r="Z76" s="18">
        <v>2</v>
      </c>
      <c r="AA76" s="18">
        <v>2</v>
      </c>
      <c r="AB76" s="18">
        <v>2</v>
      </c>
      <c r="AC76" s="18">
        <v>0</v>
      </c>
      <c r="AD76" s="39">
        <v>4</v>
      </c>
    </row>
    <row r="77" spans="2:30" x14ac:dyDescent="0.25">
      <c r="B77" s="707"/>
      <c r="C77" s="81" t="s">
        <v>46</v>
      </c>
      <c r="D77" s="38">
        <v>106</v>
      </c>
      <c r="E77" s="38">
        <v>108</v>
      </c>
      <c r="F77" s="38">
        <v>108</v>
      </c>
      <c r="G77" s="18">
        <v>0</v>
      </c>
      <c r="H77" s="18">
        <v>3</v>
      </c>
      <c r="I77" s="18">
        <v>6</v>
      </c>
      <c r="J77" s="18">
        <v>5</v>
      </c>
      <c r="K77" s="18">
        <v>2</v>
      </c>
      <c r="L77" s="18">
        <v>0</v>
      </c>
      <c r="M77" s="18">
        <v>4</v>
      </c>
      <c r="N77" s="18">
        <v>3</v>
      </c>
      <c r="O77" s="18">
        <v>4</v>
      </c>
      <c r="Q77" s="707"/>
      <c r="R77" s="81" t="s">
        <v>46</v>
      </c>
      <c r="S77" s="37">
        <v>73</v>
      </c>
      <c r="T77" s="37">
        <v>71</v>
      </c>
      <c r="U77" s="37">
        <v>74</v>
      </c>
      <c r="V77" s="18">
        <v>3</v>
      </c>
      <c r="W77" s="18">
        <v>1</v>
      </c>
      <c r="X77" s="18">
        <v>4</v>
      </c>
      <c r="Y77" s="18">
        <v>3</v>
      </c>
      <c r="Z77" s="18">
        <v>0</v>
      </c>
      <c r="AA77" s="18">
        <v>2</v>
      </c>
      <c r="AB77" s="18">
        <v>5</v>
      </c>
      <c r="AC77" s="18">
        <v>2</v>
      </c>
      <c r="AD77" s="39">
        <v>3</v>
      </c>
    </row>
    <row r="78" spans="2:30" x14ac:dyDescent="0.25">
      <c r="B78" s="707"/>
      <c r="C78" s="81" t="s">
        <v>47</v>
      </c>
      <c r="D78" s="38">
        <v>112</v>
      </c>
      <c r="E78" s="38">
        <v>113</v>
      </c>
      <c r="F78" s="38">
        <v>111</v>
      </c>
      <c r="G78" s="18">
        <v>2</v>
      </c>
      <c r="H78" s="18">
        <v>4</v>
      </c>
      <c r="I78" s="18">
        <v>0</v>
      </c>
      <c r="J78" s="18">
        <v>5</v>
      </c>
      <c r="K78" s="18">
        <v>5</v>
      </c>
      <c r="L78" s="18">
        <v>1</v>
      </c>
      <c r="M78" s="18">
        <v>1</v>
      </c>
      <c r="N78" s="18">
        <v>4</v>
      </c>
      <c r="O78" s="18">
        <v>1</v>
      </c>
      <c r="Q78" s="707"/>
      <c r="R78" s="81" t="s">
        <v>47</v>
      </c>
      <c r="S78" s="37">
        <v>70</v>
      </c>
      <c r="T78" s="37">
        <v>71</v>
      </c>
      <c r="U78" s="38">
        <v>65</v>
      </c>
      <c r="V78" s="18">
        <v>2</v>
      </c>
      <c r="W78" s="18">
        <v>1</v>
      </c>
      <c r="X78" s="18">
        <v>5</v>
      </c>
      <c r="Y78" s="18">
        <v>3</v>
      </c>
      <c r="Z78" s="18">
        <v>3</v>
      </c>
      <c r="AA78" s="18">
        <v>5</v>
      </c>
      <c r="AB78" s="18">
        <v>0</v>
      </c>
      <c r="AC78" s="18">
        <v>3</v>
      </c>
      <c r="AD78" s="39">
        <v>1</v>
      </c>
    </row>
    <row r="79" spans="2:30" x14ac:dyDescent="0.25">
      <c r="B79" s="707"/>
      <c r="C79" s="81" t="s">
        <v>48</v>
      </c>
      <c r="D79" s="20">
        <v>145</v>
      </c>
      <c r="E79" s="20">
        <v>148</v>
      </c>
      <c r="F79" s="36">
        <v>137</v>
      </c>
      <c r="G79" s="18">
        <v>4</v>
      </c>
      <c r="H79" s="18">
        <v>4</v>
      </c>
      <c r="I79" s="18">
        <v>6</v>
      </c>
      <c r="J79" s="18">
        <v>2</v>
      </c>
      <c r="K79" s="18">
        <v>2</v>
      </c>
      <c r="L79" s="18">
        <v>7</v>
      </c>
      <c r="M79" s="18">
        <v>2</v>
      </c>
      <c r="N79" s="18">
        <v>1</v>
      </c>
      <c r="O79" s="18">
        <v>2</v>
      </c>
      <c r="Q79" s="707"/>
      <c r="R79" s="81" t="s">
        <v>48</v>
      </c>
      <c r="S79" s="38">
        <v>68</v>
      </c>
      <c r="T79" s="38">
        <v>66</v>
      </c>
      <c r="U79" s="38">
        <v>65</v>
      </c>
      <c r="V79" s="18">
        <v>0</v>
      </c>
      <c r="W79" s="18">
        <v>2</v>
      </c>
      <c r="X79" s="18">
        <v>0</v>
      </c>
      <c r="Y79" s="18">
        <v>3</v>
      </c>
      <c r="Z79" s="18">
        <v>3</v>
      </c>
      <c r="AA79" s="18">
        <v>1</v>
      </c>
      <c r="AB79" s="18">
        <v>4</v>
      </c>
      <c r="AC79" s="18">
        <v>3</v>
      </c>
      <c r="AD79" s="39">
        <v>4</v>
      </c>
    </row>
    <row r="80" spans="2:30" x14ac:dyDescent="0.25">
      <c r="B80" s="707"/>
      <c r="C80" s="81" t="s">
        <v>49</v>
      </c>
      <c r="D80" s="34">
        <v>105</v>
      </c>
      <c r="E80" s="34">
        <v>105</v>
      </c>
      <c r="F80" s="34">
        <v>103</v>
      </c>
      <c r="G80" s="18">
        <v>4</v>
      </c>
      <c r="H80" s="18">
        <v>0</v>
      </c>
      <c r="I80" s="18">
        <v>6</v>
      </c>
      <c r="J80" s="18">
        <v>4</v>
      </c>
      <c r="K80" s="18">
        <v>3</v>
      </c>
      <c r="L80" s="18">
        <v>3</v>
      </c>
      <c r="M80" s="18">
        <v>2</v>
      </c>
      <c r="N80" s="18">
        <v>2</v>
      </c>
      <c r="O80" s="18">
        <v>4</v>
      </c>
      <c r="Q80" s="707"/>
      <c r="R80" s="81" t="s">
        <v>49</v>
      </c>
      <c r="S80" s="20">
        <v>87</v>
      </c>
      <c r="T80" s="36">
        <v>80</v>
      </c>
      <c r="U80" s="37">
        <v>74</v>
      </c>
      <c r="V80" s="18">
        <v>4</v>
      </c>
      <c r="W80" s="18">
        <v>2</v>
      </c>
      <c r="X80" s="18">
        <v>6</v>
      </c>
      <c r="Y80" s="18">
        <v>1</v>
      </c>
      <c r="Z80" s="18">
        <v>4</v>
      </c>
      <c r="AA80" s="18">
        <v>1</v>
      </c>
      <c r="AB80" s="120">
        <v>8</v>
      </c>
      <c r="AC80" s="18">
        <v>3</v>
      </c>
      <c r="AD80" s="39">
        <v>0</v>
      </c>
    </row>
    <row r="81" spans="2:30" x14ac:dyDescent="0.25">
      <c r="B81" s="707"/>
      <c r="C81" s="81" t="s">
        <v>50</v>
      </c>
      <c r="D81" s="18">
        <v>3</v>
      </c>
      <c r="E81" s="18">
        <v>3</v>
      </c>
      <c r="F81" s="18">
        <v>3</v>
      </c>
      <c r="G81" s="18">
        <v>5</v>
      </c>
      <c r="H81" s="18">
        <v>5</v>
      </c>
      <c r="I81" s="18">
        <v>0</v>
      </c>
      <c r="J81" s="18">
        <v>5</v>
      </c>
      <c r="K81" s="18">
        <v>3</v>
      </c>
      <c r="L81" s="18">
        <v>3</v>
      </c>
      <c r="M81" s="18">
        <v>3</v>
      </c>
      <c r="N81" s="18">
        <v>3</v>
      </c>
      <c r="O81" s="18">
        <v>2</v>
      </c>
      <c r="Q81" s="707"/>
      <c r="R81" s="81" t="s">
        <v>50</v>
      </c>
      <c r="S81" s="18">
        <v>4</v>
      </c>
      <c r="T81" s="18">
        <v>6</v>
      </c>
      <c r="U81" s="120">
        <v>8</v>
      </c>
      <c r="V81" s="120">
        <v>7</v>
      </c>
      <c r="W81" s="18">
        <v>3</v>
      </c>
      <c r="X81" s="18">
        <v>4</v>
      </c>
      <c r="Y81" s="18">
        <v>4</v>
      </c>
      <c r="Z81" s="18">
        <v>4</v>
      </c>
      <c r="AA81" s="18">
        <v>2</v>
      </c>
      <c r="AB81" s="18">
        <v>1</v>
      </c>
      <c r="AC81" s="18">
        <v>2</v>
      </c>
      <c r="AD81" s="332">
        <v>7</v>
      </c>
    </row>
    <row r="82" spans="2:30" ht="15.75" thickBot="1" x14ac:dyDescent="0.3">
      <c r="B82" s="707"/>
      <c r="C82" s="246" t="s">
        <v>51</v>
      </c>
      <c r="D82" s="247">
        <v>1</v>
      </c>
      <c r="E82" s="247">
        <v>0</v>
      </c>
      <c r="F82" s="247">
        <v>2</v>
      </c>
      <c r="G82" s="247">
        <v>0</v>
      </c>
      <c r="H82" s="247">
        <v>0</v>
      </c>
      <c r="I82" s="247">
        <v>3</v>
      </c>
      <c r="J82" s="247">
        <v>4</v>
      </c>
      <c r="K82" s="247">
        <v>3</v>
      </c>
      <c r="L82" s="247">
        <v>3</v>
      </c>
      <c r="M82" s="247">
        <v>3</v>
      </c>
      <c r="N82" s="247">
        <v>4</v>
      </c>
      <c r="O82" s="247">
        <v>3</v>
      </c>
      <c r="Q82" s="708"/>
      <c r="R82" s="201" t="s">
        <v>51</v>
      </c>
      <c r="S82" s="40">
        <v>3</v>
      </c>
      <c r="T82" s="40">
        <v>0</v>
      </c>
      <c r="U82" s="40">
        <v>2</v>
      </c>
      <c r="V82" s="40">
        <v>4</v>
      </c>
      <c r="W82" s="205">
        <v>7</v>
      </c>
      <c r="X82" s="40">
        <v>2</v>
      </c>
      <c r="Y82" s="40">
        <v>3</v>
      </c>
      <c r="Z82" s="40">
        <v>3</v>
      </c>
      <c r="AA82" s="40">
        <v>4</v>
      </c>
      <c r="AB82" s="40">
        <v>1</v>
      </c>
      <c r="AC82" s="40">
        <v>3</v>
      </c>
      <c r="AD82" s="41">
        <v>4</v>
      </c>
    </row>
    <row r="83" spans="2:30" x14ac:dyDescent="0.25">
      <c r="B83" s="706" t="s">
        <v>244</v>
      </c>
      <c r="C83" s="200"/>
      <c r="D83" s="132">
        <v>1</v>
      </c>
      <c r="E83" s="132">
        <v>2</v>
      </c>
      <c r="F83" s="132">
        <v>3</v>
      </c>
      <c r="G83" s="132">
        <v>4</v>
      </c>
      <c r="H83" s="132">
        <v>5</v>
      </c>
      <c r="I83" s="132">
        <v>6</v>
      </c>
      <c r="J83" s="132">
        <v>7</v>
      </c>
      <c r="K83" s="132">
        <v>8</v>
      </c>
      <c r="L83" s="132">
        <v>9</v>
      </c>
      <c r="M83" s="132">
        <v>10</v>
      </c>
      <c r="N83" s="132">
        <v>11</v>
      </c>
      <c r="O83" s="133">
        <v>12</v>
      </c>
      <c r="Q83" s="706" t="s">
        <v>295</v>
      </c>
      <c r="R83" s="200"/>
      <c r="S83" s="132">
        <v>1</v>
      </c>
      <c r="T83" s="132">
        <v>2</v>
      </c>
      <c r="U83" s="132">
        <v>3</v>
      </c>
      <c r="V83" s="132">
        <v>4</v>
      </c>
      <c r="W83" s="132">
        <v>5</v>
      </c>
      <c r="X83" s="132">
        <v>6</v>
      </c>
      <c r="Y83" s="132">
        <v>7</v>
      </c>
      <c r="Z83" s="132">
        <v>8</v>
      </c>
      <c r="AA83" s="132">
        <v>9</v>
      </c>
      <c r="AB83" s="132">
        <v>10</v>
      </c>
      <c r="AC83" s="132">
        <v>11</v>
      </c>
      <c r="AD83" s="133">
        <v>12</v>
      </c>
    </row>
    <row r="84" spans="2:30" x14ac:dyDescent="0.25">
      <c r="B84" s="707"/>
      <c r="C84" s="81" t="s">
        <v>44</v>
      </c>
      <c r="D84" s="21">
        <v>23</v>
      </c>
      <c r="E84" s="121">
        <v>31</v>
      </c>
      <c r="F84" s="121">
        <v>28</v>
      </c>
      <c r="G84" s="18">
        <v>3</v>
      </c>
      <c r="H84" s="18">
        <v>3</v>
      </c>
      <c r="I84" s="18">
        <v>2</v>
      </c>
      <c r="J84" s="120">
        <v>5</v>
      </c>
      <c r="K84" s="18">
        <v>3</v>
      </c>
      <c r="L84" s="18">
        <v>2</v>
      </c>
      <c r="M84" s="18">
        <v>0</v>
      </c>
      <c r="N84" s="18">
        <v>4</v>
      </c>
      <c r="O84" s="39">
        <v>4</v>
      </c>
      <c r="Q84" s="707"/>
      <c r="R84" s="81" t="s">
        <v>44</v>
      </c>
      <c r="S84" s="120">
        <v>55</v>
      </c>
      <c r="T84" s="120">
        <v>56</v>
      </c>
      <c r="U84" s="120">
        <v>54</v>
      </c>
      <c r="V84" s="18">
        <v>5</v>
      </c>
      <c r="W84" s="18">
        <v>5</v>
      </c>
      <c r="X84" s="18">
        <v>2</v>
      </c>
      <c r="Y84" s="18">
        <v>2</v>
      </c>
      <c r="Z84" s="18">
        <v>2</v>
      </c>
      <c r="AA84" s="18">
        <v>1</v>
      </c>
      <c r="AB84" s="18">
        <v>1</v>
      </c>
      <c r="AC84" s="18">
        <v>1</v>
      </c>
      <c r="AD84" s="39">
        <v>0</v>
      </c>
    </row>
    <row r="85" spans="2:30" x14ac:dyDescent="0.25">
      <c r="B85" s="707"/>
      <c r="C85" s="81" t="s">
        <v>45</v>
      </c>
      <c r="D85" s="20">
        <v>60</v>
      </c>
      <c r="E85" s="20">
        <v>61</v>
      </c>
      <c r="F85" s="20">
        <v>64</v>
      </c>
      <c r="G85" s="18">
        <v>4</v>
      </c>
      <c r="H85" s="18">
        <v>1</v>
      </c>
      <c r="I85" s="18">
        <v>4</v>
      </c>
      <c r="J85" s="18">
        <v>2</v>
      </c>
      <c r="K85" s="18">
        <v>3</v>
      </c>
      <c r="L85" s="120">
        <v>5</v>
      </c>
      <c r="M85" s="18">
        <v>2</v>
      </c>
      <c r="N85" s="18">
        <v>2</v>
      </c>
      <c r="O85" s="39">
        <v>3</v>
      </c>
      <c r="Q85" s="707"/>
      <c r="R85" s="81" t="s">
        <v>45</v>
      </c>
      <c r="S85" s="83">
        <v>180</v>
      </c>
      <c r="T85" s="83">
        <v>167</v>
      </c>
      <c r="U85" s="83">
        <v>165</v>
      </c>
      <c r="V85" s="18">
        <v>4</v>
      </c>
      <c r="W85" s="18">
        <v>1</v>
      </c>
      <c r="X85" s="18">
        <v>2</v>
      </c>
      <c r="Y85" s="18">
        <v>2</v>
      </c>
      <c r="Z85" s="18">
        <v>2</v>
      </c>
      <c r="AA85" s="18">
        <v>0</v>
      </c>
      <c r="AB85" s="18">
        <v>2</v>
      </c>
      <c r="AC85" s="18">
        <v>3</v>
      </c>
      <c r="AD85" s="39">
        <v>3</v>
      </c>
    </row>
    <row r="86" spans="2:30" x14ac:dyDescent="0.25">
      <c r="B86" s="707"/>
      <c r="C86" s="81" t="s">
        <v>46</v>
      </c>
      <c r="D86" s="37">
        <v>53</v>
      </c>
      <c r="E86" s="36">
        <v>56</v>
      </c>
      <c r="F86" s="36">
        <v>57</v>
      </c>
      <c r="G86" s="18">
        <v>0</v>
      </c>
      <c r="H86" s="18">
        <v>3</v>
      </c>
      <c r="I86" s="18">
        <v>4</v>
      </c>
      <c r="J86" s="18">
        <v>2</v>
      </c>
      <c r="K86" s="18">
        <v>4</v>
      </c>
      <c r="L86" s="18">
        <v>2</v>
      </c>
      <c r="M86" s="18">
        <v>1</v>
      </c>
      <c r="N86" s="18">
        <v>1</v>
      </c>
      <c r="O86" s="39">
        <v>2</v>
      </c>
      <c r="Q86" s="707"/>
      <c r="R86" s="81" t="s">
        <v>46</v>
      </c>
      <c r="S86" s="83">
        <v>186</v>
      </c>
      <c r="T86" s="83">
        <v>181</v>
      </c>
      <c r="U86" s="83">
        <v>179</v>
      </c>
      <c r="V86" s="18">
        <v>2</v>
      </c>
      <c r="W86" s="18">
        <v>2</v>
      </c>
      <c r="X86" s="18">
        <v>2</v>
      </c>
      <c r="Y86" s="18">
        <v>1</v>
      </c>
      <c r="Z86" s="18">
        <v>4</v>
      </c>
      <c r="AA86" s="18">
        <v>3</v>
      </c>
      <c r="AB86" s="18">
        <v>0</v>
      </c>
      <c r="AC86" s="18">
        <v>1</v>
      </c>
      <c r="AD86" s="39">
        <v>1</v>
      </c>
    </row>
    <row r="87" spans="2:30" x14ac:dyDescent="0.25">
      <c r="B87" s="707"/>
      <c r="C87" s="81" t="s">
        <v>47</v>
      </c>
      <c r="D87" s="34">
        <v>44</v>
      </c>
      <c r="E87" s="34">
        <v>45</v>
      </c>
      <c r="F87" s="34">
        <v>42</v>
      </c>
      <c r="G87" s="18">
        <v>2</v>
      </c>
      <c r="H87" s="18">
        <v>3</v>
      </c>
      <c r="I87" s="18">
        <v>4</v>
      </c>
      <c r="J87" s="18">
        <v>2</v>
      </c>
      <c r="K87" s="18">
        <v>3</v>
      </c>
      <c r="L87" s="18">
        <v>2</v>
      </c>
      <c r="M87" s="18">
        <v>4</v>
      </c>
      <c r="N87" s="18">
        <v>2</v>
      </c>
      <c r="O87" s="39">
        <v>3</v>
      </c>
      <c r="Q87" s="707"/>
      <c r="R87" s="81" t="s">
        <v>47</v>
      </c>
      <c r="S87" s="17">
        <v>125</v>
      </c>
      <c r="T87" s="17">
        <v>136</v>
      </c>
      <c r="U87" s="17">
        <v>122</v>
      </c>
      <c r="V87" s="18">
        <v>3</v>
      </c>
      <c r="W87" s="18">
        <v>2</v>
      </c>
      <c r="X87" s="18">
        <v>0</v>
      </c>
      <c r="Y87" s="18">
        <v>3</v>
      </c>
      <c r="Z87" s="18">
        <v>4</v>
      </c>
      <c r="AA87" s="18">
        <v>1</v>
      </c>
      <c r="AB87" s="18">
        <v>3</v>
      </c>
      <c r="AC87" s="18">
        <v>1</v>
      </c>
      <c r="AD87" s="39">
        <v>1</v>
      </c>
    </row>
    <row r="88" spans="2:30" x14ac:dyDescent="0.25">
      <c r="B88" s="707"/>
      <c r="C88" s="81" t="s">
        <v>48</v>
      </c>
      <c r="D88" s="19">
        <v>35</v>
      </c>
      <c r="E88" s="19">
        <v>34</v>
      </c>
      <c r="F88" s="19">
        <v>36</v>
      </c>
      <c r="G88" s="18">
        <v>4</v>
      </c>
      <c r="H88" s="120">
        <v>6</v>
      </c>
      <c r="I88" s="18">
        <v>4</v>
      </c>
      <c r="J88" s="120">
        <v>5</v>
      </c>
      <c r="K88" s="18">
        <v>4</v>
      </c>
      <c r="L88" s="18">
        <v>2</v>
      </c>
      <c r="M88" s="18">
        <v>3</v>
      </c>
      <c r="N88" s="18">
        <v>0</v>
      </c>
      <c r="O88" s="39">
        <v>1</v>
      </c>
      <c r="Q88" s="707"/>
      <c r="R88" s="81" t="s">
        <v>48</v>
      </c>
      <c r="S88" s="20">
        <v>728</v>
      </c>
      <c r="T88" s="20">
        <v>728</v>
      </c>
      <c r="U88" s="20">
        <v>724</v>
      </c>
      <c r="V88" s="18">
        <v>3</v>
      </c>
      <c r="W88" s="18">
        <v>2</v>
      </c>
      <c r="X88" s="18">
        <v>2</v>
      </c>
      <c r="Y88" s="18">
        <v>2</v>
      </c>
      <c r="Z88" s="18">
        <v>4</v>
      </c>
      <c r="AA88" s="18">
        <v>2</v>
      </c>
      <c r="AB88" s="18">
        <v>0</v>
      </c>
      <c r="AC88" s="18">
        <v>2</v>
      </c>
      <c r="AD88" s="39">
        <v>2</v>
      </c>
    </row>
    <row r="89" spans="2:30" x14ac:dyDescent="0.25">
      <c r="B89" s="707"/>
      <c r="C89" s="81" t="s">
        <v>49</v>
      </c>
      <c r="D89" s="35">
        <v>40</v>
      </c>
      <c r="E89" s="35">
        <v>39</v>
      </c>
      <c r="F89" s="35">
        <v>37</v>
      </c>
      <c r="G89" s="18">
        <v>1</v>
      </c>
      <c r="H89" s="18">
        <v>2</v>
      </c>
      <c r="I89" s="18">
        <v>3</v>
      </c>
      <c r="J89" s="18">
        <v>0</v>
      </c>
      <c r="K89" s="18">
        <v>3</v>
      </c>
      <c r="L89" s="18">
        <v>2</v>
      </c>
      <c r="M89" s="18">
        <v>4</v>
      </c>
      <c r="N89" s="18">
        <v>4</v>
      </c>
      <c r="O89" s="39">
        <v>2</v>
      </c>
      <c r="Q89" s="707"/>
      <c r="R89" s="81" t="s">
        <v>49</v>
      </c>
      <c r="S89" s="83">
        <v>189</v>
      </c>
      <c r="T89" s="83">
        <v>182</v>
      </c>
      <c r="U89" s="83">
        <v>166</v>
      </c>
      <c r="V89" s="18">
        <v>0</v>
      </c>
      <c r="W89" s="18">
        <v>4</v>
      </c>
      <c r="X89" s="18">
        <v>5</v>
      </c>
      <c r="Y89" s="18">
        <v>2</v>
      </c>
      <c r="Z89" s="18">
        <v>0</v>
      </c>
      <c r="AA89" s="18">
        <v>4</v>
      </c>
      <c r="AB89" s="18">
        <v>1</v>
      </c>
      <c r="AC89" s="18">
        <v>1</v>
      </c>
      <c r="AD89" s="39">
        <v>6</v>
      </c>
    </row>
    <row r="90" spans="2:30" x14ac:dyDescent="0.25">
      <c r="B90" s="707"/>
      <c r="C90" s="81" t="s">
        <v>50</v>
      </c>
      <c r="D90" s="18">
        <v>1</v>
      </c>
      <c r="E90" s="18">
        <v>0</v>
      </c>
      <c r="F90" s="18">
        <v>2</v>
      </c>
      <c r="G90" s="120">
        <v>5</v>
      </c>
      <c r="H90" s="18">
        <v>1</v>
      </c>
      <c r="I90" s="18">
        <v>2</v>
      </c>
      <c r="J90" s="18">
        <v>3</v>
      </c>
      <c r="K90" s="18">
        <v>3</v>
      </c>
      <c r="L90" s="18">
        <v>1</v>
      </c>
      <c r="M90" s="18">
        <v>1</v>
      </c>
      <c r="N90" s="18">
        <v>3</v>
      </c>
      <c r="O90" s="332">
        <v>5</v>
      </c>
      <c r="Q90" s="707"/>
      <c r="R90" s="81" t="s">
        <v>50</v>
      </c>
      <c r="S90" s="18">
        <v>0</v>
      </c>
      <c r="T90" s="18">
        <v>2</v>
      </c>
      <c r="U90" s="18">
        <v>2</v>
      </c>
      <c r="V90" s="18">
        <v>1</v>
      </c>
      <c r="W90" s="18">
        <v>1</v>
      </c>
      <c r="X90" s="18">
        <v>2</v>
      </c>
      <c r="Y90" s="18">
        <v>2</v>
      </c>
      <c r="Z90" s="18">
        <v>0</v>
      </c>
      <c r="AA90" s="18">
        <v>1</v>
      </c>
      <c r="AB90" s="18">
        <v>4</v>
      </c>
      <c r="AC90" s="18">
        <v>2</v>
      </c>
      <c r="AD90" s="39">
        <v>1</v>
      </c>
    </row>
    <row r="91" spans="2:30" ht="15.75" thickBot="1" x14ac:dyDescent="0.3">
      <c r="B91" s="708"/>
      <c r="C91" s="201" t="s">
        <v>51</v>
      </c>
      <c r="D91" s="40">
        <v>1</v>
      </c>
      <c r="E91" s="40">
        <v>3</v>
      </c>
      <c r="F91" s="40">
        <v>4</v>
      </c>
      <c r="G91" s="40">
        <v>2</v>
      </c>
      <c r="H91" s="40">
        <v>4</v>
      </c>
      <c r="I91" s="40">
        <v>4</v>
      </c>
      <c r="J91" s="40">
        <v>3</v>
      </c>
      <c r="K91" s="40">
        <v>3</v>
      </c>
      <c r="L91" s="40">
        <v>2</v>
      </c>
      <c r="M91" s="40">
        <v>3</v>
      </c>
      <c r="N91" s="40">
        <v>0</v>
      </c>
      <c r="O91" s="41">
        <v>2</v>
      </c>
      <c r="Q91" s="708"/>
      <c r="R91" s="201" t="s">
        <v>51</v>
      </c>
      <c r="S91" s="40">
        <v>1</v>
      </c>
      <c r="T91" s="40">
        <v>1</v>
      </c>
      <c r="U91" s="40">
        <v>3</v>
      </c>
      <c r="V91" s="40">
        <v>4</v>
      </c>
      <c r="W91" s="40">
        <v>4</v>
      </c>
      <c r="X91" s="40">
        <v>5</v>
      </c>
      <c r="Y91" s="40">
        <v>2</v>
      </c>
      <c r="Z91" s="40">
        <v>3</v>
      </c>
      <c r="AA91" s="40">
        <v>3</v>
      </c>
      <c r="AB91" s="40">
        <v>2</v>
      </c>
      <c r="AC91" s="40">
        <v>0</v>
      </c>
      <c r="AD91" s="41">
        <v>3</v>
      </c>
    </row>
    <row r="92" spans="2:30" x14ac:dyDescent="0.25">
      <c r="B92" s="706" t="s">
        <v>245</v>
      </c>
      <c r="C92" s="211"/>
      <c r="D92" s="81">
        <v>1</v>
      </c>
      <c r="E92" s="81">
        <v>2</v>
      </c>
      <c r="F92" s="81">
        <v>3</v>
      </c>
      <c r="G92" s="81">
        <v>4</v>
      </c>
      <c r="H92" s="81">
        <v>5</v>
      </c>
      <c r="I92" s="81">
        <v>6</v>
      </c>
      <c r="J92" s="81">
        <v>7</v>
      </c>
      <c r="K92" s="81">
        <v>8</v>
      </c>
      <c r="L92" s="81">
        <v>9</v>
      </c>
      <c r="M92" s="81">
        <v>10</v>
      </c>
      <c r="N92" s="81">
        <v>11</v>
      </c>
      <c r="O92" s="81">
        <v>12</v>
      </c>
      <c r="Q92" s="712" t="s">
        <v>329</v>
      </c>
      <c r="R92" s="200"/>
      <c r="S92" s="132">
        <v>1</v>
      </c>
      <c r="T92" s="132">
        <v>2</v>
      </c>
      <c r="U92" s="132">
        <v>3</v>
      </c>
      <c r="V92" s="132">
        <v>4</v>
      </c>
      <c r="W92" s="132">
        <v>5</v>
      </c>
      <c r="X92" s="132">
        <v>6</v>
      </c>
      <c r="Y92" s="132">
        <v>7</v>
      </c>
      <c r="Z92" s="132">
        <v>8</v>
      </c>
      <c r="AA92" s="132">
        <v>9</v>
      </c>
      <c r="AB92" s="132">
        <v>10</v>
      </c>
      <c r="AC92" s="132">
        <v>11</v>
      </c>
      <c r="AD92" s="133">
        <v>12</v>
      </c>
    </row>
    <row r="93" spans="2:30" x14ac:dyDescent="0.25">
      <c r="B93" s="707"/>
      <c r="C93" s="81" t="s">
        <v>44</v>
      </c>
      <c r="D93" s="19">
        <v>53</v>
      </c>
      <c r="E93" s="121">
        <v>46</v>
      </c>
      <c r="F93" s="121">
        <v>48</v>
      </c>
      <c r="G93" s="18">
        <v>3</v>
      </c>
      <c r="H93" s="18">
        <v>0</v>
      </c>
      <c r="I93" s="18">
        <v>1</v>
      </c>
      <c r="J93" s="18">
        <v>4</v>
      </c>
      <c r="K93" s="18">
        <v>0</v>
      </c>
      <c r="L93" s="18">
        <v>3</v>
      </c>
      <c r="M93" s="18">
        <v>2</v>
      </c>
      <c r="N93" s="18">
        <v>5</v>
      </c>
      <c r="O93" s="18">
        <v>2</v>
      </c>
      <c r="Q93" s="713"/>
      <c r="R93" s="81" t="s">
        <v>44</v>
      </c>
      <c r="S93" s="120">
        <v>50</v>
      </c>
      <c r="T93" s="120">
        <v>47</v>
      </c>
      <c r="U93" s="120">
        <v>47</v>
      </c>
      <c r="V93" s="18">
        <v>1</v>
      </c>
      <c r="W93" s="18">
        <v>5</v>
      </c>
      <c r="X93" s="18">
        <v>0</v>
      </c>
      <c r="Y93" s="18">
        <v>4</v>
      </c>
      <c r="Z93" s="18">
        <v>3</v>
      </c>
      <c r="AA93" s="18">
        <v>3</v>
      </c>
      <c r="AB93" s="18">
        <v>4</v>
      </c>
      <c r="AC93" s="18">
        <v>3</v>
      </c>
      <c r="AD93" s="39">
        <v>1</v>
      </c>
    </row>
    <row r="94" spans="2:30" x14ac:dyDescent="0.25">
      <c r="B94" s="707"/>
      <c r="C94" s="81" t="s">
        <v>45</v>
      </c>
      <c r="D94" s="37">
        <v>82</v>
      </c>
      <c r="E94" s="37">
        <v>82</v>
      </c>
      <c r="F94" s="38">
        <v>74</v>
      </c>
      <c r="G94" s="18">
        <v>2</v>
      </c>
      <c r="H94" s="18">
        <v>5</v>
      </c>
      <c r="I94" s="18">
        <v>1</v>
      </c>
      <c r="J94" s="18">
        <v>1</v>
      </c>
      <c r="K94" s="18">
        <v>4</v>
      </c>
      <c r="L94" s="18">
        <v>2</v>
      </c>
      <c r="M94" s="18">
        <v>4</v>
      </c>
      <c r="N94" s="18">
        <v>1</v>
      </c>
      <c r="O94" s="18">
        <v>6</v>
      </c>
      <c r="Q94" s="713"/>
      <c r="R94" s="81" t="s">
        <v>45</v>
      </c>
      <c r="S94" s="38">
        <v>459</v>
      </c>
      <c r="T94" s="34">
        <v>445</v>
      </c>
      <c r="U94" s="34">
        <v>437</v>
      </c>
      <c r="V94" s="18">
        <v>3</v>
      </c>
      <c r="W94" s="18">
        <v>2</v>
      </c>
      <c r="X94" s="18">
        <v>2</v>
      </c>
      <c r="Y94" s="18">
        <v>0</v>
      </c>
      <c r="Z94" s="18">
        <v>1</v>
      </c>
      <c r="AA94" s="18">
        <v>0</v>
      </c>
      <c r="AB94" s="18">
        <v>2</v>
      </c>
      <c r="AC94" s="18">
        <v>1</v>
      </c>
      <c r="AD94" s="39">
        <v>2</v>
      </c>
    </row>
    <row r="95" spans="2:30" x14ac:dyDescent="0.25">
      <c r="B95" s="707"/>
      <c r="C95" s="81" t="s">
        <v>46</v>
      </c>
      <c r="D95" s="37">
        <v>84</v>
      </c>
      <c r="E95" s="37">
        <v>82</v>
      </c>
      <c r="F95" s="36">
        <v>85</v>
      </c>
      <c r="G95" s="18">
        <v>3</v>
      </c>
      <c r="H95" s="18">
        <v>0</v>
      </c>
      <c r="I95" s="18">
        <v>3</v>
      </c>
      <c r="J95" s="18">
        <v>3</v>
      </c>
      <c r="K95" s="18">
        <v>4</v>
      </c>
      <c r="L95" s="18">
        <v>2</v>
      </c>
      <c r="M95" s="18">
        <v>7</v>
      </c>
      <c r="N95" s="18">
        <v>1</v>
      </c>
      <c r="O95" s="18">
        <v>4</v>
      </c>
      <c r="Q95" s="713"/>
      <c r="R95" s="81" t="s">
        <v>46</v>
      </c>
      <c r="S95" s="34">
        <v>435</v>
      </c>
      <c r="T95" s="20">
        <v>638</v>
      </c>
      <c r="U95" s="34">
        <v>424</v>
      </c>
      <c r="V95" s="18">
        <v>3</v>
      </c>
      <c r="W95" s="18">
        <v>2</v>
      </c>
      <c r="X95" s="18">
        <v>0</v>
      </c>
      <c r="Y95" s="18">
        <v>4</v>
      </c>
      <c r="Z95" s="18">
        <v>2</v>
      </c>
      <c r="AA95" s="18">
        <v>0</v>
      </c>
      <c r="AB95" s="18">
        <v>3</v>
      </c>
      <c r="AC95" s="18">
        <v>1</v>
      </c>
      <c r="AD95" s="39">
        <v>3</v>
      </c>
    </row>
    <row r="96" spans="2:30" x14ac:dyDescent="0.25">
      <c r="B96" s="707"/>
      <c r="C96" s="81" t="s">
        <v>47</v>
      </c>
      <c r="D96" s="20">
        <v>97</v>
      </c>
      <c r="E96" s="20">
        <v>98</v>
      </c>
      <c r="F96" s="20">
        <v>92</v>
      </c>
      <c r="G96" s="18">
        <v>0</v>
      </c>
      <c r="H96" s="18">
        <v>4</v>
      </c>
      <c r="I96" s="18">
        <v>1</v>
      </c>
      <c r="J96" s="18">
        <v>0</v>
      </c>
      <c r="K96" s="18">
        <v>5</v>
      </c>
      <c r="L96" s="18">
        <v>4</v>
      </c>
      <c r="M96" s="18">
        <v>0</v>
      </c>
      <c r="N96" s="18">
        <v>2</v>
      </c>
      <c r="O96" s="18">
        <v>3</v>
      </c>
      <c r="Q96" s="713"/>
      <c r="R96" s="81" t="s">
        <v>47</v>
      </c>
      <c r="S96" s="120">
        <v>85</v>
      </c>
      <c r="T96" s="120">
        <v>88</v>
      </c>
      <c r="U96" s="120">
        <v>84</v>
      </c>
      <c r="V96" s="18">
        <v>4</v>
      </c>
      <c r="W96" s="18">
        <v>3</v>
      </c>
      <c r="X96" s="18">
        <v>3</v>
      </c>
      <c r="Y96" s="18">
        <v>5</v>
      </c>
      <c r="Z96" s="18">
        <v>5</v>
      </c>
      <c r="AA96" s="18">
        <v>4</v>
      </c>
      <c r="AB96" s="18">
        <v>2</v>
      </c>
      <c r="AC96" s="18">
        <v>4</v>
      </c>
      <c r="AD96" s="39">
        <v>5</v>
      </c>
    </row>
    <row r="97" spans="2:30" x14ac:dyDescent="0.25">
      <c r="B97" s="707"/>
      <c r="C97" s="81" t="s">
        <v>48</v>
      </c>
      <c r="D97" s="37">
        <v>78</v>
      </c>
      <c r="E97" s="37">
        <v>78</v>
      </c>
      <c r="F97" s="38">
        <v>76</v>
      </c>
      <c r="G97" s="18">
        <v>2</v>
      </c>
      <c r="H97" s="18">
        <v>3</v>
      </c>
      <c r="I97" s="18">
        <v>5</v>
      </c>
      <c r="J97" s="18">
        <v>2</v>
      </c>
      <c r="K97" s="18">
        <v>4</v>
      </c>
      <c r="L97" s="18">
        <v>4</v>
      </c>
      <c r="M97" s="18">
        <v>1</v>
      </c>
      <c r="N97" s="18">
        <v>6</v>
      </c>
      <c r="O97" s="18">
        <v>4</v>
      </c>
      <c r="Q97" s="713"/>
      <c r="R97" s="81" t="s">
        <v>48</v>
      </c>
      <c r="S97" s="17">
        <v>96</v>
      </c>
      <c r="T97" s="17">
        <v>92</v>
      </c>
      <c r="U97" s="120">
        <v>90</v>
      </c>
      <c r="V97" s="18">
        <v>2</v>
      </c>
      <c r="W97" s="18">
        <v>5</v>
      </c>
      <c r="X97" s="18">
        <v>5</v>
      </c>
      <c r="Y97" s="18">
        <v>6</v>
      </c>
      <c r="Z97" s="18">
        <v>4</v>
      </c>
      <c r="AA97" s="18">
        <v>3</v>
      </c>
      <c r="AB97" s="18">
        <v>4</v>
      </c>
      <c r="AC97" s="18">
        <v>1</v>
      </c>
      <c r="AD97" s="39">
        <v>1</v>
      </c>
    </row>
    <row r="98" spans="2:30" x14ac:dyDescent="0.25">
      <c r="B98" s="707"/>
      <c r="C98" s="81" t="s">
        <v>49</v>
      </c>
      <c r="D98" s="20">
        <v>96</v>
      </c>
      <c r="E98" s="36">
        <v>89</v>
      </c>
      <c r="F98" s="20">
        <v>96</v>
      </c>
      <c r="G98" s="18">
        <v>1</v>
      </c>
      <c r="H98" s="18">
        <v>0</v>
      </c>
      <c r="I98" s="18">
        <v>3</v>
      </c>
      <c r="J98" s="18">
        <v>0</v>
      </c>
      <c r="K98" s="18">
        <v>4</v>
      </c>
      <c r="L98" s="18">
        <v>5</v>
      </c>
      <c r="M98" s="18">
        <v>1</v>
      </c>
      <c r="N98" s="18">
        <v>4</v>
      </c>
      <c r="O98" s="18">
        <v>5</v>
      </c>
      <c r="Q98" s="713"/>
      <c r="R98" s="81" t="s">
        <v>49</v>
      </c>
      <c r="S98" s="17">
        <v>103</v>
      </c>
      <c r="T98" s="17">
        <v>99</v>
      </c>
      <c r="U98" s="17">
        <v>102</v>
      </c>
      <c r="V98" s="18">
        <v>6</v>
      </c>
      <c r="W98" s="18">
        <v>2</v>
      </c>
      <c r="X98" s="18">
        <v>5</v>
      </c>
      <c r="Y98" s="18">
        <v>6</v>
      </c>
      <c r="Z98" s="18">
        <v>6</v>
      </c>
      <c r="AA98" s="18">
        <v>3</v>
      </c>
      <c r="AB98" s="18">
        <v>3</v>
      </c>
      <c r="AC98" s="18">
        <v>5</v>
      </c>
      <c r="AD98" s="39">
        <v>3</v>
      </c>
    </row>
    <row r="99" spans="2:30" x14ac:dyDescent="0.25">
      <c r="B99" s="707"/>
      <c r="C99" s="81" t="s">
        <v>50</v>
      </c>
      <c r="D99" s="36">
        <v>87</v>
      </c>
      <c r="E99" s="38">
        <v>76</v>
      </c>
      <c r="F99" s="37">
        <v>83</v>
      </c>
      <c r="G99" s="18">
        <v>2</v>
      </c>
      <c r="H99" s="18">
        <v>4</v>
      </c>
      <c r="I99" s="18">
        <v>2</v>
      </c>
      <c r="J99" s="18">
        <v>1</v>
      </c>
      <c r="K99" s="18">
        <v>0</v>
      </c>
      <c r="L99" s="18">
        <v>1</v>
      </c>
      <c r="M99" s="18">
        <v>5</v>
      </c>
      <c r="N99" s="18">
        <v>1</v>
      </c>
      <c r="O99" s="18">
        <v>0</v>
      </c>
      <c r="Q99" s="713"/>
      <c r="R99" s="81" t="s">
        <v>50</v>
      </c>
      <c r="S99" s="18">
        <v>5</v>
      </c>
      <c r="T99" s="18">
        <v>3</v>
      </c>
      <c r="U99" s="18">
        <v>1</v>
      </c>
      <c r="V99" s="18">
        <v>2</v>
      </c>
      <c r="W99" s="18">
        <v>2</v>
      </c>
      <c r="X99" s="18">
        <v>2</v>
      </c>
      <c r="Y99" s="18">
        <v>3</v>
      </c>
      <c r="Z99" s="18">
        <v>5</v>
      </c>
      <c r="AA99" s="18">
        <v>4</v>
      </c>
      <c r="AB99" s="18">
        <v>6</v>
      </c>
      <c r="AC99" s="18">
        <v>5</v>
      </c>
      <c r="AD99" s="39">
        <v>1</v>
      </c>
    </row>
    <row r="100" spans="2:30" ht="15.75" thickBot="1" x14ac:dyDescent="0.3">
      <c r="B100" s="707"/>
      <c r="C100" s="246" t="s">
        <v>51</v>
      </c>
      <c r="D100" s="247">
        <v>2</v>
      </c>
      <c r="E100" s="247">
        <v>2</v>
      </c>
      <c r="F100" s="247">
        <v>5</v>
      </c>
      <c r="G100" s="247">
        <v>3</v>
      </c>
      <c r="H100" s="247">
        <v>5</v>
      </c>
      <c r="I100" s="247">
        <v>5</v>
      </c>
      <c r="J100" s="247">
        <v>3</v>
      </c>
      <c r="K100" s="247">
        <v>1</v>
      </c>
      <c r="L100" s="247">
        <v>0</v>
      </c>
      <c r="M100" s="247">
        <v>5</v>
      </c>
      <c r="N100" s="247">
        <v>6</v>
      </c>
      <c r="O100" s="247">
        <v>1</v>
      </c>
      <c r="Q100" s="714"/>
      <c r="R100" s="201" t="s">
        <v>51</v>
      </c>
      <c r="S100" s="40">
        <v>2</v>
      </c>
      <c r="T100" s="40">
        <v>0</v>
      </c>
      <c r="U100" s="40">
        <v>3</v>
      </c>
      <c r="V100" s="40">
        <v>5</v>
      </c>
      <c r="W100" s="40">
        <v>2</v>
      </c>
      <c r="X100" s="40">
        <v>2</v>
      </c>
      <c r="Y100" s="40">
        <v>0</v>
      </c>
      <c r="Z100" s="40">
        <v>3</v>
      </c>
      <c r="AA100" s="40">
        <v>2</v>
      </c>
      <c r="AB100" s="40">
        <v>4</v>
      </c>
      <c r="AC100" s="40">
        <v>4</v>
      </c>
      <c r="AD100" s="41">
        <v>3</v>
      </c>
    </row>
    <row r="101" spans="2:30" x14ac:dyDescent="0.25">
      <c r="B101" s="706" t="s">
        <v>259</v>
      </c>
      <c r="C101" s="131"/>
      <c r="D101" s="132">
        <v>1</v>
      </c>
      <c r="E101" s="132">
        <v>2</v>
      </c>
      <c r="F101" s="132">
        <v>3</v>
      </c>
      <c r="G101" s="132">
        <v>4</v>
      </c>
      <c r="H101" s="132">
        <v>5</v>
      </c>
      <c r="I101" s="132">
        <v>6</v>
      </c>
      <c r="J101" s="132">
        <v>7</v>
      </c>
      <c r="K101" s="132">
        <v>8</v>
      </c>
      <c r="L101" s="132">
        <v>9</v>
      </c>
      <c r="M101" s="132">
        <v>10</v>
      </c>
      <c r="N101" s="132">
        <v>11</v>
      </c>
      <c r="O101" s="133">
        <v>12</v>
      </c>
      <c r="Q101" s="712" t="s">
        <v>332</v>
      </c>
      <c r="R101" s="211"/>
      <c r="S101" s="81">
        <v>1</v>
      </c>
      <c r="T101" s="81">
        <v>2</v>
      </c>
      <c r="U101" s="81">
        <v>3</v>
      </c>
      <c r="V101" s="81">
        <v>4</v>
      </c>
      <c r="W101" s="81">
        <v>5</v>
      </c>
      <c r="X101" s="81">
        <v>6</v>
      </c>
      <c r="Y101" s="81">
        <v>7</v>
      </c>
      <c r="Z101" s="81">
        <v>8</v>
      </c>
      <c r="AA101" s="81">
        <v>9</v>
      </c>
      <c r="AB101" s="81">
        <v>10</v>
      </c>
      <c r="AC101" s="81">
        <v>11</v>
      </c>
      <c r="AD101" s="81">
        <v>12</v>
      </c>
    </row>
    <row r="102" spans="2:30" x14ac:dyDescent="0.25">
      <c r="B102" s="707"/>
      <c r="C102" s="45" t="s">
        <v>44</v>
      </c>
      <c r="D102" s="35">
        <v>50</v>
      </c>
      <c r="E102" s="35">
        <v>52</v>
      </c>
      <c r="F102" s="19">
        <v>47</v>
      </c>
      <c r="G102" s="18">
        <v>3</v>
      </c>
      <c r="H102" s="18">
        <v>3</v>
      </c>
      <c r="I102" s="18">
        <v>2</v>
      </c>
      <c r="J102" s="18">
        <v>4</v>
      </c>
      <c r="K102" s="18">
        <v>2</v>
      </c>
      <c r="L102" s="18">
        <v>2</v>
      </c>
      <c r="M102" s="18">
        <v>3</v>
      </c>
      <c r="N102" s="18">
        <v>3</v>
      </c>
      <c r="O102" s="39">
        <v>3</v>
      </c>
      <c r="Q102" s="713"/>
      <c r="R102" s="81" t="s">
        <v>44</v>
      </c>
      <c r="S102" s="17">
        <v>42</v>
      </c>
      <c r="T102" s="17">
        <v>36</v>
      </c>
      <c r="U102" s="17">
        <v>41</v>
      </c>
      <c r="V102" s="18">
        <v>2</v>
      </c>
      <c r="W102" s="18">
        <v>3</v>
      </c>
      <c r="X102" s="18">
        <v>1</v>
      </c>
      <c r="Y102" s="18">
        <v>0</v>
      </c>
      <c r="Z102" s="18">
        <v>1</v>
      </c>
      <c r="AA102" s="18">
        <v>3</v>
      </c>
      <c r="AB102" s="18">
        <v>5</v>
      </c>
      <c r="AC102" s="18">
        <v>1</v>
      </c>
      <c r="AD102" s="18">
        <v>2</v>
      </c>
    </row>
    <row r="103" spans="2:30" x14ac:dyDescent="0.25">
      <c r="B103" s="707"/>
      <c r="C103" s="45" t="s">
        <v>45</v>
      </c>
      <c r="D103" s="37">
        <v>73</v>
      </c>
      <c r="E103" s="37">
        <v>71</v>
      </c>
      <c r="F103" s="37">
        <v>74</v>
      </c>
      <c r="G103" s="18">
        <v>3</v>
      </c>
      <c r="H103" s="18">
        <v>2</v>
      </c>
      <c r="I103" s="18">
        <v>3</v>
      </c>
      <c r="J103" s="18">
        <v>4</v>
      </c>
      <c r="K103" s="18">
        <v>4</v>
      </c>
      <c r="L103" s="18">
        <v>0</v>
      </c>
      <c r="M103" s="18">
        <v>4</v>
      </c>
      <c r="N103" s="18">
        <v>4</v>
      </c>
      <c r="O103" s="39">
        <v>2</v>
      </c>
      <c r="Q103" s="713"/>
      <c r="R103" s="81" t="s">
        <v>45</v>
      </c>
      <c r="S103" s="82">
        <v>73</v>
      </c>
      <c r="T103" s="21">
        <v>76</v>
      </c>
      <c r="U103" s="21">
        <v>75</v>
      </c>
      <c r="V103" s="121">
        <v>103</v>
      </c>
      <c r="W103" s="121">
        <v>100</v>
      </c>
      <c r="X103" s="121">
        <v>102</v>
      </c>
      <c r="Y103" s="18">
        <v>3</v>
      </c>
      <c r="Z103" s="18">
        <v>2</v>
      </c>
      <c r="AA103" s="18">
        <v>1</v>
      </c>
      <c r="AB103" s="18">
        <v>5</v>
      </c>
      <c r="AC103" s="18">
        <v>0</v>
      </c>
      <c r="AD103" s="18">
        <v>0</v>
      </c>
    </row>
    <row r="104" spans="2:30" x14ac:dyDescent="0.25">
      <c r="B104" s="707"/>
      <c r="C104" s="45" t="s">
        <v>46</v>
      </c>
      <c r="D104" s="20">
        <v>87</v>
      </c>
      <c r="E104" s="20">
        <v>82</v>
      </c>
      <c r="F104" s="20">
        <v>85</v>
      </c>
      <c r="G104" s="18">
        <v>3</v>
      </c>
      <c r="H104" s="18">
        <v>4</v>
      </c>
      <c r="I104" s="18">
        <v>4</v>
      </c>
      <c r="J104" s="18">
        <v>1</v>
      </c>
      <c r="K104" s="18">
        <v>1</v>
      </c>
      <c r="L104" s="18">
        <v>1</v>
      </c>
      <c r="M104" s="18">
        <v>3</v>
      </c>
      <c r="N104" s="18">
        <v>4</v>
      </c>
      <c r="O104" s="39">
        <v>3</v>
      </c>
      <c r="Q104" s="713"/>
      <c r="R104" s="81" t="s">
        <v>46</v>
      </c>
      <c r="S104" s="21">
        <v>84</v>
      </c>
      <c r="T104" s="21">
        <v>81</v>
      </c>
      <c r="U104" s="21">
        <v>79</v>
      </c>
      <c r="V104" s="20">
        <v>206</v>
      </c>
      <c r="W104" s="20">
        <v>204</v>
      </c>
      <c r="X104" s="20">
        <v>192</v>
      </c>
      <c r="Y104" s="18">
        <v>1</v>
      </c>
      <c r="Z104" s="18">
        <v>0</v>
      </c>
      <c r="AA104" s="18">
        <v>2</v>
      </c>
      <c r="AB104" s="18">
        <v>1</v>
      </c>
      <c r="AC104" s="18">
        <v>2</v>
      </c>
      <c r="AD104" s="18">
        <v>4</v>
      </c>
    </row>
    <row r="105" spans="2:30" x14ac:dyDescent="0.25">
      <c r="B105" s="707"/>
      <c r="C105" s="45" t="s">
        <v>47</v>
      </c>
      <c r="D105" s="36">
        <v>77</v>
      </c>
      <c r="E105" s="36">
        <v>76</v>
      </c>
      <c r="F105" s="36">
        <v>75</v>
      </c>
      <c r="G105" s="18">
        <v>4</v>
      </c>
      <c r="H105" s="18">
        <v>1</v>
      </c>
      <c r="I105" s="18">
        <v>4</v>
      </c>
      <c r="J105" s="18">
        <v>3</v>
      </c>
      <c r="K105" s="18">
        <v>3</v>
      </c>
      <c r="L105" s="18">
        <v>2</v>
      </c>
      <c r="M105" s="18">
        <v>4</v>
      </c>
      <c r="N105" s="18">
        <v>0</v>
      </c>
      <c r="O105" s="39">
        <v>2</v>
      </c>
      <c r="Q105" s="713"/>
      <c r="R105" s="81" t="s">
        <v>47</v>
      </c>
      <c r="S105" s="82">
        <v>72</v>
      </c>
      <c r="T105" s="82">
        <v>70</v>
      </c>
      <c r="U105" s="82">
        <v>70</v>
      </c>
      <c r="V105" s="82">
        <v>66</v>
      </c>
      <c r="W105" s="82">
        <v>60</v>
      </c>
      <c r="X105" s="82">
        <v>65</v>
      </c>
      <c r="Y105" s="18">
        <v>3</v>
      </c>
      <c r="Z105" s="18">
        <v>1</v>
      </c>
      <c r="AA105" s="18">
        <v>1</v>
      </c>
      <c r="AB105" s="18">
        <v>2</v>
      </c>
      <c r="AC105" s="18">
        <v>3</v>
      </c>
      <c r="AD105" s="18">
        <v>2</v>
      </c>
    </row>
    <row r="106" spans="2:30" x14ac:dyDescent="0.25">
      <c r="B106" s="707"/>
      <c r="C106" s="45" t="s">
        <v>48</v>
      </c>
      <c r="D106" s="37">
        <v>74</v>
      </c>
      <c r="E106" s="37">
        <v>73</v>
      </c>
      <c r="F106" s="36">
        <v>76</v>
      </c>
      <c r="G106" s="18">
        <v>6</v>
      </c>
      <c r="H106" s="18">
        <v>2</v>
      </c>
      <c r="I106" s="18">
        <v>3</v>
      </c>
      <c r="J106" s="18">
        <v>0</v>
      </c>
      <c r="K106" s="18">
        <v>6</v>
      </c>
      <c r="L106" s="18">
        <v>3</v>
      </c>
      <c r="M106" s="18">
        <v>0</v>
      </c>
      <c r="N106" s="120">
        <v>7</v>
      </c>
      <c r="O106" s="39">
        <v>2</v>
      </c>
      <c r="Q106" s="713"/>
      <c r="R106" s="81" t="s">
        <v>48</v>
      </c>
      <c r="S106" s="21">
        <v>77</v>
      </c>
      <c r="T106" s="21">
        <v>77</v>
      </c>
      <c r="U106" s="21">
        <v>77</v>
      </c>
      <c r="V106" s="18">
        <v>4</v>
      </c>
      <c r="W106" s="18">
        <v>4</v>
      </c>
      <c r="X106" s="18">
        <v>1</v>
      </c>
      <c r="Y106" s="18">
        <v>3</v>
      </c>
      <c r="Z106" s="18">
        <v>0</v>
      </c>
      <c r="AA106" s="18">
        <v>0</v>
      </c>
      <c r="AB106" s="18">
        <v>1</v>
      </c>
      <c r="AC106" s="18">
        <v>3</v>
      </c>
      <c r="AD106" s="18">
        <v>0</v>
      </c>
    </row>
    <row r="107" spans="2:30" x14ac:dyDescent="0.25">
      <c r="B107" s="707"/>
      <c r="C107" s="45" t="s">
        <v>49</v>
      </c>
      <c r="D107" s="37">
        <v>72</v>
      </c>
      <c r="E107" s="34">
        <v>62</v>
      </c>
      <c r="F107" s="37">
        <v>69</v>
      </c>
      <c r="G107" s="18">
        <v>5</v>
      </c>
      <c r="H107" s="18">
        <v>1</v>
      </c>
      <c r="I107" s="18">
        <v>2</v>
      </c>
      <c r="J107" s="18">
        <v>0</v>
      </c>
      <c r="K107" s="18">
        <v>0</v>
      </c>
      <c r="L107" s="18">
        <v>3</v>
      </c>
      <c r="M107" s="18">
        <v>3</v>
      </c>
      <c r="N107" s="18">
        <v>1</v>
      </c>
      <c r="O107" s="39">
        <v>5</v>
      </c>
      <c r="Q107" s="713"/>
      <c r="R107" s="81" t="s">
        <v>49</v>
      </c>
      <c r="S107" s="21">
        <v>84</v>
      </c>
      <c r="T107" s="21">
        <v>82</v>
      </c>
      <c r="U107" s="21">
        <v>79</v>
      </c>
      <c r="V107" s="18">
        <v>0</v>
      </c>
      <c r="W107" s="18">
        <v>1</v>
      </c>
      <c r="X107" s="18">
        <v>0</v>
      </c>
      <c r="Y107" s="18">
        <v>3</v>
      </c>
      <c r="Z107" s="18">
        <v>0</v>
      </c>
      <c r="AA107" s="18">
        <v>4</v>
      </c>
      <c r="AB107" s="18">
        <v>1</v>
      </c>
      <c r="AC107" s="18">
        <v>2</v>
      </c>
      <c r="AD107" s="18">
        <v>0</v>
      </c>
    </row>
    <row r="108" spans="2:30" x14ac:dyDescent="0.25">
      <c r="B108" s="707"/>
      <c r="C108" s="45" t="s">
        <v>50</v>
      </c>
      <c r="D108" s="120">
        <v>7</v>
      </c>
      <c r="E108" s="18">
        <v>3</v>
      </c>
      <c r="F108" s="18">
        <v>0</v>
      </c>
      <c r="G108" s="18">
        <v>5</v>
      </c>
      <c r="H108" s="18">
        <v>2</v>
      </c>
      <c r="I108" s="18">
        <v>2</v>
      </c>
      <c r="J108" s="18">
        <v>5</v>
      </c>
      <c r="K108" s="18">
        <v>2</v>
      </c>
      <c r="L108" s="18">
        <v>4</v>
      </c>
      <c r="M108" s="18">
        <v>3</v>
      </c>
      <c r="N108" s="18">
        <v>1</v>
      </c>
      <c r="O108" s="39">
        <v>4</v>
      </c>
      <c r="Q108" s="713"/>
      <c r="R108" s="81" t="s">
        <v>50</v>
      </c>
      <c r="S108" s="82">
        <v>71</v>
      </c>
      <c r="T108" s="82">
        <v>73</v>
      </c>
      <c r="U108" s="82">
        <v>68</v>
      </c>
      <c r="V108" s="18">
        <v>0</v>
      </c>
      <c r="W108" s="18">
        <v>7</v>
      </c>
      <c r="X108" s="18">
        <v>1</v>
      </c>
      <c r="Y108" s="18">
        <v>3</v>
      </c>
      <c r="Z108" s="18">
        <v>2</v>
      </c>
      <c r="AA108" s="18">
        <v>2</v>
      </c>
      <c r="AB108" s="18">
        <v>1</v>
      </c>
      <c r="AC108" s="18">
        <v>1</v>
      </c>
      <c r="AD108" s="18">
        <v>0</v>
      </c>
    </row>
    <row r="109" spans="2:30" ht="15.75" thickBot="1" x14ac:dyDescent="0.3">
      <c r="B109" s="708"/>
      <c r="C109" s="46" t="s">
        <v>51</v>
      </c>
      <c r="D109" s="40">
        <v>1</v>
      </c>
      <c r="E109" s="40">
        <v>1</v>
      </c>
      <c r="F109" s="40">
        <v>3</v>
      </c>
      <c r="G109" s="40">
        <v>1</v>
      </c>
      <c r="H109" s="40">
        <v>4</v>
      </c>
      <c r="I109" s="40">
        <v>2</v>
      </c>
      <c r="J109" s="40">
        <v>2</v>
      </c>
      <c r="K109" s="40">
        <v>1</v>
      </c>
      <c r="L109" s="40">
        <v>4</v>
      </c>
      <c r="M109" s="40">
        <v>3</v>
      </c>
      <c r="N109" s="40">
        <v>3</v>
      </c>
      <c r="O109" s="41">
        <v>3</v>
      </c>
      <c r="Q109" s="714"/>
      <c r="R109" s="81" t="s">
        <v>51</v>
      </c>
      <c r="S109" s="34">
        <v>137</v>
      </c>
      <c r="T109" s="34">
        <v>135</v>
      </c>
      <c r="U109" s="34">
        <v>136</v>
      </c>
      <c r="V109" s="18">
        <v>0</v>
      </c>
      <c r="W109" s="18">
        <v>0</v>
      </c>
      <c r="X109" s="18">
        <v>6</v>
      </c>
      <c r="Y109" s="18">
        <v>3</v>
      </c>
      <c r="Z109" s="18">
        <v>0</v>
      </c>
      <c r="AA109" s="18">
        <v>0</v>
      </c>
      <c r="AB109" s="18">
        <v>0</v>
      </c>
      <c r="AC109" s="18">
        <v>2</v>
      </c>
      <c r="AD109" s="18">
        <v>4</v>
      </c>
    </row>
    <row r="110" spans="2:30" x14ac:dyDescent="0.25">
      <c r="B110" s="706" t="s">
        <v>272</v>
      </c>
      <c r="C110" s="200"/>
      <c r="D110" s="132">
        <v>1</v>
      </c>
      <c r="E110" s="132">
        <v>2</v>
      </c>
      <c r="F110" s="132">
        <v>3</v>
      </c>
      <c r="G110" s="132">
        <v>4</v>
      </c>
      <c r="H110" s="132">
        <v>5</v>
      </c>
      <c r="I110" s="132">
        <v>6</v>
      </c>
      <c r="J110" s="132">
        <v>7</v>
      </c>
      <c r="K110" s="132">
        <v>8</v>
      </c>
      <c r="L110" s="132">
        <v>9</v>
      </c>
      <c r="M110" s="132">
        <v>10</v>
      </c>
      <c r="N110" s="132">
        <v>11</v>
      </c>
      <c r="O110" s="133">
        <v>12</v>
      </c>
    </row>
    <row r="111" spans="2:30" x14ac:dyDescent="0.25">
      <c r="B111" s="707"/>
      <c r="C111" s="81" t="s">
        <v>44</v>
      </c>
      <c r="D111" s="17">
        <v>41</v>
      </c>
      <c r="E111" s="17">
        <v>43</v>
      </c>
      <c r="F111" s="17">
        <v>41</v>
      </c>
      <c r="G111" s="18">
        <v>2</v>
      </c>
      <c r="H111" s="18">
        <v>3</v>
      </c>
      <c r="I111" s="18">
        <v>3</v>
      </c>
      <c r="J111" s="18">
        <v>2</v>
      </c>
      <c r="K111" s="18">
        <v>0</v>
      </c>
      <c r="L111" s="18">
        <v>4</v>
      </c>
      <c r="M111" s="18">
        <v>3</v>
      </c>
      <c r="N111" s="18">
        <v>3</v>
      </c>
      <c r="O111" s="39">
        <v>2</v>
      </c>
    </row>
    <row r="112" spans="2:30" x14ac:dyDescent="0.25">
      <c r="B112" s="707"/>
      <c r="C112" s="81" t="s">
        <v>45</v>
      </c>
      <c r="D112" s="19">
        <v>111</v>
      </c>
      <c r="E112" s="21">
        <v>83</v>
      </c>
      <c r="F112" s="21">
        <v>82</v>
      </c>
      <c r="G112" s="18">
        <v>5</v>
      </c>
      <c r="H112" s="18">
        <v>0</v>
      </c>
      <c r="I112" s="18">
        <v>2</v>
      </c>
      <c r="J112" s="18">
        <v>5</v>
      </c>
      <c r="K112" s="18">
        <v>2</v>
      </c>
      <c r="L112" s="18">
        <v>2</v>
      </c>
      <c r="M112" s="18">
        <v>0</v>
      </c>
      <c r="N112" s="18">
        <v>1</v>
      </c>
      <c r="O112" s="39">
        <v>4</v>
      </c>
    </row>
    <row r="113" spans="2:15" x14ac:dyDescent="0.25">
      <c r="B113" s="707"/>
      <c r="C113" s="81" t="s">
        <v>46</v>
      </c>
      <c r="D113" s="21">
        <v>80</v>
      </c>
      <c r="E113" s="21">
        <v>80</v>
      </c>
      <c r="F113" s="21">
        <v>87</v>
      </c>
      <c r="G113" s="18">
        <v>2</v>
      </c>
      <c r="H113" s="18">
        <v>3</v>
      </c>
      <c r="I113" s="18">
        <v>5</v>
      </c>
      <c r="J113" s="18">
        <v>3</v>
      </c>
      <c r="K113" s="18">
        <v>5</v>
      </c>
      <c r="L113" s="18">
        <v>8</v>
      </c>
      <c r="M113" s="18">
        <v>3</v>
      </c>
      <c r="N113" s="18">
        <v>3</v>
      </c>
      <c r="O113" s="39">
        <v>4</v>
      </c>
    </row>
    <row r="114" spans="2:15" x14ac:dyDescent="0.25">
      <c r="B114" s="707"/>
      <c r="C114" s="81" t="s">
        <v>47</v>
      </c>
      <c r="D114" s="20">
        <v>202</v>
      </c>
      <c r="E114" s="20">
        <v>214</v>
      </c>
      <c r="F114" s="20">
        <v>210</v>
      </c>
      <c r="G114" s="18">
        <v>1</v>
      </c>
      <c r="H114" s="18">
        <v>7</v>
      </c>
      <c r="I114" s="18">
        <v>5</v>
      </c>
      <c r="J114" s="18">
        <v>4</v>
      </c>
      <c r="K114" s="18">
        <v>8</v>
      </c>
      <c r="L114" s="18">
        <v>3</v>
      </c>
      <c r="M114" s="18">
        <v>5</v>
      </c>
      <c r="N114" s="18">
        <v>8</v>
      </c>
      <c r="O114" s="39">
        <v>2</v>
      </c>
    </row>
    <row r="115" spans="2:15" x14ac:dyDescent="0.25">
      <c r="B115" s="707"/>
      <c r="C115" s="81" t="s">
        <v>48</v>
      </c>
      <c r="D115" s="21">
        <v>79</v>
      </c>
      <c r="E115" s="21">
        <v>84</v>
      </c>
      <c r="F115" s="21">
        <v>84</v>
      </c>
      <c r="G115" s="18">
        <v>3</v>
      </c>
      <c r="H115" s="18">
        <v>1</v>
      </c>
      <c r="I115" s="18">
        <v>3</v>
      </c>
      <c r="J115" s="18">
        <v>6</v>
      </c>
      <c r="K115" s="18">
        <v>4</v>
      </c>
      <c r="L115" s="18">
        <v>1</v>
      </c>
      <c r="M115" s="18">
        <v>9</v>
      </c>
      <c r="N115" s="18">
        <v>6</v>
      </c>
      <c r="O115" s="39">
        <v>5</v>
      </c>
    </row>
    <row r="116" spans="2:15" x14ac:dyDescent="0.25">
      <c r="B116" s="707"/>
      <c r="C116" s="81" t="s">
        <v>49</v>
      </c>
      <c r="D116" s="21">
        <v>86</v>
      </c>
      <c r="E116" s="121">
        <v>92</v>
      </c>
      <c r="F116" s="21">
        <v>89</v>
      </c>
      <c r="G116" s="18">
        <v>6</v>
      </c>
      <c r="H116" s="18">
        <v>1</v>
      </c>
      <c r="I116" s="18">
        <v>3</v>
      </c>
      <c r="J116" s="18">
        <v>2</v>
      </c>
      <c r="K116" s="18">
        <v>0</v>
      </c>
      <c r="L116" s="18">
        <v>0</v>
      </c>
      <c r="M116" s="18">
        <v>2</v>
      </c>
      <c r="N116" s="18">
        <v>4</v>
      </c>
      <c r="O116" s="39">
        <v>2</v>
      </c>
    </row>
    <row r="117" spans="2:15" x14ac:dyDescent="0.25">
      <c r="B117" s="707"/>
      <c r="C117" s="81" t="s">
        <v>50</v>
      </c>
      <c r="D117" s="18">
        <v>2</v>
      </c>
      <c r="E117" s="18">
        <v>5</v>
      </c>
      <c r="F117" s="18">
        <v>0</v>
      </c>
      <c r="G117" s="18">
        <v>6</v>
      </c>
      <c r="H117" s="18">
        <v>4</v>
      </c>
      <c r="I117" s="18">
        <v>0</v>
      </c>
      <c r="J117" s="18">
        <v>7</v>
      </c>
      <c r="K117" s="18">
        <v>0</v>
      </c>
      <c r="L117" s="18">
        <v>3</v>
      </c>
      <c r="M117" s="18">
        <v>9</v>
      </c>
      <c r="N117" s="18">
        <v>11</v>
      </c>
      <c r="O117" s="39">
        <v>6</v>
      </c>
    </row>
    <row r="118" spans="2:15" ht="15.75" thickBot="1" x14ac:dyDescent="0.3">
      <c r="B118" s="708"/>
      <c r="C118" s="201" t="s">
        <v>51</v>
      </c>
      <c r="D118" s="40">
        <v>4</v>
      </c>
      <c r="E118" s="40">
        <v>0</v>
      </c>
      <c r="F118" s="40">
        <v>9</v>
      </c>
      <c r="G118" s="40">
        <v>0</v>
      </c>
      <c r="H118" s="40">
        <v>5</v>
      </c>
      <c r="I118" s="40">
        <v>6</v>
      </c>
      <c r="J118" s="40">
        <v>9</v>
      </c>
      <c r="K118" s="40">
        <v>0</v>
      </c>
      <c r="L118" s="40">
        <v>0</v>
      </c>
      <c r="M118" s="40">
        <v>0</v>
      </c>
      <c r="N118" s="40">
        <v>7</v>
      </c>
      <c r="O118" s="41">
        <v>3</v>
      </c>
    </row>
    <row r="119" spans="2:15" x14ac:dyDescent="0.25">
      <c r="B119" s="706" t="s">
        <v>284</v>
      </c>
      <c r="C119" s="200"/>
      <c r="D119" s="132">
        <v>1</v>
      </c>
      <c r="E119" s="132">
        <v>2</v>
      </c>
      <c r="F119" s="132">
        <v>3</v>
      </c>
      <c r="G119" s="132">
        <v>4</v>
      </c>
      <c r="H119" s="132">
        <v>5</v>
      </c>
      <c r="I119" s="132">
        <v>6</v>
      </c>
      <c r="J119" s="132">
        <v>7</v>
      </c>
      <c r="K119" s="132">
        <v>8</v>
      </c>
      <c r="L119" s="132">
        <v>9</v>
      </c>
      <c r="M119" s="132">
        <v>10</v>
      </c>
      <c r="N119" s="132">
        <v>11</v>
      </c>
      <c r="O119" s="133">
        <v>12</v>
      </c>
    </row>
    <row r="120" spans="2:15" x14ac:dyDescent="0.25">
      <c r="B120" s="707"/>
      <c r="C120" s="81" t="s">
        <v>44</v>
      </c>
      <c r="D120" s="21">
        <v>49</v>
      </c>
      <c r="E120" s="21">
        <v>47</v>
      </c>
      <c r="F120" s="21">
        <v>49</v>
      </c>
      <c r="G120" s="18">
        <v>4</v>
      </c>
      <c r="H120" s="18">
        <v>3</v>
      </c>
      <c r="I120" s="18">
        <v>5</v>
      </c>
      <c r="J120" s="18">
        <v>4</v>
      </c>
      <c r="K120" s="18">
        <v>0</v>
      </c>
      <c r="L120" s="18">
        <v>4</v>
      </c>
      <c r="M120" s="18">
        <v>9</v>
      </c>
      <c r="N120" s="18">
        <v>6</v>
      </c>
      <c r="O120" s="332">
        <v>10</v>
      </c>
    </row>
    <row r="121" spans="2:15" x14ac:dyDescent="0.25">
      <c r="B121" s="707"/>
      <c r="C121" s="81" t="s">
        <v>45</v>
      </c>
      <c r="D121" s="20">
        <v>127</v>
      </c>
      <c r="E121" s="20">
        <v>124</v>
      </c>
      <c r="F121" s="20">
        <v>128</v>
      </c>
      <c r="G121" s="20">
        <v>122</v>
      </c>
      <c r="H121" s="36">
        <v>118</v>
      </c>
      <c r="I121" s="20">
        <v>127</v>
      </c>
      <c r="J121" s="18">
        <v>4</v>
      </c>
      <c r="K121" s="18">
        <v>5</v>
      </c>
      <c r="L121" s="18">
        <v>5</v>
      </c>
      <c r="M121" s="18">
        <v>4</v>
      </c>
      <c r="N121" s="18">
        <v>5</v>
      </c>
      <c r="O121" s="39">
        <v>2</v>
      </c>
    </row>
    <row r="122" spans="2:15" x14ac:dyDescent="0.25">
      <c r="B122" s="707"/>
      <c r="C122" s="81" t="s">
        <v>46</v>
      </c>
      <c r="D122" s="20">
        <v>129</v>
      </c>
      <c r="E122" s="20">
        <v>126</v>
      </c>
      <c r="F122" s="20">
        <v>123</v>
      </c>
      <c r="G122" s="38">
        <v>101</v>
      </c>
      <c r="H122" s="37">
        <v>105</v>
      </c>
      <c r="I122" s="34">
        <v>92</v>
      </c>
      <c r="J122" s="18">
        <v>7</v>
      </c>
      <c r="K122" s="18">
        <v>0</v>
      </c>
      <c r="L122" s="18">
        <v>6</v>
      </c>
      <c r="M122" s="18">
        <v>0</v>
      </c>
      <c r="N122" s="18">
        <v>3</v>
      </c>
      <c r="O122" s="39">
        <v>5</v>
      </c>
    </row>
    <row r="123" spans="2:15" x14ac:dyDescent="0.25">
      <c r="B123" s="707"/>
      <c r="C123" s="81" t="s">
        <v>47</v>
      </c>
      <c r="D123" s="20">
        <v>127</v>
      </c>
      <c r="E123" s="20">
        <v>124</v>
      </c>
      <c r="F123" s="20">
        <v>120</v>
      </c>
      <c r="G123" s="36">
        <v>117</v>
      </c>
      <c r="H123" s="36">
        <v>116</v>
      </c>
      <c r="I123" s="36">
        <v>115</v>
      </c>
      <c r="J123" s="18">
        <v>6</v>
      </c>
      <c r="K123" s="18">
        <v>5</v>
      </c>
      <c r="L123" s="18">
        <v>4</v>
      </c>
      <c r="M123" s="18">
        <v>6</v>
      </c>
      <c r="N123" s="18">
        <v>5</v>
      </c>
      <c r="O123" s="39">
        <v>4</v>
      </c>
    </row>
    <row r="124" spans="2:15" x14ac:dyDescent="0.25">
      <c r="B124" s="707"/>
      <c r="C124" s="81" t="s">
        <v>48</v>
      </c>
      <c r="D124" s="36">
        <v>117</v>
      </c>
      <c r="E124" s="36">
        <v>116</v>
      </c>
      <c r="F124" s="36">
        <v>114</v>
      </c>
      <c r="G124" s="38">
        <v>99</v>
      </c>
      <c r="H124" s="38">
        <v>100</v>
      </c>
      <c r="I124" s="38">
        <v>96</v>
      </c>
      <c r="J124" s="18">
        <v>5</v>
      </c>
      <c r="K124" s="18">
        <v>5</v>
      </c>
      <c r="L124" s="18">
        <v>5</v>
      </c>
      <c r="M124" s="18">
        <v>4</v>
      </c>
      <c r="N124" s="18">
        <v>6</v>
      </c>
      <c r="O124" s="39">
        <v>4</v>
      </c>
    </row>
    <row r="125" spans="2:15" x14ac:dyDescent="0.25">
      <c r="B125" s="707"/>
      <c r="C125" s="81" t="s">
        <v>49</v>
      </c>
      <c r="D125" s="18">
        <v>2</v>
      </c>
      <c r="E125" s="18">
        <v>4</v>
      </c>
      <c r="F125" s="18">
        <v>3</v>
      </c>
      <c r="G125" s="17">
        <v>20</v>
      </c>
      <c r="H125" s="17">
        <v>19</v>
      </c>
      <c r="I125" s="17">
        <v>19</v>
      </c>
      <c r="J125" s="18">
        <v>3</v>
      </c>
      <c r="K125" s="18">
        <v>0</v>
      </c>
      <c r="L125" s="18">
        <v>5</v>
      </c>
      <c r="M125" s="18">
        <v>1</v>
      </c>
      <c r="N125" s="18">
        <v>3</v>
      </c>
      <c r="O125" s="39">
        <v>7</v>
      </c>
    </row>
    <row r="126" spans="2:15" x14ac:dyDescent="0.25">
      <c r="B126" s="707"/>
      <c r="C126" s="81" t="s">
        <v>50</v>
      </c>
      <c r="D126" s="18">
        <v>0</v>
      </c>
      <c r="E126" s="18">
        <v>7</v>
      </c>
      <c r="F126" s="18">
        <v>6</v>
      </c>
      <c r="G126" s="18">
        <v>4</v>
      </c>
      <c r="H126" s="18">
        <v>3</v>
      </c>
      <c r="I126" s="18">
        <v>0</v>
      </c>
      <c r="J126" s="18">
        <v>4</v>
      </c>
      <c r="K126" s="18">
        <v>2</v>
      </c>
      <c r="L126" s="18">
        <v>0</v>
      </c>
      <c r="M126" s="18">
        <v>6</v>
      </c>
      <c r="N126" s="18">
        <v>4</v>
      </c>
      <c r="O126" s="39">
        <v>5</v>
      </c>
    </row>
    <row r="127" spans="2:15" ht="15.75" thickBot="1" x14ac:dyDescent="0.3">
      <c r="B127" s="707"/>
      <c r="C127" s="246" t="s">
        <v>51</v>
      </c>
      <c r="D127" s="247">
        <v>2</v>
      </c>
      <c r="E127" s="247">
        <v>4</v>
      </c>
      <c r="F127" s="247">
        <v>2</v>
      </c>
      <c r="G127" s="247">
        <v>0</v>
      </c>
      <c r="H127" s="247">
        <v>3</v>
      </c>
      <c r="I127" s="247">
        <v>0</v>
      </c>
      <c r="J127" s="247">
        <v>4</v>
      </c>
      <c r="K127" s="247">
        <v>3</v>
      </c>
      <c r="L127" s="247">
        <v>0</v>
      </c>
      <c r="M127" s="247">
        <v>2</v>
      </c>
      <c r="N127" s="247">
        <v>0</v>
      </c>
      <c r="O127" s="290">
        <v>3</v>
      </c>
    </row>
    <row r="128" spans="2:15" x14ac:dyDescent="0.25">
      <c r="B128" s="706" t="s">
        <v>296</v>
      </c>
      <c r="C128" s="200"/>
      <c r="D128" s="132">
        <v>1</v>
      </c>
      <c r="E128" s="132">
        <v>2</v>
      </c>
      <c r="F128" s="132">
        <v>3</v>
      </c>
      <c r="G128" s="132">
        <v>4</v>
      </c>
      <c r="H128" s="132">
        <v>5</v>
      </c>
      <c r="I128" s="132">
        <v>6</v>
      </c>
      <c r="J128" s="132">
        <v>7</v>
      </c>
      <c r="K128" s="132">
        <v>8</v>
      </c>
      <c r="L128" s="132">
        <v>9</v>
      </c>
      <c r="M128" s="132">
        <v>10</v>
      </c>
      <c r="N128" s="132">
        <v>11</v>
      </c>
      <c r="O128" s="133">
        <v>12</v>
      </c>
    </row>
    <row r="129" spans="2:15" x14ac:dyDescent="0.25">
      <c r="B129" s="707"/>
      <c r="C129" s="81" t="s">
        <v>44</v>
      </c>
      <c r="D129" s="34">
        <v>19</v>
      </c>
      <c r="E129" s="121">
        <v>14</v>
      </c>
      <c r="F129" s="19">
        <v>16</v>
      </c>
      <c r="G129" s="120">
        <v>3</v>
      </c>
      <c r="H129" s="18">
        <v>2</v>
      </c>
      <c r="I129" s="120">
        <v>4</v>
      </c>
      <c r="J129" s="17">
        <v>5</v>
      </c>
      <c r="K129" s="18">
        <v>2</v>
      </c>
      <c r="L129" s="17">
        <v>5</v>
      </c>
      <c r="M129" s="18">
        <v>0</v>
      </c>
      <c r="N129" s="18">
        <v>0</v>
      </c>
      <c r="O129" s="39">
        <v>1</v>
      </c>
    </row>
    <row r="130" spans="2:15" x14ac:dyDescent="0.25">
      <c r="B130" s="707"/>
      <c r="C130" s="81" t="s">
        <v>45</v>
      </c>
      <c r="D130" s="37">
        <v>23</v>
      </c>
      <c r="E130" s="38">
        <v>21</v>
      </c>
      <c r="F130" s="36">
        <v>25</v>
      </c>
      <c r="G130" s="18">
        <v>0</v>
      </c>
      <c r="H130" s="18">
        <v>0</v>
      </c>
      <c r="I130" s="18">
        <v>2</v>
      </c>
      <c r="J130" s="18">
        <v>2</v>
      </c>
      <c r="K130" s="18">
        <v>0</v>
      </c>
      <c r="L130" s="17">
        <v>5</v>
      </c>
      <c r="M130" s="18">
        <v>1</v>
      </c>
      <c r="N130" s="120">
        <v>3</v>
      </c>
      <c r="O130" s="39">
        <v>2</v>
      </c>
    </row>
    <row r="131" spans="2:15" x14ac:dyDescent="0.25">
      <c r="B131" s="707"/>
      <c r="C131" s="81" t="s">
        <v>46</v>
      </c>
      <c r="D131" s="20">
        <v>28</v>
      </c>
      <c r="E131" s="20">
        <v>28</v>
      </c>
      <c r="F131" s="20">
        <v>27</v>
      </c>
      <c r="G131" s="18">
        <v>0</v>
      </c>
      <c r="H131" s="18">
        <v>2</v>
      </c>
      <c r="I131" s="18">
        <v>0</v>
      </c>
      <c r="J131" s="120">
        <v>3</v>
      </c>
      <c r="K131" s="120">
        <v>3</v>
      </c>
      <c r="L131" s="18">
        <v>2</v>
      </c>
      <c r="M131" s="120">
        <v>3</v>
      </c>
      <c r="N131" s="18">
        <v>0</v>
      </c>
      <c r="O131" s="39">
        <v>0</v>
      </c>
    </row>
    <row r="132" spans="2:15" x14ac:dyDescent="0.25">
      <c r="B132" s="707"/>
      <c r="C132" s="81" t="s">
        <v>47</v>
      </c>
      <c r="D132" s="36">
        <v>26</v>
      </c>
      <c r="E132" s="36">
        <v>25</v>
      </c>
      <c r="F132" s="37">
        <v>24</v>
      </c>
      <c r="G132" s="18">
        <v>1</v>
      </c>
      <c r="H132" s="120">
        <v>3</v>
      </c>
      <c r="I132" s="120">
        <v>4</v>
      </c>
      <c r="J132" s="18">
        <v>1</v>
      </c>
      <c r="K132" s="18">
        <v>1</v>
      </c>
      <c r="L132" s="18">
        <v>1</v>
      </c>
      <c r="M132" s="18">
        <v>1</v>
      </c>
      <c r="N132" s="18">
        <v>0</v>
      </c>
      <c r="O132" s="39">
        <v>0</v>
      </c>
    </row>
    <row r="133" spans="2:15" x14ac:dyDescent="0.25">
      <c r="B133" s="707"/>
      <c r="C133" s="81" t="s">
        <v>48</v>
      </c>
      <c r="D133" s="38">
        <v>21</v>
      </c>
      <c r="E133" s="37">
        <v>23</v>
      </c>
      <c r="F133" s="38">
        <v>21</v>
      </c>
      <c r="G133" s="18">
        <v>2</v>
      </c>
      <c r="H133" s="120">
        <v>3</v>
      </c>
      <c r="I133" s="18">
        <v>0</v>
      </c>
      <c r="J133" s="18">
        <v>0</v>
      </c>
      <c r="K133" s="18">
        <v>2</v>
      </c>
      <c r="L133" s="18">
        <v>2</v>
      </c>
      <c r="M133" s="18">
        <v>0</v>
      </c>
      <c r="N133" s="18">
        <v>0</v>
      </c>
      <c r="O133" s="332">
        <v>3</v>
      </c>
    </row>
    <row r="134" spans="2:15" x14ac:dyDescent="0.25">
      <c r="B134" s="707"/>
      <c r="C134" s="81" t="s">
        <v>49</v>
      </c>
      <c r="D134" s="37">
        <v>23</v>
      </c>
      <c r="E134" s="37">
        <v>24</v>
      </c>
      <c r="F134" s="36">
        <v>25</v>
      </c>
      <c r="G134" s="120">
        <v>3</v>
      </c>
      <c r="H134" s="18">
        <v>0</v>
      </c>
      <c r="I134" s="18">
        <v>0</v>
      </c>
      <c r="J134" s="120">
        <v>4</v>
      </c>
      <c r="K134" s="18">
        <v>2</v>
      </c>
      <c r="L134" s="120">
        <v>3</v>
      </c>
      <c r="M134" s="18">
        <v>0</v>
      </c>
      <c r="N134" s="18">
        <v>1</v>
      </c>
      <c r="O134" s="414">
        <v>5</v>
      </c>
    </row>
    <row r="135" spans="2:15" x14ac:dyDescent="0.25">
      <c r="B135" s="707"/>
      <c r="C135" s="81" t="s">
        <v>50</v>
      </c>
      <c r="D135" s="18">
        <v>2</v>
      </c>
      <c r="E135" s="18">
        <v>2</v>
      </c>
      <c r="F135" s="18">
        <v>0</v>
      </c>
      <c r="G135" s="18">
        <v>2</v>
      </c>
      <c r="H135" s="18">
        <v>1</v>
      </c>
      <c r="I135" s="18">
        <v>2</v>
      </c>
      <c r="J135" s="18">
        <v>1</v>
      </c>
      <c r="K135" s="17">
        <v>5</v>
      </c>
      <c r="L135" s="18">
        <v>0</v>
      </c>
      <c r="M135" s="18">
        <v>0</v>
      </c>
      <c r="N135" s="18">
        <v>1</v>
      </c>
      <c r="O135" s="39">
        <v>0</v>
      </c>
    </row>
    <row r="136" spans="2:15" ht="15.75" thickBot="1" x14ac:dyDescent="0.3">
      <c r="B136" s="708"/>
      <c r="C136" s="201" t="s">
        <v>51</v>
      </c>
      <c r="D136" s="40">
        <v>0</v>
      </c>
      <c r="E136" s="40">
        <v>1</v>
      </c>
      <c r="F136" s="40">
        <v>0</v>
      </c>
      <c r="G136" s="415">
        <v>5</v>
      </c>
      <c r="H136" s="40">
        <v>0</v>
      </c>
      <c r="I136" s="205">
        <v>3</v>
      </c>
      <c r="J136" s="40">
        <v>2</v>
      </c>
      <c r="K136" s="205">
        <v>3</v>
      </c>
      <c r="L136" s="40">
        <v>0</v>
      </c>
      <c r="M136" s="205">
        <v>3</v>
      </c>
      <c r="N136" s="40">
        <v>0</v>
      </c>
      <c r="O136" s="41">
        <v>0</v>
      </c>
    </row>
    <row r="137" spans="2:15" x14ac:dyDescent="0.25">
      <c r="B137" s="706" t="s">
        <v>297</v>
      </c>
      <c r="C137" s="131"/>
      <c r="D137" s="132">
        <v>1</v>
      </c>
      <c r="E137" s="132">
        <v>2</v>
      </c>
      <c r="F137" s="132">
        <v>3</v>
      </c>
      <c r="G137" s="132">
        <v>4</v>
      </c>
      <c r="H137" s="132">
        <v>5</v>
      </c>
      <c r="I137" s="132">
        <v>6</v>
      </c>
      <c r="J137" s="132">
        <v>7</v>
      </c>
      <c r="K137" s="132">
        <v>8</v>
      </c>
      <c r="L137" s="132">
        <v>9</v>
      </c>
      <c r="M137" s="132">
        <v>10</v>
      </c>
      <c r="N137" s="132">
        <v>11</v>
      </c>
      <c r="O137" s="133">
        <v>12</v>
      </c>
    </row>
    <row r="138" spans="2:15" x14ac:dyDescent="0.25">
      <c r="B138" s="707"/>
      <c r="C138" s="45" t="s">
        <v>44</v>
      </c>
      <c r="D138" s="34">
        <v>45</v>
      </c>
      <c r="E138" s="38">
        <v>48</v>
      </c>
      <c r="F138" s="37">
        <v>53</v>
      </c>
      <c r="G138" s="18">
        <v>0</v>
      </c>
      <c r="H138" s="18">
        <v>2</v>
      </c>
      <c r="I138" s="18">
        <v>0</v>
      </c>
      <c r="J138" s="18">
        <v>3</v>
      </c>
      <c r="K138" s="18">
        <v>0</v>
      </c>
      <c r="L138" s="18">
        <v>0</v>
      </c>
      <c r="M138" s="18">
        <v>4</v>
      </c>
      <c r="N138" s="18">
        <v>4</v>
      </c>
      <c r="O138" s="39">
        <v>0</v>
      </c>
    </row>
    <row r="139" spans="2:15" x14ac:dyDescent="0.25">
      <c r="B139" s="707"/>
      <c r="C139" s="45" t="s">
        <v>45</v>
      </c>
      <c r="D139" s="20">
        <v>63</v>
      </c>
      <c r="E139" s="20">
        <v>61</v>
      </c>
      <c r="F139" s="20">
        <v>63</v>
      </c>
      <c r="G139" s="18">
        <v>3</v>
      </c>
      <c r="H139" s="18">
        <v>0</v>
      </c>
      <c r="I139" s="18">
        <v>0</v>
      </c>
      <c r="J139" s="18">
        <v>3</v>
      </c>
      <c r="K139" s="18">
        <v>1</v>
      </c>
      <c r="L139" s="18">
        <v>3</v>
      </c>
      <c r="M139" s="18">
        <v>3</v>
      </c>
      <c r="N139" s="18">
        <v>3</v>
      </c>
      <c r="O139" s="39">
        <v>1</v>
      </c>
    </row>
    <row r="140" spans="2:15" x14ac:dyDescent="0.25">
      <c r="B140" s="707"/>
      <c r="C140" s="45" t="s">
        <v>46</v>
      </c>
      <c r="D140" s="38">
        <v>47</v>
      </c>
      <c r="E140" s="37">
        <v>51</v>
      </c>
      <c r="F140" s="38">
        <v>49</v>
      </c>
      <c r="G140" s="18">
        <v>0</v>
      </c>
      <c r="H140" s="18">
        <v>4</v>
      </c>
      <c r="I140" s="18">
        <v>2</v>
      </c>
      <c r="J140" s="18">
        <v>0</v>
      </c>
      <c r="K140" s="18">
        <v>1</v>
      </c>
      <c r="L140" s="18">
        <v>2</v>
      </c>
      <c r="M140" s="18">
        <v>0</v>
      </c>
      <c r="N140" s="18">
        <v>2</v>
      </c>
      <c r="O140" s="39">
        <v>0</v>
      </c>
    </row>
    <row r="141" spans="2:15" x14ac:dyDescent="0.25">
      <c r="B141" s="707"/>
      <c r="C141" s="45" t="s">
        <v>47</v>
      </c>
      <c r="D141" s="38">
        <v>48</v>
      </c>
      <c r="E141" s="37">
        <v>52</v>
      </c>
      <c r="F141" s="38">
        <v>46</v>
      </c>
      <c r="G141" s="18">
        <v>1</v>
      </c>
      <c r="H141" s="18">
        <v>1</v>
      </c>
      <c r="I141" s="18">
        <v>4</v>
      </c>
      <c r="J141" s="18">
        <v>2</v>
      </c>
      <c r="K141" s="18">
        <v>3</v>
      </c>
      <c r="L141" s="18">
        <v>1</v>
      </c>
      <c r="M141" s="18">
        <v>0</v>
      </c>
      <c r="N141" s="18">
        <v>0</v>
      </c>
      <c r="O141" s="39">
        <v>1</v>
      </c>
    </row>
    <row r="142" spans="2:15" x14ac:dyDescent="0.25">
      <c r="B142" s="707"/>
      <c r="C142" s="45" t="s">
        <v>48</v>
      </c>
      <c r="D142" s="34">
        <v>45</v>
      </c>
      <c r="E142" s="34">
        <v>41</v>
      </c>
      <c r="F142" s="34">
        <v>45</v>
      </c>
      <c r="G142" s="18">
        <v>2</v>
      </c>
      <c r="H142" s="18">
        <v>0</v>
      </c>
      <c r="I142" s="18">
        <v>0</v>
      </c>
      <c r="J142" s="18">
        <v>4</v>
      </c>
      <c r="K142" s="18">
        <v>1</v>
      </c>
      <c r="L142" s="120">
        <v>6</v>
      </c>
      <c r="M142" s="18">
        <v>1</v>
      </c>
      <c r="N142" s="18">
        <v>3</v>
      </c>
      <c r="O142" s="39">
        <v>1</v>
      </c>
    </row>
    <row r="143" spans="2:15" x14ac:dyDescent="0.25">
      <c r="B143" s="707"/>
      <c r="C143" s="45" t="s">
        <v>49</v>
      </c>
      <c r="D143" s="38">
        <v>46</v>
      </c>
      <c r="E143" s="38">
        <v>48</v>
      </c>
      <c r="F143" s="38">
        <v>47</v>
      </c>
      <c r="G143" s="18">
        <v>4</v>
      </c>
      <c r="H143" s="18">
        <v>1</v>
      </c>
      <c r="I143" s="18">
        <v>0</v>
      </c>
      <c r="J143" s="18">
        <v>3</v>
      </c>
      <c r="K143" s="18">
        <v>0</v>
      </c>
      <c r="L143" s="18">
        <v>2</v>
      </c>
      <c r="M143" s="18">
        <v>2</v>
      </c>
      <c r="N143" s="18">
        <v>0</v>
      </c>
      <c r="O143" s="39">
        <v>0</v>
      </c>
    </row>
    <row r="144" spans="2:15" x14ac:dyDescent="0.25">
      <c r="B144" s="707"/>
      <c r="C144" s="45" t="s">
        <v>50</v>
      </c>
      <c r="D144" s="18">
        <v>1</v>
      </c>
      <c r="E144" s="18">
        <v>4</v>
      </c>
      <c r="F144" s="18">
        <v>0</v>
      </c>
      <c r="G144" s="18">
        <v>2</v>
      </c>
      <c r="H144" s="18">
        <v>1</v>
      </c>
      <c r="I144" s="18">
        <v>1</v>
      </c>
      <c r="J144" s="18">
        <v>0</v>
      </c>
      <c r="K144" s="18">
        <v>2</v>
      </c>
      <c r="L144" s="18">
        <v>2</v>
      </c>
      <c r="M144" s="18">
        <v>0</v>
      </c>
      <c r="N144" s="18">
        <v>4</v>
      </c>
      <c r="O144" s="39">
        <v>0</v>
      </c>
    </row>
    <row r="145" spans="2:15" ht="15.75" thickBot="1" x14ac:dyDescent="0.3">
      <c r="B145" s="708"/>
      <c r="C145" s="46" t="s">
        <v>51</v>
      </c>
      <c r="D145" s="40">
        <v>1</v>
      </c>
      <c r="E145" s="40">
        <v>1</v>
      </c>
      <c r="F145" s="40">
        <v>1</v>
      </c>
      <c r="G145" s="40">
        <v>1</v>
      </c>
      <c r="H145" s="40">
        <v>3</v>
      </c>
      <c r="I145" s="40">
        <v>2</v>
      </c>
      <c r="J145" s="40">
        <v>1</v>
      </c>
      <c r="K145" s="205">
        <v>5</v>
      </c>
      <c r="L145" s="205">
        <v>5</v>
      </c>
      <c r="M145" s="40">
        <v>1</v>
      </c>
      <c r="N145" s="40">
        <v>2</v>
      </c>
      <c r="O145" s="41">
        <v>0</v>
      </c>
    </row>
    <row r="146" spans="2:15" x14ac:dyDescent="0.25">
      <c r="B146" s="649" t="s">
        <v>299</v>
      </c>
      <c r="C146" s="150"/>
      <c r="D146" s="132">
        <v>1</v>
      </c>
      <c r="E146" s="132">
        <v>2</v>
      </c>
      <c r="F146" s="132">
        <v>3</v>
      </c>
      <c r="G146" s="132">
        <v>4</v>
      </c>
      <c r="H146" s="132">
        <v>5</v>
      </c>
      <c r="I146" s="132">
        <v>6</v>
      </c>
      <c r="J146" s="132">
        <v>7</v>
      </c>
      <c r="K146" s="132">
        <v>8</v>
      </c>
      <c r="L146" s="132">
        <v>9</v>
      </c>
      <c r="M146" s="132">
        <v>10</v>
      </c>
      <c r="N146" s="132">
        <v>11</v>
      </c>
      <c r="O146" s="133">
        <v>12</v>
      </c>
    </row>
    <row r="147" spans="2:15" x14ac:dyDescent="0.25">
      <c r="B147" s="647"/>
      <c r="C147" s="122" t="s">
        <v>44</v>
      </c>
      <c r="D147" s="120">
        <v>37</v>
      </c>
      <c r="E147" s="120">
        <v>34</v>
      </c>
      <c r="F147" s="120">
        <v>34</v>
      </c>
      <c r="G147" s="18">
        <v>1</v>
      </c>
      <c r="H147" s="18">
        <v>0</v>
      </c>
      <c r="I147" s="18">
        <v>2</v>
      </c>
      <c r="J147" s="18">
        <v>0</v>
      </c>
      <c r="K147" s="18">
        <v>1</v>
      </c>
      <c r="L147" s="18">
        <v>2</v>
      </c>
      <c r="M147" s="18">
        <v>0</v>
      </c>
      <c r="N147" s="18">
        <v>0</v>
      </c>
      <c r="O147" s="39">
        <v>1</v>
      </c>
    </row>
    <row r="148" spans="2:15" x14ac:dyDescent="0.25">
      <c r="B148" s="647"/>
      <c r="C148" s="122" t="s">
        <v>45</v>
      </c>
      <c r="D148" s="120">
        <v>48</v>
      </c>
      <c r="E148" s="17">
        <v>55</v>
      </c>
      <c r="F148" s="120">
        <v>50</v>
      </c>
      <c r="G148" s="17">
        <v>67</v>
      </c>
      <c r="H148" s="17">
        <v>67</v>
      </c>
      <c r="I148" s="17">
        <v>65</v>
      </c>
      <c r="J148" s="18">
        <v>1</v>
      </c>
      <c r="K148" s="18">
        <v>0</v>
      </c>
      <c r="L148" s="18">
        <v>0</v>
      </c>
      <c r="M148" s="18">
        <v>2</v>
      </c>
      <c r="N148" s="18">
        <v>1</v>
      </c>
      <c r="O148" s="39">
        <v>3</v>
      </c>
    </row>
    <row r="149" spans="2:15" x14ac:dyDescent="0.25">
      <c r="B149" s="647"/>
      <c r="C149" s="122" t="s">
        <v>46</v>
      </c>
      <c r="D149" s="17">
        <v>64</v>
      </c>
      <c r="E149" s="17">
        <v>63</v>
      </c>
      <c r="F149" s="17">
        <v>64</v>
      </c>
      <c r="G149" s="17">
        <v>58</v>
      </c>
      <c r="H149" s="17">
        <v>55</v>
      </c>
      <c r="I149" s="17">
        <v>57</v>
      </c>
      <c r="J149" s="18">
        <v>0</v>
      </c>
      <c r="K149" s="18">
        <v>0</v>
      </c>
      <c r="L149" s="18">
        <v>0</v>
      </c>
      <c r="M149" s="18">
        <v>4</v>
      </c>
      <c r="N149" s="18">
        <v>3</v>
      </c>
      <c r="O149" s="39">
        <v>1</v>
      </c>
    </row>
    <row r="150" spans="2:15" x14ac:dyDescent="0.25">
      <c r="B150" s="647"/>
      <c r="C150" s="122" t="s">
        <v>47</v>
      </c>
      <c r="D150" s="17">
        <v>70</v>
      </c>
      <c r="E150" s="17">
        <v>67</v>
      </c>
      <c r="F150" s="17">
        <v>70</v>
      </c>
      <c r="G150" s="17">
        <v>60</v>
      </c>
      <c r="H150" s="17">
        <v>60</v>
      </c>
      <c r="I150" s="17">
        <v>60</v>
      </c>
      <c r="J150" s="18">
        <v>0</v>
      </c>
      <c r="K150" s="18">
        <v>0</v>
      </c>
      <c r="L150" s="18">
        <v>0</v>
      </c>
      <c r="M150" s="18">
        <v>0</v>
      </c>
      <c r="N150" s="18">
        <v>3</v>
      </c>
      <c r="O150" s="39">
        <v>2</v>
      </c>
    </row>
    <row r="151" spans="2:15" x14ac:dyDescent="0.25">
      <c r="B151" s="647"/>
      <c r="C151" s="122" t="s">
        <v>48</v>
      </c>
      <c r="D151" s="20">
        <v>340</v>
      </c>
      <c r="E151" s="20">
        <v>338</v>
      </c>
      <c r="F151" s="20">
        <v>359</v>
      </c>
      <c r="G151" s="83">
        <v>81</v>
      </c>
      <c r="H151" s="83">
        <v>80</v>
      </c>
      <c r="I151" s="83">
        <v>77</v>
      </c>
      <c r="J151" s="18">
        <v>3</v>
      </c>
      <c r="K151" s="18">
        <v>3</v>
      </c>
      <c r="L151" s="18">
        <v>1</v>
      </c>
      <c r="M151" s="18">
        <v>0</v>
      </c>
      <c r="N151" s="18">
        <v>0</v>
      </c>
      <c r="O151" s="39">
        <v>3</v>
      </c>
    </row>
    <row r="152" spans="2:15" x14ac:dyDescent="0.25">
      <c r="B152" s="647"/>
      <c r="C152" s="122" t="s">
        <v>49</v>
      </c>
      <c r="D152" s="21">
        <v>147</v>
      </c>
      <c r="E152" s="21">
        <v>147</v>
      </c>
      <c r="F152" s="21">
        <v>140</v>
      </c>
      <c r="G152" s="17">
        <v>73</v>
      </c>
      <c r="H152" s="17">
        <v>69</v>
      </c>
      <c r="I152" s="17">
        <v>70</v>
      </c>
      <c r="J152" s="18">
        <v>3</v>
      </c>
      <c r="K152" s="18">
        <v>0</v>
      </c>
      <c r="L152" s="18">
        <v>0</v>
      </c>
      <c r="M152" s="18">
        <v>3</v>
      </c>
      <c r="N152" s="18">
        <v>0</v>
      </c>
      <c r="O152" s="39">
        <v>2</v>
      </c>
    </row>
    <row r="153" spans="2:15" x14ac:dyDescent="0.25">
      <c r="B153" s="647"/>
      <c r="C153" s="122" t="s">
        <v>50</v>
      </c>
      <c r="D153" s="18">
        <v>0</v>
      </c>
      <c r="E153" s="18">
        <v>0</v>
      </c>
      <c r="F153" s="18">
        <v>0</v>
      </c>
      <c r="G153" s="18">
        <v>2</v>
      </c>
      <c r="H153" s="18">
        <v>2</v>
      </c>
      <c r="I153" s="18">
        <v>2</v>
      </c>
      <c r="J153" s="18">
        <v>0</v>
      </c>
      <c r="K153" s="18">
        <v>2</v>
      </c>
      <c r="L153" s="18">
        <v>2</v>
      </c>
      <c r="M153" s="18">
        <v>0</v>
      </c>
      <c r="N153" s="18">
        <v>1</v>
      </c>
      <c r="O153" s="39">
        <v>1</v>
      </c>
    </row>
    <row r="154" spans="2:15" ht="15.75" thickBot="1" x14ac:dyDescent="0.3">
      <c r="B154" s="648"/>
      <c r="C154" s="123" t="s">
        <v>51</v>
      </c>
      <c r="D154" s="40">
        <v>0</v>
      </c>
      <c r="E154" s="40">
        <v>3</v>
      </c>
      <c r="F154" s="40">
        <v>0</v>
      </c>
      <c r="G154" s="40">
        <v>1</v>
      </c>
      <c r="H154" s="40">
        <v>0</v>
      </c>
      <c r="I154" s="40">
        <v>2</v>
      </c>
      <c r="J154" s="40">
        <v>3</v>
      </c>
      <c r="K154" s="40">
        <v>2</v>
      </c>
      <c r="L154" s="40">
        <v>3</v>
      </c>
      <c r="M154" s="40">
        <v>3</v>
      </c>
      <c r="N154" s="40">
        <v>0</v>
      </c>
      <c r="O154" s="41">
        <v>0</v>
      </c>
    </row>
    <row r="155" spans="2:15" x14ac:dyDescent="0.25">
      <c r="B155" s="709" t="s">
        <v>324</v>
      </c>
      <c r="C155" s="150"/>
      <c r="D155" s="132">
        <v>1</v>
      </c>
      <c r="E155" s="132">
        <v>2</v>
      </c>
      <c r="F155" s="132">
        <v>3</v>
      </c>
      <c r="G155" s="132">
        <v>4</v>
      </c>
      <c r="H155" s="132">
        <v>5</v>
      </c>
      <c r="I155" s="132">
        <v>6</v>
      </c>
      <c r="J155" s="132">
        <v>7</v>
      </c>
      <c r="K155" s="132">
        <v>8</v>
      </c>
      <c r="L155" s="132">
        <v>9</v>
      </c>
      <c r="M155" s="132">
        <v>10</v>
      </c>
      <c r="N155" s="132">
        <v>11</v>
      </c>
      <c r="O155" s="133">
        <v>12</v>
      </c>
    </row>
    <row r="156" spans="2:15" x14ac:dyDescent="0.25">
      <c r="B156" s="710"/>
      <c r="C156" s="122" t="s">
        <v>44</v>
      </c>
      <c r="D156" s="120">
        <v>49</v>
      </c>
      <c r="E156" s="17">
        <v>52</v>
      </c>
      <c r="F156" s="17">
        <v>51</v>
      </c>
      <c r="G156" s="18">
        <v>3</v>
      </c>
      <c r="H156" s="18">
        <v>3</v>
      </c>
      <c r="I156" s="18">
        <v>2</v>
      </c>
      <c r="J156" s="18">
        <v>3</v>
      </c>
      <c r="K156" s="18">
        <v>3</v>
      </c>
      <c r="L156" s="18">
        <v>1</v>
      </c>
      <c r="M156" s="18">
        <v>4</v>
      </c>
      <c r="N156" s="18">
        <v>3</v>
      </c>
      <c r="O156" s="39">
        <v>6</v>
      </c>
    </row>
    <row r="157" spans="2:15" x14ac:dyDescent="0.25">
      <c r="B157" s="710"/>
      <c r="C157" s="122" t="s">
        <v>45</v>
      </c>
      <c r="D157" s="82">
        <v>116</v>
      </c>
      <c r="E157" s="82">
        <v>109</v>
      </c>
      <c r="F157" s="82">
        <v>112</v>
      </c>
      <c r="G157" s="82">
        <v>124</v>
      </c>
      <c r="H157" s="82">
        <v>123</v>
      </c>
      <c r="I157" s="82">
        <v>124</v>
      </c>
      <c r="J157" s="18">
        <v>2</v>
      </c>
      <c r="K157" s="18">
        <v>0</v>
      </c>
      <c r="L157" s="18">
        <v>3</v>
      </c>
      <c r="M157" s="18">
        <v>3</v>
      </c>
      <c r="N157" s="18">
        <v>1</v>
      </c>
      <c r="O157" s="39">
        <v>1</v>
      </c>
    </row>
    <row r="158" spans="2:15" x14ac:dyDescent="0.25">
      <c r="B158" s="710"/>
      <c r="C158" s="122" t="s">
        <v>46</v>
      </c>
      <c r="D158" s="82">
        <v>114</v>
      </c>
      <c r="E158" s="82">
        <v>124</v>
      </c>
      <c r="F158" s="82">
        <v>119</v>
      </c>
      <c r="G158" s="20">
        <v>352</v>
      </c>
      <c r="H158" s="20">
        <v>340</v>
      </c>
      <c r="I158" s="20">
        <v>350</v>
      </c>
      <c r="J158" s="18">
        <v>5</v>
      </c>
      <c r="K158" s="18">
        <v>0</v>
      </c>
      <c r="L158" s="18">
        <v>2</v>
      </c>
      <c r="M158" s="18">
        <v>1</v>
      </c>
      <c r="N158" s="18">
        <v>0</v>
      </c>
      <c r="O158" s="39">
        <v>0</v>
      </c>
    </row>
    <row r="159" spans="2:15" x14ac:dyDescent="0.25">
      <c r="B159" s="710"/>
      <c r="C159" s="122" t="s">
        <v>47</v>
      </c>
      <c r="D159" s="82">
        <v>111</v>
      </c>
      <c r="E159" s="82">
        <v>118</v>
      </c>
      <c r="F159" s="82">
        <v>114</v>
      </c>
      <c r="G159" s="82">
        <v>112</v>
      </c>
      <c r="H159" s="82">
        <v>107</v>
      </c>
      <c r="I159" s="82">
        <v>112</v>
      </c>
      <c r="J159" s="18">
        <v>4</v>
      </c>
      <c r="K159" s="18">
        <v>0</v>
      </c>
      <c r="L159" s="18">
        <v>2</v>
      </c>
      <c r="M159" s="18">
        <v>6</v>
      </c>
      <c r="N159" s="18">
        <v>6</v>
      </c>
      <c r="O159" s="39">
        <v>1</v>
      </c>
    </row>
    <row r="160" spans="2:15" x14ac:dyDescent="0.25">
      <c r="B160" s="710"/>
      <c r="C160" s="122" t="s">
        <v>48</v>
      </c>
      <c r="D160" s="21">
        <v>147</v>
      </c>
      <c r="E160" s="21">
        <v>142</v>
      </c>
      <c r="F160" s="21">
        <v>146</v>
      </c>
      <c r="G160" s="82">
        <v>103</v>
      </c>
      <c r="H160" s="82">
        <v>102</v>
      </c>
      <c r="I160" s="82">
        <v>102</v>
      </c>
      <c r="J160" s="18">
        <v>1</v>
      </c>
      <c r="K160" s="18">
        <v>0</v>
      </c>
      <c r="L160" s="18">
        <v>3</v>
      </c>
      <c r="M160" s="18">
        <v>4</v>
      </c>
      <c r="N160" s="18">
        <v>0</v>
      </c>
      <c r="O160" s="39">
        <v>1</v>
      </c>
    </row>
    <row r="161" spans="2:15" x14ac:dyDescent="0.25">
      <c r="B161" s="710"/>
      <c r="C161" s="122" t="s">
        <v>49</v>
      </c>
      <c r="D161" s="82">
        <v>107</v>
      </c>
      <c r="E161" s="82">
        <v>111</v>
      </c>
      <c r="F161" s="82">
        <v>104</v>
      </c>
      <c r="G161" s="83">
        <v>90</v>
      </c>
      <c r="H161" s="83">
        <v>83</v>
      </c>
      <c r="I161" s="83">
        <v>88</v>
      </c>
      <c r="J161" s="18">
        <v>5</v>
      </c>
      <c r="K161" s="18">
        <v>0</v>
      </c>
      <c r="L161" s="18">
        <v>1</v>
      </c>
      <c r="M161" s="18">
        <v>5</v>
      </c>
      <c r="N161" s="18">
        <v>1</v>
      </c>
      <c r="O161" s="39">
        <v>3</v>
      </c>
    </row>
    <row r="162" spans="2:15" x14ac:dyDescent="0.25">
      <c r="B162" s="710"/>
      <c r="C162" s="122" t="s">
        <v>50</v>
      </c>
      <c r="D162" s="18">
        <v>0</v>
      </c>
      <c r="E162" s="18">
        <v>2</v>
      </c>
      <c r="F162" s="18">
        <v>3</v>
      </c>
      <c r="G162" s="18">
        <v>3</v>
      </c>
      <c r="H162" s="18">
        <v>5</v>
      </c>
      <c r="I162" s="18">
        <v>4</v>
      </c>
      <c r="J162" s="18">
        <v>5</v>
      </c>
      <c r="K162" s="18">
        <v>4</v>
      </c>
      <c r="L162" s="18">
        <v>1</v>
      </c>
      <c r="M162" s="18">
        <v>5</v>
      </c>
      <c r="N162" s="18">
        <v>1</v>
      </c>
      <c r="O162" s="39">
        <v>2</v>
      </c>
    </row>
    <row r="163" spans="2:15" ht="15.75" thickBot="1" x14ac:dyDescent="0.3">
      <c r="B163" s="711"/>
      <c r="C163" s="123" t="s">
        <v>51</v>
      </c>
      <c r="D163" s="40">
        <v>1</v>
      </c>
      <c r="E163" s="40">
        <v>1</v>
      </c>
      <c r="F163" s="40">
        <v>3</v>
      </c>
      <c r="G163" s="40">
        <v>1</v>
      </c>
      <c r="H163" s="40">
        <v>2</v>
      </c>
      <c r="I163" s="40">
        <v>4</v>
      </c>
      <c r="J163" s="40">
        <v>1</v>
      </c>
      <c r="K163" s="40">
        <v>0</v>
      </c>
      <c r="L163" s="40">
        <v>3</v>
      </c>
      <c r="M163" s="40">
        <v>2</v>
      </c>
      <c r="N163" s="40">
        <v>2</v>
      </c>
      <c r="O163" s="41">
        <v>2</v>
      </c>
    </row>
  </sheetData>
  <mergeCells count="32">
    <mergeCell ref="B155:B163"/>
    <mergeCell ref="B83:B91"/>
    <mergeCell ref="B119:B127"/>
    <mergeCell ref="Q65:Q73"/>
    <mergeCell ref="B110:B118"/>
    <mergeCell ref="B65:B73"/>
    <mergeCell ref="B146:B154"/>
    <mergeCell ref="B128:B136"/>
    <mergeCell ref="B137:B145"/>
    <mergeCell ref="B101:B109"/>
    <mergeCell ref="B92:B100"/>
    <mergeCell ref="Q92:Q100"/>
    <mergeCell ref="Q101:Q109"/>
    <mergeCell ref="B1:O1"/>
    <mergeCell ref="Q1:AD1"/>
    <mergeCell ref="Q11:Q19"/>
    <mergeCell ref="B11:B19"/>
    <mergeCell ref="B20:B28"/>
    <mergeCell ref="Q20:Q28"/>
    <mergeCell ref="Q2:Q10"/>
    <mergeCell ref="B2:B10"/>
    <mergeCell ref="Q56:Q64"/>
    <mergeCell ref="Q29:Q37"/>
    <mergeCell ref="B38:B46"/>
    <mergeCell ref="B47:B55"/>
    <mergeCell ref="Q83:Q91"/>
    <mergeCell ref="B29:B37"/>
    <mergeCell ref="B56:B64"/>
    <mergeCell ref="B74:B82"/>
    <mergeCell ref="Q74:Q82"/>
    <mergeCell ref="Q47:Q55"/>
    <mergeCell ref="Q38:Q46"/>
  </mergeCells>
  <hyperlinks>
    <hyperlink ref="A1" location="'Table of Contents'!A1" display="Table of Contents" xr:uid="{A32CDCE0-967A-4BA7-B0C6-BAF76283222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DD0B-51EA-456C-B50F-331547C0C84C}">
  <dimension ref="A1:AV57"/>
  <sheetViews>
    <sheetView topLeftCell="Y70" workbookViewId="0">
      <selection activeCell="Z2" sqref="Z2:AD2"/>
    </sheetView>
  </sheetViews>
  <sheetFormatPr defaultRowHeight="15" x14ac:dyDescent="0.25"/>
  <cols>
    <col min="2" max="2" width="10.42578125" customWidth="1"/>
    <col min="3" max="3" width="10.7109375" customWidth="1"/>
    <col min="8" max="8" width="11" customWidth="1"/>
    <col min="9" max="9" width="11.85546875" customWidth="1"/>
    <col min="14" max="14" width="10.28515625" customWidth="1"/>
    <col min="15" max="15" width="11.42578125" customWidth="1"/>
    <col min="20" max="20" width="11.85546875" customWidth="1"/>
    <col min="21" max="21" width="10.5703125" customWidth="1"/>
    <col min="26" max="26" width="10.85546875" customWidth="1"/>
    <col min="27" max="27" width="11" customWidth="1"/>
    <col min="32" max="32" width="11.140625" customWidth="1"/>
    <col min="33" max="33" width="11" customWidth="1"/>
    <col min="38" max="38" width="12.140625" customWidth="1"/>
    <col min="39" max="39" width="10.5703125" customWidth="1"/>
    <col min="43" max="43" width="8.42578125" customWidth="1"/>
    <col min="44" max="44" width="11.42578125" customWidth="1"/>
  </cols>
  <sheetData>
    <row r="1" spans="1:48" ht="15.75" thickBot="1" x14ac:dyDescent="0.3">
      <c r="A1" s="356" t="s">
        <v>262</v>
      </c>
      <c r="B1" s="644" t="s">
        <v>17</v>
      </c>
      <c r="C1" s="645"/>
      <c r="D1" s="645"/>
      <c r="E1" s="645"/>
      <c r="F1" s="646"/>
      <c r="H1" s="644" t="s">
        <v>86</v>
      </c>
      <c r="I1" s="645"/>
      <c r="J1" s="645"/>
      <c r="K1" s="645"/>
      <c r="L1" s="646"/>
      <c r="N1" s="644" t="s">
        <v>285</v>
      </c>
      <c r="O1" s="645"/>
      <c r="P1" s="645"/>
      <c r="Q1" s="645"/>
      <c r="R1" s="646"/>
      <c r="T1" s="644" t="s">
        <v>18</v>
      </c>
      <c r="U1" s="645"/>
      <c r="V1" s="645"/>
      <c r="W1" s="645"/>
      <c r="X1" s="646"/>
      <c r="Z1" s="644" t="s">
        <v>87</v>
      </c>
      <c r="AA1" s="645"/>
      <c r="AB1" s="645"/>
      <c r="AC1" s="645"/>
      <c r="AD1" s="646"/>
      <c r="AF1" s="644" t="s">
        <v>233</v>
      </c>
      <c r="AG1" s="645"/>
      <c r="AH1" s="645"/>
      <c r="AI1" s="645"/>
      <c r="AJ1" s="646"/>
      <c r="AL1" s="644" t="s">
        <v>234</v>
      </c>
      <c r="AM1" s="645"/>
      <c r="AN1" s="645"/>
      <c r="AO1" s="645"/>
      <c r="AP1" s="646"/>
      <c r="AR1" s="644" t="s">
        <v>292</v>
      </c>
      <c r="AS1" s="645"/>
      <c r="AT1" s="645"/>
      <c r="AU1" s="645"/>
      <c r="AV1" s="646"/>
    </row>
    <row r="2" spans="1:48" ht="15.75" thickBot="1" x14ac:dyDescent="0.3">
      <c r="B2" s="22" t="s">
        <v>56</v>
      </c>
      <c r="C2" s="23" t="s">
        <v>53</v>
      </c>
      <c r="D2" s="23" t="s">
        <v>54</v>
      </c>
      <c r="E2" s="23" t="s">
        <v>37</v>
      </c>
      <c r="F2" s="24" t="s">
        <v>55</v>
      </c>
      <c r="H2" s="64" t="s">
        <v>56</v>
      </c>
      <c r="I2" s="65" t="s">
        <v>53</v>
      </c>
      <c r="J2" s="65" t="s">
        <v>54</v>
      </c>
      <c r="K2" s="65" t="s">
        <v>37</v>
      </c>
      <c r="L2" s="85" t="s">
        <v>55</v>
      </c>
      <c r="N2" s="64" t="s">
        <v>56</v>
      </c>
      <c r="O2" s="65" t="s">
        <v>53</v>
      </c>
      <c r="P2" s="65" t="s">
        <v>54</v>
      </c>
      <c r="Q2" s="65" t="s">
        <v>37</v>
      </c>
      <c r="R2" s="85" t="s">
        <v>55</v>
      </c>
      <c r="T2" s="22" t="s">
        <v>56</v>
      </c>
      <c r="U2" s="23" t="s">
        <v>53</v>
      </c>
      <c r="V2" s="23" t="s">
        <v>54</v>
      </c>
      <c r="W2" s="23" t="s">
        <v>37</v>
      </c>
      <c r="X2" s="24" t="s">
        <v>55</v>
      </c>
      <c r="Z2" s="86" t="s">
        <v>56</v>
      </c>
      <c r="AA2" s="87" t="s">
        <v>53</v>
      </c>
      <c r="AB2" s="65" t="s">
        <v>54</v>
      </c>
      <c r="AC2" s="65" t="s">
        <v>37</v>
      </c>
      <c r="AD2" s="85" t="s">
        <v>55</v>
      </c>
      <c r="AF2" s="64" t="s">
        <v>56</v>
      </c>
      <c r="AG2" s="65" t="s">
        <v>53</v>
      </c>
      <c r="AH2" s="65" t="s">
        <v>54</v>
      </c>
      <c r="AI2" s="65" t="s">
        <v>37</v>
      </c>
      <c r="AJ2" s="85" t="s">
        <v>55</v>
      </c>
      <c r="AL2" s="64" t="s">
        <v>56</v>
      </c>
      <c r="AM2" s="65" t="s">
        <v>53</v>
      </c>
      <c r="AN2" s="65" t="s">
        <v>54</v>
      </c>
      <c r="AO2" s="65" t="s">
        <v>37</v>
      </c>
      <c r="AP2" s="85" t="s">
        <v>55</v>
      </c>
      <c r="AR2" s="64" t="s">
        <v>56</v>
      </c>
      <c r="AS2" s="65" t="s">
        <v>53</v>
      </c>
      <c r="AT2" s="65" t="s">
        <v>54</v>
      </c>
      <c r="AU2" s="65" t="s">
        <v>37</v>
      </c>
      <c r="AV2" s="85" t="s">
        <v>55</v>
      </c>
    </row>
    <row r="3" spans="1:48" x14ac:dyDescent="0.25">
      <c r="B3" s="667" t="s">
        <v>27</v>
      </c>
      <c r="C3" s="690" t="s">
        <v>13</v>
      </c>
      <c r="D3" s="28" t="s">
        <v>57</v>
      </c>
      <c r="E3" s="47">
        <f>AVERAGE('Alamar Blue (Raw)'!D3:F3)</f>
        <v>66.333333333333329</v>
      </c>
      <c r="F3" s="25">
        <f t="shared" ref="F3:F8" si="0">E3/$E$3</f>
        <v>1</v>
      </c>
      <c r="H3" s="667" t="s">
        <v>27</v>
      </c>
      <c r="I3" s="660" t="s">
        <v>169</v>
      </c>
      <c r="J3" s="28" t="s">
        <v>57</v>
      </c>
      <c r="K3" s="47">
        <f>AVERAGE('Alamar Blue (Raw)'!D12:F12)</f>
        <v>56.666666666666664</v>
      </c>
      <c r="L3" s="25">
        <f t="shared" ref="L3:L8" si="1">K3/$E$3</f>
        <v>0.85427135678391963</v>
      </c>
      <c r="N3" s="649" t="s">
        <v>27</v>
      </c>
      <c r="O3" s="689" t="s">
        <v>284</v>
      </c>
      <c r="P3" s="47" t="s">
        <v>57</v>
      </c>
      <c r="Q3" s="47">
        <f>AVERAGE('Alamar Blue (Raw)'!D120:F120)</f>
        <v>48.333333333333336</v>
      </c>
      <c r="R3" s="25">
        <f>Q3/$Q$3</f>
        <v>1</v>
      </c>
      <c r="T3" s="667" t="s">
        <v>27</v>
      </c>
      <c r="U3" s="660" t="s">
        <v>12</v>
      </c>
      <c r="V3" s="28" t="s">
        <v>57</v>
      </c>
      <c r="W3" s="28">
        <f>AVERAGE('Alamar Blue (Raw)'!S3:U3)</f>
        <v>64</v>
      </c>
      <c r="X3" s="25">
        <f>W3/$W$3</f>
        <v>1</v>
      </c>
      <c r="Z3" s="665" t="s">
        <v>27</v>
      </c>
      <c r="AA3" s="715" t="s">
        <v>78</v>
      </c>
      <c r="AB3" s="30" t="s">
        <v>57</v>
      </c>
      <c r="AC3">
        <f>AVERAGE('Alamar Blue (Raw)'!S21:U21)</f>
        <v>63.333333333333336</v>
      </c>
      <c r="AD3" s="27">
        <f>AC3/$AC$3</f>
        <v>1</v>
      </c>
      <c r="AF3" s="667" t="s">
        <v>26</v>
      </c>
      <c r="AG3" s="660" t="s">
        <v>218</v>
      </c>
      <c r="AH3" s="28" t="s">
        <v>57</v>
      </c>
      <c r="AI3" s="47">
        <f>AVERAGE('Alamar Blue (Raw)'!D57:F57)</f>
        <v>44.666666666666664</v>
      </c>
      <c r="AJ3" s="25">
        <f t="shared" ref="AJ3:AJ8" si="2">AI3/$AI$3</f>
        <v>1</v>
      </c>
      <c r="AL3" s="667" t="s">
        <v>26</v>
      </c>
      <c r="AM3" s="660" t="s">
        <v>235</v>
      </c>
      <c r="AN3" s="28" t="s">
        <v>57</v>
      </c>
      <c r="AO3" s="47">
        <f>AVERAGE('Alamar Blue (Raw)'!D84:F84)</f>
        <v>27.333333333333332</v>
      </c>
      <c r="AP3" s="25">
        <f t="shared" ref="AP3:AP8" si="3">AO3/$AO$3</f>
        <v>1</v>
      </c>
      <c r="AR3" s="667" t="s">
        <v>26</v>
      </c>
      <c r="AS3" s="660" t="s">
        <v>293</v>
      </c>
      <c r="AT3" s="28" t="s">
        <v>57</v>
      </c>
      <c r="AU3" s="47">
        <f>AVERAGE('Alamar Blue (Raw)'!S75:U75)</f>
        <v>50.666666666666664</v>
      </c>
      <c r="AV3" s="25">
        <f t="shared" ref="AV3:AV8" si="4">AU3/$AU$3</f>
        <v>1</v>
      </c>
    </row>
    <row r="4" spans="1:48" x14ac:dyDescent="0.25">
      <c r="B4" s="665"/>
      <c r="C4" s="686"/>
      <c r="D4" s="30" t="s">
        <v>44</v>
      </c>
      <c r="E4" s="48">
        <f>AVERAGE('Alamar Blue (Raw)'!D4:F4)</f>
        <v>104.33333333333333</v>
      </c>
      <c r="F4" s="27">
        <f t="shared" si="0"/>
        <v>1.5728643216080402</v>
      </c>
      <c r="H4" s="665"/>
      <c r="I4" s="715"/>
      <c r="J4" s="30" t="s">
        <v>44</v>
      </c>
      <c r="K4" s="48">
        <f>AVERAGE('Alamar Blue (Raw)'!D13:F13)</f>
        <v>209.33333333333334</v>
      </c>
      <c r="L4" s="27">
        <f t="shared" si="1"/>
        <v>3.1557788944723622</v>
      </c>
      <c r="N4" s="647"/>
      <c r="O4" s="681"/>
      <c r="P4" s="48" t="s">
        <v>44</v>
      </c>
      <c r="Q4" s="48">
        <f>AVERAGE('Alamar Blue (Raw)'!G121:I121)</f>
        <v>122.33333333333333</v>
      </c>
      <c r="R4" s="27">
        <f>Q4/$Q$3</f>
        <v>2.5310344827586206</v>
      </c>
      <c r="T4" s="665"/>
      <c r="U4" s="715"/>
      <c r="V4" s="30" t="s">
        <v>44</v>
      </c>
      <c r="W4" s="30">
        <f>AVERAGE('Alamar Blue (Raw)'!S4:U4)</f>
        <v>195</v>
      </c>
      <c r="X4" s="27">
        <f>W4/$W$3</f>
        <v>3.046875</v>
      </c>
      <c r="Z4" s="665"/>
      <c r="AA4" s="715"/>
      <c r="AB4" s="30" t="s">
        <v>44</v>
      </c>
      <c r="AC4">
        <f>AVERAGE('Alamar Blue (Raw)'!S22:U22)</f>
        <v>196</v>
      </c>
      <c r="AD4" s="27">
        <f t="shared" ref="AD4:AD9" si="5">AC4/$AC$3</f>
        <v>3.094736842105263</v>
      </c>
      <c r="AF4" s="665"/>
      <c r="AG4" s="715"/>
      <c r="AH4" s="30" t="s">
        <v>44</v>
      </c>
      <c r="AI4" s="48">
        <f>AVERAGE('Alamar Blue (Raw)'!D58:F58)</f>
        <v>75</v>
      </c>
      <c r="AJ4" s="27">
        <f t="shared" si="2"/>
        <v>1.6791044776119404</v>
      </c>
      <c r="AL4" s="665"/>
      <c r="AM4" s="715"/>
      <c r="AN4" s="30" t="s">
        <v>44</v>
      </c>
      <c r="AO4" s="48">
        <f>AVERAGE('Alamar Blue (Raw)'!D85:F85)</f>
        <v>61.666666666666664</v>
      </c>
      <c r="AP4" s="27">
        <f t="shared" si="3"/>
        <v>2.25609756097561</v>
      </c>
      <c r="AR4" s="665"/>
      <c r="AS4" s="715"/>
      <c r="AT4" s="30" t="s">
        <v>44</v>
      </c>
      <c r="AU4" s="48">
        <f>AVERAGE('Alamar Blue (Raw)'!S76:U76)</f>
        <v>63.666666666666664</v>
      </c>
      <c r="AV4" s="27">
        <f t="shared" si="4"/>
        <v>1.256578947368421</v>
      </c>
    </row>
    <row r="5" spans="1:48" x14ac:dyDescent="0.25">
      <c r="B5" s="665"/>
      <c r="C5" s="686"/>
      <c r="D5" s="30" t="s">
        <v>45</v>
      </c>
      <c r="E5" s="48">
        <f>AVERAGE('Alamar Blue (Raw)'!D5:F5)</f>
        <v>86</v>
      </c>
      <c r="F5" s="27">
        <f t="shared" si="0"/>
        <v>1.2964824120603016</v>
      </c>
      <c r="H5" s="665"/>
      <c r="I5" s="715"/>
      <c r="J5" s="30" t="s">
        <v>45</v>
      </c>
      <c r="K5" s="48">
        <f>AVERAGE('Alamar Blue (Raw)'!D14:F14)</f>
        <v>208.66666666666666</v>
      </c>
      <c r="L5" s="27">
        <f t="shared" si="1"/>
        <v>3.1457286432160805</v>
      </c>
      <c r="N5" s="647"/>
      <c r="O5" s="681"/>
      <c r="P5" s="48" t="s">
        <v>45</v>
      </c>
      <c r="Q5" s="48">
        <f>AVERAGE('Alamar Blue (Raw)'!G122:I122)</f>
        <v>99.333333333333329</v>
      </c>
      <c r="R5" s="27">
        <f>Q5/$Q$3</f>
        <v>2.0551724137931031</v>
      </c>
      <c r="T5" s="665"/>
      <c r="U5" s="715"/>
      <c r="V5" s="29" t="s">
        <v>45</v>
      </c>
      <c r="W5" s="29">
        <f>AVERAGE('Alamar Blue (Raw)'!S5:U5)</f>
        <v>374</v>
      </c>
      <c r="X5" s="26">
        <f>W5/$W$3</f>
        <v>5.84375</v>
      </c>
      <c r="Z5" s="665"/>
      <c r="AA5" s="715"/>
      <c r="AB5" s="30" t="s">
        <v>45</v>
      </c>
      <c r="AC5">
        <f>AVERAGE('Alamar Blue (Raw)'!S23:U23)</f>
        <v>145.33333333333334</v>
      </c>
      <c r="AD5" s="27">
        <f t="shared" si="5"/>
        <v>2.2947368421052632</v>
      </c>
      <c r="AF5" s="665"/>
      <c r="AG5" s="715"/>
      <c r="AH5" s="30" t="s">
        <v>45</v>
      </c>
      <c r="AI5" s="48">
        <f>AVERAGE('Alamar Blue (Raw)'!D59:F59)</f>
        <v>75</v>
      </c>
      <c r="AJ5" s="27">
        <f t="shared" si="2"/>
        <v>1.6791044776119404</v>
      </c>
      <c r="AL5" s="665"/>
      <c r="AM5" s="715"/>
      <c r="AN5" s="30" t="s">
        <v>45</v>
      </c>
      <c r="AO5" s="48">
        <f>AVERAGE('Alamar Blue (Raw)'!D86:F86)</f>
        <v>55.333333333333336</v>
      </c>
      <c r="AP5" s="27">
        <f t="shared" si="3"/>
        <v>2.024390243902439</v>
      </c>
      <c r="AR5" s="665"/>
      <c r="AS5" s="715"/>
      <c r="AT5" s="30" t="s">
        <v>45</v>
      </c>
      <c r="AU5" s="48">
        <f>AVERAGE('Alamar Blue (Raw)'!S77:U77)</f>
        <v>72.666666666666671</v>
      </c>
      <c r="AV5" s="27">
        <f t="shared" si="4"/>
        <v>1.4342105263157896</v>
      </c>
    </row>
    <row r="6" spans="1:48" ht="15.75" thickBot="1" x14ac:dyDescent="0.3">
      <c r="B6" s="665"/>
      <c r="C6" s="686"/>
      <c r="D6" s="30" t="s">
        <v>46</v>
      </c>
      <c r="E6" s="48">
        <f>AVERAGE('Alamar Blue (Raw)'!D6:F6)</f>
        <v>90.666666666666671</v>
      </c>
      <c r="F6" s="27">
        <f t="shared" si="0"/>
        <v>1.3668341708542715</v>
      </c>
      <c r="H6" s="665"/>
      <c r="I6" s="715"/>
      <c r="J6" s="30" t="s">
        <v>46</v>
      </c>
      <c r="K6" s="48">
        <f>AVERAGE('Alamar Blue (Raw)'!D15:F15)</f>
        <v>135</v>
      </c>
      <c r="L6" s="27">
        <f t="shared" si="1"/>
        <v>2.0351758793969852</v>
      </c>
      <c r="N6" s="647"/>
      <c r="O6" s="681"/>
      <c r="P6" s="48" t="s">
        <v>46</v>
      </c>
      <c r="Q6" s="48">
        <f>AVERAGE('Alamar Blue (Raw)'!G123:I123)</f>
        <v>116</v>
      </c>
      <c r="R6" s="27">
        <f>Q6/$Q$3</f>
        <v>2.4</v>
      </c>
      <c r="T6" s="665"/>
      <c r="U6" s="715"/>
      <c r="V6" s="31" t="s">
        <v>46</v>
      </c>
      <c r="W6" s="32">
        <f>AVERAGE('Alamar Blue (Raw)'!S6:U6)</f>
        <v>138.33333333333334</v>
      </c>
      <c r="X6" s="33">
        <f>W6/$W$3</f>
        <v>2.1614583333333335</v>
      </c>
      <c r="Z6" s="665"/>
      <c r="AA6" s="715"/>
      <c r="AB6" s="30" t="s">
        <v>46</v>
      </c>
      <c r="AC6">
        <f>AVERAGE('Alamar Blue (Raw)'!S24:U24)</f>
        <v>55.666666666666664</v>
      </c>
      <c r="AD6" s="27">
        <f t="shared" si="5"/>
        <v>0.87894736842105259</v>
      </c>
      <c r="AF6" s="665"/>
      <c r="AG6" s="715"/>
      <c r="AH6" s="30" t="s">
        <v>46</v>
      </c>
      <c r="AI6" s="48">
        <f>AVERAGE('Alamar Blue (Raw)'!D60:F60)</f>
        <v>65</v>
      </c>
      <c r="AJ6" s="27">
        <f t="shared" si="2"/>
        <v>1.455223880597015</v>
      </c>
      <c r="AL6" s="665"/>
      <c r="AM6" s="715"/>
      <c r="AN6" s="30" t="s">
        <v>46</v>
      </c>
      <c r="AO6" s="48">
        <f>AVERAGE('Alamar Blue (Raw)'!D87:F87)</f>
        <v>43.666666666666664</v>
      </c>
      <c r="AP6" s="27">
        <f t="shared" si="3"/>
        <v>1.5975609756097562</v>
      </c>
      <c r="AR6" s="665"/>
      <c r="AS6" s="715"/>
      <c r="AT6" s="30" t="s">
        <v>46</v>
      </c>
      <c r="AU6" s="48">
        <f>AVERAGE('Alamar Blue (Raw)'!S78:U78)</f>
        <v>68.666666666666671</v>
      </c>
      <c r="AV6" s="27">
        <f t="shared" si="4"/>
        <v>1.3552631578947369</v>
      </c>
    </row>
    <row r="7" spans="1:48" ht="16.5" thickTop="1" thickBot="1" x14ac:dyDescent="0.3">
      <c r="B7" s="665"/>
      <c r="C7" s="686"/>
      <c r="D7" s="30" t="s">
        <v>47</v>
      </c>
      <c r="E7" s="48">
        <f>AVERAGE('Alamar Blue (Raw)'!D7:F7)</f>
        <v>91.333333333333329</v>
      </c>
      <c r="F7" s="27">
        <f t="shared" si="0"/>
        <v>1.3768844221105527</v>
      </c>
      <c r="H7" s="665"/>
      <c r="I7" s="715"/>
      <c r="J7" s="30" t="s">
        <v>47</v>
      </c>
      <c r="K7" s="48">
        <f>AVERAGE('Alamar Blue (Raw)'!D16:F16)</f>
        <v>181.66666666666666</v>
      </c>
      <c r="L7" s="27">
        <f t="shared" si="1"/>
        <v>2.7386934673366836</v>
      </c>
      <c r="N7" s="647"/>
      <c r="O7" s="681"/>
      <c r="P7" s="48" t="s">
        <v>47</v>
      </c>
      <c r="Q7" s="48">
        <f>AVERAGE('Alamar Blue (Raw)'!G124:I124)</f>
        <v>98.333333333333329</v>
      </c>
      <c r="R7" s="27">
        <f>Q7/$Q$3</f>
        <v>2.0344827586206895</v>
      </c>
      <c r="T7" s="666"/>
      <c r="U7" s="661"/>
      <c r="V7" s="9" t="s">
        <v>58</v>
      </c>
      <c r="W7" s="9"/>
      <c r="X7" s="8">
        <f>AVERAGE(X4,X6)</f>
        <v>2.604166666666667</v>
      </c>
      <c r="Z7" s="665"/>
      <c r="AA7" s="715"/>
      <c r="AB7" s="30" t="s">
        <v>47</v>
      </c>
      <c r="AC7">
        <f>AVERAGE('Alamar Blue (Raw)'!S25:U25)</f>
        <v>50.666666666666664</v>
      </c>
      <c r="AD7" s="27">
        <f t="shared" si="5"/>
        <v>0.79999999999999993</v>
      </c>
      <c r="AF7" s="665"/>
      <c r="AG7" s="715"/>
      <c r="AH7" s="30" t="s">
        <v>47</v>
      </c>
      <c r="AI7" s="48">
        <f>AVERAGE('Alamar Blue (Raw)'!D61:F61)</f>
        <v>65.333333333333329</v>
      </c>
      <c r="AJ7" s="27">
        <f t="shared" si="2"/>
        <v>1.4626865671641791</v>
      </c>
      <c r="AL7" s="665"/>
      <c r="AM7" s="715"/>
      <c r="AN7" s="30" t="s">
        <v>47</v>
      </c>
      <c r="AO7" s="48">
        <f>AVERAGE('Alamar Blue (Raw)'!D88:F88)</f>
        <v>35</v>
      </c>
      <c r="AP7" s="27">
        <f t="shared" si="3"/>
        <v>1.2804878048780488</v>
      </c>
      <c r="AR7" s="665"/>
      <c r="AS7" s="715"/>
      <c r="AT7" s="30" t="s">
        <v>47</v>
      </c>
      <c r="AU7" s="48">
        <f>AVERAGE('Alamar Blue (Raw)'!S79:U79)</f>
        <v>66.333333333333329</v>
      </c>
      <c r="AV7" s="27">
        <f t="shared" si="4"/>
        <v>1.3092105263157894</v>
      </c>
    </row>
    <row r="8" spans="1:48" ht="15.75" thickBot="1" x14ac:dyDescent="0.3">
      <c r="B8" s="665"/>
      <c r="C8" s="688"/>
      <c r="D8" s="90" t="s">
        <v>48</v>
      </c>
      <c r="E8" s="149">
        <f>AVERAGE('Alamar Blue (Raw)'!D8:F8)</f>
        <v>95</v>
      </c>
      <c r="F8" s="61">
        <f t="shared" si="0"/>
        <v>1.4321608040201006</v>
      </c>
      <c r="H8" s="665"/>
      <c r="I8" s="720"/>
      <c r="J8" s="90" t="s">
        <v>48</v>
      </c>
      <c r="K8" s="149">
        <f>AVERAGE('Alamar Blue (Raw)'!D17:F17)</f>
        <v>188.66666666666666</v>
      </c>
      <c r="L8" s="61">
        <f t="shared" si="1"/>
        <v>2.8442211055276383</v>
      </c>
      <c r="N8" s="647"/>
      <c r="O8" s="681"/>
      <c r="P8" s="31" t="s">
        <v>48</v>
      </c>
      <c r="Q8" s="31">
        <f>AVERAGE('Alamar Blue (Raw)'!G125:I125)</f>
        <v>19.333333333333332</v>
      </c>
      <c r="R8" s="33"/>
      <c r="T8" s="667" t="s">
        <v>27</v>
      </c>
      <c r="U8" s="660" t="s">
        <v>70</v>
      </c>
      <c r="V8" s="28" t="s">
        <v>57</v>
      </c>
      <c r="W8" s="50">
        <f>AVERAGE('Alamar Blue (Raw)'!S12:U12)</f>
        <v>70</v>
      </c>
      <c r="X8" s="25">
        <f t="shared" ref="X8:X13" si="6">W8/$W$8</f>
        <v>1</v>
      </c>
      <c r="Z8" s="665"/>
      <c r="AA8" s="715"/>
      <c r="AB8" t="s">
        <v>48</v>
      </c>
      <c r="AC8">
        <f>AVERAGE('Alamar Blue (Raw)'!S26:U26)</f>
        <v>217</v>
      </c>
      <c r="AD8" s="27">
        <f t="shared" si="5"/>
        <v>3.426315789473684</v>
      </c>
      <c r="AF8" s="665"/>
      <c r="AG8" s="715"/>
      <c r="AH8" s="32" t="s">
        <v>48</v>
      </c>
      <c r="AI8" s="31">
        <f>AVERAGE('Alamar Blue (Raw)'!D62:F62)</f>
        <v>57.666666666666664</v>
      </c>
      <c r="AJ8" s="33">
        <f t="shared" si="2"/>
        <v>1.291044776119403</v>
      </c>
      <c r="AL8" s="665"/>
      <c r="AM8" s="715"/>
      <c r="AN8" s="32" t="s">
        <v>48</v>
      </c>
      <c r="AO8" s="31">
        <f>AVERAGE('Alamar Blue (Raw)'!D89:F89)</f>
        <v>38.666666666666664</v>
      </c>
      <c r="AP8" s="33">
        <f t="shared" si="3"/>
        <v>1.4146341463414633</v>
      </c>
      <c r="AR8" s="665"/>
      <c r="AS8" s="715"/>
      <c r="AT8" s="32" t="s">
        <v>48</v>
      </c>
      <c r="AU8" s="31">
        <f>AVERAGE('Alamar Blue (Raw)'!S80:U80)</f>
        <v>80.333333333333329</v>
      </c>
      <c r="AV8" s="33">
        <f t="shared" si="4"/>
        <v>1.5855263157894737</v>
      </c>
    </row>
    <row r="9" spans="1:48" ht="16.5" thickTop="1" thickBot="1" x14ac:dyDescent="0.3">
      <c r="B9" s="665"/>
      <c r="C9" s="685" t="s">
        <v>206</v>
      </c>
      <c r="D9" s="30" t="s">
        <v>57</v>
      </c>
      <c r="E9" s="282">
        <f>AVERAGE('Alamar Blue (Raw)'!D48:F48)</f>
        <v>62</v>
      </c>
      <c r="F9" s="27">
        <f t="shared" ref="F9:F14" si="7">E9/$E$9</f>
        <v>1</v>
      </c>
      <c r="H9" s="665"/>
      <c r="I9" s="718"/>
      <c r="J9" s="126" t="s">
        <v>57</v>
      </c>
      <c r="K9" s="282">
        <f>AVERAGE('Alamar Blue (Raw)'!D66:F66)</f>
        <v>41.333333333333336</v>
      </c>
      <c r="L9" s="161">
        <f>K9/$K$9</f>
        <v>1</v>
      </c>
      <c r="N9" s="648"/>
      <c r="O9" s="684"/>
      <c r="P9" s="49" t="s">
        <v>58</v>
      </c>
      <c r="Q9" s="2"/>
      <c r="R9" s="8">
        <f>AVERAGE(R4:R7)</f>
        <v>2.2551724137931037</v>
      </c>
      <c r="T9" s="665"/>
      <c r="U9" s="715"/>
      <c r="V9" s="30" t="s">
        <v>44</v>
      </c>
      <c r="W9">
        <f>AVERAGE('Alamar Blue (Raw)'!S13:U13)</f>
        <v>195.66666666666666</v>
      </c>
      <c r="X9" s="27">
        <f t="shared" si="6"/>
        <v>2.7952380952380951</v>
      </c>
      <c r="Z9" s="665"/>
      <c r="AA9" s="715"/>
      <c r="AB9" s="32" t="s">
        <v>49</v>
      </c>
      <c r="AC9" s="84">
        <f>AVERAGE('Alamar Blue (Raw)'!S27:U27)</f>
        <v>154.33333333333334</v>
      </c>
      <c r="AD9" s="33">
        <f t="shared" si="5"/>
        <v>2.4368421052631581</v>
      </c>
      <c r="AF9" s="666"/>
      <c r="AG9" s="661"/>
      <c r="AH9" s="9" t="s">
        <v>58</v>
      </c>
      <c r="AI9" s="49"/>
      <c r="AJ9" s="8">
        <f>AVERAGE(AJ4:AJ8)</f>
        <v>1.5134328358208955</v>
      </c>
      <c r="AL9" s="666"/>
      <c r="AM9" s="661"/>
      <c r="AN9" s="9" t="s">
        <v>58</v>
      </c>
      <c r="AO9" s="49"/>
      <c r="AP9" s="8">
        <f>AVERAGE(AP4:AP8)</f>
        <v>1.7146341463414636</v>
      </c>
      <c r="AR9" s="666"/>
      <c r="AS9" s="661"/>
      <c r="AT9" s="9" t="s">
        <v>58</v>
      </c>
      <c r="AU9" s="49"/>
      <c r="AV9" s="8">
        <f>AVERAGE(AV4:AV8)</f>
        <v>1.388157894736842</v>
      </c>
    </row>
    <row r="10" spans="1:48" ht="15.75" thickBot="1" x14ac:dyDescent="0.3">
      <c r="B10" s="665"/>
      <c r="C10" s="686"/>
      <c r="D10" s="30" t="s">
        <v>44</v>
      </c>
      <c r="E10" s="48">
        <f>AVERAGE('Alamar Blue (Raw)'!D49:F49)</f>
        <v>284.33333333333331</v>
      </c>
      <c r="F10" s="289">
        <f t="shared" si="7"/>
        <v>4.586021505376344</v>
      </c>
      <c r="H10" s="665"/>
      <c r="I10" s="704"/>
      <c r="J10" s="30" t="s">
        <v>44</v>
      </c>
      <c r="K10" s="48">
        <f>AVERAGE('Alamar Blue (Raw)'!D67:F67)</f>
        <v>38.666666666666664</v>
      </c>
      <c r="L10" s="27"/>
      <c r="N10" s="649" t="s">
        <v>27</v>
      </c>
      <c r="O10" s="689" t="s">
        <v>299</v>
      </c>
      <c r="P10" s="47" t="s">
        <v>57</v>
      </c>
      <c r="Q10" s="47">
        <f>AVERAGE('Alamar Blue (Raw)'!D147:F147)</f>
        <v>35</v>
      </c>
      <c r="R10" s="25">
        <f t="shared" ref="R10:R15" si="8">Q10/$Q$10</f>
        <v>1</v>
      </c>
      <c r="T10" s="665"/>
      <c r="U10" s="715"/>
      <c r="V10" s="30" t="s">
        <v>45</v>
      </c>
      <c r="W10">
        <f>AVERAGE('Alamar Blue (Raw)'!S14:U14)</f>
        <v>180.66666666666666</v>
      </c>
      <c r="X10" s="27">
        <f t="shared" si="6"/>
        <v>2.5809523809523807</v>
      </c>
      <c r="Z10" s="666"/>
      <c r="AA10" s="661"/>
      <c r="AB10" s="2" t="s">
        <v>58</v>
      </c>
      <c r="AC10" s="2"/>
      <c r="AD10" s="8">
        <f>AVERAGE(AD4:AD5,AD8:AD9)</f>
        <v>2.8131578947368423</v>
      </c>
      <c r="AF10" s="667" t="s">
        <v>27</v>
      </c>
      <c r="AG10" s="660" t="s">
        <v>218</v>
      </c>
      <c r="AH10" s="28" t="s">
        <v>57</v>
      </c>
      <c r="AI10" s="47">
        <f>AVERAGE('Alamar Blue (Raw)'!D75:F75)</f>
        <v>55.666666666666664</v>
      </c>
      <c r="AJ10" s="25">
        <f t="shared" ref="AJ10:AJ15" si="9">AI10/$AI$10</f>
        <v>1</v>
      </c>
      <c r="AL10" s="667" t="s">
        <v>27</v>
      </c>
      <c r="AM10" s="660" t="s">
        <v>246</v>
      </c>
      <c r="AN10" s="28" t="s">
        <v>57</v>
      </c>
      <c r="AO10" s="47">
        <f>AVERAGE('Alamar Blue (Raw)'!D93:F93)</f>
        <v>49</v>
      </c>
      <c r="AP10" s="25">
        <f>AO10/$AO$10</f>
        <v>1</v>
      </c>
      <c r="AR10" s="667" t="s">
        <v>27</v>
      </c>
      <c r="AS10" s="660" t="s">
        <v>293</v>
      </c>
      <c r="AT10" s="28" t="s">
        <v>57</v>
      </c>
      <c r="AU10" s="47">
        <f>AVERAGE('Alamar Blue (Raw)'!S84:U84)</f>
        <v>55</v>
      </c>
      <c r="AV10" s="25">
        <f>AU10/$AU$10</f>
        <v>1</v>
      </c>
    </row>
    <row r="11" spans="1:48" x14ac:dyDescent="0.25">
      <c r="B11" s="665"/>
      <c r="C11" s="686"/>
      <c r="D11" s="30" t="s">
        <v>45</v>
      </c>
      <c r="E11" s="48">
        <f>AVERAGE('Alamar Blue (Raw)'!D50:F50)</f>
        <v>488.66666666666669</v>
      </c>
      <c r="F11" s="289">
        <f t="shared" si="7"/>
        <v>7.881720430107527</v>
      </c>
      <c r="H11" s="665"/>
      <c r="I11" s="704"/>
      <c r="J11" s="30" t="s">
        <v>45</v>
      </c>
      <c r="K11" s="48">
        <f>AVERAGE('Alamar Blue (Raw)'!D68:F68)</f>
        <v>64.666666666666671</v>
      </c>
      <c r="L11" s="27">
        <f>K11/$K$9</f>
        <v>1.564516129032258</v>
      </c>
      <c r="N11" s="647"/>
      <c r="O11" s="681"/>
      <c r="P11" s="48" t="s">
        <v>44</v>
      </c>
      <c r="Q11" s="48">
        <f>AVERAGE('Alamar Blue (Raw)'!G148:I148)</f>
        <v>66.333333333333329</v>
      </c>
      <c r="R11" s="27">
        <f t="shared" si="8"/>
        <v>1.8952380952380952</v>
      </c>
      <c r="T11" s="665"/>
      <c r="U11" s="715"/>
      <c r="V11" s="30" t="s">
        <v>46</v>
      </c>
      <c r="W11">
        <f>AVERAGE('Alamar Blue (Raw)'!S15:U15)</f>
        <v>189.33333333333334</v>
      </c>
      <c r="X11" s="27">
        <f t="shared" si="6"/>
        <v>2.7047619047619049</v>
      </c>
      <c r="Z11" s="667" t="s">
        <v>26</v>
      </c>
      <c r="AA11" s="690" t="s">
        <v>181</v>
      </c>
      <c r="AB11" s="28" t="s">
        <v>57</v>
      </c>
      <c r="AC11" s="47">
        <f>AVERAGE('Alamar Blue (Raw)'!S30:U30)</f>
        <v>54.333333333333336</v>
      </c>
      <c r="AD11" s="25">
        <f>AC11/$AC$11</f>
        <v>1</v>
      </c>
      <c r="AF11" s="665"/>
      <c r="AG11" s="715"/>
      <c r="AH11" s="30" t="s">
        <v>44</v>
      </c>
      <c r="AI11" s="48">
        <f>AVERAGE('Alamar Blue (Raw)'!D76:F76)</f>
        <v>110</v>
      </c>
      <c r="AJ11" s="27">
        <f t="shared" si="9"/>
        <v>1.9760479041916168</v>
      </c>
      <c r="AL11" s="665"/>
      <c r="AM11" s="715"/>
      <c r="AN11" s="30" t="s">
        <v>44</v>
      </c>
      <c r="AO11" s="48">
        <f>AVERAGE('Alamar Blue (Raw)'!D94:F94)</f>
        <v>79.333333333333329</v>
      </c>
      <c r="AP11" s="27">
        <f t="shared" ref="AP11:AP16" si="10">AO11/$AO$10</f>
        <v>1.6190476190476188</v>
      </c>
      <c r="AR11" s="665"/>
      <c r="AS11" s="715"/>
      <c r="AT11" s="30" t="s">
        <v>44</v>
      </c>
      <c r="AU11" s="48">
        <f>AVERAGE('Alamar Blue (Raw)'!S85:U85)</f>
        <v>170.66666666666666</v>
      </c>
      <c r="AV11" s="27">
        <f>AU11/$AU$10</f>
        <v>3.103030303030303</v>
      </c>
    </row>
    <row r="12" spans="1:48" x14ac:dyDescent="0.25">
      <c r="B12" s="665"/>
      <c r="C12" s="686"/>
      <c r="D12" s="30" t="s">
        <v>46</v>
      </c>
      <c r="E12" s="48">
        <f>AVERAGE('Alamar Blue (Raw)'!D51:F51)</f>
        <v>90</v>
      </c>
      <c r="F12" s="27">
        <f t="shared" si="7"/>
        <v>1.4516129032258065</v>
      </c>
      <c r="H12" s="665"/>
      <c r="I12" s="704"/>
      <c r="J12" s="30" t="s">
        <v>46</v>
      </c>
      <c r="K12" s="48">
        <f>AVERAGE('Alamar Blue (Raw)'!D69:F69)</f>
        <v>56.333333333333336</v>
      </c>
      <c r="L12" s="27">
        <f>K12/$K$9</f>
        <v>1.3629032258064515</v>
      </c>
      <c r="N12" s="647"/>
      <c r="O12" s="681"/>
      <c r="P12" s="48" t="s">
        <v>45</v>
      </c>
      <c r="Q12" s="48">
        <f>AVERAGE('Alamar Blue (Raw)'!G149:I149)</f>
        <v>56.666666666666664</v>
      </c>
      <c r="R12" s="27">
        <f t="shared" si="8"/>
        <v>1.6190476190476191</v>
      </c>
      <c r="T12" s="665"/>
      <c r="U12" s="715"/>
      <c r="V12" s="30" t="s">
        <v>47</v>
      </c>
      <c r="W12">
        <f>AVERAGE('Alamar Blue (Raw)'!S16:U16)</f>
        <v>194.66666666666666</v>
      </c>
      <c r="X12" s="27">
        <f t="shared" si="6"/>
        <v>2.7809523809523808</v>
      </c>
      <c r="Z12" s="665"/>
      <c r="AA12" s="686"/>
      <c r="AB12" s="30" t="s">
        <v>44</v>
      </c>
      <c r="AC12" s="48">
        <f>AVERAGE('Alamar Blue (Raw)'!S31:U31)</f>
        <v>86.666666666666671</v>
      </c>
      <c r="AD12" s="27">
        <f t="shared" ref="AD12:AD17" si="11">AC12/$AC$11</f>
        <v>1.5950920245398774</v>
      </c>
      <c r="AF12" s="665"/>
      <c r="AG12" s="715"/>
      <c r="AH12" s="30" t="s">
        <v>45</v>
      </c>
      <c r="AI12" s="48">
        <f>AVERAGE('Alamar Blue (Raw)'!D77:F77)</f>
        <v>107.33333333333333</v>
      </c>
      <c r="AJ12" s="27">
        <f t="shared" si="9"/>
        <v>1.9281437125748504</v>
      </c>
      <c r="AL12" s="665"/>
      <c r="AM12" s="715"/>
      <c r="AN12" s="30" t="s">
        <v>45</v>
      </c>
      <c r="AO12" s="48">
        <f>AVERAGE('Alamar Blue (Raw)'!D95:F95)</f>
        <v>83.666666666666671</v>
      </c>
      <c r="AP12" s="27">
        <f t="shared" si="10"/>
        <v>1.707482993197279</v>
      </c>
      <c r="AR12" s="665"/>
      <c r="AS12" s="715"/>
      <c r="AT12" s="30" t="s">
        <v>45</v>
      </c>
      <c r="AU12" s="48">
        <f>AVERAGE('Alamar Blue (Raw)'!S86:U86)</f>
        <v>182</v>
      </c>
      <c r="AV12" s="27">
        <f>AU12/$AU$10</f>
        <v>3.3090909090909091</v>
      </c>
    </row>
    <row r="13" spans="1:48" ht="15.75" thickBot="1" x14ac:dyDescent="0.3">
      <c r="B13" s="665"/>
      <c r="C13" s="686"/>
      <c r="D13" s="30" t="s">
        <v>47</v>
      </c>
      <c r="E13" s="48">
        <f>AVERAGE('Alamar Blue (Raw)'!D52:F52)</f>
        <v>104.33333333333333</v>
      </c>
      <c r="F13" s="27">
        <f t="shared" si="7"/>
        <v>1.682795698924731</v>
      </c>
      <c r="H13" s="665"/>
      <c r="I13" s="704"/>
      <c r="J13" s="30" t="s">
        <v>47</v>
      </c>
      <c r="K13" s="48">
        <f>AVERAGE('Alamar Blue (Raw)'!D70:F70)</f>
        <v>40</v>
      </c>
      <c r="L13" s="27"/>
      <c r="N13" s="647"/>
      <c r="O13" s="681"/>
      <c r="P13" s="48" t="s">
        <v>46</v>
      </c>
      <c r="Q13" s="48">
        <f>AVERAGE('Alamar Blue (Raw)'!G150:I150)</f>
        <v>60</v>
      </c>
      <c r="R13" s="27">
        <f t="shared" si="8"/>
        <v>1.7142857142857142</v>
      </c>
      <c r="T13" s="665"/>
      <c r="U13" s="715"/>
      <c r="V13" s="32" t="s">
        <v>48</v>
      </c>
      <c r="W13" s="84">
        <f>AVERAGE('Alamar Blue (Raw)'!S17:U17)</f>
        <v>194.33333333333334</v>
      </c>
      <c r="X13" s="33">
        <f t="shared" si="6"/>
        <v>2.7761904761904765</v>
      </c>
      <c r="Z13" s="665"/>
      <c r="AA13" s="686"/>
      <c r="AB13" s="30" t="s">
        <v>45</v>
      </c>
      <c r="AC13" s="48">
        <f>AVERAGE('Alamar Blue (Raw)'!S32:U32)</f>
        <v>78.666666666666671</v>
      </c>
      <c r="AD13" s="27">
        <f t="shared" si="11"/>
        <v>1.4478527607361964</v>
      </c>
      <c r="AF13" s="665"/>
      <c r="AG13" s="715"/>
      <c r="AH13" s="30" t="s">
        <v>46</v>
      </c>
      <c r="AI13" s="48">
        <f>AVERAGE('Alamar Blue (Raw)'!D78:F78)</f>
        <v>112</v>
      </c>
      <c r="AJ13" s="27">
        <f t="shared" si="9"/>
        <v>2.0119760479041915</v>
      </c>
      <c r="AL13" s="665"/>
      <c r="AM13" s="715"/>
      <c r="AN13" s="30" t="s">
        <v>46</v>
      </c>
      <c r="AO13" s="48">
        <f>AVERAGE('Alamar Blue (Raw)'!D96:F96)</f>
        <v>95.666666666666671</v>
      </c>
      <c r="AP13" s="27">
        <f t="shared" si="10"/>
        <v>1.9523809523809526</v>
      </c>
      <c r="AR13" s="665"/>
      <c r="AS13" s="715"/>
      <c r="AT13" s="30" t="s">
        <v>46</v>
      </c>
      <c r="AU13" s="48">
        <f>AVERAGE('Alamar Blue (Raw)'!S87:U87)</f>
        <v>127.66666666666667</v>
      </c>
      <c r="AV13" s="27">
        <f>AU13/$AU$10</f>
        <v>2.3212121212121213</v>
      </c>
    </row>
    <row r="14" spans="1:48" ht="16.5" thickTop="1" thickBot="1" x14ac:dyDescent="0.3">
      <c r="B14" s="665"/>
      <c r="C14" s="722"/>
      <c r="D14" s="31" t="s">
        <v>48</v>
      </c>
      <c r="E14" s="31">
        <f>AVERAGE('Alamar Blue (Raw)'!D53:F53)</f>
        <v>84</v>
      </c>
      <c r="F14" s="33">
        <f t="shared" si="7"/>
        <v>1.3548387096774193</v>
      </c>
      <c r="H14" s="665"/>
      <c r="I14" s="719"/>
      <c r="J14" s="32" t="s">
        <v>48</v>
      </c>
      <c r="K14" s="31">
        <f>AVERAGE('Alamar Blue (Raw)'!D71:F71)</f>
        <v>124.33333333333333</v>
      </c>
      <c r="L14" s="33">
        <f>K14/$K$9</f>
        <v>3.008064516129032</v>
      </c>
      <c r="N14" s="647"/>
      <c r="O14" s="681"/>
      <c r="P14" s="48" t="s">
        <v>47</v>
      </c>
      <c r="Q14" s="48">
        <f>AVERAGE('Alamar Blue (Raw)'!G151:I151)</f>
        <v>79.333333333333329</v>
      </c>
      <c r="R14" s="27">
        <f t="shared" si="8"/>
        <v>2.2666666666666666</v>
      </c>
      <c r="T14" s="666"/>
      <c r="U14" s="661"/>
      <c r="V14" s="9" t="s">
        <v>58</v>
      </c>
      <c r="W14" s="2"/>
      <c r="X14" s="8">
        <f>AVERAGE(X9:X13)</f>
        <v>2.7276190476190476</v>
      </c>
      <c r="Z14" s="665"/>
      <c r="AA14" s="686"/>
      <c r="AB14" s="30" t="s">
        <v>46</v>
      </c>
      <c r="AC14" s="48">
        <f>AVERAGE('Alamar Blue (Raw)'!S33:U33)</f>
        <v>90.666666666666671</v>
      </c>
      <c r="AD14" s="27">
        <f t="shared" si="11"/>
        <v>1.6687116564417177</v>
      </c>
      <c r="AF14" s="665"/>
      <c r="AG14" s="715"/>
      <c r="AH14" s="30" t="s">
        <v>47</v>
      </c>
      <c r="AI14" s="48">
        <f>AVERAGE('Alamar Blue (Raw)'!D79:F79)</f>
        <v>143.33333333333334</v>
      </c>
      <c r="AJ14" s="27">
        <f t="shared" si="9"/>
        <v>2.5748502994011977</v>
      </c>
      <c r="AL14" s="665"/>
      <c r="AM14" s="715"/>
      <c r="AN14" s="30" t="s">
        <v>47</v>
      </c>
      <c r="AO14" s="48">
        <f>AVERAGE('Alamar Blue (Raw)'!D97:F97)</f>
        <v>77.333333333333329</v>
      </c>
      <c r="AP14" s="27">
        <f t="shared" si="10"/>
        <v>1.5782312925170068</v>
      </c>
      <c r="AR14" s="665"/>
      <c r="AS14" s="715"/>
      <c r="AT14" s="30" t="s">
        <v>47</v>
      </c>
      <c r="AU14" s="416">
        <f>AVERAGE('Alamar Blue (Raw)'!S88:U88)</f>
        <v>726.66666666666663</v>
      </c>
      <c r="AV14" s="96"/>
    </row>
    <row r="15" spans="1:48" ht="16.5" thickTop="1" thickBot="1" x14ac:dyDescent="0.3">
      <c r="B15" s="666"/>
      <c r="C15" s="721" t="s">
        <v>58</v>
      </c>
      <c r="D15" s="717"/>
      <c r="E15" s="49"/>
      <c r="F15" s="8">
        <f>AVERAGE(F4:F8,F12:F14)</f>
        <v>1.4418091803101531</v>
      </c>
      <c r="H15" s="666"/>
      <c r="I15" s="716" t="s">
        <v>58</v>
      </c>
      <c r="J15" s="717"/>
      <c r="K15" s="49"/>
      <c r="L15" s="8">
        <f>AVERAGE(L4:L8,L10:L14)</f>
        <v>2.4818852326146863</v>
      </c>
      <c r="N15" s="647"/>
      <c r="O15" s="681"/>
      <c r="P15" s="31" t="s">
        <v>48</v>
      </c>
      <c r="Q15" s="31">
        <f>AVERAGE('Alamar Blue (Raw)'!G152:I152)</f>
        <v>70.666666666666671</v>
      </c>
      <c r="R15" s="33">
        <f t="shared" si="8"/>
        <v>2.019047619047619</v>
      </c>
      <c r="T15" s="667" t="s">
        <v>26</v>
      </c>
      <c r="U15" s="690" t="s">
        <v>184</v>
      </c>
      <c r="V15" s="28" t="s">
        <v>57</v>
      </c>
      <c r="W15" s="47">
        <f>AVERAGE('Alamar Blue (Raw)'!S39:U39)</f>
        <v>61.666666666666664</v>
      </c>
      <c r="X15" s="25">
        <f>W15/$W$15</f>
        <v>1</v>
      </c>
      <c r="Z15" s="665"/>
      <c r="AA15" s="686"/>
      <c r="AB15" s="30" t="s">
        <v>47</v>
      </c>
      <c r="AC15" s="48">
        <f>AVERAGE('Alamar Blue (Raw)'!S34:U34)</f>
        <v>85.666666666666671</v>
      </c>
      <c r="AD15" s="27">
        <f t="shared" si="11"/>
        <v>1.5766871165644172</v>
      </c>
      <c r="AF15" s="665"/>
      <c r="AG15" s="715"/>
      <c r="AH15" s="32" t="s">
        <v>48</v>
      </c>
      <c r="AI15" s="31">
        <f>AVERAGE('Alamar Blue (Raw)'!D80:F80)</f>
        <v>104.33333333333333</v>
      </c>
      <c r="AJ15" s="33">
        <f t="shared" si="9"/>
        <v>1.874251497005988</v>
      </c>
      <c r="AL15" s="665"/>
      <c r="AM15" s="715"/>
      <c r="AN15" s="30" t="s">
        <v>48</v>
      </c>
      <c r="AO15" s="48">
        <f>AVERAGE('Alamar Blue (Raw)'!D98:F98)</f>
        <v>93.666666666666671</v>
      </c>
      <c r="AP15" s="27">
        <f t="shared" si="10"/>
        <v>1.9115646258503403</v>
      </c>
      <c r="AR15" s="665"/>
      <c r="AS15" s="715"/>
      <c r="AT15" s="32" t="s">
        <v>48</v>
      </c>
      <c r="AU15" s="31">
        <f>AVERAGE('Alamar Blue (Raw)'!S89:U89)</f>
        <v>179</v>
      </c>
      <c r="AV15" s="33">
        <f>AU15/$AU$10</f>
        <v>3.2545454545454544</v>
      </c>
    </row>
    <row r="16" spans="1:48" ht="15.75" thickBot="1" x14ac:dyDescent="0.3">
      <c r="B16" s="667" t="s">
        <v>26</v>
      </c>
      <c r="C16" s="690" t="s">
        <v>179</v>
      </c>
      <c r="D16" s="28" t="s">
        <v>57</v>
      </c>
      <c r="E16" s="47">
        <f>AVERAGE('Alamar Blue (Raw)'!D30:F30)</f>
        <v>44</v>
      </c>
      <c r="F16" s="25">
        <f t="shared" ref="F16:F22" si="12">E16/$E$16</f>
        <v>1</v>
      </c>
      <c r="H16" s="667" t="s">
        <v>26</v>
      </c>
      <c r="I16" s="690" t="s">
        <v>175</v>
      </c>
      <c r="J16" s="28" t="s">
        <v>57</v>
      </c>
      <c r="K16" s="47">
        <f>AVERAGE('Alamar Blue (Raw)'!D21:F21)</f>
        <v>54.333333333333336</v>
      </c>
      <c r="L16" s="25">
        <f t="shared" ref="L16:L22" si="13">K16/$K$16</f>
        <v>1</v>
      </c>
      <c r="N16" s="648"/>
      <c r="O16" s="684"/>
      <c r="P16" s="49" t="s">
        <v>58</v>
      </c>
      <c r="Q16" s="2"/>
      <c r="R16" s="8">
        <f>AVERAGE(R11:R14)</f>
        <v>1.8738095238095238</v>
      </c>
      <c r="T16" s="665"/>
      <c r="U16" s="686"/>
      <c r="V16" s="30" t="s">
        <v>44</v>
      </c>
      <c r="W16" s="48">
        <f>AVERAGE('Alamar Blue (Raw)'!S40:U40)</f>
        <v>75</v>
      </c>
      <c r="X16" s="27">
        <f t="shared" ref="X16:X21" si="14">W16/$W$15</f>
        <v>1.2162162162162162</v>
      </c>
      <c r="Z16" s="665"/>
      <c r="AA16" s="686"/>
      <c r="AB16" s="30" t="s">
        <v>48</v>
      </c>
      <c r="AC16" s="48">
        <f>AVERAGE('Alamar Blue (Raw)'!S35:U35)</f>
        <v>89.666666666666671</v>
      </c>
      <c r="AD16" s="27">
        <f t="shared" si="11"/>
        <v>1.6503067484662577</v>
      </c>
      <c r="AF16" s="666"/>
      <c r="AG16" s="661"/>
      <c r="AH16" s="9" t="s">
        <v>58</v>
      </c>
      <c r="AI16" s="49"/>
      <c r="AJ16" s="8">
        <f>AVERAGE(AJ11:AJ15)</f>
        <v>2.0730538922155688</v>
      </c>
      <c r="AL16" s="665"/>
      <c r="AM16" s="715"/>
      <c r="AN16" s="32" t="s">
        <v>49</v>
      </c>
      <c r="AO16" s="31">
        <f>AVERAGE('Alamar Blue (Raw)'!D99:F99)</f>
        <v>82</v>
      </c>
      <c r="AP16" s="33">
        <f t="shared" si="10"/>
        <v>1.6734693877551021</v>
      </c>
      <c r="AR16" s="666"/>
      <c r="AS16" s="661"/>
      <c r="AT16" s="9" t="s">
        <v>58</v>
      </c>
      <c r="AU16" s="49"/>
      <c r="AV16" s="8">
        <f>AVERAGE(AV11:AV15)</f>
        <v>2.9969696969696971</v>
      </c>
    </row>
    <row r="17" spans="2:48" ht="15.75" thickBot="1" x14ac:dyDescent="0.3">
      <c r="B17" s="665"/>
      <c r="C17" s="686"/>
      <c r="D17" s="30" t="s">
        <v>44</v>
      </c>
      <c r="E17" s="48">
        <f>AVERAGE('Alamar Blue (Raw)'!D31:F31)</f>
        <v>65.666666666666671</v>
      </c>
      <c r="F17" s="27">
        <f t="shared" si="12"/>
        <v>1.4924242424242424</v>
      </c>
      <c r="H17" s="665"/>
      <c r="I17" s="686"/>
      <c r="J17" s="30" t="s">
        <v>44</v>
      </c>
      <c r="K17" s="48">
        <f>AVERAGE('Alamar Blue (Raw)'!D22:F22)</f>
        <v>78.333333333333329</v>
      </c>
      <c r="L17" s="27">
        <f t="shared" si="13"/>
        <v>1.4417177914110428</v>
      </c>
      <c r="T17" s="665"/>
      <c r="U17" s="686"/>
      <c r="V17" s="30" t="s">
        <v>45</v>
      </c>
      <c r="W17" s="48">
        <f>AVERAGE('Alamar Blue (Raw)'!S41:U41)</f>
        <v>78</v>
      </c>
      <c r="X17" s="27">
        <f t="shared" si="14"/>
        <v>1.2648648648648648</v>
      </c>
      <c r="Z17" s="665"/>
      <c r="AA17" s="686"/>
      <c r="AB17" s="32" t="s">
        <v>49</v>
      </c>
      <c r="AC17" s="31">
        <f>AVERAGE('Alamar Blue (Raw)'!S36:U36)</f>
        <v>72.333333333333329</v>
      </c>
      <c r="AD17" s="33">
        <f t="shared" si="11"/>
        <v>1.3312883435582821</v>
      </c>
      <c r="AL17" s="666"/>
      <c r="AM17" s="661"/>
      <c r="AN17" s="9" t="s">
        <v>58</v>
      </c>
      <c r="AO17" s="49"/>
      <c r="AP17" s="8">
        <f>AVERAGE(AP11:AP15)</f>
        <v>1.7537414965986398</v>
      </c>
      <c r="AR17" s="667" t="s">
        <v>27</v>
      </c>
      <c r="AS17" s="660" t="s">
        <v>293</v>
      </c>
      <c r="AT17" s="28" t="s">
        <v>57</v>
      </c>
      <c r="AU17" s="47">
        <f>AVERAGE('Alamar Blue (Raw)'!S93:U93)</f>
        <v>48</v>
      </c>
      <c r="AV17" s="25">
        <f t="shared" ref="AV17:AV22" si="15">AU17/$AU$17</f>
        <v>1</v>
      </c>
    </row>
    <row r="18" spans="2:48" ht="16.5" thickTop="1" thickBot="1" x14ac:dyDescent="0.3">
      <c r="B18" s="665"/>
      <c r="C18" s="686"/>
      <c r="D18" s="30" t="s">
        <v>45</v>
      </c>
      <c r="E18" s="48">
        <f>AVERAGE('Alamar Blue (Raw)'!D32:F32)</f>
        <v>61.666666666666664</v>
      </c>
      <c r="F18" s="27">
        <f t="shared" si="12"/>
        <v>1.4015151515151514</v>
      </c>
      <c r="H18" s="665"/>
      <c r="I18" s="686"/>
      <c r="J18" s="30" t="s">
        <v>45</v>
      </c>
      <c r="K18" s="48">
        <f>AVERAGE('Alamar Blue (Raw)'!D23:F23)</f>
        <v>70.333333333333329</v>
      </c>
      <c r="L18" s="27">
        <f t="shared" si="13"/>
        <v>1.2944785276073618</v>
      </c>
      <c r="T18" s="665"/>
      <c r="U18" s="686"/>
      <c r="V18" s="30" t="s">
        <v>46</v>
      </c>
      <c r="W18" s="48">
        <f>AVERAGE('Alamar Blue (Raw)'!S42:U42)</f>
        <v>80</v>
      </c>
      <c r="X18" s="27">
        <f t="shared" si="14"/>
        <v>1.2972972972972974</v>
      </c>
      <c r="Z18" s="666"/>
      <c r="AA18" s="687"/>
      <c r="AB18" s="9" t="s">
        <v>58</v>
      </c>
      <c r="AC18" s="49"/>
      <c r="AD18" s="8">
        <f>AVERAGE(AD12:AD17)</f>
        <v>1.5449897750511248</v>
      </c>
      <c r="AL18" s="667" t="s">
        <v>261</v>
      </c>
      <c r="AM18" s="660" t="s">
        <v>260</v>
      </c>
      <c r="AN18" s="28" t="s">
        <v>57</v>
      </c>
      <c r="AO18" s="47">
        <f>AVERAGE('Alamar Blue (Raw)'!D102:F102)</f>
        <v>49.666666666666664</v>
      </c>
      <c r="AP18" s="25">
        <f t="shared" ref="AP18:AP23" si="16">AO18/$AO$18</f>
        <v>1</v>
      </c>
      <c r="AR18" s="665"/>
      <c r="AS18" s="715"/>
      <c r="AT18" s="30" t="s">
        <v>44</v>
      </c>
      <c r="AU18" s="416">
        <f>AVERAGE('Alamar Blue (Raw)'!S94:U94)</f>
        <v>447</v>
      </c>
      <c r="AV18" s="96">
        <f t="shared" si="15"/>
        <v>9.3125</v>
      </c>
    </row>
    <row r="19" spans="2:48" x14ac:dyDescent="0.25">
      <c r="B19" s="665"/>
      <c r="C19" s="686"/>
      <c r="D19" s="30" t="s">
        <v>46</v>
      </c>
      <c r="E19" s="48">
        <f>AVERAGE('Alamar Blue (Raw)'!D33:F33)</f>
        <v>59.333333333333336</v>
      </c>
      <c r="F19" s="27">
        <f t="shared" si="12"/>
        <v>1.3484848484848486</v>
      </c>
      <c r="H19" s="665"/>
      <c r="I19" s="686"/>
      <c r="J19" s="30" t="s">
        <v>46</v>
      </c>
      <c r="K19" s="48">
        <f>AVERAGE('Alamar Blue (Raw)'!D24:F24)</f>
        <v>73.333333333333329</v>
      </c>
      <c r="L19" s="27">
        <f t="shared" si="13"/>
        <v>1.3496932515337421</v>
      </c>
      <c r="T19" s="665"/>
      <c r="U19" s="686"/>
      <c r="V19" s="30" t="s">
        <v>47</v>
      </c>
      <c r="W19" s="48">
        <f>AVERAGE('Alamar Blue (Raw)'!S43:U43)</f>
        <v>75.333333333333329</v>
      </c>
      <c r="X19" s="27">
        <f t="shared" si="14"/>
        <v>1.2216216216216216</v>
      </c>
      <c r="Z19" s="665" t="s">
        <v>27</v>
      </c>
      <c r="AA19" s="715" t="s">
        <v>289</v>
      </c>
      <c r="AB19" s="30" t="s">
        <v>57</v>
      </c>
      <c r="AC19">
        <f>AVERAGE('Alamar Blue (Raw)'!S66:U66)</f>
        <v>53</v>
      </c>
      <c r="AD19" s="27">
        <f>AC19/$AC$19</f>
        <v>1</v>
      </c>
      <c r="AL19" s="665"/>
      <c r="AM19" s="715"/>
      <c r="AN19" s="30" t="s">
        <v>44</v>
      </c>
      <c r="AO19" s="48">
        <f>AVERAGE('Alamar Blue (Raw)'!D103:F103)</f>
        <v>72.666666666666671</v>
      </c>
      <c r="AP19" s="27">
        <f t="shared" si="16"/>
        <v>1.4630872483221478</v>
      </c>
      <c r="AR19" s="665"/>
      <c r="AS19" s="715"/>
      <c r="AT19" s="30" t="s">
        <v>45</v>
      </c>
      <c r="AU19" s="416">
        <f>AVERAGE('Alamar Blue (Raw)'!S95:U95)</f>
        <v>499</v>
      </c>
      <c r="AV19" s="96">
        <f t="shared" si="15"/>
        <v>10.395833333333334</v>
      </c>
    </row>
    <row r="20" spans="2:48" x14ac:dyDescent="0.25">
      <c r="B20" s="665"/>
      <c r="C20" s="686"/>
      <c r="D20" s="30" t="s">
        <v>47</v>
      </c>
      <c r="E20" s="48">
        <f>AVERAGE('Alamar Blue (Raw)'!D34:F34)</f>
        <v>68.666666666666671</v>
      </c>
      <c r="F20" s="27">
        <f t="shared" si="12"/>
        <v>1.5606060606060608</v>
      </c>
      <c r="H20" s="665"/>
      <c r="I20" s="686"/>
      <c r="J20" s="30" t="s">
        <v>47</v>
      </c>
      <c r="K20" s="48">
        <f>AVERAGE('Alamar Blue (Raw)'!D25:F25)</f>
        <v>95</v>
      </c>
      <c r="L20" s="27">
        <f t="shared" si="13"/>
        <v>1.7484662576687116</v>
      </c>
      <c r="T20" s="665"/>
      <c r="U20" s="686"/>
      <c r="V20" s="30" t="s">
        <v>48</v>
      </c>
      <c r="W20" s="48">
        <f>AVERAGE('Alamar Blue (Raw)'!S44:U44)</f>
        <v>80</v>
      </c>
      <c r="X20" s="27">
        <f t="shared" si="14"/>
        <v>1.2972972972972974</v>
      </c>
      <c r="Z20" s="665"/>
      <c r="AA20" s="715"/>
      <c r="AB20" s="30" t="s">
        <v>44</v>
      </c>
      <c r="AC20">
        <f>AVERAGE('Alamar Blue (Raw)'!S67:U67)</f>
        <v>67.333333333333329</v>
      </c>
      <c r="AD20" s="27">
        <f t="shared" ref="AD20:AD25" si="17">AC20/$AC$19</f>
        <v>1.270440251572327</v>
      </c>
      <c r="AL20" s="665"/>
      <c r="AM20" s="715"/>
      <c r="AN20" s="30" t="s">
        <v>45</v>
      </c>
      <c r="AO20" s="48">
        <f>AVERAGE('Alamar Blue (Raw)'!D104:F104)</f>
        <v>84.666666666666671</v>
      </c>
      <c r="AP20" s="27">
        <f t="shared" si="16"/>
        <v>1.7046979865771814</v>
      </c>
      <c r="AR20" s="665"/>
      <c r="AS20" s="715"/>
      <c r="AT20" s="30" t="s">
        <v>46</v>
      </c>
      <c r="AU20" s="48">
        <f>AVERAGE('Alamar Blue (Raw)'!S96:U96)</f>
        <v>85.666666666666671</v>
      </c>
      <c r="AV20" s="27">
        <f t="shared" si="15"/>
        <v>1.7847222222222223</v>
      </c>
    </row>
    <row r="21" spans="2:48" ht="15.75" thickBot="1" x14ac:dyDescent="0.3">
      <c r="B21" s="665"/>
      <c r="C21" s="686"/>
      <c r="D21" s="30" t="s">
        <v>48</v>
      </c>
      <c r="E21" s="48">
        <f>AVERAGE('Alamar Blue (Raw)'!D35:F35)</f>
        <v>66.666666666666671</v>
      </c>
      <c r="F21" s="27">
        <f t="shared" si="12"/>
        <v>1.5151515151515154</v>
      </c>
      <c r="H21" s="665"/>
      <c r="I21" s="686"/>
      <c r="J21" s="30" t="s">
        <v>48</v>
      </c>
      <c r="K21" s="48">
        <f>AVERAGE('Alamar Blue (Raw)'!D26:F26)</f>
        <v>73.333333333333329</v>
      </c>
      <c r="L21" s="27">
        <f t="shared" si="13"/>
        <v>1.3496932515337421</v>
      </c>
      <c r="T21" s="665"/>
      <c r="U21" s="686"/>
      <c r="V21" s="32" t="s">
        <v>49</v>
      </c>
      <c r="W21" s="31">
        <f>AVERAGE('Alamar Blue (Raw)'!S45:U45)</f>
        <v>77.333333333333329</v>
      </c>
      <c r="X21" s="33">
        <f t="shared" si="14"/>
        <v>1.2540540540540541</v>
      </c>
      <c r="Z21" s="665"/>
      <c r="AA21" s="715"/>
      <c r="AB21" s="30" t="s">
        <v>45</v>
      </c>
      <c r="AC21">
        <f>AVERAGE('Alamar Blue (Raw)'!S68:U68)</f>
        <v>114.33333333333333</v>
      </c>
      <c r="AD21" s="27">
        <f t="shared" si="17"/>
        <v>2.1572327044025155</v>
      </c>
      <c r="AL21" s="665"/>
      <c r="AM21" s="715"/>
      <c r="AN21" s="30" t="s">
        <v>46</v>
      </c>
      <c r="AO21" s="48">
        <f>AVERAGE('Alamar Blue (Raw)'!D105:F105)</f>
        <v>76</v>
      </c>
      <c r="AP21" s="27">
        <f t="shared" si="16"/>
        <v>1.5302013422818792</v>
      </c>
      <c r="AR21" s="665"/>
      <c r="AS21" s="715"/>
      <c r="AT21" s="30" t="s">
        <v>47</v>
      </c>
      <c r="AU21" s="48">
        <f>AVERAGE('Alamar Blue (Raw)'!S97:U97)</f>
        <v>92.666666666666671</v>
      </c>
      <c r="AV21" s="27">
        <f t="shared" si="15"/>
        <v>1.9305555555555556</v>
      </c>
    </row>
    <row r="22" spans="2:48" ht="16.5" thickTop="1" thickBot="1" x14ac:dyDescent="0.3">
      <c r="B22" s="665"/>
      <c r="C22" s="688"/>
      <c r="D22" s="90" t="s">
        <v>49</v>
      </c>
      <c r="E22" s="149">
        <f>AVERAGE('Alamar Blue (Raw)'!D36:F36)</f>
        <v>62</v>
      </c>
      <c r="F22" s="61">
        <f t="shared" si="12"/>
        <v>1.4090909090909092</v>
      </c>
      <c r="H22" s="665"/>
      <c r="I22" s="686"/>
      <c r="J22" s="32" t="s">
        <v>49</v>
      </c>
      <c r="K22" s="31">
        <f>AVERAGE('Alamar Blue (Raw)'!D27:F27)</f>
        <v>86.666666666666671</v>
      </c>
      <c r="L22" s="33">
        <f t="shared" si="13"/>
        <v>1.5950920245398774</v>
      </c>
      <c r="T22" s="666"/>
      <c r="U22" s="687"/>
      <c r="V22" s="9" t="s">
        <v>58</v>
      </c>
      <c r="W22" s="49"/>
      <c r="X22" s="8">
        <f>AVERAGE(X16:X21)</f>
        <v>1.2585585585585586</v>
      </c>
      <c r="Z22" s="665"/>
      <c r="AA22" s="715"/>
      <c r="AB22" s="30" t="s">
        <v>46</v>
      </c>
      <c r="AC22">
        <f>AVERAGE('Alamar Blue (Raw)'!S69:U69)</f>
        <v>117.33333333333333</v>
      </c>
      <c r="AD22" s="27">
        <f t="shared" si="17"/>
        <v>2.2138364779874213</v>
      </c>
      <c r="AL22" s="665"/>
      <c r="AM22" s="715"/>
      <c r="AN22" s="30" t="s">
        <v>47</v>
      </c>
      <c r="AO22" s="48">
        <f>AVERAGE('Alamar Blue (Raw)'!D106:F106)</f>
        <v>74.333333333333329</v>
      </c>
      <c r="AP22" s="27">
        <f t="shared" si="16"/>
        <v>1.4966442953020134</v>
      </c>
      <c r="AR22" s="665"/>
      <c r="AS22" s="715"/>
      <c r="AT22" s="32" t="s">
        <v>48</v>
      </c>
      <c r="AU22" s="31">
        <f>AVERAGE('Alamar Blue (Raw)'!S98:U98)</f>
        <v>101.33333333333333</v>
      </c>
      <c r="AV22" s="33">
        <f t="shared" si="15"/>
        <v>2.1111111111111112</v>
      </c>
    </row>
    <row r="23" spans="2:48" ht="16.5" thickTop="1" thickBot="1" x14ac:dyDescent="0.3">
      <c r="B23" s="665"/>
      <c r="C23" s="685" t="s">
        <v>206</v>
      </c>
      <c r="D23" s="126" t="s">
        <v>57</v>
      </c>
      <c r="E23" s="282">
        <f>AVERAGE('Alamar Blue (Raw)'!D39:F39)</f>
        <v>64</v>
      </c>
      <c r="F23" s="161">
        <f t="shared" ref="F23:F28" si="18">E23/$E$23</f>
        <v>1</v>
      </c>
      <c r="H23" s="666"/>
      <c r="I23" s="687"/>
      <c r="J23" s="9" t="s">
        <v>58</v>
      </c>
      <c r="K23" s="49"/>
      <c r="L23" s="8">
        <f>AVERAGE(L17:L22)</f>
        <v>1.4631901840490797</v>
      </c>
      <c r="T23" s="667" t="s">
        <v>26</v>
      </c>
      <c r="U23" s="690" t="s">
        <v>208</v>
      </c>
      <c r="V23" s="28" t="s">
        <v>57</v>
      </c>
      <c r="W23" s="47">
        <f>AVERAGE('Alamar Blue (Raw)'!S48:U48)</f>
        <v>59.666666666666664</v>
      </c>
      <c r="X23" s="25">
        <f t="shared" ref="X23:X28" si="19">W23/$W$23</f>
        <v>1</v>
      </c>
      <c r="Z23" s="665"/>
      <c r="AA23" s="715"/>
      <c r="AB23" s="30" t="s">
        <v>47</v>
      </c>
      <c r="AC23">
        <f>AVERAGE('Alamar Blue (Raw)'!S70:U70)</f>
        <v>111.66666666666667</v>
      </c>
      <c r="AD23" s="27">
        <f t="shared" si="17"/>
        <v>2.1069182389937109</v>
      </c>
      <c r="AL23" s="665"/>
      <c r="AM23" s="715"/>
      <c r="AN23" s="32" t="s">
        <v>48</v>
      </c>
      <c r="AO23" s="31">
        <f>AVERAGE('Alamar Blue (Raw)'!D107:F107)</f>
        <v>67.666666666666671</v>
      </c>
      <c r="AP23" s="33">
        <f t="shared" si="16"/>
        <v>1.3624161073825505</v>
      </c>
      <c r="AR23" s="666"/>
      <c r="AS23" s="661"/>
      <c r="AT23" s="9" t="s">
        <v>58</v>
      </c>
      <c r="AU23" s="49"/>
      <c r="AV23" s="8">
        <f>AVERAGE(AV20:AV21)</f>
        <v>1.8576388888888888</v>
      </c>
    </row>
    <row r="24" spans="2:48" ht="15.75" thickBot="1" x14ac:dyDescent="0.3">
      <c r="B24" s="665"/>
      <c r="C24" s="686"/>
      <c r="D24" s="30" t="s">
        <v>44</v>
      </c>
      <c r="E24" s="48">
        <f>AVERAGE('Alamar Blue (Raw)'!D40:F40)</f>
        <v>89</v>
      </c>
      <c r="F24" s="27">
        <f t="shared" si="18"/>
        <v>1.390625</v>
      </c>
      <c r="H24" s="667" t="s">
        <v>27</v>
      </c>
      <c r="I24" s="690" t="s">
        <v>284</v>
      </c>
      <c r="J24" s="47" t="s">
        <v>57</v>
      </c>
      <c r="K24" s="50">
        <f>AVERAGE('Alamar Blue (Raw)'!D120:F120)</f>
        <v>48.333333333333336</v>
      </c>
      <c r="L24" s="55">
        <f>K24/$K$24</f>
        <v>1</v>
      </c>
      <c r="T24" s="665"/>
      <c r="U24" s="686"/>
      <c r="V24" s="30" t="s">
        <v>44</v>
      </c>
      <c r="W24" s="48">
        <f>AVERAGE('Alamar Blue (Raw)'!S49:U49)</f>
        <v>75</v>
      </c>
      <c r="X24" s="27">
        <f t="shared" si="19"/>
        <v>1.2569832402234637</v>
      </c>
      <c r="Z24" s="665"/>
      <c r="AA24" s="715"/>
      <c r="AB24" t="s">
        <v>48</v>
      </c>
      <c r="AC24" s="143">
        <f>AVERAGE('Alamar Blue (Raw)'!S71:U71)</f>
        <v>126</v>
      </c>
      <c r="AD24" s="27">
        <f t="shared" si="17"/>
        <v>2.3773584905660377</v>
      </c>
      <c r="AL24" s="666"/>
      <c r="AM24" s="661"/>
      <c r="AN24" s="9" t="s">
        <v>58</v>
      </c>
      <c r="AO24" s="49"/>
      <c r="AP24" s="8">
        <f>AVERAGE(AP19:AP23)</f>
        <v>1.5114093959731545</v>
      </c>
      <c r="AR24" s="649" t="s">
        <v>273</v>
      </c>
      <c r="AS24" s="690" t="s">
        <v>333</v>
      </c>
      <c r="AT24" s="47" t="s">
        <v>57</v>
      </c>
      <c r="AU24" s="50">
        <f>AVERAGE('Alamar Blue (Raw)'!S102:U102)</f>
        <v>39.666666666666664</v>
      </c>
      <c r="AV24" s="55">
        <f t="shared" ref="AV24:AV34" si="20">AU24/$AU$24</f>
        <v>1</v>
      </c>
    </row>
    <row r="25" spans="2:48" ht="15.75" thickBot="1" x14ac:dyDescent="0.3">
      <c r="B25" s="665"/>
      <c r="C25" s="686"/>
      <c r="D25" s="30" t="s">
        <v>45</v>
      </c>
      <c r="E25" s="48">
        <f>AVERAGE('Alamar Blue (Raw)'!D41:F41)</f>
        <v>74</v>
      </c>
      <c r="F25" s="27">
        <f t="shared" si="18"/>
        <v>1.15625</v>
      </c>
      <c r="H25" s="665"/>
      <c r="I25" s="686"/>
      <c r="J25" s="48" t="s">
        <v>44</v>
      </c>
      <c r="K25">
        <f>AVERAGE('Alamar Blue (Raw)'!D121:F121)</f>
        <v>126.33333333333333</v>
      </c>
      <c r="L25" s="58">
        <f>K25/$K$24</f>
        <v>2.6137931034482755</v>
      </c>
      <c r="T25" s="665"/>
      <c r="U25" s="686"/>
      <c r="V25" s="30" t="s">
        <v>45</v>
      </c>
      <c r="W25" s="48">
        <f>AVERAGE('Alamar Blue (Raw)'!S50:U50)</f>
        <v>83</v>
      </c>
      <c r="X25" s="27">
        <f t="shared" si="19"/>
        <v>1.3910614525139666</v>
      </c>
      <c r="Z25" s="665"/>
      <c r="AA25" s="715"/>
      <c r="AB25" s="32" t="s">
        <v>49</v>
      </c>
      <c r="AC25" s="84">
        <f>AVERAGE('Alamar Blue (Raw)'!S72:U72)</f>
        <v>61.333333333333336</v>
      </c>
      <c r="AD25" s="33">
        <f t="shared" si="17"/>
        <v>1.1572327044025157</v>
      </c>
      <c r="AL25" s="667" t="s">
        <v>273</v>
      </c>
      <c r="AM25" s="660" t="s">
        <v>260</v>
      </c>
      <c r="AN25" s="28" t="s">
        <v>57</v>
      </c>
      <c r="AO25" s="47">
        <f>AVERAGE('Alamar Blue (Raw)'!D111:F111)</f>
        <v>41.666666666666664</v>
      </c>
      <c r="AP25" s="25">
        <f>AO25/$AO$25</f>
        <v>1</v>
      </c>
      <c r="AR25" s="647"/>
      <c r="AS25" s="686"/>
      <c r="AT25" s="48" t="s">
        <v>44</v>
      </c>
      <c r="AU25">
        <f>AVERAGE('Alamar Blue (Raw)'!S103:U103)</f>
        <v>74.666666666666671</v>
      </c>
      <c r="AV25" s="58">
        <f t="shared" si="20"/>
        <v>1.8823529411764708</v>
      </c>
    </row>
    <row r="26" spans="2:48" ht="16.5" thickTop="1" thickBot="1" x14ac:dyDescent="0.3">
      <c r="B26" s="665"/>
      <c r="C26" s="686"/>
      <c r="D26" s="30" t="s">
        <v>46</v>
      </c>
      <c r="E26" s="48">
        <f>AVERAGE('Alamar Blue (Raw)'!D42:F42)</f>
        <v>75.333333333333329</v>
      </c>
      <c r="F26" s="27">
        <f t="shared" si="18"/>
        <v>1.1770833333333333</v>
      </c>
      <c r="H26" s="665"/>
      <c r="I26" s="686"/>
      <c r="J26" s="48" t="s">
        <v>45</v>
      </c>
      <c r="K26">
        <f>AVERAGE('Alamar Blue (Raw)'!D122:F122)</f>
        <v>126</v>
      </c>
      <c r="L26" s="58">
        <f>K26/$K$24</f>
        <v>2.6068965517241378</v>
      </c>
      <c r="T26" s="665"/>
      <c r="U26" s="686"/>
      <c r="V26" s="30" t="s">
        <v>46</v>
      </c>
      <c r="W26" s="48">
        <f>AVERAGE('Alamar Blue (Raw)'!S51:U51)</f>
        <v>68.333333333333329</v>
      </c>
      <c r="X26" s="27">
        <f t="shared" si="19"/>
        <v>1.1452513966480447</v>
      </c>
      <c r="Z26" s="666"/>
      <c r="AA26" s="661"/>
      <c r="AB26" s="2" t="s">
        <v>58</v>
      </c>
      <c r="AC26" s="2"/>
      <c r="AD26" s="8">
        <f>AVERAGE(AD20:AD21,AD24:AD25)</f>
        <v>1.7405660377358489</v>
      </c>
      <c r="AL26" s="665"/>
      <c r="AM26" s="715"/>
      <c r="AN26" s="30" t="s">
        <v>44</v>
      </c>
      <c r="AO26" s="48">
        <f>AVERAGE('Alamar Blue (Raw)'!D112:F112)</f>
        <v>92</v>
      </c>
      <c r="AP26" s="27">
        <f>AO26/$AO$25</f>
        <v>2.2080000000000002</v>
      </c>
      <c r="AR26" s="647"/>
      <c r="AS26" s="686"/>
      <c r="AT26" s="48" t="s">
        <v>45</v>
      </c>
      <c r="AU26">
        <f>AVERAGE('Alamar Blue (Raw)'!S104:U104)</f>
        <v>81.333333333333329</v>
      </c>
      <c r="AV26" s="58">
        <f t="shared" si="20"/>
        <v>2.0504201680672267</v>
      </c>
    </row>
    <row r="27" spans="2:48" x14ac:dyDescent="0.25">
      <c r="B27" s="665"/>
      <c r="C27" s="686"/>
      <c r="D27" s="30" t="s">
        <v>47</v>
      </c>
      <c r="E27" s="48">
        <f>AVERAGE('Alamar Blue (Raw)'!D43:F43)</f>
        <v>73</v>
      </c>
      <c r="F27" s="27">
        <f t="shared" si="18"/>
        <v>1.140625</v>
      </c>
      <c r="H27" s="665"/>
      <c r="I27" s="686"/>
      <c r="J27" s="48" t="s">
        <v>46</v>
      </c>
      <c r="K27">
        <f>AVERAGE('Alamar Blue (Raw)'!D123:F123)</f>
        <v>123.66666666666667</v>
      </c>
      <c r="L27" s="58">
        <f>K27/$K$24</f>
        <v>2.5586206896551724</v>
      </c>
      <c r="T27" s="665"/>
      <c r="U27" s="686"/>
      <c r="V27" s="30" t="s">
        <v>47</v>
      </c>
      <c r="W27" s="48">
        <f>AVERAGE('Alamar Blue (Raw)'!S52:U52)</f>
        <v>75.666666666666671</v>
      </c>
      <c r="X27" s="27">
        <f t="shared" si="19"/>
        <v>1.2681564245810057</v>
      </c>
      <c r="AL27" s="665"/>
      <c r="AM27" s="715"/>
      <c r="AN27" s="30" t="s">
        <v>45</v>
      </c>
      <c r="AO27" s="48">
        <f>AVERAGE('Alamar Blue (Raw)'!D113:F113)</f>
        <v>82.333333333333329</v>
      </c>
      <c r="AP27" s="27">
        <f>AO27/$AO$25</f>
        <v>1.976</v>
      </c>
      <c r="AR27" s="647"/>
      <c r="AS27" s="686"/>
      <c r="AT27" s="48" t="s">
        <v>46</v>
      </c>
      <c r="AU27">
        <f>AVERAGE('Alamar Blue (Raw)'!S105:U105)</f>
        <v>70.666666666666671</v>
      </c>
      <c r="AV27" s="58">
        <f t="shared" si="20"/>
        <v>1.7815126050420171</v>
      </c>
    </row>
    <row r="28" spans="2:48" ht="15.75" thickBot="1" x14ac:dyDescent="0.3">
      <c r="B28" s="665"/>
      <c r="C28" s="722"/>
      <c r="D28" s="32" t="s">
        <v>48</v>
      </c>
      <c r="E28" s="31">
        <f>AVERAGE('Alamar Blue (Raw)'!D44:F44)</f>
        <v>68</v>
      </c>
      <c r="F28" s="33">
        <f t="shared" si="18"/>
        <v>1.0625</v>
      </c>
      <c r="H28" s="665"/>
      <c r="I28" s="686"/>
      <c r="J28" s="31" t="s">
        <v>47</v>
      </c>
      <c r="K28" s="84">
        <f>AVERAGE('Alamar Blue (Raw)'!D124:F124)</f>
        <v>115.66666666666667</v>
      </c>
      <c r="L28" s="411">
        <f>K28/$K$24</f>
        <v>2.3931034482758622</v>
      </c>
      <c r="T28" s="665"/>
      <c r="U28" s="686"/>
      <c r="V28" s="32" t="s">
        <v>48</v>
      </c>
      <c r="W28" s="31">
        <f>AVERAGE('Alamar Blue (Raw)'!S53:U53)</f>
        <v>73.333333333333329</v>
      </c>
      <c r="X28" s="33">
        <f t="shared" si="19"/>
        <v>1.229050279329609</v>
      </c>
      <c r="AL28" s="665"/>
      <c r="AM28" s="715"/>
      <c r="AN28" s="30" t="s">
        <v>46</v>
      </c>
      <c r="AO28" s="48">
        <f>AVERAGE('Alamar Blue (Raw)'!D114:F114)</f>
        <v>208.66666666666666</v>
      </c>
      <c r="AP28" s="27"/>
      <c r="AR28" s="647"/>
      <c r="AS28" s="686"/>
      <c r="AT28" s="48" t="s">
        <v>47</v>
      </c>
      <c r="AU28">
        <f>AVERAGE('Alamar Blue (Raw)'!S106:U106)</f>
        <v>77</v>
      </c>
      <c r="AV28" s="58">
        <f t="shared" si="20"/>
        <v>1.9411764705882355</v>
      </c>
    </row>
    <row r="29" spans="2:48" ht="16.5" thickTop="1" thickBot="1" x14ac:dyDescent="0.3">
      <c r="B29" s="666"/>
      <c r="C29" s="721" t="s">
        <v>58</v>
      </c>
      <c r="D29" s="717"/>
      <c r="E29" s="49"/>
      <c r="F29" s="8">
        <f>AVERAGE(F17:F22,F24:F28)</f>
        <v>1.3322141873278237</v>
      </c>
      <c r="H29" s="666"/>
      <c r="I29" s="687"/>
      <c r="J29" s="49" t="s">
        <v>58</v>
      </c>
      <c r="K29" s="144"/>
      <c r="L29" s="56">
        <f>AVERAGE(L25:L28)</f>
        <v>2.5431034482758621</v>
      </c>
      <c r="T29" s="666"/>
      <c r="U29" s="687"/>
      <c r="V29" s="9" t="s">
        <v>58</v>
      </c>
      <c r="W29" s="49"/>
      <c r="X29" s="8">
        <f>AVERAGE(X24:X28)</f>
        <v>1.258100558659218</v>
      </c>
      <c r="AL29" s="665"/>
      <c r="AM29" s="715"/>
      <c r="AN29" s="30" t="s">
        <v>47</v>
      </c>
      <c r="AO29" s="48">
        <f>AVERAGE('Alamar Blue (Raw)'!D115:F115)</f>
        <v>82.333333333333329</v>
      </c>
      <c r="AP29" s="27">
        <f>AO29/$AO$25</f>
        <v>1.976</v>
      </c>
      <c r="AR29" s="647"/>
      <c r="AS29" s="686"/>
      <c r="AT29" s="48" t="s">
        <v>48</v>
      </c>
      <c r="AU29">
        <f>AVERAGE('Alamar Blue (Raw)'!S107:U107)</f>
        <v>81.666666666666671</v>
      </c>
      <c r="AV29" s="58">
        <f t="shared" si="20"/>
        <v>2.0588235294117649</v>
      </c>
    </row>
    <row r="30" spans="2:48" ht="15.75" thickBot="1" x14ac:dyDescent="0.3">
      <c r="H30" s="667" t="s">
        <v>27</v>
      </c>
      <c r="I30" s="690" t="s">
        <v>299</v>
      </c>
      <c r="J30" s="47" t="s">
        <v>57</v>
      </c>
      <c r="K30" s="50">
        <f>AVERAGE('Alamar Blue (Raw)'!D147:F147)</f>
        <v>35</v>
      </c>
      <c r="L30" s="55">
        <f>K30/$K$30</f>
        <v>1</v>
      </c>
      <c r="T30" s="667" t="s">
        <v>27</v>
      </c>
      <c r="U30" s="690" t="s">
        <v>208</v>
      </c>
      <c r="V30" s="28" t="s">
        <v>57</v>
      </c>
      <c r="W30" s="47">
        <f>AVERAGE('Alamar Blue (Raw)'!S57:U57)</f>
        <v>51</v>
      </c>
      <c r="X30" s="25">
        <f>W30/$W$30</f>
        <v>1</v>
      </c>
      <c r="AL30" s="665"/>
      <c r="AM30" s="715"/>
      <c r="AN30" s="32" t="s">
        <v>48</v>
      </c>
      <c r="AO30" s="31">
        <f>AVERAGE('Alamar Blue (Raw)'!D116:F116)</f>
        <v>89</v>
      </c>
      <c r="AP30" s="33">
        <f>AO30/$AO$25</f>
        <v>2.1360000000000001</v>
      </c>
      <c r="AR30" s="647"/>
      <c r="AS30" s="686"/>
      <c r="AT30" s="48" t="s">
        <v>49</v>
      </c>
      <c r="AU30">
        <f>AVERAGE('Alamar Blue (Raw)'!S108:U108)</f>
        <v>70.666666666666671</v>
      </c>
      <c r="AV30" s="58">
        <f t="shared" si="20"/>
        <v>1.7815126050420171</v>
      </c>
    </row>
    <row r="31" spans="2:48" ht="16.5" thickTop="1" thickBot="1" x14ac:dyDescent="0.3">
      <c r="H31" s="665"/>
      <c r="I31" s="686"/>
      <c r="J31" s="48" t="s">
        <v>44</v>
      </c>
      <c r="K31">
        <f>AVERAGE('Alamar Blue (Raw)'!D148:F148)</f>
        <v>51</v>
      </c>
      <c r="L31" s="58">
        <f>K31/$K$30</f>
        <v>1.4571428571428571</v>
      </c>
      <c r="T31" s="665"/>
      <c r="U31" s="686"/>
      <c r="V31" s="30" t="s">
        <v>44</v>
      </c>
      <c r="W31" s="48">
        <f>AVERAGE('Alamar Blue (Raw)'!S58:U58)</f>
        <v>172.66666666666666</v>
      </c>
      <c r="X31" s="27">
        <f>W31/$W$30</f>
        <v>3.3856209150326797</v>
      </c>
      <c r="AL31" s="666"/>
      <c r="AM31" s="661"/>
      <c r="AN31" s="9" t="s">
        <v>58</v>
      </c>
      <c r="AO31" s="49"/>
      <c r="AP31" s="8">
        <f>AVERAGE(AP26:AP30)</f>
        <v>2.0739999999999998</v>
      </c>
      <c r="AR31" s="647"/>
      <c r="AS31" s="686"/>
      <c r="AT31" s="48" t="s">
        <v>50</v>
      </c>
      <c r="AU31">
        <f>AVERAGE('Alamar Blue (Raw)'!S109:U109)</f>
        <v>136</v>
      </c>
      <c r="AV31" s="58">
        <f t="shared" si="20"/>
        <v>3.4285714285714288</v>
      </c>
    </row>
    <row r="32" spans="2:48" x14ac:dyDescent="0.25">
      <c r="H32" s="665"/>
      <c r="I32" s="686"/>
      <c r="J32" s="48" t="s">
        <v>45</v>
      </c>
      <c r="K32">
        <f>AVERAGE('Alamar Blue (Raw)'!D149:F149)</f>
        <v>63.666666666666664</v>
      </c>
      <c r="L32" s="58">
        <f>K32/$K$30</f>
        <v>1.819047619047619</v>
      </c>
      <c r="T32" s="665"/>
      <c r="U32" s="686"/>
      <c r="V32" s="30" t="s">
        <v>45</v>
      </c>
      <c r="W32" s="48">
        <f>AVERAGE('Alamar Blue (Raw)'!S59:U59)</f>
        <v>115.33333333333333</v>
      </c>
      <c r="X32" s="27">
        <f>W32/$W$30</f>
        <v>2.261437908496732</v>
      </c>
      <c r="AL32" s="667" t="s">
        <v>261</v>
      </c>
      <c r="AM32" s="660" t="s">
        <v>298</v>
      </c>
      <c r="AN32" s="28" t="s">
        <v>57</v>
      </c>
      <c r="AO32" s="47">
        <f>AVERAGE('Alamar Blue (Raw)'!D129:F129)</f>
        <v>16.333333333333332</v>
      </c>
      <c r="AP32" s="25">
        <f t="shared" ref="AP32:AP37" si="21">AO32/$AO$32</f>
        <v>1</v>
      </c>
      <c r="AR32" s="647"/>
      <c r="AS32" s="686"/>
      <c r="AT32" s="48" t="s">
        <v>51</v>
      </c>
      <c r="AU32">
        <f>AVERAGE('Alamar Blue (Raw)'!V103:X103)</f>
        <v>101.66666666666667</v>
      </c>
      <c r="AV32" s="58">
        <f t="shared" si="20"/>
        <v>2.5630252100840338</v>
      </c>
    </row>
    <row r="33" spans="8:48" x14ac:dyDescent="0.25">
      <c r="H33" s="665"/>
      <c r="I33" s="686"/>
      <c r="J33" s="48" t="s">
        <v>46</v>
      </c>
      <c r="K33">
        <f>AVERAGE('Alamar Blue (Raw)'!D150:F150)</f>
        <v>69</v>
      </c>
      <c r="L33" s="58">
        <f>K33/$K$30</f>
        <v>1.9714285714285715</v>
      </c>
      <c r="T33" s="665"/>
      <c r="U33" s="686"/>
      <c r="V33" s="30" t="s">
        <v>46</v>
      </c>
      <c r="W33" s="48">
        <f>AVERAGE('Alamar Blue (Raw)'!S60:U60)</f>
        <v>125.66666666666667</v>
      </c>
      <c r="X33" s="27">
        <f>W33/$W$30</f>
        <v>2.4640522875816995</v>
      </c>
      <c r="AL33" s="665"/>
      <c r="AM33" s="715"/>
      <c r="AN33" s="30" t="s">
        <v>44</v>
      </c>
      <c r="AO33" s="48">
        <f>AVERAGE('Alamar Blue (Raw)'!D130:F130)</f>
        <v>23</v>
      </c>
      <c r="AP33" s="27">
        <f t="shared" si="21"/>
        <v>1.4081632653061225</v>
      </c>
      <c r="AR33" s="647"/>
      <c r="AS33" s="686"/>
      <c r="AT33" s="48" t="s">
        <v>326</v>
      </c>
      <c r="AU33">
        <f>AVERAGE('Alamar Blue (Raw)'!V104:X104)</f>
        <v>200.66666666666666</v>
      </c>
      <c r="AV33" s="58"/>
    </row>
    <row r="34" spans="8:48" ht="15.75" thickBot="1" x14ac:dyDescent="0.3">
      <c r="H34" s="665"/>
      <c r="I34" s="686"/>
      <c r="J34" s="31" t="s">
        <v>47</v>
      </c>
      <c r="K34" s="84"/>
      <c r="L34" s="411"/>
      <c r="T34" s="665"/>
      <c r="U34" s="686"/>
      <c r="V34" s="31" t="s">
        <v>47</v>
      </c>
      <c r="W34" s="31">
        <f>AVERAGE('Alamar Blue (Raw)'!S61:U61)</f>
        <v>110</v>
      </c>
      <c r="X34" s="33">
        <f>W34/$W$30</f>
        <v>2.1568627450980391</v>
      </c>
      <c r="AL34" s="665"/>
      <c r="AM34" s="715"/>
      <c r="AN34" s="30" t="s">
        <v>45</v>
      </c>
      <c r="AO34" s="48">
        <f>AVERAGE('Alamar Blue (Raw)'!D131:F131)</f>
        <v>27.666666666666668</v>
      </c>
      <c r="AP34" s="27">
        <f t="shared" si="21"/>
        <v>1.6938775510204083</v>
      </c>
      <c r="AR34" s="647"/>
      <c r="AS34" s="686"/>
      <c r="AT34" s="31" t="s">
        <v>327</v>
      </c>
      <c r="AU34" s="84">
        <f>AVERAGE('Alamar Blue (Raw)'!V105:X105)</f>
        <v>63.666666666666664</v>
      </c>
      <c r="AV34" s="411">
        <f t="shared" si="20"/>
        <v>1.6050420168067228</v>
      </c>
    </row>
    <row r="35" spans="8:48" ht="16.5" thickTop="1" thickBot="1" x14ac:dyDescent="0.3">
      <c r="H35" s="666"/>
      <c r="I35" s="687"/>
      <c r="J35" s="49" t="s">
        <v>58</v>
      </c>
      <c r="K35" s="144"/>
      <c r="L35" s="56">
        <f>AVERAGE(L31:L34)</f>
        <v>1.7492063492063492</v>
      </c>
      <c r="T35" s="666"/>
      <c r="U35" s="687"/>
      <c r="V35" s="9" t="s">
        <v>58</v>
      </c>
      <c r="W35" s="49"/>
      <c r="X35" s="8">
        <f>AVERAGE(X31:X34)</f>
        <v>2.5669934640522873</v>
      </c>
      <c r="AL35" s="665"/>
      <c r="AM35" s="715"/>
      <c r="AN35" s="30" t="s">
        <v>46</v>
      </c>
      <c r="AO35" s="48">
        <f>AVERAGE('Alamar Blue (Raw)'!D132:F132)</f>
        <v>25</v>
      </c>
      <c r="AP35" s="27">
        <f t="shared" si="21"/>
        <v>1.5306122448979593</v>
      </c>
      <c r="AR35" s="648"/>
      <c r="AS35" s="687"/>
      <c r="AT35" s="49" t="s">
        <v>58</v>
      </c>
      <c r="AU35" s="2"/>
      <c r="AV35" s="8">
        <f>AVERAGE(AV25:AV34)</f>
        <v>2.1213818860877689</v>
      </c>
    </row>
    <row r="36" spans="8:48" x14ac:dyDescent="0.25">
      <c r="AL36" s="665"/>
      <c r="AM36" s="715"/>
      <c r="AN36" s="30" t="s">
        <v>47</v>
      </c>
      <c r="AO36" s="48">
        <f>AVERAGE('Alamar Blue (Raw)'!D133:F133)</f>
        <v>21.666666666666668</v>
      </c>
      <c r="AP36" s="27">
        <f t="shared" si="21"/>
        <v>1.3265306122448981</v>
      </c>
    </row>
    <row r="37" spans="8:48" ht="15.75" thickBot="1" x14ac:dyDescent="0.3">
      <c r="AL37" s="665"/>
      <c r="AM37" s="715"/>
      <c r="AN37" s="32" t="s">
        <v>48</v>
      </c>
      <c r="AO37" s="31">
        <f>AVERAGE('Alamar Blue (Raw)'!D134:F134)</f>
        <v>24</v>
      </c>
      <c r="AP37" s="33">
        <f t="shared" si="21"/>
        <v>1.4693877551020409</v>
      </c>
    </row>
    <row r="38" spans="8:48" ht="16.5" thickTop="1" thickBot="1" x14ac:dyDescent="0.3">
      <c r="AL38" s="666"/>
      <c r="AM38" s="661"/>
      <c r="AN38" s="9" t="s">
        <v>58</v>
      </c>
      <c r="AO38" s="49"/>
      <c r="AP38" s="8">
        <f>AVERAGE(AP33:AP37)</f>
        <v>1.4857142857142858</v>
      </c>
    </row>
    <row r="39" spans="8:48" x14ac:dyDescent="0.25">
      <c r="AL39" s="667" t="s">
        <v>273</v>
      </c>
      <c r="AM39" s="660" t="s">
        <v>298</v>
      </c>
      <c r="AN39" s="28" t="s">
        <v>57</v>
      </c>
      <c r="AO39" s="47">
        <f>AVERAGE('Alamar Blue (Raw)'!D138:F138)</f>
        <v>48.666666666666664</v>
      </c>
      <c r="AP39" s="25">
        <f t="shared" ref="AP39:AP44" si="22">AO39/$AO$39</f>
        <v>1</v>
      </c>
    </row>
    <row r="40" spans="8:48" x14ac:dyDescent="0.25">
      <c r="AL40" s="665"/>
      <c r="AM40" s="715"/>
      <c r="AN40" s="30" t="s">
        <v>44</v>
      </c>
      <c r="AO40" s="48">
        <f>AVERAGE('Alamar Blue (Raw)'!D139:F139)</f>
        <v>62.333333333333336</v>
      </c>
      <c r="AP40" s="27">
        <f t="shared" si="22"/>
        <v>1.2808219178082192</v>
      </c>
    </row>
    <row r="41" spans="8:48" x14ac:dyDescent="0.25">
      <c r="AL41" s="665"/>
      <c r="AM41" s="715"/>
      <c r="AN41" s="30" t="s">
        <v>45</v>
      </c>
      <c r="AO41" s="416">
        <f>AVERAGE('Alamar Blue (Raw)'!D140:F140)</f>
        <v>49</v>
      </c>
      <c r="AP41" s="96">
        <f t="shared" si="22"/>
        <v>1.0068493150684932</v>
      </c>
    </row>
    <row r="42" spans="8:48" x14ac:dyDescent="0.25">
      <c r="AL42" s="665"/>
      <c r="AM42" s="715"/>
      <c r="AN42" s="30" t="s">
        <v>46</v>
      </c>
      <c r="AO42" s="416">
        <f>AVERAGE('Alamar Blue (Raw)'!D141:F141)</f>
        <v>48.666666666666664</v>
      </c>
      <c r="AP42" s="96">
        <f t="shared" si="22"/>
        <v>1</v>
      </c>
    </row>
    <row r="43" spans="8:48" x14ac:dyDescent="0.25">
      <c r="AL43" s="665"/>
      <c r="AM43" s="715"/>
      <c r="AN43" s="30" t="s">
        <v>47</v>
      </c>
      <c r="AO43" s="416">
        <f>AVERAGE('Alamar Blue (Raw)'!D142:F142)</f>
        <v>43.666666666666664</v>
      </c>
      <c r="AP43" s="96">
        <f t="shared" si="22"/>
        <v>0.89726027397260277</v>
      </c>
    </row>
    <row r="44" spans="8:48" ht="15.75" thickBot="1" x14ac:dyDescent="0.3">
      <c r="AL44" s="665"/>
      <c r="AM44" s="715"/>
      <c r="AN44" s="32" t="s">
        <v>48</v>
      </c>
      <c r="AO44" s="417">
        <f>AVERAGE('Alamar Blue (Raw)'!D143:F143)</f>
        <v>47</v>
      </c>
      <c r="AP44" s="418">
        <f t="shared" si="22"/>
        <v>0.96575342465753433</v>
      </c>
    </row>
    <row r="45" spans="8:48" ht="16.5" thickTop="1" thickBot="1" x14ac:dyDescent="0.3">
      <c r="AL45" s="666"/>
      <c r="AM45" s="661"/>
      <c r="AN45" s="9" t="s">
        <v>58</v>
      </c>
      <c r="AO45" s="49"/>
      <c r="AP45" s="8">
        <f>AVERAGE(AP40:AP44)</f>
        <v>1.0301369863013699</v>
      </c>
    </row>
    <row r="46" spans="8:48" x14ac:dyDescent="0.25">
      <c r="AL46" s="667" t="s">
        <v>325</v>
      </c>
      <c r="AM46" s="690" t="s">
        <v>324</v>
      </c>
      <c r="AN46" s="28" t="s">
        <v>57</v>
      </c>
      <c r="AO46" s="47">
        <f>AVERAGE('Alamar Blue (Raw)'!D156:F156)</f>
        <v>50.666666666666664</v>
      </c>
      <c r="AP46" s="25">
        <f t="shared" ref="AP46:AP56" si="23">AO46/$AO$46</f>
        <v>1</v>
      </c>
    </row>
    <row r="47" spans="8:48" x14ac:dyDescent="0.25">
      <c r="AL47" s="665"/>
      <c r="AM47" s="686"/>
      <c r="AN47" s="30" t="s">
        <v>44</v>
      </c>
      <c r="AO47" s="48">
        <f>AVERAGE('Alamar Blue (Raw)'!D157:F157)</f>
        <v>112.33333333333333</v>
      </c>
      <c r="AP47" s="27">
        <f t="shared" si="23"/>
        <v>2.2171052631578947</v>
      </c>
    </row>
    <row r="48" spans="8:48" x14ac:dyDescent="0.25">
      <c r="AL48" s="665"/>
      <c r="AM48" s="686"/>
      <c r="AN48" s="30" t="s">
        <v>45</v>
      </c>
      <c r="AO48" s="48">
        <f>AVERAGE('Alamar Blue (Raw)'!D158:F158)</f>
        <v>119</v>
      </c>
      <c r="AP48" s="27">
        <f t="shared" si="23"/>
        <v>2.3486842105263159</v>
      </c>
    </row>
    <row r="49" spans="38:42" x14ac:dyDescent="0.25">
      <c r="AL49" s="665"/>
      <c r="AM49" s="686"/>
      <c r="AN49" s="30" t="s">
        <v>46</v>
      </c>
      <c r="AO49" s="48">
        <f>AVERAGE('Alamar Blue (Raw)'!D159:F159)</f>
        <v>114.33333333333333</v>
      </c>
      <c r="AP49" s="27">
        <f t="shared" si="23"/>
        <v>2.2565789473684212</v>
      </c>
    </row>
    <row r="50" spans="38:42" x14ac:dyDescent="0.25">
      <c r="AL50" s="665"/>
      <c r="AM50" s="686"/>
      <c r="AN50" s="30" t="s">
        <v>47</v>
      </c>
      <c r="AO50" s="48">
        <f>AVERAGE('Alamar Blue (Raw)'!D160:F160)</f>
        <v>145</v>
      </c>
      <c r="AP50" s="27">
        <f t="shared" si="23"/>
        <v>2.861842105263158</v>
      </c>
    </row>
    <row r="51" spans="38:42" x14ac:dyDescent="0.25">
      <c r="AL51" s="665"/>
      <c r="AM51" s="686"/>
      <c r="AN51" s="30" t="s">
        <v>48</v>
      </c>
      <c r="AO51" s="48">
        <f>AVERAGE('Alamar Blue (Raw)'!D161:F161)</f>
        <v>107.33333333333333</v>
      </c>
      <c r="AP51" s="27">
        <f t="shared" si="23"/>
        <v>2.1184210526315788</v>
      </c>
    </row>
    <row r="52" spans="38:42" x14ac:dyDescent="0.25">
      <c r="AL52" s="665"/>
      <c r="AM52" s="686"/>
      <c r="AN52" s="30" t="s">
        <v>49</v>
      </c>
      <c r="AO52" s="48">
        <f>AVERAGE('Alamar Blue (Raw)'!G157:I157)</f>
        <v>123.66666666666667</v>
      </c>
      <c r="AP52" s="27">
        <f t="shared" si="23"/>
        <v>2.4407894736842106</v>
      </c>
    </row>
    <row r="53" spans="38:42" x14ac:dyDescent="0.25">
      <c r="AL53" s="665"/>
      <c r="AM53" s="686"/>
      <c r="AN53" s="30" t="s">
        <v>50</v>
      </c>
      <c r="AO53" s="48">
        <f>AVERAGE('Alamar Blue (Raw)'!G158:I158)</f>
        <v>347.33333333333331</v>
      </c>
      <c r="AP53" s="27"/>
    </row>
    <row r="54" spans="38:42" x14ac:dyDescent="0.25">
      <c r="AL54" s="665"/>
      <c r="AM54" s="686"/>
      <c r="AN54" s="30" t="s">
        <v>51</v>
      </c>
      <c r="AO54" s="48">
        <f>AVERAGE('Alamar Blue (Raw)'!G159:I159)</f>
        <v>110.33333333333333</v>
      </c>
      <c r="AP54" s="27">
        <f t="shared" si="23"/>
        <v>2.1776315789473686</v>
      </c>
    </row>
    <row r="55" spans="38:42" x14ac:dyDescent="0.25">
      <c r="AL55" s="665"/>
      <c r="AM55" s="686"/>
      <c r="AN55" s="30" t="s">
        <v>326</v>
      </c>
      <c r="AO55" s="48">
        <f>AVERAGE('Alamar Blue (Raw)'!G160:I160)</f>
        <v>102.33333333333333</v>
      </c>
      <c r="AP55" s="27">
        <f t="shared" si="23"/>
        <v>2.0197368421052633</v>
      </c>
    </row>
    <row r="56" spans="38:42" ht="15.75" thickBot="1" x14ac:dyDescent="0.3">
      <c r="AL56" s="665"/>
      <c r="AM56" s="686"/>
      <c r="AN56" s="31" t="s">
        <v>327</v>
      </c>
      <c r="AO56" s="31">
        <f>AVERAGE('Alamar Blue (Raw)'!G161:I161)</f>
        <v>87</v>
      </c>
      <c r="AP56" s="33">
        <f t="shared" si="23"/>
        <v>1.7171052631578949</v>
      </c>
    </row>
    <row r="57" spans="38:42" ht="16.5" thickTop="1" thickBot="1" x14ac:dyDescent="0.3">
      <c r="AL57" s="666"/>
      <c r="AM57" s="687"/>
      <c r="AN57" s="9" t="s">
        <v>58</v>
      </c>
      <c r="AO57" s="49"/>
      <c r="AP57" s="8">
        <f>AVERAGE(AP47:AP56)</f>
        <v>2.2397660818713452</v>
      </c>
    </row>
  </sheetData>
  <mergeCells count="72">
    <mergeCell ref="AR17:AR23"/>
    <mergeCell ref="AS17:AS23"/>
    <mergeCell ref="AM46:AM57"/>
    <mergeCell ref="AL46:AL57"/>
    <mergeCell ref="AL39:AL45"/>
    <mergeCell ref="AM39:AM45"/>
    <mergeCell ref="AL32:AL38"/>
    <mergeCell ref="AM32:AM38"/>
    <mergeCell ref="AL25:AL31"/>
    <mergeCell ref="AM25:AM31"/>
    <mergeCell ref="AL18:AL24"/>
    <mergeCell ref="AM18:AM24"/>
    <mergeCell ref="AR24:AR35"/>
    <mergeCell ref="AS24:AS35"/>
    <mergeCell ref="AR1:AV1"/>
    <mergeCell ref="AR3:AR9"/>
    <mergeCell ref="AS3:AS9"/>
    <mergeCell ref="AR10:AR16"/>
    <mergeCell ref="AS10:AS16"/>
    <mergeCell ref="AF10:AF16"/>
    <mergeCell ref="AG10:AG16"/>
    <mergeCell ref="AL1:AP1"/>
    <mergeCell ref="AL3:AL9"/>
    <mergeCell ref="AM3:AM9"/>
    <mergeCell ref="AL10:AL17"/>
    <mergeCell ref="AM10:AM17"/>
    <mergeCell ref="AF1:AJ1"/>
    <mergeCell ref="AF3:AF9"/>
    <mergeCell ref="AG3:AG9"/>
    <mergeCell ref="U3:U7"/>
    <mergeCell ref="U30:U35"/>
    <mergeCell ref="U23:U29"/>
    <mergeCell ref="U15:U22"/>
    <mergeCell ref="T30:T35"/>
    <mergeCell ref="H30:H35"/>
    <mergeCell ref="I30:I35"/>
    <mergeCell ref="N10:N16"/>
    <mergeCell ref="C9:C14"/>
    <mergeCell ref="O10:O16"/>
    <mergeCell ref="C16:C22"/>
    <mergeCell ref="C23:C28"/>
    <mergeCell ref="C29:D29"/>
    <mergeCell ref="I16:I23"/>
    <mergeCell ref="H16:H23"/>
    <mergeCell ref="H24:H29"/>
    <mergeCell ref="B16:B29"/>
    <mergeCell ref="B1:F1"/>
    <mergeCell ref="H1:L1"/>
    <mergeCell ref="B3:B15"/>
    <mergeCell ref="C3:C8"/>
    <mergeCell ref="I15:J15"/>
    <mergeCell ref="I9:I14"/>
    <mergeCell ref="H3:H15"/>
    <mergeCell ref="I3:I8"/>
    <mergeCell ref="I24:I29"/>
    <mergeCell ref="C15:D15"/>
    <mergeCell ref="N1:R1"/>
    <mergeCell ref="N3:N9"/>
    <mergeCell ref="O3:O9"/>
    <mergeCell ref="AA11:AA18"/>
    <mergeCell ref="T3:T7"/>
    <mergeCell ref="Z11:Z18"/>
    <mergeCell ref="T15:T22"/>
    <mergeCell ref="U8:U14"/>
    <mergeCell ref="T8:T14"/>
    <mergeCell ref="Z19:Z26"/>
    <mergeCell ref="AA19:AA26"/>
    <mergeCell ref="Z1:AD1"/>
    <mergeCell ref="AA3:AA10"/>
    <mergeCell ref="Z3:Z10"/>
    <mergeCell ref="T1:X1"/>
    <mergeCell ref="T23:T29"/>
  </mergeCells>
  <hyperlinks>
    <hyperlink ref="A1" location="'Table of Contents'!A1" display="Table of Contents" xr:uid="{57BE8A58-95B3-4707-9E5C-EC06FF2EBBEC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98D8-EC3C-4889-ABC0-CF58FC7D5EB3}">
  <dimension ref="B1:GM71"/>
  <sheetViews>
    <sheetView topLeftCell="FI15" zoomScaleNormal="100" workbookViewId="0">
      <selection activeCell="GD46" sqref="GD46:GD49"/>
    </sheetView>
  </sheetViews>
  <sheetFormatPr defaultRowHeight="15" x14ac:dyDescent="0.25"/>
  <cols>
    <col min="2" max="2" width="11.5703125" customWidth="1"/>
    <col min="3" max="3" width="11.140625" customWidth="1"/>
    <col min="4" max="4" width="11.7109375" customWidth="1"/>
    <col min="5" max="5" width="10.5703125" bestFit="1" customWidth="1"/>
    <col min="17" max="17" width="11.42578125" customWidth="1"/>
    <col min="18" max="18" width="10.7109375" customWidth="1"/>
    <col min="19" max="19" width="12.140625" bestFit="1" customWidth="1"/>
    <col min="20" max="20" width="10.5703125" bestFit="1" customWidth="1"/>
    <col min="32" max="32" width="11.140625" customWidth="1"/>
    <col min="33" max="33" width="10.140625" customWidth="1"/>
    <col min="34" max="34" width="11.5703125" bestFit="1" customWidth="1"/>
    <col min="35" max="35" width="10.5703125" bestFit="1" customWidth="1"/>
    <col min="47" max="47" width="11.5703125" customWidth="1"/>
    <col min="48" max="48" width="11.42578125" customWidth="1"/>
    <col min="49" max="50" width="10.5703125" bestFit="1" customWidth="1"/>
    <col min="62" max="62" width="12.42578125" customWidth="1"/>
    <col min="63" max="63" width="11.140625" customWidth="1"/>
    <col min="64" max="64" width="11.5703125" bestFit="1" customWidth="1"/>
    <col min="77" max="77" width="13.28515625" customWidth="1"/>
    <col min="78" max="78" width="10.42578125" customWidth="1"/>
    <col min="79" max="79" width="12.140625" bestFit="1" customWidth="1"/>
    <col min="92" max="92" width="12.140625" customWidth="1"/>
    <col min="93" max="93" width="10.140625" customWidth="1"/>
    <col min="94" max="94" width="11.5703125" bestFit="1" customWidth="1"/>
    <col min="107" max="107" width="12.85546875" customWidth="1"/>
    <col min="108" max="108" width="12.28515625" customWidth="1"/>
    <col min="109" max="109" width="12.140625" bestFit="1" customWidth="1"/>
    <col min="122" max="122" width="12.7109375" customWidth="1"/>
    <col min="123" max="123" width="11.140625" customWidth="1"/>
    <col min="124" max="124" width="10.140625" bestFit="1" customWidth="1"/>
    <col min="137" max="137" width="12.140625" customWidth="1"/>
    <col min="138" max="138" width="10.5703125" customWidth="1"/>
    <col min="139" max="139" width="12.140625" bestFit="1" customWidth="1"/>
    <col min="152" max="152" width="12.42578125" customWidth="1"/>
    <col min="153" max="153" width="11.140625" customWidth="1"/>
    <col min="154" max="154" width="12.140625" bestFit="1" customWidth="1"/>
    <col min="167" max="167" width="11.42578125" customWidth="1"/>
    <col min="168" max="168" width="10.5703125" customWidth="1"/>
    <col min="169" max="169" width="12.140625" bestFit="1" customWidth="1"/>
    <col min="182" max="182" width="13.140625" customWidth="1"/>
    <col min="184" max="184" width="11.5703125" bestFit="1" customWidth="1"/>
  </cols>
  <sheetData>
    <row r="1" spans="2:195" ht="15.75" thickBot="1" x14ac:dyDescent="0.3">
      <c r="B1" s="644" t="s">
        <v>113</v>
      </c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  <c r="Q1" s="644" t="s">
        <v>192</v>
      </c>
      <c r="R1" s="645"/>
      <c r="S1" s="645"/>
      <c r="T1" s="645"/>
      <c r="U1" s="645"/>
      <c r="V1" s="645"/>
      <c r="W1" s="645"/>
      <c r="X1" s="645"/>
      <c r="Y1" s="645"/>
      <c r="Z1" s="645"/>
      <c r="AA1" s="645"/>
      <c r="AB1" s="645"/>
      <c r="AC1" s="645"/>
      <c r="AD1" s="646"/>
      <c r="AF1" s="644" t="s">
        <v>193</v>
      </c>
      <c r="AG1" s="645"/>
      <c r="AH1" s="645"/>
      <c r="AI1" s="645"/>
      <c r="AJ1" s="645"/>
      <c r="AK1" s="645"/>
      <c r="AL1" s="645"/>
      <c r="AM1" s="645"/>
      <c r="AN1" s="645"/>
      <c r="AO1" s="645"/>
      <c r="AP1" s="645"/>
      <c r="AQ1" s="645"/>
      <c r="AR1" s="645"/>
      <c r="AS1" s="646"/>
      <c r="AU1" s="644" t="s">
        <v>193</v>
      </c>
      <c r="AV1" s="645"/>
      <c r="AW1" s="645"/>
      <c r="AX1" s="645"/>
      <c r="AY1" s="645"/>
      <c r="AZ1" s="645"/>
      <c r="BA1" s="645"/>
      <c r="BB1" s="645"/>
      <c r="BC1" s="645"/>
      <c r="BD1" s="645"/>
      <c r="BE1" s="645"/>
      <c r="BF1" s="645"/>
      <c r="BG1" s="645"/>
      <c r="BH1" s="646"/>
      <c r="BX1" s="356" t="s">
        <v>262</v>
      </c>
      <c r="FZ1" t="s">
        <v>559</v>
      </c>
    </row>
    <row r="2" spans="2:195" x14ac:dyDescent="0.25">
      <c r="B2" s="679" t="s">
        <v>114</v>
      </c>
      <c r="C2" s="124"/>
      <c r="D2" s="42">
        <v>1</v>
      </c>
      <c r="E2" s="42">
        <v>2</v>
      </c>
      <c r="F2" s="42">
        <v>3</v>
      </c>
      <c r="G2" s="42">
        <v>4</v>
      </c>
      <c r="H2" s="42">
        <v>5</v>
      </c>
      <c r="I2" s="42">
        <v>6</v>
      </c>
      <c r="J2" s="42">
        <v>7</v>
      </c>
      <c r="K2" s="42">
        <v>8</v>
      </c>
      <c r="L2" s="42">
        <v>9</v>
      </c>
      <c r="M2" s="42">
        <v>10</v>
      </c>
      <c r="N2" s="42">
        <v>11</v>
      </c>
      <c r="O2" s="43">
        <v>12</v>
      </c>
      <c r="Q2" s="679" t="s">
        <v>114</v>
      </c>
      <c r="R2" s="211"/>
      <c r="S2" s="81">
        <v>1</v>
      </c>
      <c r="T2" s="81">
        <v>2</v>
      </c>
      <c r="U2" s="81">
        <v>3</v>
      </c>
      <c r="V2" s="81">
        <v>4</v>
      </c>
      <c r="W2" s="81">
        <v>5</v>
      </c>
      <c r="X2" s="81">
        <v>6</v>
      </c>
      <c r="Y2" s="81">
        <v>7</v>
      </c>
      <c r="Z2" s="81">
        <v>8</v>
      </c>
      <c r="AA2" s="81">
        <v>9</v>
      </c>
      <c r="AB2" s="81">
        <v>10</v>
      </c>
      <c r="AC2" s="81">
        <v>11</v>
      </c>
      <c r="AD2" s="81">
        <v>12</v>
      </c>
      <c r="AF2" s="679" t="s">
        <v>114</v>
      </c>
      <c r="AG2" s="211"/>
      <c r="AH2" s="81">
        <v>1</v>
      </c>
      <c r="AI2" s="81">
        <v>2</v>
      </c>
      <c r="AJ2" s="81">
        <v>3</v>
      </c>
      <c r="AK2" s="81">
        <v>4</v>
      </c>
      <c r="AL2" s="81">
        <v>5</v>
      </c>
      <c r="AM2" s="81">
        <v>6</v>
      </c>
      <c r="AN2" s="81">
        <v>7</v>
      </c>
      <c r="AO2" s="81">
        <v>8</v>
      </c>
      <c r="AP2" s="81">
        <v>9</v>
      </c>
      <c r="AQ2" s="81">
        <v>10</v>
      </c>
      <c r="AR2" s="81">
        <v>11</v>
      </c>
      <c r="AS2" s="81">
        <v>12</v>
      </c>
      <c r="AU2" s="679" t="s">
        <v>114</v>
      </c>
      <c r="AV2" s="150"/>
      <c r="AW2" s="132">
        <v>1</v>
      </c>
      <c r="AX2" s="132">
        <v>2</v>
      </c>
      <c r="AY2" s="132">
        <v>3</v>
      </c>
      <c r="AZ2" s="132">
        <v>4</v>
      </c>
      <c r="BA2" s="132">
        <v>5</v>
      </c>
      <c r="BB2" s="132">
        <v>6</v>
      </c>
      <c r="BC2" s="132">
        <v>7</v>
      </c>
      <c r="BD2" s="132">
        <v>8</v>
      </c>
      <c r="BE2" s="132">
        <v>9</v>
      </c>
      <c r="BF2" s="132">
        <v>10</v>
      </c>
      <c r="BG2" s="132">
        <v>11</v>
      </c>
      <c r="BH2" s="133">
        <v>12</v>
      </c>
      <c r="BJ2" s="672" t="s">
        <v>114</v>
      </c>
      <c r="BK2" s="200"/>
      <c r="BL2" s="132">
        <v>1</v>
      </c>
      <c r="BM2" s="132">
        <v>2</v>
      </c>
      <c r="BN2" s="132">
        <v>3</v>
      </c>
      <c r="BO2" s="132">
        <v>4</v>
      </c>
      <c r="BP2" s="132">
        <v>5</v>
      </c>
      <c r="BQ2" s="132">
        <v>6</v>
      </c>
      <c r="BR2" s="132">
        <v>7</v>
      </c>
      <c r="BS2" s="132">
        <v>8</v>
      </c>
      <c r="BT2" s="132">
        <v>9</v>
      </c>
      <c r="BU2" s="132">
        <v>10</v>
      </c>
      <c r="BV2" s="132">
        <v>11</v>
      </c>
      <c r="BW2" s="133">
        <v>12</v>
      </c>
      <c r="BY2" s="672" t="s">
        <v>114</v>
      </c>
      <c r="BZ2" s="150"/>
      <c r="CA2" s="132">
        <v>1</v>
      </c>
      <c r="CB2" s="132">
        <v>2</v>
      </c>
      <c r="CC2" s="132">
        <v>3</v>
      </c>
      <c r="CD2" s="132">
        <v>4</v>
      </c>
      <c r="CE2" s="132">
        <v>5</v>
      </c>
      <c r="CF2" s="132">
        <v>6</v>
      </c>
      <c r="CG2" s="132">
        <v>7</v>
      </c>
      <c r="CH2" s="132">
        <v>8</v>
      </c>
      <c r="CI2" s="132">
        <v>9</v>
      </c>
      <c r="CJ2" s="132">
        <v>10</v>
      </c>
      <c r="CK2" s="132">
        <v>11</v>
      </c>
      <c r="CL2" s="133">
        <v>12</v>
      </c>
      <c r="CN2" s="672" t="s">
        <v>114</v>
      </c>
      <c r="CO2" s="150"/>
      <c r="CP2" s="132">
        <v>1</v>
      </c>
      <c r="CQ2" s="132">
        <v>2</v>
      </c>
      <c r="CR2" s="132">
        <v>3</v>
      </c>
      <c r="CS2" s="132">
        <v>4</v>
      </c>
      <c r="CT2" s="132">
        <v>5</v>
      </c>
      <c r="CU2" s="132">
        <v>6</v>
      </c>
      <c r="CV2" s="132">
        <v>7</v>
      </c>
      <c r="CW2" s="132">
        <v>8</v>
      </c>
      <c r="CX2" s="132">
        <v>9</v>
      </c>
      <c r="CY2" s="132">
        <v>10</v>
      </c>
      <c r="CZ2" s="132">
        <v>11</v>
      </c>
      <c r="DA2" s="133">
        <v>12</v>
      </c>
      <c r="DC2" s="672" t="s">
        <v>114</v>
      </c>
      <c r="DD2" s="150"/>
      <c r="DE2" s="132">
        <v>1</v>
      </c>
      <c r="DF2" s="132">
        <v>2</v>
      </c>
      <c r="DG2" s="132">
        <v>3</v>
      </c>
      <c r="DH2" s="132">
        <v>4</v>
      </c>
      <c r="DI2" s="132">
        <v>5</v>
      </c>
      <c r="DJ2" s="132">
        <v>6</v>
      </c>
      <c r="DK2" s="132">
        <v>7</v>
      </c>
      <c r="DL2" s="132">
        <v>8</v>
      </c>
      <c r="DM2" s="132">
        <v>9</v>
      </c>
      <c r="DN2" s="132">
        <v>10</v>
      </c>
      <c r="DO2" s="132">
        <v>11</v>
      </c>
      <c r="DP2" s="133">
        <v>12</v>
      </c>
      <c r="DR2" s="672" t="s">
        <v>114</v>
      </c>
      <c r="DS2" s="200"/>
      <c r="DT2" s="132">
        <v>1</v>
      </c>
      <c r="DU2" s="132">
        <v>2</v>
      </c>
      <c r="DV2" s="132">
        <v>3</v>
      </c>
      <c r="DW2" s="132">
        <v>4</v>
      </c>
      <c r="DX2" s="132">
        <v>5</v>
      </c>
      <c r="DY2" s="132">
        <v>6</v>
      </c>
      <c r="DZ2" s="132">
        <v>7</v>
      </c>
      <c r="EA2" s="132">
        <v>8</v>
      </c>
      <c r="EB2" s="132">
        <v>9</v>
      </c>
      <c r="EC2" s="132">
        <v>10</v>
      </c>
      <c r="ED2" s="132">
        <v>11</v>
      </c>
      <c r="EE2" s="133">
        <v>12</v>
      </c>
      <c r="EG2" s="672" t="s">
        <v>114</v>
      </c>
      <c r="EH2" s="211"/>
      <c r="EI2" s="81">
        <v>1</v>
      </c>
      <c r="EJ2" s="81">
        <v>2</v>
      </c>
      <c r="EK2" s="81">
        <v>3</v>
      </c>
      <c r="EL2" s="81">
        <v>4</v>
      </c>
      <c r="EM2" s="81">
        <v>5</v>
      </c>
      <c r="EN2" s="81">
        <v>6</v>
      </c>
      <c r="EO2" s="81">
        <v>7</v>
      </c>
      <c r="EP2" s="81">
        <v>8</v>
      </c>
      <c r="EQ2" s="81">
        <v>9</v>
      </c>
      <c r="ER2" s="81">
        <v>10</v>
      </c>
      <c r="ES2" s="81">
        <v>11</v>
      </c>
      <c r="ET2" s="81">
        <v>12</v>
      </c>
      <c r="EV2" s="672" t="s">
        <v>114</v>
      </c>
      <c r="EW2" s="200"/>
      <c r="EX2" s="132">
        <v>1</v>
      </c>
      <c r="EY2" s="132">
        <v>2</v>
      </c>
      <c r="EZ2" s="132">
        <v>3</v>
      </c>
      <c r="FA2" s="132">
        <v>4</v>
      </c>
      <c r="FB2" s="132">
        <v>5</v>
      </c>
      <c r="FC2" s="132">
        <v>6</v>
      </c>
      <c r="FD2" s="132">
        <v>7</v>
      </c>
      <c r="FE2" s="132">
        <v>8</v>
      </c>
      <c r="FF2" s="132">
        <v>9</v>
      </c>
      <c r="FG2" s="132">
        <v>10</v>
      </c>
      <c r="FH2" s="132">
        <v>11</v>
      </c>
      <c r="FI2" s="133">
        <v>12</v>
      </c>
      <c r="FK2" s="672" t="s">
        <v>114</v>
      </c>
      <c r="FL2" s="211"/>
      <c r="FM2" s="81">
        <v>1</v>
      </c>
      <c r="FN2" s="81">
        <v>2</v>
      </c>
      <c r="FO2" s="81">
        <v>3</v>
      </c>
      <c r="FP2" s="81">
        <v>4</v>
      </c>
      <c r="FQ2" s="81">
        <v>5</v>
      </c>
      <c r="FR2" s="81">
        <v>6</v>
      </c>
      <c r="FS2" s="81">
        <v>7</v>
      </c>
      <c r="FT2" s="81">
        <v>8</v>
      </c>
      <c r="FU2" s="81">
        <v>9</v>
      </c>
      <c r="FV2" s="81">
        <v>10</v>
      </c>
      <c r="FW2" s="81">
        <v>11</v>
      </c>
      <c r="FX2" s="81">
        <v>12</v>
      </c>
      <c r="FZ2" s="672" t="s">
        <v>114</v>
      </c>
      <c r="GA2" s="628"/>
      <c r="GB2" s="81">
        <v>1</v>
      </c>
      <c r="GC2" s="81">
        <v>2</v>
      </c>
      <c r="GD2" s="81">
        <v>3</v>
      </c>
      <c r="GE2" s="81">
        <v>4</v>
      </c>
      <c r="GF2" s="81">
        <v>5</v>
      </c>
      <c r="GG2" s="81">
        <v>6</v>
      </c>
      <c r="GH2" s="81">
        <v>7</v>
      </c>
      <c r="GI2" s="81">
        <v>8</v>
      </c>
      <c r="GJ2" s="81">
        <v>9</v>
      </c>
      <c r="GK2" s="81">
        <v>10</v>
      </c>
      <c r="GL2" s="81">
        <v>11</v>
      </c>
      <c r="GM2" s="81">
        <v>12</v>
      </c>
    </row>
    <row r="3" spans="2:195" x14ac:dyDescent="0.25">
      <c r="B3" s="679"/>
      <c r="C3" s="122" t="s">
        <v>44</v>
      </c>
      <c r="D3" s="18">
        <v>2</v>
      </c>
      <c r="E3" s="18">
        <v>3</v>
      </c>
      <c r="F3" s="18">
        <v>18</v>
      </c>
      <c r="G3" s="18">
        <v>18</v>
      </c>
      <c r="H3" s="120">
        <v>24</v>
      </c>
      <c r="I3" s="120">
        <v>27</v>
      </c>
      <c r="J3" s="120">
        <v>25</v>
      </c>
      <c r="K3" s="18">
        <v>15</v>
      </c>
      <c r="L3" s="18">
        <v>2</v>
      </c>
      <c r="M3" s="18">
        <v>4</v>
      </c>
      <c r="N3" s="18">
        <v>3</v>
      </c>
      <c r="O3" s="39">
        <v>3</v>
      </c>
      <c r="Q3" s="679"/>
      <c r="R3" s="81" t="s">
        <v>44</v>
      </c>
      <c r="S3" s="18">
        <v>1</v>
      </c>
      <c r="T3" s="18">
        <v>3</v>
      </c>
      <c r="U3" s="18">
        <v>18</v>
      </c>
      <c r="V3" s="18">
        <v>17</v>
      </c>
      <c r="W3" s="83">
        <v>67</v>
      </c>
      <c r="X3" s="83">
        <v>67</v>
      </c>
      <c r="Y3" s="83">
        <v>63</v>
      </c>
      <c r="Z3" s="83">
        <v>67</v>
      </c>
      <c r="AA3" s="83">
        <v>61</v>
      </c>
      <c r="AB3" s="83">
        <v>63</v>
      </c>
      <c r="AC3" s="18">
        <v>2</v>
      </c>
      <c r="AD3" s="18">
        <v>0</v>
      </c>
      <c r="AF3" s="679"/>
      <c r="AG3" s="81" t="s">
        <v>44</v>
      </c>
      <c r="AH3" s="18">
        <v>3</v>
      </c>
      <c r="AI3" s="18">
        <v>0</v>
      </c>
      <c r="AJ3" s="18">
        <v>8</v>
      </c>
      <c r="AK3" s="18">
        <v>5</v>
      </c>
      <c r="AL3" s="83">
        <v>36</v>
      </c>
      <c r="AM3" s="83">
        <v>35</v>
      </c>
      <c r="AN3" s="18">
        <v>2</v>
      </c>
      <c r="AO3" s="18">
        <v>1</v>
      </c>
      <c r="AP3" s="18">
        <v>2</v>
      </c>
      <c r="AQ3" s="18">
        <v>1</v>
      </c>
      <c r="AR3" s="18">
        <v>1</v>
      </c>
      <c r="AS3" s="18">
        <v>0</v>
      </c>
      <c r="AU3" s="679"/>
      <c r="AV3" s="122" t="s">
        <v>44</v>
      </c>
      <c r="AW3" s="18">
        <v>2</v>
      </c>
      <c r="AX3" s="18">
        <v>2</v>
      </c>
      <c r="AY3" s="83">
        <v>54</v>
      </c>
      <c r="AZ3" s="83">
        <v>53</v>
      </c>
      <c r="BA3" s="120">
        <v>25</v>
      </c>
      <c r="BB3" s="120">
        <v>27</v>
      </c>
      <c r="BC3" s="120">
        <v>29</v>
      </c>
      <c r="BD3" s="120">
        <v>29</v>
      </c>
      <c r="BE3" s="18">
        <v>1</v>
      </c>
      <c r="BF3" s="18">
        <v>3</v>
      </c>
      <c r="BG3" s="18">
        <v>1</v>
      </c>
      <c r="BH3" s="39">
        <v>0</v>
      </c>
      <c r="BJ3" s="679"/>
      <c r="BK3" s="81" t="s">
        <v>44</v>
      </c>
      <c r="BL3" s="18">
        <v>3</v>
      </c>
      <c r="BM3" s="18">
        <v>2</v>
      </c>
      <c r="BN3" s="120">
        <v>22</v>
      </c>
      <c r="BO3" s="120">
        <v>16</v>
      </c>
      <c r="BP3" s="120">
        <v>24</v>
      </c>
      <c r="BQ3" s="120">
        <v>26</v>
      </c>
      <c r="BR3" s="18">
        <v>3</v>
      </c>
      <c r="BS3" s="18">
        <v>2</v>
      </c>
      <c r="BT3" s="18">
        <v>0</v>
      </c>
      <c r="BU3" s="18">
        <v>2</v>
      </c>
      <c r="BV3" s="18">
        <v>2</v>
      </c>
      <c r="BW3" s="39">
        <v>3</v>
      </c>
      <c r="BY3" s="679"/>
      <c r="BZ3" s="122" t="s">
        <v>44</v>
      </c>
      <c r="CA3" s="18">
        <v>14</v>
      </c>
      <c r="CB3" s="18">
        <v>0</v>
      </c>
      <c r="CC3" s="17">
        <v>46</v>
      </c>
      <c r="CD3" s="17">
        <v>52</v>
      </c>
      <c r="CE3" s="18">
        <v>17</v>
      </c>
      <c r="CF3" s="18">
        <v>18</v>
      </c>
      <c r="CG3" s="83">
        <v>77</v>
      </c>
      <c r="CH3" s="83">
        <v>76</v>
      </c>
      <c r="CI3" s="17">
        <v>42</v>
      </c>
      <c r="CJ3" s="17">
        <v>42</v>
      </c>
      <c r="CK3" s="18">
        <v>3</v>
      </c>
      <c r="CL3" s="39">
        <v>1</v>
      </c>
      <c r="CN3" s="679"/>
      <c r="CO3" s="122" t="s">
        <v>44</v>
      </c>
      <c r="CP3" s="18">
        <v>5</v>
      </c>
      <c r="CQ3" s="18">
        <v>2</v>
      </c>
      <c r="CR3" s="83">
        <v>49</v>
      </c>
      <c r="CS3" s="83">
        <v>53</v>
      </c>
      <c r="CT3" s="17">
        <v>33</v>
      </c>
      <c r="CU3" s="17">
        <v>33</v>
      </c>
      <c r="CV3" s="120">
        <v>26</v>
      </c>
      <c r="CW3" s="17">
        <v>31</v>
      </c>
      <c r="CX3" s="18">
        <v>3</v>
      </c>
      <c r="CY3" s="18">
        <v>2</v>
      </c>
      <c r="CZ3" s="18">
        <v>3</v>
      </c>
      <c r="DA3" s="39">
        <v>1</v>
      </c>
      <c r="DC3" s="679"/>
      <c r="DD3" s="122" t="s">
        <v>44</v>
      </c>
      <c r="DE3" s="18">
        <v>2</v>
      </c>
      <c r="DF3" s="18">
        <v>4</v>
      </c>
      <c r="DG3" s="83">
        <v>71</v>
      </c>
      <c r="DH3" s="83">
        <v>73</v>
      </c>
      <c r="DI3" s="18">
        <v>15</v>
      </c>
      <c r="DJ3" s="18">
        <v>16</v>
      </c>
      <c r="DK3" s="18">
        <v>10</v>
      </c>
      <c r="DL3" s="18">
        <v>10</v>
      </c>
      <c r="DM3" s="18">
        <v>17</v>
      </c>
      <c r="DN3" s="18">
        <v>17</v>
      </c>
      <c r="DO3" s="18">
        <v>2</v>
      </c>
      <c r="DP3" s="39">
        <v>1</v>
      </c>
      <c r="DR3" s="679"/>
      <c r="DS3" s="81" t="s">
        <v>44</v>
      </c>
      <c r="DT3" s="18">
        <v>2</v>
      </c>
      <c r="DU3" s="18">
        <v>1</v>
      </c>
      <c r="DV3" s="18">
        <v>13</v>
      </c>
      <c r="DW3" s="18">
        <v>13</v>
      </c>
      <c r="DX3" s="18">
        <v>21</v>
      </c>
      <c r="DY3" s="18">
        <v>19</v>
      </c>
      <c r="DZ3" s="18">
        <v>16</v>
      </c>
      <c r="EA3" s="18">
        <v>16</v>
      </c>
      <c r="EB3" s="120">
        <v>31</v>
      </c>
      <c r="EC3" s="120">
        <v>32</v>
      </c>
      <c r="ED3" s="18">
        <v>15</v>
      </c>
      <c r="EE3" s="39">
        <v>15</v>
      </c>
      <c r="EG3" s="679"/>
      <c r="EH3" s="81" t="s">
        <v>44</v>
      </c>
      <c r="EI3" s="18">
        <v>0</v>
      </c>
      <c r="EJ3" s="18">
        <v>5</v>
      </c>
      <c r="EK3" s="17">
        <v>37</v>
      </c>
      <c r="EL3" s="17">
        <v>33</v>
      </c>
      <c r="EM3" s="17">
        <v>38</v>
      </c>
      <c r="EN3" s="17">
        <v>41</v>
      </c>
      <c r="EO3" s="18">
        <v>0</v>
      </c>
      <c r="EP3" s="18">
        <v>1</v>
      </c>
      <c r="EQ3" s="18">
        <v>6</v>
      </c>
      <c r="ER3" s="18">
        <v>4</v>
      </c>
      <c r="ES3" s="18">
        <v>5</v>
      </c>
      <c r="ET3" s="18">
        <v>2</v>
      </c>
      <c r="EV3" s="679"/>
      <c r="EW3" s="81" t="s">
        <v>44</v>
      </c>
      <c r="EX3" s="18">
        <v>2</v>
      </c>
      <c r="EY3" s="18">
        <v>1</v>
      </c>
      <c r="EZ3" s="83">
        <v>45</v>
      </c>
      <c r="FA3" s="83">
        <v>45</v>
      </c>
      <c r="FB3" s="83">
        <v>54</v>
      </c>
      <c r="FC3" s="83">
        <v>55</v>
      </c>
      <c r="FD3" s="120">
        <v>20</v>
      </c>
      <c r="FE3" s="120">
        <v>22</v>
      </c>
      <c r="FF3" s="17">
        <v>40</v>
      </c>
      <c r="FG3" s="17">
        <v>43</v>
      </c>
      <c r="FH3" s="18">
        <v>3</v>
      </c>
      <c r="FI3" s="39">
        <v>3</v>
      </c>
      <c r="FK3" s="679"/>
      <c r="FL3" s="81" t="s">
        <v>44</v>
      </c>
      <c r="FM3" s="18">
        <v>3</v>
      </c>
      <c r="FN3" s="18">
        <v>1</v>
      </c>
      <c r="FO3" s="82">
        <v>60</v>
      </c>
      <c r="FP3" s="82">
        <v>59</v>
      </c>
      <c r="FQ3" s="21">
        <v>81</v>
      </c>
      <c r="FR3" s="21">
        <v>81</v>
      </c>
      <c r="FS3" s="18">
        <v>0</v>
      </c>
      <c r="FT3" s="18">
        <v>4</v>
      </c>
      <c r="FU3" s="18">
        <v>4</v>
      </c>
      <c r="FV3" s="18">
        <v>3</v>
      </c>
      <c r="FW3" s="18">
        <v>3</v>
      </c>
      <c r="FX3" s="18">
        <v>0</v>
      </c>
      <c r="FZ3" s="679"/>
      <c r="GA3" s="81" t="s">
        <v>44</v>
      </c>
      <c r="GB3" s="18">
        <v>4</v>
      </c>
      <c r="GC3" s="18">
        <v>2</v>
      </c>
      <c r="GD3" s="17">
        <v>29</v>
      </c>
      <c r="GE3" s="17">
        <v>35</v>
      </c>
      <c r="GF3" s="18">
        <v>1</v>
      </c>
      <c r="GG3" s="18">
        <v>1</v>
      </c>
      <c r="GH3" s="18">
        <v>0</v>
      </c>
      <c r="GI3" s="18">
        <v>3</v>
      </c>
      <c r="GJ3" s="18">
        <v>2</v>
      </c>
      <c r="GK3" s="18">
        <v>1</v>
      </c>
      <c r="GL3" s="18">
        <v>5</v>
      </c>
      <c r="GM3" s="18">
        <v>0</v>
      </c>
    </row>
    <row r="4" spans="2:195" x14ac:dyDescent="0.25">
      <c r="B4" s="679"/>
      <c r="C4" s="122" t="s">
        <v>45</v>
      </c>
      <c r="D4" s="120">
        <v>30</v>
      </c>
      <c r="E4" s="120">
        <v>30</v>
      </c>
      <c r="F4" s="120">
        <v>35</v>
      </c>
      <c r="G4" s="17">
        <v>54</v>
      </c>
      <c r="H4" s="120">
        <v>26</v>
      </c>
      <c r="I4" s="120">
        <v>27</v>
      </c>
      <c r="J4" s="18">
        <v>17</v>
      </c>
      <c r="K4" s="18">
        <v>17</v>
      </c>
      <c r="L4" s="18">
        <v>4</v>
      </c>
      <c r="M4" s="18">
        <v>3</v>
      </c>
      <c r="N4" s="18">
        <v>4</v>
      </c>
      <c r="O4" s="39">
        <v>1</v>
      </c>
      <c r="Q4" s="679"/>
      <c r="R4" s="81" t="s">
        <v>45</v>
      </c>
      <c r="S4" s="18">
        <v>13</v>
      </c>
      <c r="T4" s="18">
        <v>12</v>
      </c>
      <c r="U4" s="18">
        <v>10</v>
      </c>
      <c r="V4" s="18">
        <v>9</v>
      </c>
      <c r="W4" s="83">
        <v>71</v>
      </c>
      <c r="X4" s="83">
        <v>70</v>
      </c>
      <c r="Y4" s="82">
        <v>85</v>
      </c>
      <c r="Z4" s="82">
        <v>85</v>
      </c>
      <c r="AA4" s="120">
        <v>34</v>
      </c>
      <c r="AB4" s="120">
        <v>35</v>
      </c>
      <c r="AC4" s="18">
        <v>1</v>
      </c>
      <c r="AD4" s="18">
        <v>1</v>
      </c>
      <c r="AF4" s="679"/>
      <c r="AG4" s="81" t="s">
        <v>45</v>
      </c>
      <c r="AH4" s="120">
        <v>19</v>
      </c>
      <c r="AI4" s="120">
        <v>18</v>
      </c>
      <c r="AJ4" s="18">
        <v>2</v>
      </c>
      <c r="AK4" s="18">
        <v>3</v>
      </c>
      <c r="AL4" s="82">
        <v>40</v>
      </c>
      <c r="AM4" s="82">
        <v>40</v>
      </c>
      <c r="AN4" s="18">
        <v>0</v>
      </c>
      <c r="AO4" s="18">
        <v>2</v>
      </c>
      <c r="AP4" s="18">
        <v>0</v>
      </c>
      <c r="AQ4" s="18">
        <v>2</v>
      </c>
      <c r="AR4" s="18">
        <v>1</v>
      </c>
      <c r="AS4" s="18">
        <v>2</v>
      </c>
      <c r="AU4" s="679"/>
      <c r="AV4" s="122" t="s">
        <v>45</v>
      </c>
      <c r="AW4" s="120">
        <v>26</v>
      </c>
      <c r="AX4" s="120">
        <v>22</v>
      </c>
      <c r="AY4" s="121">
        <v>98</v>
      </c>
      <c r="AZ4" s="121">
        <v>98</v>
      </c>
      <c r="BA4" s="120">
        <v>23</v>
      </c>
      <c r="BB4" s="120">
        <v>22</v>
      </c>
      <c r="BC4" s="17">
        <v>43</v>
      </c>
      <c r="BD4" s="83">
        <v>45</v>
      </c>
      <c r="BE4" s="18">
        <v>2</v>
      </c>
      <c r="BF4" s="18">
        <v>0</v>
      </c>
      <c r="BG4" s="18">
        <v>2</v>
      </c>
      <c r="BH4" s="39">
        <v>0</v>
      </c>
      <c r="BJ4" s="679"/>
      <c r="BK4" s="81" t="s">
        <v>45</v>
      </c>
      <c r="BL4" s="120">
        <v>23</v>
      </c>
      <c r="BM4" s="120">
        <v>23</v>
      </c>
      <c r="BN4" s="120">
        <v>22</v>
      </c>
      <c r="BO4" s="120">
        <v>22</v>
      </c>
      <c r="BP4" s="120">
        <v>20</v>
      </c>
      <c r="BQ4" s="120">
        <v>25</v>
      </c>
      <c r="BR4" s="18">
        <v>1</v>
      </c>
      <c r="BS4" s="18">
        <v>3</v>
      </c>
      <c r="BT4" s="18">
        <v>3</v>
      </c>
      <c r="BU4" s="18">
        <v>2</v>
      </c>
      <c r="BV4" s="18">
        <v>2</v>
      </c>
      <c r="BW4" s="39">
        <v>2</v>
      </c>
      <c r="BY4" s="679"/>
      <c r="BZ4" s="122" t="s">
        <v>45</v>
      </c>
      <c r="CA4" s="17">
        <v>53</v>
      </c>
      <c r="CB4" s="17">
        <v>56</v>
      </c>
      <c r="CC4" s="83">
        <v>76</v>
      </c>
      <c r="CD4" s="83">
        <v>72</v>
      </c>
      <c r="CE4" s="120">
        <v>24</v>
      </c>
      <c r="CF4" s="120">
        <v>31</v>
      </c>
      <c r="CG4" s="83">
        <v>77</v>
      </c>
      <c r="CH4" s="83">
        <v>75</v>
      </c>
      <c r="CI4" s="120">
        <v>29</v>
      </c>
      <c r="CJ4" s="120">
        <v>30</v>
      </c>
      <c r="CK4" s="18">
        <v>5</v>
      </c>
      <c r="CL4" s="39">
        <v>6</v>
      </c>
      <c r="CN4" s="679"/>
      <c r="CO4" s="122" t="s">
        <v>45</v>
      </c>
      <c r="CP4" s="120">
        <v>21</v>
      </c>
      <c r="CQ4" s="120">
        <v>21</v>
      </c>
      <c r="CR4" s="82">
        <v>68</v>
      </c>
      <c r="CS4" s="82">
        <v>67</v>
      </c>
      <c r="CT4" s="17">
        <v>39</v>
      </c>
      <c r="CU4" s="17">
        <v>38</v>
      </c>
      <c r="CV4" s="120">
        <v>17</v>
      </c>
      <c r="CW4" s="120">
        <v>18</v>
      </c>
      <c r="CX4" s="18">
        <v>1</v>
      </c>
      <c r="CY4" s="18">
        <v>2</v>
      </c>
      <c r="CZ4" s="18">
        <v>2</v>
      </c>
      <c r="DA4" s="39">
        <v>1</v>
      </c>
      <c r="DC4" s="679"/>
      <c r="DD4" s="122" t="s">
        <v>45</v>
      </c>
      <c r="DE4" s="17">
        <v>40</v>
      </c>
      <c r="DF4" s="120">
        <v>37</v>
      </c>
      <c r="DG4" s="82">
        <v>87</v>
      </c>
      <c r="DH4" s="82">
        <v>82</v>
      </c>
      <c r="DI4" s="120">
        <v>26</v>
      </c>
      <c r="DJ4" s="120">
        <v>24</v>
      </c>
      <c r="DK4" s="18">
        <v>6</v>
      </c>
      <c r="DL4" s="18">
        <v>7</v>
      </c>
      <c r="DM4" s="18">
        <v>9</v>
      </c>
      <c r="DN4" s="18">
        <v>9</v>
      </c>
      <c r="DO4" s="18">
        <v>1</v>
      </c>
      <c r="DP4" s="39">
        <v>3</v>
      </c>
      <c r="DR4" s="679"/>
      <c r="DS4" s="81" t="s">
        <v>45</v>
      </c>
      <c r="DT4" s="120">
        <v>30</v>
      </c>
      <c r="DU4" s="120">
        <v>30</v>
      </c>
      <c r="DV4" s="120">
        <v>32</v>
      </c>
      <c r="DW4" s="120">
        <v>32</v>
      </c>
      <c r="DX4" s="17">
        <v>56</v>
      </c>
      <c r="DY4" s="17">
        <v>56</v>
      </c>
      <c r="DZ4" s="18">
        <v>0</v>
      </c>
      <c r="EA4" s="18">
        <v>2</v>
      </c>
      <c r="EB4" s="120">
        <v>47</v>
      </c>
      <c r="EC4" s="120">
        <v>46</v>
      </c>
      <c r="ED4" s="18">
        <v>10</v>
      </c>
      <c r="EE4" s="39">
        <v>11</v>
      </c>
      <c r="EG4" s="679"/>
      <c r="EH4" s="81" t="s">
        <v>45</v>
      </c>
      <c r="EI4" s="18">
        <v>14</v>
      </c>
      <c r="EJ4" s="120">
        <v>18</v>
      </c>
      <c r="EK4" s="17">
        <v>35</v>
      </c>
      <c r="EL4" s="17">
        <v>40</v>
      </c>
      <c r="EM4" s="17">
        <v>35</v>
      </c>
      <c r="EN4" s="17">
        <v>35</v>
      </c>
      <c r="EO4" s="18">
        <v>1</v>
      </c>
      <c r="EP4" s="18">
        <v>4</v>
      </c>
      <c r="EQ4" s="18">
        <v>4</v>
      </c>
      <c r="ER4" s="18">
        <v>5</v>
      </c>
      <c r="ES4" s="18">
        <v>5</v>
      </c>
      <c r="ET4" s="18">
        <v>9</v>
      </c>
      <c r="EV4" s="679"/>
      <c r="EW4" s="81" t="s">
        <v>45</v>
      </c>
      <c r="EX4" s="120">
        <v>24</v>
      </c>
      <c r="EY4" s="120">
        <v>23</v>
      </c>
      <c r="EZ4" s="17">
        <v>39</v>
      </c>
      <c r="FA4" s="17">
        <v>37</v>
      </c>
      <c r="FB4" s="83">
        <v>44</v>
      </c>
      <c r="FC4" s="83">
        <v>44</v>
      </c>
      <c r="FD4" s="120">
        <v>23</v>
      </c>
      <c r="FE4" s="120">
        <v>22</v>
      </c>
      <c r="FF4" s="120">
        <v>26</v>
      </c>
      <c r="FG4" s="120">
        <v>28</v>
      </c>
      <c r="FH4" s="18">
        <v>5</v>
      </c>
      <c r="FI4" s="39">
        <v>2</v>
      </c>
      <c r="FK4" s="679"/>
      <c r="FL4" s="81" t="s">
        <v>45</v>
      </c>
      <c r="FM4" s="17">
        <v>30</v>
      </c>
      <c r="FN4" s="17">
        <v>29</v>
      </c>
      <c r="FO4" s="83">
        <v>51</v>
      </c>
      <c r="FP4" s="83">
        <v>48</v>
      </c>
      <c r="FQ4" s="83">
        <v>56</v>
      </c>
      <c r="FR4" s="83">
        <v>55</v>
      </c>
      <c r="FS4" s="18">
        <v>2</v>
      </c>
      <c r="FT4" s="18">
        <v>2</v>
      </c>
      <c r="FU4" s="18">
        <v>0</v>
      </c>
      <c r="FV4" s="18">
        <v>2</v>
      </c>
      <c r="FW4" s="18">
        <v>1</v>
      </c>
      <c r="FX4" s="18">
        <v>6</v>
      </c>
      <c r="FZ4" s="679"/>
      <c r="GA4" s="81" t="s">
        <v>45</v>
      </c>
      <c r="GB4" s="120">
        <v>23</v>
      </c>
      <c r="GC4" s="120">
        <v>23</v>
      </c>
      <c r="GD4" s="120">
        <v>22</v>
      </c>
      <c r="GE4" s="120">
        <v>18</v>
      </c>
      <c r="GF4" s="18">
        <v>2</v>
      </c>
      <c r="GG4" s="18">
        <v>2</v>
      </c>
      <c r="GH4" s="18">
        <v>1</v>
      </c>
      <c r="GI4" s="18">
        <v>2</v>
      </c>
      <c r="GJ4" s="18">
        <v>1</v>
      </c>
      <c r="GK4" s="18">
        <v>0</v>
      </c>
      <c r="GL4" s="18">
        <v>2</v>
      </c>
      <c r="GM4" s="18">
        <v>0</v>
      </c>
    </row>
    <row r="5" spans="2:195" x14ac:dyDescent="0.25">
      <c r="B5" s="679"/>
      <c r="C5" s="122" t="s">
        <v>46</v>
      </c>
      <c r="D5" s="83">
        <v>58</v>
      </c>
      <c r="E5" s="83">
        <v>60</v>
      </c>
      <c r="F5" s="17">
        <v>41</v>
      </c>
      <c r="G5" s="17">
        <v>45</v>
      </c>
      <c r="H5" s="120">
        <v>20</v>
      </c>
      <c r="I5" s="18">
        <v>19</v>
      </c>
      <c r="J5" s="18">
        <v>11</v>
      </c>
      <c r="K5" s="18">
        <v>15</v>
      </c>
      <c r="L5" s="18">
        <v>5</v>
      </c>
      <c r="M5" s="18">
        <v>3</v>
      </c>
      <c r="N5" s="18">
        <v>2</v>
      </c>
      <c r="O5" s="39">
        <v>4</v>
      </c>
      <c r="Q5" s="679"/>
      <c r="R5" s="81" t="s">
        <v>46</v>
      </c>
      <c r="S5" s="17">
        <v>40</v>
      </c>
      <c r="T5" s="17">
        <v>41</v>
      </c>
      <c r="U5" s="18">
        <v>19</v>
      </c>
      <c r="V5" s="120">
        <v>20</v>
      </c>
      <c r="W5" s="82">
        <v>78</v>
      </c>
      <c r="X5" s="82">
        <v>79</v>
      </c>
      <c r="Y5" s="83">
        <v>70</v>
      </c>
      <c r="Z5" s="83">
        <v>74</v>
      </c>
      <c r="AA5" s="17">
        <v>55</v>
      </c>
      <c r="AB5" s="17">
        <v>54</v>
      </c>
      <c r="AC5" s="18">
        <v>2</v>
      </c>
      <c r="AD5" s="18">
        <v>2</v>
      </c>
      <c r="AF5" s="679"/>
      <c r="AG5" s="81" t="s">
        <v>46</v>
      </c>
      <c r="AH5" s="17">
        <v>25</v>
      </c>
      <c r="AI5" s="17">
        <v>24</v>
      </c>
      <c r="AJ5" s="120">
        <v>19</v>
      </c>
      <c r="AK5" s="17">
        <v>21</v>
      </c>
      <c r="AL5" s="17">
        <v>26</v>
      </c>
      <c r="AM5" s="17">
        <v>28</v>
      </c>
      <c r="AN5" s="18">
        <v>0</v>
      </c>
      <c r="AO5" s="18">
        <v>1</v>
      </c>
      <c r="AP5" s="18">
        <v>1</v>
      </c>
      <c r="AQ5" s="18">
        <v>0</v>
      </c>
      <c r="AR5" s="18">
        <v>0</v>
      </c>
      <c r="AS5" s="18">
        <v>0</v>
      </c>
      <c r="AU5" s="679"/>
      <c r="AV5" s="122" t="s">
        <v>46</v>
      </c>
      <c r="AW5" s="17">
        <v>43</v>
      </c>
      <c r="AX5" s="83">
        <v>44</v>
      </c>
      <c r="AY5" s="82">
        <v>64</v>
      </c>
      <c r="AZ5" s="82">
        <v>65</v>
      </c>
      <c r="BA5" s="18">
        <v>1</v>
      </c>
      <c r="BB5" s="18">
        <v>1</v>
      </c>
      <c r="BC5" s="120">
        <v>28</v>
      </c>
      <c r="BD5" s="120">
        <v>29</v>
      </c>
      <c r="BE5" s="18">
        <v>1</v>
      </c>
      <c r="BF5" s="18">
        <v>3</v>
      </c>
      <c r="BG5" s="18">
        <v>1</v>
      </c>
      <c r="BH5" s="39">
        <v>1</v>
      </c>
      <c r="BJ5" s="679"/>
      <c r="BK5" s="81" t="s">
        <v>46</v>
      </c>
      <c r="BL5" s="83">
        <v>40</v>
      </c>
      <c r="BM5" s="83">
        <v>40</v>
      </c>
      <c r="BN5" s="120">
        <v>14</v>
      </c>
      <c r="BO5" s="120">
        <v>16</v>
      </c>
      <c r="BP5" s="17">
        <v>27</v>
      </c>
      <c r="BQ5" s="120">
        <v>26</v>
      </c>
      <c r="BR5" s="18">
        <v>2</v>
      </c>
      <c r="BS5" s="18">
        <v>1</v>
      </c>
      <c r="BT5" s="18">
        <v>3</v>
      </c>
      <c r="BU5" s="18">
        <v>3</v>
      </c>
      <c r="BV5" s="18">
        <v>2</v>
      </c>
      <c r="BW5" s="39">
        <v>2</v>
      </c>
      <c r="BY5" s="679"/>
      <c r="BZ5" s="122" t="s">
        <v>46</v>
      </c>
      <c r="CA5" s="20">
        <v>288</v>
      </c>
      <c r="CB5" s="20">
        <v>288</v>
      </c>
      <c r="CC5" s="83">
        <v>63</v>
      </c>
      <c r="CD5" s="17">
        <v>58</v>
      </c>
      <c r="CE5" s="120">
        <v>25</v>
      </c>
      <c r="CF5" s="120">
        <v>29</v>
      </c>
      <c r="CG5" s="83">
        <v>63</v>
      </c>
      <c r="CH5" s="17">
        <v>61</v>
      </c>
      <c r="CI5" s="120">
        <v>34</v>
      </c>
      <c r="CJ5" s="120">
        <v>32</v>
      </c>
      <c r="CK5" s="18">
        <v>7</v>
      </c>
      <c r="CL5" s="39">
        <v>2</v>
      </c>
      <c r="CN5" s="679"/>
      <c r="CO5" s="122" t="s">
        <v>46</v>
      </c>
      <c r="CP5" s="17">
        <v>37</v>
      </c>
      <c r="CQ5" s="17">
        <v>37</v>
      </c>
      <c r="CR5" s="82">
        <v>59</v>
      </c>
      <c r="CS5" s="83">
        <v>58</v>
      </c>
      <c r="CT5" s="17">
        <v>42</v>
      </c>
      <c r="CU5" s="17">
        <v>38</v>
      </c>
      <c r="CV5" s="120">
        <v>24</v>
      </c>
      <c r="CW5" s="120">
        <v>24</v>
      </c>
      <c r="CX5" s="18">
        <v>2</v>
      </c>
      <c r="CY5" s="18">
        <v>2</v>
      </c>
      <c r="CZ5" s="18">
        <v>2</v>
      </c>
      <c r="DA5" s="39">
        <v>1</v>
      </c>
      <c r="DC5" s="679"/>
      <c r="DD5" s="122" t="s">
        <v>46</v>
      </c>
      <c r="DE5" s="83">
        <v>77</v>
      </c>
      <c r="DF5" s="83">
        <v>69</v>
      </c>
      <c r="DG5" s="83">
        <v>65</v>
      </c>
      <c r="DH5" s="83">
        <v>64</v>
      </c>
      <c r="DI5" s="18">
        <v>18</v>
      </c>
      <c r="DJ5" s="18">
        <v>18</v>
      </c>
      <c r="DK5" s="18">
        <v>8</v>
      </c>
      <c r="DL5" s="18">
        <v>9</v>
      </c>
      <c r="DM5" s="18">
        <v>10</v>
      </c>
      <c r="DN5" s="18">
        <v>9</v>
      </c>
      <c r="DO5" s="18">
        <v>3</v>
      </c>
      <c r="DP5" s="39">
        <v>4</v>
      </c>
      <c r="DR5" s="679"/>
      <c r="DS5" s="81" t="s">
        <v>46</v>
      </c>
      <c r="DT5" s="120">
        <v>37</v>
      </c>
      <c r="DU5" s="120">
        <v>34</v>
      </c>
      <c r="DV5" s="120">
        <v>32</v>
      </c>
      <c r="DW5" s="120">
        <v>30</v>
      </c>
      <c r="DX5" s="120">
        <v>42</v>
      </c>
      <c r="DY5" s="120">
        <v>40</v>
      </c>
      <c r="DZ5" s="120">
        <v>37</v>
      </c>
      <c r="EA5" s="120">
        <v>37</v>
      </c>
      <c r="EB5" s="17">
        <v>73</v>
      </c>
      <c r="EC5" s="17">
        <v>72</v>
      </c>
      <c r="ED5" s="18">
        <v>15</v>
      </c>
      <c r="EE5" s="39">
        <v>16</v>
      </c>
      <c r="EG5" s="679"/>
      <c r="EH5" s="81" t="s">
        <v>46</v>
      </c>
      <c r="EI5" s="83">
        <v>54</v>
      </c>
      <c r="EJ5" s="83">
        <v>45</v>
      </c>
      <c r="EK5" s="17">
        <v>40</v>
      </c>
      <c r="EL5" s="17">
        <v>34</v>
      </c>
      <c r="EM5" s="17">
        <v>37</v>
      </c>
      <c r="EN5" s="120">
        <v>26</v>
      </c>
      <c r="EO5" s="18">
        <v>0</v>
      </c>
      <c r="EP5" s="18">
        <v>6</v>
      </c>
      <c r="EQ5" s="18">
        <v>3</v>
      </c>
      <c r="ER5" s="18">
        <v>3</v>
      </c>
      <c r="ES5" s="18">
        <v>0</v>
      </c>
      <c r="ET5" s="18">
        <v>7</v>
      </c>
      <c r="EV5" s="679"/>
      <c r="EW5" s="81" t="s">
        <v>46</v>
      </c>
      <c r="EX5" s="83">
        <v>46</v>
      </c>
      <c r="EY5" s="83">
        <v>46</v>
      </c>
      <c r="EZ5" s="82">
        <v>61</v>
      </c>
      <c r="FA5" s="82">
        <v>61</v>
      </c>
      <c r="FB5" s="17">
        <v>38</v>
      </c>
      <c r="FC5" s="17">
        <v>41</v>
      </c>
      <c r="FD5" s="120">
        <v>17</v>
      </c>
      <c r="FE5" s="120">
        <v>19</v>
      </c>
      <c r="FF5" s="83">
        <v>45</v>
      </c>
      <c r="FG5" s="17">
        <v>43</v>
      </c>
      <c r="FH5" s="18">
        <v>2</v>
      </c>
      <c r="FI5" s="39">
        <v>3</v>
      </c>
      <c r="FK5" s="679"/>
      <c r="FL5" s="81" t="s">
        <v>46</v>
      </c>
      <c r="FM5" s="83">
        <v>49</v>
      </c>
      <c r="FN5" s="83">
        <v>54</v>
      </c>
      <c r="FO5" s="82">
        <v>68</v>
      </c>
      <c r="FP5" s="82">
        <v>67</v>
      </c>
      <c r="FQ5" s="83">
        <v>52</v>
      </c>
      <c r="FR5" s="83">
        <v>52</v>
      </c>
      <c r="FS5" s="18">
        <v>3</v>
      </c>
      <c r="FT5" s="18">
        <v>3</v>
      </c>
      <c r="FU5" s="18">
        <v>0</v>
      </c>
      <c r="FV5" s="18">
        <v>2</v>
      </c>
      <c r="FW5" s="18">
        <v>3</v>
      </c>
      <c r="FX5" s="18">
        <v>2</v>
      </c>
      <c r="FZ5" s="679"/>
      <c r="GA5" s="81" t="s">
        <v>46</v>
      </c>
      <c r="GB5" s="83">
        <v>43</v>
      </c>
      <c r="GC5" s="83">
        <v>41</v>
      </c>
      <c r="GD5" s="17">
        <v>31</v>
      </c>
      <c r="GE5" s="17">
        <v>27</v>
      </c>
      <c r="GF5" s="18">
        <v>2</v>
      </c>
      <c r="GG5" s="18">
        <v>0</v>
      </c>
      <c r="GH5" s="18">
        <v>4</v>
      </c>
      <c r="GI5" s="18">
        <v>1</v>
      </c>
      <c r="GJ5" s="18">
        <v>1</v>
      </c>
      <c r="GK5" s="18">
        <v>1</v>
      </c>
      <c r="GL5" s="18">
        <v>2</v>
      </c>
      <c r="GM5" s="18">
        <v>1</v>
      </c>
    </row>
    <row r="6" spans="2:195" x14ac:dyDescent="0.25">
      <c r="B6" s="679"/>
      <c r="C6" s="122" t="s">
        <v>47</v>
      </c>
      <c r="D6" s="121">
        <v>116</v>
      </c>
      <c r="E6" s="21">
        <v>113</v>
      </c>
      <c r="F6" s="120">
        <v>38</v>
      </c>
      <c r="G6" s="120">
        <v>34</v>
      </c>
      <c r="H6" s="18">
        <v>8</v>
      </c>
      <c r="I6" s="18">
        <v>8</v>
      </c>
      <c r="J6" s="18">
        <v>15</v>
      </c>
      <c r="K6" s="18">
        <v>16</v>
      </c>
      <c r="L6" s="18">
        <v>3</v>
      </c>
      <c r="M6" s="18">
        <v>4</v>
      </c>
      <c r="N6" s="18">
        <v>2</v>
      </c>
      <c r="O6" s="39">
        <v>3</v>
      </c>
      <c r="Q6" s="679"/>
      <c r="R6" s="81" t="s">
        <v>47</v>
      </c>
      <c r="S6" s="83">
        <v>75</v>
      </c>
      <c r="T6" s="83">
        <v>74</v>
      </c>
      <c r="U6" s="120">
        <v>27</v>
      </c>
      <c r="V6" s="18">
        <v>12</v>
      </c>
      <c r="W6" s="83">
        <v>61</v>
      </c>
      <c r="X6" s="83">
        <v>61</v>
      </c>
      <c r="Y6" s="83">
        <v>75</v>
      </c>
      <c r="Z6" s="83">
        <v>74</v>
      </c>
      <c r="AA6" s="17">
        <v>40</v>
      </c>
      <c r="AB6" s="17">
        <v>42</v>
      </c>
      <c r="AC6" s="18">
        <v>1</v>
      </c>
      <c r="AD6" s="18">
        <v>3</v>
      </c>
      <c r="AF6" s="679"/>
      <c r="AG6" s="81" t="s">
        <v>47</v>
      </c>
      <c r="AH6" s="121">
        <v>64</v>
      </c>
      <c r="AI6" s="121">
        <v>64</v>
      </c>
      <c r="AJ6" s="18">
        <v>1</v>
      </c>
      <c r="AK6" s="18">
        <v>1</v>
      </c>
      <c r="AL6" s="83">
        <v>37</v>
      </c>
      <c r="AM6" s="83">
        <v>33</v>
      </c>
      <c r="AN6" s="18">
        <v>1</v>
      </c>
      <c r="AO6" s="18">
        <v>1</v>
      </c>
      <c r="AP6" s="18">
        <v>1</v>
      </c>
      <c r="AQ6" s="18">
        <v>1</v>
      </c>
      <c r="AR6" s="18">
        <v>3</v>
      </c>
      <c r="AS6" s="18">
        <v>0</v>
      </c>
      <c r="AU6" s="679"/>
      <c r="AV6" s="122" t="s">
        <v>47</v>
      </c>
      <c r="AW6" s="121">
        <v>90</v>
      </c>
      <c r="AX6" s="121">
        <v>91</v>
      </c>
      <c r="AY6" s="83">
        <v>47</v>
      </c>
      <c r="AZ6" s="83">
        <v>54</v>
      </c>
      <c r="BA6" s="18">
        <v>2</v>
      </c>
      <c r="BB6" s="18">
        <v>1</v>
      </c>
      <c r="BC6" s="120">
        <v>28</v>
      </c>
      <c r="BD6" s="120">
        <v>28</v>
      </c>
      <c r="BE6" s="18">
        <v>2</v>
      </c>
      <c r="BF6" s="18">
        <v>2</v>
      </c>
      <c r="BG6" s="18">
        <v>1</v>
      </c>
      <c r="BH6" s="39">
        <v>1</v>
      </c>
      <c r="BJ6" s="679"/>
      <c r="BK6" s="81" t="s">
        <v>47</v>
      </c>
      <c r="BL6" s="121">
        <v>88</v>
      </c>
      <c r="BM6" s="121">
        <v>91</v>
      </c>
      <c r="BN6" s="120">
        <v>22</v>
      </c>
      <c r="BO6" s="120">
        <v>21</v>
      </c>
      <c r="BP6" s="17">
        <v>36</v>
      </c>
      <c r="BQ6" s="17">
        <v>37</v>
      </c>
      <c r="BR6" s="18">
        <v>3</v>
      </c>
      <c r="BS6" s="18">
        <v>3</v>
      </c>
      <c r="BT6" s="18">
        <v>3</v>
      </c>
      <c r="BU6" s="18">
        <v>2</v>
      </c>
      <c r="BV6" s="18">
        <v>3</v>
      </c>
      <c r="BW6" s="39">
        <v>3</v>
      </c>
      <c r="BY6" s="679"/>
      <c r="BZ6" s="122" t="s">
        <v>47</v>
      </c>
      <c r="CA6" s="121">
        <v>130</v>
      </c>
      <c r="CB6" s="21">
        <v>112</v>
      </c>
      <c r="CC6" s="17">
        <v>55</v>
      </c>
      <c r="CD6" s="17">
        <v>53</v>
      </c>
      <c r="CE6" s="120">
        <v>24</v>
      </c>
      <c r="CF6" s="120">
        <v>24</v>
      </c>
      <c r="CG6" s="17">
        <v>57</v>
      </c>
      <c r="CH6" s="17">
        <v>49</v>
      </c>
      <c r="CI6" s="17">
        <v>51</v>
      </c>
      <c r="CJ6" s="17">
        <v>48</v>
      </c>
      <c r="CK6" s="18">
        <v>2</v>
      </c>
      <c r="CL6" s="39">
        <v>1</v>
      </c>
      <c r="CN6" s="679"/>
      <c r="CO6" s="122" t="s">
        <v>47</v>
      </c>
      <c r="CP6" s="82">
        <v>65</v>
      </c>
      <c r="CQ6" s="82">
        <v>72</v>
      </c>
      <c r="CR6" s="120">
        <v>26</v>
      </c>
      <c r="CS6" s="120">
        <v>26</v>
      </c>
      <c r="CT6" s="120">
        <v>25</v>
      </c>
      <c r="CU6" s="120">
        <v>27</v>
      </c>
      <c r="CV6" s="18">
        <v>0</v>
      </c>
      <c r="CW6" s="18">
        <v>1</v>
      </c>
      <c r="CX6" s="18">
        <v>2</v>
      </c>
      <c r="CY6" s="18">
        <v>1</v>
      </c>
      <c r="CZ6" s="18">
        <v>3</v>
      </c>
      <c r="DA6" s="39">
        <v>1</v>
      </c>
      <c r="DC6" s="679"/>
      <c r="DD6" s="122" t="s">
        <v>47</v>
      </c>
      <c r="DE6" s="121">
        <v>136</v>
      </c>
      <c r="DF6" s="121">
        <v>135</v>
      </c>
      <c r="DG6" s="83">
        <v>60</v>
      </c>
      <c r="DH6" s="17">
        <v>57</v>
      </c>
      <c r="DI6" s="18">
        <v>12</v>
      </c>
      <c r="DJ6" s="18">
        <v>13</v>
      </c>
      <c r="DK6" s="18">
        <v>9</v>
      </c>
      <c r="DL6" s="18">
        <v>8</v>
      </c>
      <c r="DM6" s="18">
        <v>13</v>
      </c>
      <c r="DN6" s="18">
        <v>12</v>
      </c>
      <c r="DO6" s="18">
        <v>4</v>
      </c>
      <c r="DP6" s="39">
        <v>1</v>
      </c>
      <c r="DR6" s="679"/>
      <c r="DS6" s="81" t="s">
        <v>47</v>
      </c>
      <c r="DT6" s="83">
        <v>91</v>
      </c>
      <c r="DU6" s="83">
        <v>87</v>
      </c>
      <c r="DV6" s="18">
        <v>21</v>
      </c>
      <c r="DW6" s="18">
        <v>19</v>
      </c>
      <c r="DX6" s="120">
        <v>39</v>
      </c>
      <c r="DY6" s="120">
        <v>39</v>
      </c>
      <c r="DZ6" s="18">
        <v>18</v>
      </c>
      <c r="EA6" s="18">
        <v>18</v>
      </c>
      <c r="EB6" s="17">
        <v>67</v>
      </c>
      <c r="EC6" s="17">
        <v>64</v>
      </c>
      <c r="ED6" s="18">
        <v>4</v>
      </c>
      <c r="EE6" s="39">
        <v>8</v>
      </c>
      <c r="EG6" s="679"/>
      <c r="EH6" s="81" t="s">
        <v>47</v>
      </c>
      <c r="EI6" s="82">
        <v>71</v>
      </c>
      <c r="EJ6" s="21">
        <v>82</v>
      </c>
      <c r="EK6" s="83">
        <v>44</v>
      </c>
      <c r="EL6" s="83">
        <v>43</v>
      </c>
      <c r="EM6" s="83">
        <v>52</v>
      </c>
      <c r="EN6" s="83">
        <v>51</v>
      </c>
      <c r="EO6" s="18">
        <v>0</v>
      </c>
      <c r="EP6" s="18">
        <v>6</v>
      </c>
      <c r="EQ6" s="18">
        <v>8</v>
      </c>
      <c r="ER6" s="18">
        <v>1</v>
      </c>
      <c r="ES6" s="18">
        <v>7</v>
      </c>
      <c r="ET6" s="18">
        <v>2</v>
      </c>
      <c r="EV6" s="679"/>
      <c r="EW6" s="81" t="s">
        <v>47</v>
      </c>
      <c r="EX6" s="121">
        <v>90</v>
      </c>
      <c r="EY6" s="121">
        <v>92</v>
      </c>
      <c r="EZ6" s="83">
        <v>58</v>
      </c>
      <c r="FA6" s="83">
        <v>56</v>
      </c>
      <c r="FB6" s="17">
        <v>39</v>
      </c>
      <c r="FC6" s="17">
        <v>42</v>
      </c>
      <c r="FD6" s="18">
        <v>14</v>
      </c>
      <c r="FE6" s="120">
        <v>15</v>
      </c>
      <c r="FF6" s="17">
        <v>40</v>
      </c>
      <c r="FG6" s="17">
        <v>40</v>
      </c>
      <c r="FH6" s="18">
        <v>1</v>
      </c>
      <c r="FI6" s="39">
        <v>3</v>
      </c>
      <c r="FK6" s="679"/>
      <c r="FL6" s="81" t="s">
        <v>47</v>
      </c>
      <c r="FM6" s="19">
        <v>100</v>
      </c>
      <c r="FN6" s="121">
        <v>99</v>
      </c>
      <c r="FO6" s="83">
        <v>53</v>
      </c>
      <c r="FP6" s="83">
        <v>56</v>
      </c>
      <c r="FQ6" s="82">
        <v>63</v>
      </c>
      <c r="FR6" s="83">
        <v>56</v>
      </c>
      <c r="FS6" s="18">
        <v>4</v>
      </c>
      <c r="FT6" s="18">
        <v>3</v>
      </c>
      <c r="FU6" s="18">
        <v>1</v>
      </c>
      <c r="FV6" s="18">
        <v>1</v>
      </c>
      <c r="FW6" s="18">
        <v>2</v>
      </c>
      <c r="FX6" s="18">
        <v>0</v>
      </c>
      <c r="FZ6" s="679"/>
      <c r="GA6" s="81" t="s">
        <v>47</v>
      </c>
      <c r="GB6" s="121">
        <v>81</v>
      </c>
      <c r="GC6" s="121">
        <v>80</v>
      </c>
      <c r="GD6" s="120">
        <v>16</v>
      </c>
      <c r="GE6" s="120">
        <v>23</v>
      </c>
      <c r="GF6" s="18">
        <v>1</v>
      </c>
      <c r="GG6" s="18">
        <v>1</v>
      </c>
      <c r="GH6" s="18">
        <v>1</v>
      </c>
      <c r="GI6" s="18">
        <v>3</v>
      </c>
      <c r="GJ6" s="18">
        <v>1</v>
      </c>
      <c r="GK6" s="18">
        <v>0</v>
      </c>
      <c r="GL6" s="18">
        <v>1</v>
      </c>
      <c r="GM6" s="18">
        <v>1</v>
      </c>
    </row>
    <row r="7" spans="2:195" x14ac:dyDescent="0.25">
      <c r="B7" s="679"/>
      <c r="C7" s="122" t="s">
        <v>48</v>
      </c>
      <c r="D7" s="36">
        <v>240</v>
      </c>
      <c r="E7" s="36">
        <v>245</v>
      </c>
      <c r="F7" s="18">
        <v>15</v>
      </c>
      <c r="G7" s="18">
        <v>15</v>
      </c>
      <c r="H7" s="120">
        <v>23</v>
      </c>
      <c r="I7" s="120">
        <v>27</v>
      </c>
      <c r="J7" s="18">
        <v>2</v>
      </c>
      <c r="K7" s="18">
        <v>3</v>
      </c>
      <c r="L7" s="18">
        <v>2</v>
      </c>
      <c r="M7" s="18">
        <v>3</v>
      </c>
      <c r="N7" s="18">
        <v>2</v>
      </c>
      <c r="O7" s="39">
        <v>3</v>
      </c>
      <c r="Q7" s="679"/>
      <c r="R7" s="81" t="s">
        <v>48</v>
      </c>
      <c r="S7" s="34">
        <v>176</v>
      </c>
      <c r="T7" s="34">
        <v>179</v>
      </c>
      <c r="U7" s="18">
        <v>13</v>
      </c>
      <c r="V7" s="18">
        <v>10</v>
      </c>
      <c r="W7" s="17">
        <v>47</v>
      </c>
      <c r="X7" s="17">
        <v>49</v>
      </c>
      <c r="Y7" s="17">
        <v>53</v>
      </c>
      <c r="Z7" s="17">
        <v>52</v>
      </c>
      <c r="AA7" s="17">
        <v>43</v>
      </c>
      <c r="AB7" s="17">
        <v>43</v>
      </c>
      <c r="AC7" s="18">
        <v>2</v>
      </c>
      <c r="AD7" s="18">
        <v>1</v>
      </c>
      <c r="AF7" s="679"/>
      <c r="AG7" s="81" t="s">
        <v>48</v>
      </c>
      <c r="AH7" s="36">
        <v>123</v>
      </c>
      <c r="AI7" s="20">
        <v>133</v>
      </c>
      <c r="AJ7" s="18">
        <v>0</v>
      </c>
      <c r="AK7" s="18">
        <v>3</v>
      </c>
      <c r="AL7" s="83">
        <v>37</v>
      </c>
      <c r="AM7" s="82">
        <v>40</v>
      </c>
      <c r="AN7" s="18">
        <v>1</v>
      </c>
      <c r="AO7" s="18">
        <v>1</v>
      </c>
      <c r="AP7" s="18">
        <v>0</v>
      </c>
      <c r="AQ7" s="18">
        <v>0</v>
      </c>
      <c r="AR7" s="18">
        <v>2</v>
      </c>
      <c r="AS7" s="18">
        <v>3</v>
      </c>
      <c r="AU7" s="679"/>
      <c r="AV7" s="122" t="s">
        <v>48</v>
      </c>
      <c r="AW7" s="37">
        <v>168</v>
      </c>
      <c r="AX7" s="37">
        <v>168</v>
      </c>
      <c r="AY7" s="82">
        <v>62</v>
      </c>
      <c r="AZ7" s="82">
        <v>65</v>
      </c>
      <c r="BA7" s="18">
        <v>3</v>
      </c>
      <c r="BB7" s="18">
        <v>0</v>
      </c>
      <c r="BC7" s="17">
        <v>31</v>
      </c>
      <c r="BD7" s="17">
        <v>33</v>
      </c>
      <c r="BE7" s="18">
        <v>1</v>
      </c>
      <c r="BF7" s="18">
        <v>2</v>
      </c>
      <c r="BG7" s="18">
        <v>2</v>
      </c>
      <c r="BH7" s="39">
        <v>2</v>
      </c>
      <c r="BJ7" s="679"/>
      <c r="BK7" s="81" t="s">
        <v>48</v>
      </c>
      <c r="BL7" s="35">
        <v>112</v>
      </c>
      <c r="BM7" s="38">
        <v>140</v>
      </c>
      <c r="BN7" s="18">
        <v>2</v>
      </c>
      <c r="BO7" s="18">
        <v>4</v>
      </c>
      <c r="BP7" s="17">
        <v>30</v>
      </c>
      <c r="BQ7" s="17">
        <v>29</v>
      </c>
      <c r="BR7" s="18">
        <v>1</v>
      </c>
      <c r="BS7" s="18">
        <v>3</v>
      </c>
      <c r="BT7" s="18">
        <v>4</v>
      </c>
      <c r="BU7" s="18">
        <v>1</v>
      </c>
      <c r="BV7" s="18">
        <v>2</v>
      </c>
      <c r="BW7" s="39">
        <v>1</v>
      </c>
      <c r="BY7" s="679"/>
      <c r="BZ7" s="122" t="s">
        <v>48</v>
      </c>
      <c r="CA7" s="19">
        <v>152</v>
      </c>
      <c r="CB7" s="121">
        <v>144</v>
      </c>
      <c r="CC7" s="17">
        <v>61</v>
      </c>
      <c r="CD7" s="83">
        <v>62</v>
      </c>
      <c r="CE7" s="120">
        <v>26</v>
      </c>
      <c r="CF7" s="120">
        <v>24</v>
      </c>
      <c r="CG7" s="17">
        <v>42</v>
      </c>
      <c r="CH7" s="120">
        <v>39</v>
      </c>
      <c r="CI7" s="120">
        <v>37</v>
      </c>
      <c r="CJ7" s="120">
        <v>34</v>
      </c>
      <c r="CK7" s="18">
        <v>3</v>
      </c>
      <c r="CL7" s="39">
        <v>4</v>
      </c>
      <c r="CN7" s="679"/>
      <c r="CO7" s="122" t="s">
        <v>48</v>
      </c>
      <c r="CP7" s="37">
        <v>162</v>
      </c>
      <c r="CQ7" s="37">
        <v>165</v>
      </c>
      <c r="CR7" s="17">
        <v>43</v>
      </c>
      <c r="CS7" s="17">
        <v>37</v>
      </c>
      <c r="CT7" s="120">
        <v>23</v>
      </c>
      <c r="CU7" s="120">
        <v>22</v>
      </c>
      <c r="CV7" s="18">
        <v>3</v>
      </c>
      <c r="CW7" s="18">
        <v>3</v>
      </c>
      <c r="CX7" s="18">
        <v>4</v>
      </c>
      <c r="CY7" s="18">
        <v>2</v>
      </c>
      <c r="CZ7" s="18">
        <v>3</v>
      </c>
      <c r="DA7" s="39">
        <v>3</v>
      </c>
      <c r="DC7" s="679"/>
      <c r="DD7" s="122" t="s">
        <v>48</v>
      </c>
      <c r="DE7" s="36">
        <v>246</v>
      </c>
      <c r="DF7" s="36">
        <v>243</v>
      </c>
      <c r="DG7" s="83">
        <v>61</v>
      </c>
      <c r="DH7" s="17">
        <v>54</v>
      </c>
      <c r="DI7" s="120">
        <v>22</v>
      </c>
      <c r="DJ7" s="120">
        <v>24</v>
      </c>
      <c r="DK7" s="18">
        <v>18</v>
      </c>
      <c r="DL7" s="18">
        <v>18</v>
      </c>
      <c r="DM7" s="18">
        <v>3</v>
      </c>
      <c r="DN7" s="18">
        <v>3</v>
      </c>
      <c r="DO7" s="18">
        <v>2</v>
      </c>
      <c r="DP7" s="39">
        <v>3</v>
      </c>
      <c r="DR7" s="679"/>
      <c r="DS7" s="81" t="s">
        <v>48</v>
      </c>
      <c r="DT7" s="82">
        <v>133</v>
      </c>
      <c r="DU7" s="82">
        <v>134</v>
      </c>
      <c r="DV7" s="18">
        <v>21</v>
      </c>
      <c r="DW7" s="18">
        <v>21</v>
      </c>
      <c r="DX7" s="120">
        <v>36</v>
      </c>
      <c r="DY7" s="120">
        <v>37</v>
      </c>
      <c r="DZ7" s="18">
        <v>11</v>
      </c>
      <c r="EA7" s="18">
        <v>11</v>
      </c>
      <c r="EB7" s="120">
        <v>52</v>
      </c>
      <c r="EC7" s="17">
        <v>69</v>
      </c>
      <c r="ED7" s="18">
        <v>8</v>
      </c>
      <c r="EE7" s="39">
        <v>5</v>
      </c>
      <c r="EG7" s="679"/>
      <c r="EH7" s="81" t="s">
        <v>48</v>
      </c>
      <c r="EI7" s="20">
        <v>198</v>
      </c>
      <c r="EJ7" s="20">
        <v>200</v>
      </c>
      <c r="EK7" s="83">
        <v>49</v>
      </c>
      <c r="EL7" s="83">
        <v>56</v>
      </c>
      <c r="EM7" s="17">
        <v>37</v>
      </c>
      <c r="EN7" s="17">
        <v>40</v>
      </c>
      <c r="EO7" s="18">
        <v>2</v>
      </c>
      <c r="EP7" s="18">
        <v>6</v>
      </c>
      <c r="EQ7" s="18">
        <v>6</v>
      </c>
      <c r="ER7" s="18">
        <v>1</v>
      </c>
      <c r="ES7" s="18">
        <v>3</v>
      </c>
      <c r="ET7" s="18">
        <v>0</v>
      </c>
      <c r="EV7" s="679"/>
      <c r="EW7" s="81" t="s">
        <v>48</v>
      </c>
      <c r="EX7" s="36">
        <v>182</v>
      </c>
      <c r="EY7" s="37">
        <v>175</v>
      </c>
      <c r="EZ7" s="120">
        <v>28</v>
      </c>
      <c r="FA7" s="17">
        <v>32</v>
      </c>
      <c r="FB7" s="17">
        <v>40</v>
      </c>
      <c r="FC7" s="17">
        <v>41</v>
      </c>
      <c r="FD7" s="83">
        <v>44</v>
      </c>
      <c r="FE7" s="17">
        <v>43</v>
      </c>
      <c r="FF7" s="83">
        <v>46</v>
      </c>
      <c r="FG7" s="17">
        <v>42</v>
      </c>
      <c r="FH7" s="18">
        <v>2</v>
      </c>
      <c r="FI7" s="39">
        <v>1</v>
      </c>
      <c r="FK7" s="679"/>
      <c r="FL7" s="81" t="s">
        <v>48</v>
      </c>
      <c r="FM7" s="36">
        <v>180</v>
      </c>
      <c r="FN7" s="36">
        <v>181</v>
      </c>
      <c r="FO7" s="83">
        <v>55</v>
      </c>
      <c r="FP7" s="83">
        <v>54</v>
      </c>
      <c r="FQ7" s="83">
        <v>50</v>
      </c>
      <c r="FR7" s="83">
        <v>48</v>
      </c>
      <c r="FS7" s="18">
        <v>3</v>
      </c>
      <c r="FT7" s="18">
        <v>1</v>
      </c>
      <c r="FU7" s="18">
        <v>2</v>
      </c>
      <c r="FV7" s="18">
        <v>0</v>
      </c>
      <c r="FW7" s="18">
        <v>2</v>
      </c>
      <c r="FX7" s="18">
        <v>5</v>
      </c>
      <c r="FZ7" s="679"/>
      <c r="GA7" s="81" t="s">
        <v>48</v>
      </c>
      <c r="GB7" s="20">
        <v>162</v>
      </c>
      <c r="GC7" s="20">
        <v>162</v>
      </c>
      <c r="GD7" s="18">
        <v>1</v>
      </c>
      <c r="GE7" s="18">
        <v>1</v>
      </c>
      <c r="GF7" s="18">
        <v>1</v>
      </c>
      <c r="GG7" s="18">
        <v>0</v>
      </c>
      <c r="GH7" s="18">
        <v>1</v>
      </c>
      <c r="GI7" s="18">
        <v>4</v>
      </c>
      <c r="GJ7" s="18">
        <v>2</v>
      </c>
      <c r="GK7" s="18">
        <v>0</v>
      </c>
      <c r="GL7" s="18">
        <v>1</v>
      </c>
      <c r="GM7" s="18">
        <v>3</v>
      </c>
    </row>
    <row r="8" spans="2:195" x14ac:dyDescent="0.25">
      <c r="B8" s="679"/>
      <c r="C8" s="122" t="s">
        <v>49</v>
      </c>
      <c r="D8" s="36">
        <v>237</v>
      </c>
      <c r="E8" s="20">
        <v>267</v>
      </c>
      <c r="F8" s="120">
        <v>28</v>
      </c>
      <c r="G8" s="120">
        <v>23</v>
      </c>
      <c r="H8" s="18">
        <v>1</v>
      </c>
      <c r="I8" s="18">
        <v>3</v>
      </c>
      <c r="J8" s="18">
        <v>1</v>
      </c>
      <c r="K8" s="18">
        <v>4</v>
      </c>
      <c r="L8" s="18">
        <v>2</v>
      </c>
      <c r="M8" s="18">
        <v>4</v>
      </c>
      <c r="N8" s="18">
        <v>3</v>
      </c>
      <c r="O8" s="39">
        <v>0</v>
      </c>
      <c r="Q8" s="679"/>
      <c r="R8" s="81" t="s">
        <v>49</v>
      </c>
      <c r="S8" s="20">
        <v>267</v>
      </c>
      <c r="T8" s="20">
        <v>262</v>
      </c>
      <c r="U8" s="18">
        <v>2</v>
      </c>
      <c r="V8" s="18">
        <v>2</v>
      </c>
      <c r="W8" s="17">
        <v>40</v>
      </c>
      <c r="X8" s="17">
        <v>39</v>
      </c>
      <c r="Y8" s="17">
        <v>53</v>
      </c>
      <c r="Z8" s="17">
        <v>53</v>
      </c>
      <c r="AA8" s="120">
        <v>32</v>
      </c>
      <c r="AB8" s="120">
        <v>33</v>
      </c>
      <c r="AC8" s="18">
        <v>1</v>
      </c>
      <c r="AD8" s="18">
        <v>2</v>
      </c>
      <c r="AF8" s="679"/>
      <c r="AG8" s="81" t="s">
        <v>49</v>
      </c>
      <c r="AH8" s="20">
        <v>135</v>
      </c>
      <c r="AI8" s="20">
        <v>138</v>
      </c>
      <c r="AJ8" s="18">
        <v>0</v>
      </c>
      <c r="AK8" s="18">
        <v>2</v>
      </c>
      <c r="AL8" s="18">
        <v>0</v>
      </c>
      <c r="AM8" s="18">
        <v>0</v>
      </c>
      <c r="AN8" s="18">
        <v>1</v>
      </c>
      <c r="AO8" s="18">
        <v>0</v>
      </c>
      <c r="AP8" s="18">
        <v>0</v>
      </c>
      <c r="AQ8" s="18">
        <v>1</v>
      </c>
      <c r="AR8" s="18">
        <v>2</v>
      </c>
      <c r="AS8" s="18">
        <v>0</v>
      </c>
      <c r="AU8" s="679"/>
      <c r="AV8" s="122" t="s">
        <v>49</v>
      </c>
      <c r="AW8" s="20">
        <v>196</v>
      </c>
      <c r="AX8" s="20">
        <v>203</v>
      </c>
      <c r="AY8" s="18">
        <v>1</v>
      </c>
      <c r="AZ8" s="18">
        <v>1</v>
      </c>
      <c r="BA8" s="18">
        <v>3</v>
      </c>
      <c r="BB8" s="18">
        <v>2</v>
      </c>
      <c r="BC8" s="18">
        <v>1</v>
      </c>
      <c r="BD8" s="18">
        <v>3</v>
      </c>
      <c r="BE8" s="18">
        <v>1</v>
      </c>
      <c r="BF8" s="18">
        <v>2</v>
      </c>
      <c r="BG8" s="18">
        <v>1</v>
      </c>
      <c r="BH8" s="39">
        <v>4</v>
      </c>
      <c r="BJ8" s="679"/>
      <c r="BK8" s="81" t="s">
        <v>49</v>
      </c>
      <c r="BL8" s="20">
        <v>186</v>
      </c>
      <c r="BM8" s="20">
        <v>186</v>
      </c>
      <c r="BN8" s="18">
        <v>4</v>
      </c>
      <c r="BO8" s="18">
        <v>2</v>
      </c>
      <c r="BP8" s="18">
        <v>2</v>
      </c>
      <c r="BQ8" s="18">
        <v>2</v>
      </c>
      <c r="BR8" s="18">
        <v>2</v>
      </c>
      <c r="BS8" s="18">
        <v>1</v>
      </c>
      <c r="BT8" s="18">
        <v>3</v>
      </c>
      <c r="BU8" s="18">
        <v>3</v>
      </c>
      <c r="BV8" s="18">
        <v>2</v>
      </c>
      <c r="BW8" s="39">
        <v>4</v>
      </c>
      <c r="BY8" s="679"/>
      <c r="BZ8" s="122" t="s">
        <v>49</v>
      </c>
      <c r="CA8" s="20">
        <v>286</v>
      </c>
      <c r="CB8" s="20">
        <v>272</v>
      </c>
      <c r="CC8" s="18">
        <v>4</v>
      </c>
      <c r="CD8" s="18">
        <v>7</v>
      </c>
      <c r="CE8" s="18">
        <v>6</v>
      </c>
      <c r="CF8" s="18">
        <v>3</v>
      </c>
      <c r="CG8" s="18">
        <v>6</v>
      </c>
      <c r="CH8" s="18">
        <v>4</v>
      </c>
      <c r="CI8" s="18">
        <v>5</v>
      </c>
      <c r="CJ8" s="18">
        <v>3</v>
      </c>
      <c r="CK8" s="18">
        <v>2</v>
      </c>
      <c r="CL8" s="39">
        <v>6</v>
      </c>
      <c r="CN8" s="679"/>
      <c r="CO8" s="122" t="s">
        <v>49</v>
      </c>
      <c r="CP8" s="20">
        <v>202</v>
      </c>
      <c r="CQ8" s="20">
        <v>204</v>
      </c>
      <c r="CR8" s="18">
        <v>3</v>
      </c>
      <c r="CS8" s="18">
        <v>1</v>
      </c>
      <c r="CT8" s="120">
        <v>19</v>
      </c>
      <c r="CU8" s="120">
        <v>17</v>
      </c>
      <c r="CV8" s="18">
        <v>2</v>
      </c>
      <c r="CW8" s="18">
        <v>1</v>
      </c>
      <c r="CX8" s="18">
        <v>1</v>
      </c>
      <c r="CY8" s="18">
        <v>4</v>
      </c>
      <c r="CZ8" s="18">
        <v>2</v>
      </c>
      <c r="DA8" s="39">
        <v>2</v>
      </c>
      <c r="DC8" s="679"/>
      <c r="DD8" s="122" t="s">
        <v>49</v>
      </c>
      <c r="DE8" s="20">
        <v>277</v>
      </c>
      <c r="DF8" s="20">
        <v>266</v>
      </c>
      <c r="DG8" s="18">
        <v>3</v>
      </c>
      <c r="DH8" s="18">
        <v>1</v>
      </c>
      <c r="DI8" s="18">
        <v>4</v>
      </c>
      <c r="DJ8" s="18">
        <v>3</v>
      </c>
      <c r="DK8" s="18">
        <v>2</v>
      </c>
      <c r="DL8" s="18">
        <v>5</v>
      </c>
      <c r="DM8" s="18">
        <v>2</v>
      </c>
      <c r="DN8" s="18">
        <v>3</v>
      </c>
      <c r="DO8" s="18">
        <v>4</v>
      </c>
      <c r="DP8" s="39">
        <v>0</v>
      </c>
      <c r="DR8" s="679"/>
      <c r="DS8" s="81" t="s">
        <v>49</v>
      </c>
      <c r="DT8" s="20">
        <v>374</v>
      </c>
      <c r="DU8" s="20">
        <v>377</v>
      </c>
      <c r="DV8" s="18">
        <v>17</v>
      </c>
      <c r="DW8" s="18">
        <v>21</v>
      </c>
      <c r="DX8" s="18">
        <v>3</v>
      </c>
      <c r="DY8" s="18">
        <v>2</v>
      </c>
      <c r="DZ8" s="18">
        <v>1</v>
      </c>
      <c r="EA8" s="18">
        <v>2</v>
      </c>
      <c r="EB8" s="18">
        <v>3</v>
      </c>
      <c r="EC8" s="18">
        <v>1</v>
      </c>
      <c r="ED8" s="18">
        <v>2</v>
      </c>
      <c r="EE8" s="39">
        <v>4</v>
      </c>
      <c r="EG8" s="679"/>
      <c r="EH8" s="81" t="s">
        <v>49</v>
      </c>
      <c r="EI8" s="20">
        <v>196</v>
      </c>
      <c r="EJ8" s="20">
        <v>194</v>
      </c>
      <c r="EK8" s="18">
        <v>2</v>
      </c>
      <c r="EL8" s="18">
        <v>2</v>
      </c>
      <c r="EM8" s="18">
        <v>5</v>
      </c>
      <c r="EN8" s="18">
        <v>0</v>
      </c>
      <c r="EO8" s="18">
        <v>5</v>
      </c>
      <c r="EP8" s="18">
        <v>3</v>
      </c>
      <c r="EQ8" s="18">
        <v>1</v>
      </c>
      <c r="ER8" s="18">
        <v>4</v>
      </c>
      <c r="ES8" s="18">
        <v>2</v>
      </c>
      <c r="ET8" s="18">
        <v>7</v>
      </c>
      <c r="EV8" s="679"/>
      <c r="EW8" s="81" t="s">
        <v>49</v>
      </c>
      <c r="EX8" s="20">
        <v>205</v>
      </c>
      <c r="EY8" s="20">
        <v>192</v>
      </c>
      <c r="EZ8" s="18">
        <v>3</v>
      </c>
      <c r="FA8" s="18">
        <v>3</v>
      </c>
      <c r="FB8" s="18">
        <v>1</v>
      </c>
      <c r="FC8" s="18">
        <v>1</v>
      </c>
      <c r="FD8" s="18">
        <v>3</v>
      </c>
      <c r="FE8" s="18">
        <v>2</v>
      </c>
      <c r="FF8" s="18">
        <v>2</v>
      </c>
      <c r="FG8" s="18">
        <v>2</v>
      </c>
      <c r="FH8" s="18">
        <v>2</v>
      </c>
      <c r="FI8" s="39">
        <v>3</v>
      </c>
      <c r="FK8" s="679"/>
      <c r="FL8" s="81" t="s">
        <v>49</v>
      </c>
      <c r="FM8" s="36">
        <v>182</v>
      </c>
      <c r="FN8" s="20">
        <v>199</v>
      </c>
      <c r="FO8" s="18">
        <v>0</v>
      </c>
      <c r="FP8" s="18">
        <v>2</v>
      </c>
      <c r="FQ8" s="18">
        <v>0</v>
      </c>
      <c r="FR8" s="18">
        <v>3</v>
      </c>
      <c r="FS8" s="18">
        <v>3</v>
      </c>
      <c r="FT8" s="18">
        <v>2</v>
      </c>
      <c r="FU8" s="18">
        <v>0</v>
      </c>
      <c r="FV8" s="18">
        <v>0</v>
      </c>
      <c r="FW8" s="18">
        <v>2</v>
      </c>
      <c r="FX8" s="18">
        <v>2</v>
      </c>
      <c r="FZ8" s="679"/>
      <c r="GA8" s="81" t="s">
        <v>49</v>
      </c>
      <c r="GB8" s="20">
        <v>165</v>
      </c>
      <c r="GC8" s="20">
        <v>158</v>
      </c>
      <c r="GD8" s="18">
        <v>2</v>
      </c>
      <c r="GE8" s="18">
        <v>2</v>
      </c>
      <c r="GF8" s="18">
        <v>1</v>
      </c>
      <c r="GG8" s="18">
        <v>3</v>
      </c>
      <c r="GH8" s="18">
        <v>1</v>
      </c>
      <c r="GI8" s="18">
        <v>1</v>
      </c>
      <c r="GJ8" s="18">
        <v>2</v>
      </c>
      <c r="GK8" s="18">
        <v>2</v>
      </c>
      <c r="GL8" s="18">
        <v>1</v>
      </c>
      <c r="GM8" s="18">
        <v>2</v>
      </c>
    </row>
    <row r="9" spans="2:195" x14ac:dyDescent="0.25">
      <c r="B9" s="679"/>
      <c r="C9" s="122" t="s">
        <v>50</v>
      </c>
      <c r="D9" s="18">
        <v>3</v>
      </c>
      <c r="E9" s="18">
        <v>2</v>
      </c>
      <c r="F9" s="18">
        <v>3</v>
      </c>
      <c r="G9" s="18">
        <v>5</v>
      </c>
      <c r="H9" s="18">
        <v>2</v>
      </c>
      <c r="I9" s="18">
        <v>2</v>
      </c>
      <c r="J9" s="18">
        <v>1</v>
      </c>
      <c r="K9" s="18">
        <v>3</v>
      </c>
      <c r="L9" s="18">
        <v>5</v>
      </c>
      <c r="M9" s="18">
        <v>2</v>
      </c>
      <c r="N9" s="18">
        <v>3</v>
      </c>
      <c r="O9" s="39">
        <v>1</v>
      </c>
      <c r="Q9" s="679"/>
      <c r="R9" s="81" t="s">
        <v>50</v>
      </c>
      <c r="S9" s="18">
        <v>1</v>
      </c>
      <c r="T9" s="18">
        <v>0</v>
      </c>
      <c r="U9" s="18">
        <v>0</v>
      </c>
      <c r="V9" s="18">
        <v>1</v>
      </c>
      <c r="W9" s="18">
        <v>3</v>
      </c>
      <c r="X9" s="18">
        <v>0</v>
      </c>
      <c r="Y9" s="18">
        <v>2</v>
      </c>
      <c r="Z9" s="18">
        <v>0</v>
      </c>
      <c r="AA9" s="18">
        <v>1</v>
      </c>
      <c r="AB9" s="18">
        <v>2</v>
      </c>
      <c r="AC9" s="18">
        <v>1</v>
      </c>
      <c r="AD9" s="18">
        <v>1</v>
      </c>
      <c r="AF9" s="679"/>
      <c r="AG9" s="81" t="s">
        <v>50</v>
      </c>
      <c r="AH9" s="18">
        <v>1</v>
      </c>
      <c r="AI9" s="18">
        <v>4</v>
      </c>
      <c r="AJ9" s="18">
        <v>0</v>
      </c>
      <c r="AK9" s="18">
        <v>3</v>
      </c>
      <c r="AL9" s="18">
        <v>2</v>
      </c>
      <c r="AM9" s="18">
        <v>2</v>
      </c>
      <c r="AN9" s="18">
        <v>0</v>
      </c>
      <c r="AO9" s="18">
        <v>2</v>
      </c>
      <c r="AP9" s="18">
        <v>1</v>
      </c>
      <c r="AQ9" s="18">
        <v>0</v>
      </c>
      <c r="AR9" s="18">
        <v>2</v>
      </c>
      <c r="AS9" s="18">
        <v>2</v>
      </c>
      <c r="AU9" s="679"/>
      <c r="AV9" s="122" t="s">
        <v>50</v>
      </c>
      <c r="AW9" s="18">
        <v>1</v>
      </c>
      <c r="AX9" s="18">
        <v>2</v>
      </c>
      <c r="AY9" s="18">
        <v>4</v>
      </c>
      <c r="AZ9" s="18">
        <v>2</v>
      </c>
      <c r="BA9" s="18">
        <v>1</v>
      </c>
      <c r="BB9" s="18">
        <v>1</v>
      </c>
      <c r="BC9" s="18">
        <v>2</v>
      </c>
      <c r="BD9" s="18">
        <v>3</v>
      </c>
      <c r="BE9" s="18">
        <v>3</v>
      </c>
      <c r="BF9" s="18">
        <v>2</v>
      </c>
      <c r="BG9" s="18">
        <v>1</v>
      </c>
      <c r="BH9" s="39">
        <v>0</v>
      </c>
      <c r="BJ9" s="679"/>
      <c r="BK9" s="81" t="s">
        <v>50</v>
      </c>
      <c r="BL9" s="18">
        <v>4</v>
      </c>
      <c r="BM9" s="18">
        <v>4</v>
      </c>
      <c r="BN9" s="18">
        <v>4</v>
      </c>
      <c r="BO9" s="18">
        <v>3</v>
      </c>
      <c r="BP9" s="18">
        <v>3</v>
      </c>
      <c r="BQ9" s="18">
        <v>6</v>
      </c>
      <c r="BR9" s="18">
        <v>2</v>
      </c>
      <c r="BS9" s="18">
        <v>2</v>
      </c>
      <c r="BT9" s="18">
        <v>3</v>
      </c>
      <c r="BU9" s="18">
        <v>2</v>
      </c>
      <c r="BV9" s="18">
        <v>3</v>
      </c>
      <c r="BW9" s="39">
        <v>4</v>
      </c>
      <c r="BY9" s="679"/>
      <c r="BZ9" s="122" t="s">
        <v>50</v>
      </c>
      <c r="CA9" s="18">
        <v>5</v>
      </c>
      <c r="CB9" s="18">
        <v>7</v>
      </c>
      <c r="CC9" s="18">
        <v>4</v>
      </c>
      <c r="CD9" s="18">
        <v>8</v>
      </c>
      <c r="CE9" s="18">
        <v>5</v>
      </c>
      <c r="CF9" s="18">
        <v>7</v>
      </c>
      <c r="CG9" s="18">
        <v>3</v>
      </c>
      <c r="CH9" s="18">
        <v>4</v>
      </c>
      <c r="CI9" s="18">
        <v>5</v>
      </c>
      <c r="CJ9" s="18">
        <v>3</v>
      </c>
      <c r="CK9" s="18">
        <v>5</v>
      </c>
      <c r="CL9" s="39">
        <v>4</v>
      </c>
      <c r="CN9" s="679"/>
      <c r="CO9" s="122" t="s">
        <v>50</v>
      </c>
      <c r="CP9" s="18">
        <v>2</v>
      </c>
      <c r="CQ9" s="18">
        <v>4</v>
      </c>
      <c r="CR9" s="18">
        <v>2</v>
      </c>
      <c r="CS9" s="18">
        <v>1</v>
      </c>
      <c r="CT9" s="18">
        <v>2</v>
      </c>
      <c r="CU9" s="18">
        <v>2</v>
      </c>
      <c r="CV9" s="18">
        <v>3</v>
      </c>
      <c r="CW9" s="18">
        <v>2</v>
      </c>
      <c r="CX9" s="18">
        <v>2</v>
      </c>
      <c r="CY9" s="18">
        <v>2</v>
      </c>
      <c r="CZ9" s="18">
        <v>2</v>
      </c>
      <c r="DA9" s="39">
        <v>2</v>
      </c>
      <c r="DC9" s="679"/>
      <c r="DD9" s="122" t="s">
        <v>50</v>
      </c>
      <c r="DE9" s="18">
        <v>3</v>
      </c>
      <c r="DF9" s="18">
        <v>1</v>
      </c>
      <c r="DG9" s="18">
        <v>3</v>
      </c>
      <c r="DH9" s="18">
        <v>5</v>
      </c>
      <c r="DI9" s="18">
        <v>1</v>
      </c>
      <c r="DJ9" s="18">
        <v>3</v>
      </c>
      <c r="DK9" s="18">
        <v>2</v>
      </c>
      <c r="DL9" s="18">
        <v>1</v>
      </c>
      <c r="DM9" s="18">
        <v>2</v>
      </c>
      <c r="DN9" s="18">
        <v>2</v>
      </c>
      <c r="DO9" s="18">
        <v>2</v>
      </c>
      <c r="DP9" s="39">
        <v>3</v>
      </c>
      <c r="DR9" s="679"/>
      <c r="DS9" s="81" t="s">
        <v>50</v>
      </c>
      <c r="DT9" s="18">
        <v>3</v>
      </c>
      <c r="DU9" s="18">
        <v>0</v>
      </c>
      <c r="DV9" s="18">
        <v>3</v>
      </c>
      <c r="DW9" s="18">
        <v>1</v>
      </c>
      <c r="DX9" s="18">
        <v>0</v>
      </c>
      <c r="DY9" s="18">
        <v>4</v>
      </c>
      <c r="DZ9" s="18">
        <v>1</v>
      </c>
      <c r="EA9" s="18">
        <v>2</v>
      </c>
      <c r="EB9" s="18">
        <v>2</v>
      </c>
      <c r="EC9" s="18">
        <v>2</v>
      </c>
      <c r="ED9" s="18">
        <v>1</v>
      </c>
      <c r="EE9" s="39">
        <v>1</v>
      </c>
      <c r="EG9" s="679"/>
      <c r="EH9" s="81" t="s">
        <v>50</v>
      </c>
      <c r="EI9" s="18">
        <v>0</v>
      </c>
      <c r="EJ9" s="18">
        <v>3</v>
      </c>
      <c r="EK9" s="18">
        <v>3</v>
      </c>
      <c r="EL9" s="18">
        <v>3</v>
      </c>
      <c r="EM9" s="18">
        <v>4</v>
      </c>
      <c r="EN9" s="18">
        <v>2</v>
      </c>
      <c r="EO9" s="18">
        <v>3</v>
      </c>
      <c r="EP9" s="18">
        <v>0</v>
      </c>
      <c r="EQ9" s="18">
        <v>0</v>
      </c>
      <c r="ER9" s="18">
        <v>5</v>
      </c>
      <c r="ES9" s="18">
        <v>2</v>
      </c>
      <c r="ET9" s="18">
        <v>3</v>
      </c>
      <c r="EV9" s="679"/>
      <c r="EW9" s="81" t="s">
        <v>50</v>
      </c>
      <c r="EX9" s="18">
        <v>3</v>
      </c>
      <c r="EY9" s="18">
        <v>3</v>
      </c>
      <c r="EZ9" s="18">
        <v>0</v>
      </c>
      <c r="FA9" s="18">
        <v>3</v>
      </c>
      <c r="FB9" s="18">
        <v>2</v>
      </c>
      <c r="FC9" s="18">
        <v>2</v>
      </c>
      <c r="FD9" s="18">
        <v>2</v>
      </c>
      <c r="FE9" s="18">
        <v>0</v>
      </c>
      <c r="FF9" s="18">
        <v>1</v>
      </c>
      <c r="FG9" s="18">
        <v>2</v>
      </c>
      <c r="FH9" s="18">
        <v>1</v>
      </c>
      <c r="FI9" s="39">
        <v>3</v>
      </c>
      <c r="FK9" s="679"/>
      <c r="FL9" s="81" t="s">
        <v>50</v>
      </c>
      <c r="FM9" s="18">
        <v>7</v>
      </c>
      <c r="FN9" s="18">
        <v>0</v>
      </c>
      <c r="FO9" s="18">
        <v>4</v>
      </c>
      <c r="FP9" s="18">
        <v>3</v>
      </c>
      <c r="FQ9" s="18">
        <v>0</v>
      </c>
      <c r="FR9" s="18">
        <v>4</v>
      </c>
      <c r="FS9" s="18">
        <v>3</v>
      </c>
      <c r="FT9" s="18">
        <v>2</v>
      </c>
      <c r="FU9" s="18">
        <v>0</v>
      </c>
      <c r="FV9" s="18">
        <v>3</v>
      </c>
      <c r="FW9" s="18">
        <v>0</v>
      </c>
      <c r="FX9" s="18">
        <v>2</v>
      </c>
      <c r="FZ9" s="679"/>
      <c r="GA9" s="81" t="s">
        <v>50</v>
      </c>
      <c r="GB9" s="18">
        <v>2</v>
      </c>
      <c r="GC9" s="18">
        <v>3</v>
      </c>
      <c r="GD9" s="18">
        <v>2</v>
      </c>
      <c r="GE9" s="18">
        <v>0</v>
      </c>
      <c r="GF9" s="18">
        <v>0</v>
      </c>
      <c r="GG9" s="18">
        <v>2</v>
      </c>
      <c r="GH9" s="18">
        <v>1</v>
      </c>
      <c r="GI9" s="18">
        <v>1</v>
      </c>
      <c r="GJ9" s="18">
        <v>0</v>
      </c>
      <c r="GK9" s="18">
        <v>3</v>
      </c>
      <c r="GL9" s="18">
        <v>1</v>
      </c>
      <c r="GM9" s="18">
        <v>1</v>
      </c>
    </row>
    <row r="10" spans="2:195" ht="15.75" thickBot="1" x14ac:dyDescent="0.3">
      <c r="B10" s="673"/>
      <c r="C10" s="123" t="s">
        <v>51</v>
      </c>
      <c r="D10" s="40">
        <v>1</v>
      </c>
      <c r="E10" s="40">
        <v>2</v>
      </c>
      <c r="F10" s="40">
        <v>2</v>
      </c>
      <c r="G10" s="40">
        <v>2</v>
      </c>
      <c r="H10" s="40">
        <v>2</v>
      </c>
      <c r="I10" s="40">
        <v>1</v>
      </c>
      <c r="J10" s="40">
        <v>0</v>
      </c>
      <c r="K10" s="40">
        <v>0</v>
      </c>
      <c r="L10" s="40">
        <v>2</v>
      </c>
      <c r="M10" s="40">
        <v>3</v>
      </c>
      <c r="N10" s="40">
        <v>1</v>
      </c>
      <c r="O10" s="41">
        <v>0</v>
      </c>
      <c r="Q10" s="673"/>
      <c r="R10" s="81" t="s">
        <v>51</v>
      </c>
      <c r="S10" s="18">
        <v>2</v>
      </c>
      <c r="T10" s="18">
        <v>2</v>
      </c>
      <c r="U10" s="18">
        <v>3</v>
      </c>
      <c r="V10" s="18">
        <v>0</v>
      </c>
      <c r="W10" s="18">
        <v>1</v>
      </c>
      <c r="X10" s="18">
        <v>2</v>
      </c>
      <c r="Y10" s="18">
        <v>1</v>
      </c>
      <c r="Z10" s="18">
        <v>1</v>
      </c>
      <c r="AA10" s="18">
        <v>2</v>
      </c>
      <c r="AB10" s="18">
        <v>1</v>
      </c>
      <c r="AC10" s="18">
        <v>0</v>
      </c>
      <c r="AD10" s="18">
        <v>1</v>
      </c>
      <c r="AF10" s="679"/>
      <c r="AG10" s="246" t="s">
        <v>51</v>
      </c>
      <c r="AH10" s="247">
        <v>0</v>
      </c>
      <c r="AI10" s="247">
        <v>0</v>
      </c>
      <c r="AJ10" s="247">
        <v>2</v>
      </c>
      <c r="AK10" s="247">
        <v>1</v>
      </c>
      <c r="AL10" s="247">
        <v>2</v>
      </c>
      <c r="AM10" s="247">
        <v>0</v>
      </c>
      <c r="AN10" s="247">
        <v>1</v>
      </c>
      <c r="AO10" s="247">
        <v>1</v>
      </c>
      <c r="AP10" s="247">
        <v>2</v>
      </c>
      <c r="AQ10" s="247">
        <v>1</v>
      </c>
      <c r="AR10" s="247">
        <v>2</v>
      </c>
      <c r="AS10" s="247">
        <v>4</v>
      </c>
      <c r="AU10" s="679"/>
      <c r="AV10" s="123" t="s">
        <v>51</v>
      </c>
      <c r="AW10" s="40">
        <v>2</v>
      </c>
      <c r="AX10" s="40">
        <v>3</v>
      </c>
      <c r="AY10" s="40">
        <v>2</v>
      </c>
      <c r="AZ10" s="40">
        <v>3</v>
      </c>
      <c r="BA10" s="40">
        <v>1</v>
      </c>
      <c r="BB10" s="40">
        <v>2</v>
      </c>
      <c r="BC10" s="40">
        <v>1</v>
      </c>
      <c r="BD10" s="40">
        <v>2</v>
      </c>
      <c r="BE10" s="40">
        <v>1</v>
      </c>
      <c r="BF10" s="40">
        <v>3</v>
      </c>
      <c r="BG10" s="40">
        <v>1</v>
      </c>
      <c r="BH10" s="41">
        <v>1</v>
      </c>
      <c r="BJ10" s="673"/>
      <c r="BK10" s="201" t="s">
        <v>51</v>
      </c>
      <c r="BL10" s="40">
        <v>3</v>
      </c>
      <c r="BM10" s="40">
        <v>6</v>
      </c>
      <c r="BN10" s="40">
        <v>2</v>
      </c>
      <c r="BO10" s="40">
        <v>3</v>
      </c>
      <c r="BP10" s="40">
        <v>2</v>
      </c>
      <c r="BQ10" s="40">
        <v>3</v>
      </c>
      <c r="BR10" s="40">
        <v>1</v>
      </c>
      <c r="BS10" s="40">
        <v>3</v>
      </c>
      <c r="BT10" s="40">
        <v>3</v>
      </c>
      <c r="BU10" s="40">
        <v>4</v>
      </c>
      <c r="BV10" s="40">
        <v>2</v>
      </c>
      <c r="BW10" s="41">
        <v>0</v>
      </c>
      <c r="BY10" s="679"/>
      <c r="BZ10" s="123" t="s">
        <v>51</v>
      </c>
      <c r="CA10" s="40">
        <v>3</v>
      </c>
      <c r="CB10" s="40">
        <v>5</v>
      </c>
      <c r="CC10" s="40">
        <v>3</v>
      </c>
      <c r="CD10" s="40">
        <v>5</v>
      </c>
      <c r="CE10" s="40">
        <v>1</v>
      </c>
      <c r="CF10" s="40">
        <v>4</v>
      </c>
      <c r="CG10" s="40">
        <v>4</v>
      </c>
      <c r="CH10" s="40">
        <v>2</v>
      </c>
      <c r="CI10" s="40">
        <v>0</v>
      </c>
      <c r="CJ10" s="40">
        <v>5</v>
      </c>
      <c r="CK10" s="40">
        <v>3</v>
      </c>
      <c r="CL10" s="41">
        <v>4</v>
      </c>
      <c r="CN10" s="679"/>
      <c r="CO10" s="123" t="s">
        <v>51</v>
      </c>
      <c r="CP10" s="40">
        <v>0</v>
      </c>
      <c r="CQ10" s="40">
        <v>0</v>
      </c>
      <c r="CR10" s="40">
        <v>2</v>
      </c>
      <c r="CS10" s="40">
        <v>2</v>
      </c>
      <c r="CT10" s="40">
        <v>2</v>
      </c>
      <c r="CU10" s="40">
        <v>1</v>
      </c>
      <c r="CV10" s="40">
        <v>1</v>
      </c>
      <c r="CW10" s="40">
        <v>1</v>
      </c>
      <c r="CX10" s="40">
        <v>3</v>
      </c>
      <c r="CY10" s="40">
        <v>2</v>
      </c>
      <c r="CZ10" s="40">
        <v>2</v>
      </c>
      <c r="DA10" s="41">
        <v>1</v>
      </c>
      <c r="DC10" s="679"/>
      <c r="DD10" s="123" t="s">
        <v>51</v>
      </c>
      <c r="DE10" s="40">
        <v>3</v>
      </c>
      <c r="DF10" s="40">
        <v>3</v>
      </c>
      <c r="DG10" s="40">
        <v>3</v>
      </c>
      <c r="DH10" s="40">
        <v>3</v>
      </c>
      <c r="DI10" s="40">
        <v>3</v>
      </c>
      <c r="DJ10" s="40">
        <v>3</v>
      </c>
      <c r="DK10" s="40">
        <v>1</v>
      </c>
      <c r="DL10" s="40">
        <v>2</v>
      </c>
      <c r="DM10" s="40">
        <v>2</v>
      </c>
      <c r="DN10" s="40">
        <v>3</v>
      </c>
      <c r="DO10" s="40">
        <v>1</v>
      </c>
      <c r="DP10" s="41">
        <v>3</v>
      </c>
      <c r="DR10" s="673"/>
      <c r="DS10" s="201" t="s">
        <v>51</v>
      </c>
      <c r="DT10" s="40">
        <v>0</v>
      </c>
      <c r="DU10" s="40">
        <v>4</v>
      </c>
      <c r="DV10" s="40">
        <v>2</v>
      </c>
      <c r="DW10" s="40">
        <v>3</v>
      </c>
      <c r="DX10" s="40">
        <v>2</v>
      </c>
      <c r="DY10" s="40">
        <v>3</v>
      </c>
      <c r="DZ10" s="40">
        <v>2</v>
      </c>
      <c r="EA10" s="40">
        <v>0</v>
      </c>
      <c r="EB10" s="40">
        <v>3</v>
      </c>
      <c r="EC10" s="40">
        <v>1</v>
      </c>
      <c r="ED10" s="40">
        <v>2</v>
      </c>
      <c r="EE10" s="41">
        <v>2</v>
      </c>
      <c r="EG10" s="673"/>
      <c r="EH10" s="81" t="s">
        <v>51</v>
      </c>
      <c r="EI10" s="18">
        <v>5</v>
      </c>
      <c r="EJ10" s="18">
        <v>0</v>
      </c>
      <c r="EK10" s="18">
        <v>6</v>
      </c>
      <c r="EL10" s="18">
        <v>4</v>
      </c>
      <c r="EM10" s="18">
        <v>0</v>
      </c>
      <c r="EN10" s="18">
        <v>1</v>
      </c>
      <c r="EO10" s="18">
        <v>0</v>
      </c>
      <c r="EP10" s="18">
        <v>5</v>
      </c>
      <c r="EQ10" s="18">
        <v>2</v>
      </c>
      <c r="ER10" s="18">
        <v>2</v>
      </c>
      <c r="ES10" s="18">
        <v>2</v>
      </c>
      <c r="ET10" s="18">
        <v>3</v>
      </c>
      <c r="EV10" s="673"/>
      <c r="EW10" s="201" t="s">
        <v>51</v>
      </c>
      <c r="EX10" s="40">
        <v>1</v>
      </c>
      <c r="EY10" s="40">
        <v>3</v>
      </c>
      <c r="EZ10" s="40">
        <v>3</v>
      </c>
      <c r="FA10" s="40">
        <v>0</v>
      </c>
      <c r="FB10" s="40">
        <v>2</v>
      </c>
      <c r="FC10" s="40">
        <v>1</v>
      </c>
      <c r="FD10" s="40">
        <v>2</v>
      </c>
      <c r="FE10" s="40">
        <v>3</v>
      </c>
      <c r="FF10" s="40">
        <v>2</v>
      </c>
      <c r="FG10" s="40">
        <v>2</v>
      </c>
      <c r="FH10" s="40">
        <v>4</v>
      </c>
      <c r="FI10" s="41">
        <v>3</v>
      </c>
      <c r="FK10" s="673"/>
      <c r="FL10" s="81" t="s">
        <v>51</v>
      </c>
      <c r="FM10" s="18">
        <v>0</v>
      </c>
      <c r="FN10" s="18">
        <v>1</v>
      </c>
      <c r="FO10" s="18">
        <v>0</v>
      </c>
      <c r="FP10" s="18">
        <v>0</v>
      </c>
      <c r="FQ10" s="18">
        <v>1</v>
      </c>
      <c r="FR10" s="18">
        <v>1</v>
      </c>
      <c r="FS10" s="18">
        <v>1</v>
      </c>
      <c r="FT10" s="18">
        <v>2</v>
      </c>
      <c r="FU10" s="18">
        <v>3</v>
      </c>
      <c r="FV10" s="18">
        <v>2</v>
      </c>
      <c r="FW10" s="18">
        <v>0</v>
      </c>
      <c r="FX10" s="18">
        <v>0</v>
      </c>
      <c r="FZ10" s="673"/>
      <c r="GA10" s="81" t="s">
        <v>51</v>
      </c>
      <c r="GB10" s="18">
        <v>1</v>
      </c>
      <c r="GC10" s="18">
        <v>1</v>
      </c>
      <c r="GD10" s="18">
        <v>2</v>
      </c>
      <c r="GE10" s="18">
        <v>2</v>
      </c>
      <c r="GF10" s="18">
        <v>1</v>
      </c>
      <c r="GG10" s="18">
        <v>3</v>
      </c>
      <c r="GH10" s="18">
        <v>0</v>
      </c>
      <c r="GI10" s="18">
        <v>2</v>
      </c>
      <c r="GJ10" s="18">
        <v>3</v>
      </c>
      <c r="GK10" s="18">
        <v>2</v>
      </c>
      <c r="GL10" s="18">
        <v>1</v>
      </c>
      <c r="GM10" s="18">
        <v>0</v>
      </c>
    </row>
    <row r="11" spans="2:195" ht="15.75" thickBot="1" x14ac:dyDescent="0.3">
      <c r="B11" s="644" t="s">
        <v>115</v>
      </c>
      <c r="C11" s="645"/>
      <c r="D11" s="645"/>
      <c r="E11" s="645"/>
      <c r="F11" s="645"/>
      <c r="G11" s="645"/>
      <c r="H11" s="645"/>
      <c r="I11" s="743">
        <f>AVERAGE(L3:O10,H8:K10,J7:K7,D9:G10)</f>
        <v>2.425925925925926</v>
      </c>
      <c r="J11" s="645"/>
      <c r="K11" s="645"/>
      <c r="L11" s="645"/>
      <c r="M11" s="645"/>
      <c r="N11" s="645"/>
      <c r="O11" s="646"/>
      <c r="Q11" s="644" t="s">
        <v>115</v>
      </c>
      <c r="R11" s="645"/>
      <c r="S11" s="645"/>
      <c r="T11" s="645"/>
      <c r="U11" s="645"/>
      <c r="V11" s="645"/>
      <c r="W11" s="645"/>
      <c r="X11" s="743">
        <f>AVERAGE(S9:AD10,AC3:AD8)</f>
        <v>1.2777777777777777</v>
      </c>
      <c r="Y11" s="645"/>
      <c r="Z11" s="645"/>
      <c r="AA11" s="645"/>
      <c r="AB11" s="645"/>
      <c r="AC11" s="645"/>
      <c r="AD11" s="646"/>
      <c r="AF11" s="644" t="s">
        <v>115</v>
      </c>
      <c r="AG11" s="645"/>
      <c r="AH11" s="645"/>
      <c r="AI11" s="645"/>
      <c r="AJ11" s="645"/>
      <c r="AK11" s="645"/>
      <c r="AL11" s="645"/>
      <c r="AM11" s="645">
        <f>AVERAGE(AH9:AS10,AN3:AS8,AJ8:AM8,AJ6:AK7)</f>
        <v>1.1176470588235294</v>
      </c>
      <c r="AN11" s="645"/>
      <c r="AO11" s="645"/>
      <c r="AP11" s="645"/>
      <c r="AQ11" s="645"/>
      <c r="AR11" s="645"/>
      <c r="AS11" s="646"/>
      <c r="AU11" s="644" t="s">
        <v>115</v>
      </c>
      <c r="AV11" s="645"/>
      <c r="AW11" s="645"/>
      <c r="AX11" s="645"/>
      <c r="AY11" s="645"/>
      <c r="AZ11" s="645"/>
      <c r="BA11" s="645"/>
      <c r="BB11" s="645">
        <f>AVERAGE(AW9:BH10,AY8:BH8,BA5:BB7,BE3:BH7)</f>
        <v>1.65</v>
      </c>
      <c r="BC11" s="645"/>
      <c r="BD11" s="645"/>
      <c r="BE11" s="645"/>
      <c r="BF11" s="645"/>
      <c r="BG11" s="645"/>
      <c r="BH11" s="646"/>
      <c r="BJ11" s="644" t="s">
        <v>115</v>
      </c>
      <c r="BK11" s="645"/>
      <c r="BL11" s="645"/>
      <c r="BM11" s="645"/>
      <c r="BN11" s="645"/>
      <c r="BO11" s="645"/>
      <c r="BP11" s="645"/>
      <c r="BQ11" s="645">
        <f>AVERAGE(BL9:BW10,BR3:BW8,BP8:BQ8,BN7:BO8)</f>
        <v>2.5757575757575757</v>
      </c>
      <c r="BR11" s="645"/>
      <c r="BS11" s="645"/>
      <c r="BT11" s="645"/>
      <c r="BU11" s="645"/>
      <c r="BV11" s="645"/>
      <c r="BW11" s="646"/>
      <c r="BY11" s="644" t="s">
        <v>115</v>
      </c>
      <c r="BZ11" s="645"/>
      <c r="CA11" s="645"/>
      <c r="CB11" s="645"/>
      <c r="CC11" s="645"/>
      <c r="CD11" s="645"/>
      <c r="CE11" s="645"/>
      <c r="CF11" s="645">
        <f>AVERAGE(CA9:CL10,CC8:CL8,CK3:CL7)</f>
        <v>4.0681818181818183</v>
      </c>
      <c r="CG11" s="645"/>
      <c r="CH11" s="645"/>
      <c r="CI11" s="645"/>
      <c r="CJ11" s="645"/>
      <c r="CK11" s="645"/>
      <c r="CL11" s="646"/>
      <c r="CN11" s="644" t="s">
        <v>115</v>
      </c>
      <c r="CO11" s="645"/>
      <c r="CP11" s="645"/>
      <c r="CQ11" s="645"/>
      <c r="CR11" s="645"/>
      <c r="CS11" s="645"/>
      <c r="CT11" s="645"/>
      <c r="CU11" s="645">
        <f>AVERAGE(CP9:DA10,CX3:DA8,CV6:CW8,CR8:CS8)</f>
        <v>1.9107142857142858</v>
      </c>
      <c r="CV11" s="645"/>
      <c r="CW11" s="645"/>
      <c r="CX11" s="645"/>
      <c r="CY11" s="645"/>
      <c r="CZ11" s="645"/>
      <c r="DA11" s="646"/>
      <c r="DC11" s="644" t="s">
        <v>115</v>
      </c>
      <c r="DD11" s="645"/>
      <c r="DE11" s="645"/>
      <c r="DF11" s="645"/>
      <c r="DG11" s="645"/>
      <c r="DH11" s="645"/>
      <c r="DI11" s="645"/>
      <c r="DJ11" s="645">
        <f>AVERAGE(DE9:DP10,DG8:DP8,DO3:DP7)</f>
        <v>2.4772727272727271</v>
      </c>
      <c r="DK11" s="645"/>
      <c r="DL11" s="645"/>
      <c r="DM11" s="645"/>
      <c r="DN11" s="645"/>
      <c r="DO11" s="645"/>
      <c r="DP11" s="646"/>
      <c r="DR11" s="644" t="s">
        <v>115</v>
      </c>
      <c r="DS11" s="645"/>
      <c r="DT11" s="645"/>
      <c r="DU11" s="645"/>
      <c r="DV11" s="645"/>
      <c r="DW11" s="645"/>
      <c r="DX11" s="645"/>
      <c r="DY11" s="645">
        <f>AVERAGE(DT9:EE10,DX8:EE8)</f>
        <v>1.9375</v>
      </c>
      <c r="DZ11" s="645"/>
      <c r="EA11" s="645"/>
      <c r="EB11" s="645"/>
      <c r="EC11" s="645"/>
      <c r="ED11" s="645"/>
      <c r="EE11" s="646"/>
      <c r="EG11" s="644" t="s">
        <v>115</v>
      </c>
      <c r="EH11" s="645"/>
      <c r="EI11" s="645"/>
      <c r="EJ11" s="645"/>
      <c r="EK11" s="645"/>
      <c r="EL11" s="645"/>
      <c r="EM11" s="645"/>
      <c r="EN11" s="645">
        <f>AVERAGE(EI9:ET10,EK8:ET8,AVERAGE(EO3:ET7))</f>
        <v>2.6447619047619049</v>
      </c>
      <c r="EO11" s="645"/>
      <c r="EP11" s="645"/>
      <c r="EQ11" s="645"/>
      <c r="ER11" s="645"/>
      <c r="ES11" s="645"/>
      <c r="ET11" s="646"/>
      <c r="EV11" s="644" t="s">
        <v>115</v>
      </c>
      <c r="EW11" s="645"/>
      <c r="EX11" s="645"/>
      <c r="EY11" s="645"/>
      <c r="EZ11" s="645"/>
      <c r="FA11" s="645"/>
      <c r="FB11" s="645"/>
      <c r="FC11" s="645">
        <f>AVERAGE(EX9:FI10,EZ8:FI8,FH3:FI7)</f>
        <v>2.1590909090909092</v>
      </c>
      <c r="FD11" s="645"/>
      <c r="FE11" s="645"/>
      <c r="FF11" s="645"/>
      <c r="FG11" s="645"/>
      <c r="FH11" s="645"/>
      <c r="FI11" s="646"/>
      <c r="FK11" s="644" t="s">
        <v>115</v>
      </c>
      <c r="FL11" s="645"/>
      <c r="FM11" s="645"/>
      <c r="FN11" s="645"/>
      <c r="FO11" s="645"/>
      <c r="FP11" s="645"/>
      <c r="FQ11" s="645"/>
      <c r="FR11" s="645">
        <f>AVERAGE(FM9:FX10,FO8:FX8,FS3:FX7)</f>
        <v>1.828125</v>
      </c>
      <c r="FS11" s="645"/>
      <c r="FT11" s="645"/>
      <c r="FU11" s="645"/>
      <c r="FV11" s="645"/>
      <c r="FW11" s="645"/>
      <c r="FX11" s="646"/>
      <c r="FZ11" s="644" t="s">
        <v>115</v>
      </c>
      <c r="GA11" s="645"/>
      <c r="GB11" s="645"/>
      <c r="GC11" s="645"/>
      <c r="GD11" s="645"/>
      <c r="GE11" s="645"/>
      <c r="GF11" s="645"/>
      <c r="GG11" s="645">
        <f>AVERAGE(GB9:GM10,GD7:GM8,GF3:GM6)</f>
        <v>1.4342105263157894</v>
      </c>
      <c r="GH11" s="645"/>
      <c r="GI11" s="645"/>
      <c r="GJ11" s="645"/>
      <c r="GK11" s="645"/>
      <c r="GL11" s="645"/>
      <c r="GM11" s="646"/>
    </row>
    <row r="12" spans="2:195" x14ac:dyDescent="0.25">
      <c r="B12" s="707" t="s">
        <v>116</v>
      </c>
      <c r="C12" s="124"/>
      <c r="D12" s="42">
        <v>1</v>
      </c>
      <c r="E12" s="42">
        <v>2</v>
      </c>
      <c r="F12" s="42">
        <v>3</v>
      </c>
      <c r="G12" s="42">
        <v>4</v>
      </c>
      <c r="H12" s="42">
        <v>5</v>
      </c>
      <c r="I12" s="42">
        <v>6</v>
      </c>
      <c r="J12" s="42">
        <v>7</v>
      </c>
      <c r="K12" s="42">
        <v>8</v>
      </c>
      <c r="L12" s="42">
        <v>9</v>
      </c>
      <c r="M12" s="42">
        <v>10</v>
      </c>
      <c r="N12" s="42">
        <v>11</v>
      </c>
      <c r="O12" s="43">
        <v>12</v>
      </c>
      <c r="Q12" s="707" t="s">
        <v>116</v>
      </c>
      <c r="R12" s="124"/>
      <c r="S12" s="42">
        <v>1</v>
      </c>
      <c r="T12" s="42">
        <v>2</v>
      </c>
      <c r="U12" s="42">
        <v>3</v>
      </c>
      <c r="V12" s="42">
        <v>4</v>
      </c>
      <c r="W12" s="42">
        <v>5</v>
      </c>
      <c r="X12" s="42">
        <v>6</v>
      </c>
      <c r="Y12" s="42">
        <v>7</v>
      </c>
      <c r="Z12" s="42">
        <v>8</v>
      </c>
      <c r="AA12" s="42">
        <v>9</v>
      </c>
      <c r="AB12" s="42">
        <v>10</v>
      </c>
      <c r="AC12" s="42">
        <v>11</v>
      </c>
      <c r="AD12" s="43">
        <v>12</v>
      </c>
      <c r="AF12" s="707" t="s">
        <v>116</v>
      </c>
      <c r="AG12" s="124"/>
      <c r="AH12" s="42">
        <v>1</v>
      </c>
      <c r="AI12" s="42">
        <v>2</v>
      </c>
      <c r="AJ12" s="42">
        <v>3</v>
      </c>
      <c r="AK12" s="42">
        <v>4</v>
      </c>
      <c r="AL12" s="42">
        <v>5</v>
      </c>
      <c r="AM12" s="42">
        <v>6</v>
      </c>
      <c r="AN12" s="42">
        <v>7</v>
      </c>
      <c r="AO12" s="42">
        <v>8</v>
      </c>
      <c r="AP12" s="42">
        <v>9</v>
      </c>
      <c r="AQ12" s="42">
        <v>10</v>
      </c>
      <c r="AR12" s="42">
        <v>11</v>
      </c>
      <c r="AS12" s="43">
        <v>12</v>
      </c>
      <c r="AU12" s="707" t="s">
        <v>116</v>
      </c>
      <c r="AV12" s="124"/>
      <c r="AW12" s="42">
        <v>1</v>
      </c>
      <c r="AX12" s="42">
        <v>2</v>
      </c>
      <c r="AY12" s="42">
        <v>3</v>
      </c>
      <c r="AZ12" s="42">
        <v>4</v>
      </c>
      <c r="BA12" s="42">
        <v>5</v>
      </c>
      <c r="BB12" s="42">
        <v>6</v>
      </c>
      <c r="BC12" s="42">
        <v>7</v>
      </c>
      <c r="BD12" s="42">
        <v>8</v>
      </c>
      <c r="BE12" s="42">
        <v>9</v>
      </c>
      <c r="BF12" s="42">
        <v>10</v>
      </c>
      <c r="BG12" s="42">
        <v>11</v>
      </c>
      <c r="BH12" s="43">
        <v>12</v>
      </c>
      <c r="BJ12" s="707" t="s">
        <v>116</v>
      </c>
      <c r="BK12" s="150"/>
      <c r="BL12" s="132">
        <v>1</v>
      </c>
      <c r="BM12" s="132">
        <v>2</v>
      </c>
      <c r="BN12" s="132">
        <v>3</v>
      </c>
      <c r="BO12" s="132">
        <v>4</v>
      </c>
      <c r="BP12" s="132">
        <v>5</v>
      </c>
      <c r="BQ12" s="132">
        <v>6</v>
      </c>
      <c r="BR12" s="132">
        <v>7</v>
      </c>
      <c r="BS12" s="132">
        <v>8</v>
      </c>
      <c r="BT12" s="132">
        <v>9</v>
      </c>
      <c r="BU12" s="132">
        <v>10</v>
      </c>
      <c r="BV12" s="132">
        <v>11</v>
      </c>
      <c r="BW12" s="133">
        <v>12</v>
      </c>
      <c r="BY12" s="707" t="s">
        <v>116</v>
      </c>
      <c r="BZ12" s="150"/>
      <c r="CA12" s="132">
        <v>1</v>
      </c>
      <c r="CB12" s="132">
        <v>2</v>
      </c>
      <c r="CC12" s="132">
        <v>3</v>
      </c>
      <c r="CD12" s="132">
        <v>4</v>
      </c>
      <c r="CE12" s="132">
        <v>5</v>
      </c>
      <c r="CF12" s="132">
        <v>6</v>
      </c>
      <c r="CG12" s="132">
        <v>7</v>
      </c>
      <c r="CH12" s="132">
        <v>8</v>
      </c>
      <c r="CI12" s="132">
        <v>9</v>
      </c>
      <c r="CJ12" s="132">
        <v>10</v>
      </c>
      <c r="CK12" s="132">
        <v>11</v>
      </c>
      <c r="CL12" s="133">
        <v>12</v>
      </c>
      <c r="CN12" s="707" t="s">
        <v>116</v>
      </c>
      <c r="CO12" s="150"/>
      <c r="CP12" s="132">
        <v>1</v>
      </c>
      <c r="CQ12" s="132">
        <v>2</v>
      </c>
      <c r="CR12" s="132">
        <v>3</v>
      </c>
      <c r="CS12" s="132">
        <v>4</v>
      </c>
      <c r="CT12" s="132">
        <v>5</v>
      </c>
      <c r="CU12" s="132">
        <v>6</v>
      </c>
      <c r="CV12" s="132">
        <v>7</v>
      </c>
      <c r="CW12" s="132">
        <v>8</v>
      </c>
      <c r="CX12" s="132">
        <v>9</v>
      </c>
      <c r="CY12" s="132">
        <v>10</v>
      </c>
      <c r="CZ12" s="132">
        <v>11</v>
      </c>
      <c r="DA12" s="133">
        <v>12</v>
      </c>
      <c r="DC12" s="707" t="s">
        <v>116</v>
      </c>
      <c r="DD12" s="150"/>
      <c r="DE12" s="132">
        <v>1</v>
      </c>
      <c r="DF12" s="132">
        <v>2</v>
      </c>
      <c r="DG12" s="132">
        <v>3</v>
      </c>
      <c r="DH12" s="132">
        <v>4</v>
      </c>
      <c r="DI12" s="132">
        <v>5</v>
      </c>
      <c r="DJ12" s="132">
        <v>6</v>
      </c>
      <c r="DK12" s="132">
        <v>7</v>
      </c>
      <c r="DL12" s="132">
        <v>8</v>
      </c>
      <c r="DM12" s="132">
        <v>9</v>
      </c>
      <c r="DN12" s="132">
        <v>10</v>
      </c>
      <c r="DO12" s="132">
        <v>11</v>
      </c>
      <c r="DP12" s="133">
        <v>12</v>
      </c>
      <c r="DR12" s="706" t="s">
        <v>116</v>
      </c>
      <c r="DS12" s="150"/>
      <c r="DT12" s="132">
        <v>1</v>
      </c>
      <c r="DU12" s="132">
        <v>2</v>
      </c>
      <c r="DV12" s="132">
        <v>3</v>
      </c>
      <c r="DW12" s="132">
        <v>4</v>
      </c>
      <c r="DX12" s="132">
        <v>5</v>
      </c>
      <c r="DY12" s="132">
        <v>6</v>
      </c>
      <c r="DZ12" s="132">
        <v>7</v>
      </c>
      <c r="EA12" s="132">
        <v>8</v>
      </c>
      <c r="EB12" s="132">
        <v>9</v>
      </c>
      <c r="EC12" s="132">
        <v>10</v>
      </c>
      <c r="ED12" s="132">
        <v>11</v>
      </c>
      <c r="EE12" s="133">
        <v>12</v>
      </c>
      <c r="EG12" s="706" t="s">
        <v>116</v>
      </c>
      <c r="EH12" s="150"/>
      <c r="EI12" s="132">
        <v>1</v>
      </c>
      <c r="EJ12" s="132">
        <v>2</v>
      </c>
      <c r="EK12" s="132">
        <v>3</v>
      </c>
      <c r="EL12" s="132">
        <v>4</v>
      </c>
      <c r="EM12" s="132">
        <v>5</v>
      </c>
      <c r="EN12" s="132">
        <v>6</v>
      </c>
      <c r="EO12" s="132">
        <v>7</v>
      </c>
      <c r="EP12" s="132">
        <v>8</v>
      </c>
      <c r="EQ12" s="132">
        <v>9</v>
      </c>
      <c r="ER12" s="132">
        <v>10</v>
      </c>
      <c r="ES12" s="132">
        <v>11</v>
      </c>
      <c r="ET12" s="133">
        <v>12</v>
      </c>
      <c r="EV12" s="707" t="s">
        <v>116</v>
      </c>
      <c r="EW12" s="124"/>
      <c r="EX12" s="42">
        <v>1</v>
      </c>
      <c r="EY12" s="42">
        <v>2</v>
      </c>
      <c r="EZ12" s="42">
        <v>3</v>
      </c>
      <c r="FA12" s="42">
        <v>4</v>
      </c>
      <c r="FB12" s="42">
        <v>5</v>
      </c>
      <c r="FC12" s="42">
        <v>6</v>
      </c>
      <c r="FD12" s="42">
        <v>7</v>
      </c>
      <c r="FE12" s="42">
        <v>8</v>
      </c>
      <c r="FF12" s="42">
        <v>9</v>
      </c>
      <c r="FG12" s="42">
        <v>10</v>
      </c>
      <c r="FH12" s="42">
        <v>11</v>
      </c>
      <c r="FI12" s="43">
        <v>12</v>
      </c>
      <c r="FK12" s="707" t="s">
        <v>116</v>
      </c>
      <c r="FL12" s="124"/>
      <c r="FM12" s="42">
        <v>1</v>
      </c>
      <c r="FN12" s="42">
        <v>2</v>
      </c>
      <c r="FO12" s="42">
        <v>3</v>
      </c>
      <c r="FP12" s="42">
        <v>4</v>
      </c>
      <c r="FQ12" s="42">
        <v>5</v>
      </c>
      <c r="FR12" s="42">
        <v>6</v>
      </c>
      <c r="FS12" s="42">
        <v>7</v>
      </c>
      <c r="FT12" s="42">
        <v>8</v>
      </c>
      <c r="FU12" s="42">
        <v>9</v>
      </c>
      <c r="FV12" s="42">
        <v>10</v>
      </c>
      <c r="FW12" s="42">
        <v>11</v>
      </c>
      <c r="FX12" s="43">
        <v>12</v>
      </c>
      <c r="FZ12" s="707" t="s">
        <v>116</v>
      </c>
      <c r="GA12" s="124"/>
      <c r="GB12" s="42">
        <v>1</v>
      </c>
      <c r="GC12" s="42">
        <v>2</v>
      </c>
      <c r="GD12" s="42">
        <v>3</v>
      </c>
      <c r="GE12" s="42">
        <v>4</v>
      </c>
      <c r="GF12" s="42">
        <v>5</v>
      </c>
      <c r="GG12" s="42">
        <v>6</v>
      </c>
      <c r="GH12" s="42">
        <v>7</v>
      </c>
      <c r="GI12" s="42">
        <v>8</v>
      </c>
      <c r="GJ12" s="42">
        <v>9</v>
      </c>
      <c r="GK12" s="42">
        <v>10</v>
      </c>
      <c r="GL12" s="42">
        <v>11</v>
      </c>
      <c r="GM12" s="43">
        <v>12</v>
      </c>
    </row>
    <row r="13" spans="2:195" x14ac:dyDescent="0.25">
      <c r="B13" s="707"/>
      <c r="C13" s="122" t="s">
        <v>44</v>
      </c>
      <c r="D13" s="18">
        <f>D3-$I$11</f>
        <v>-0.42592592592592604</v>
      </c>
      <c r="E13" s="18">
        <f t="shared" ref="E13:O13" si="0">E3-$I$11</f>
        <v>0.57407407407407396</v>
      </c>
      <c r="F13" s="18">
        <f t="shared" si="0"/>
        <v>15.574074074074074</v>
      </c>
      <c r="G13" s="18">
        <f t="shared" si="0"/>
        <v>15.574074074074074</v>
      </c>
      <c r="H13" s="18">
        <f t="shared" si="0"/>
        <v>21.574074074074073</v>
      </c>
      <c r="I13" s="18">
        <f t="shared" si="0"/>
        <v>24.574074074074073</v>
      </c>
      <c r="J13" s="18">
        <f t="shared" si="0"/>
        <v>22.574074074074073</v>
      </c>
      <c r="K13" s="18">
        <f t="shared" si="0"/>
        <v>12.574074074074074</v>
      </c>
      <c r="L13" s="18">
        <f t="shared" si="0"/>
        <v>-0.42592592592592604</v>
      </c>
      <c r="M13" s="18">
        <f t="shared" si="0"/>
        <v>1.574074074074074</v>
      </c>
      <c r="N13" s="18">
        <f t="shared" si="0"/>
        <v>0.57407407407407396</v>
      </c>
      <c r="O13" s="18">
        <f t="shared" si="0"/>
        <v>0.57407407407407396</v>
      </c>
      <c r="Q13" s="707"/>
      <c r="R13" s="122" t="s">
        <v>44</v>
      </c>
      <c r="S13" s="18">
        <f>S3-$X$11</f>
        <v>-0.27777777777777768</v>
      </c>
      <c r="T13" s="18">
        <f t="shared" ref="T13:AD13" si="1">T3-$X$11</f>
        <v>1.7222222222222223</v>
      </c>
      <c r="U13" s="18">
        <f t="shared" si="1"/>
        <v>16.722222222222221</v>
      </c>
      <c r="V13" s="18">
        <f t="shared" si="1"/>
        <v>15.722222222222221</v>
      </c>
      <c r="W13" s="18">
        <f t="shared" si="1"/>
        <v>65.722222222222229</v>
      </c>
      <c r="X13" s="18">
        <f t="shared" si="1"/>
        <v>65.722222222222229</v>
      </c>
      <c r="Y13" s="18">
        <f t="shared" si="1"/>
        <v>61.722222222222221</v>
      </c>
      <c r="Z13" s="18">
        <f t="shared" si="1"/>
        <v>65.722222222222229</v>
      </c>
      <c r="AA13" s="18">
        <f t="shared" si="1"/>
        <v>59.722222222222221</v>
      </c>
      <c r="AB13" s="18">
        <f t="shared" si="1"/>
        <v>61.722222222222221</v>
      </c>
      <c r="AC13" s="18">
        <f t="shared" si="1"/>
        <v>0.72222222222222232</v>
      </c>
      <c r="AD13" s="18">
        <f t="shared" si="1"/>
        <v>-1.2777777777777777</v>
      </c>
      <c r="AF13" s="707"/>
      <c r="AG13" s="122" t="s">
        <v>44</v>
      </c>
      <c r="AH13" s="18">
        <f>AH3-$AM$11</f>
        <v>1.8823529411764706</v>
      </c>
      <c r="AI13" s="18">
        <f t="shared" ref="AI13:AS13" si="2">AI3-$AM$11</f>
        <v>-1.1176470588235294</v>
      </c>
      <c r="AJ13" s="18">
        <f t="shared" si="2"/>
        <v>6.882352941176471</v>
      </c>
      <c r="AK13" s="18">
        <f t="shared" si="2"/>
        <v>3.8823529411764706</v>
      </c>
      <c r="AL13" s="18">
        <f t="shared" si="2"/>
        <v>34.882352941176471</v>
      </c>
      <c r="AM13" s="18">
        <f t="shared" si="2"/>
        <v>33.882352941176471</v>
      </c>
      <c r="AN13" s="18">
        <f t="shared" si="2"/>
        <v>0.88235294117647056</v>
      </c>
      <c r="AO13" s="18">
        <f t="shared" si="2"/>
        <v>-0.11764705882352944</v>
      </c>
      <c r="AP13" s="18">
        <f t="shared" si="2"/>
        <v>0.88235294117647056</v>
      </c>
      <c r="AQ13" s="18">
        <f t="shared" si="2"/>
        <v>-0.11764705882352944</v>
      </c>
      <c r="AR13" s="18">
        <f t="shared" si="2"/>
        <v>-0.11764705882352944</v>
      </c>
      <c r="AS13" s="18">
        <f t="shared" si="2"/>
        <v>-1.1176470588235294</v>
      </c>
      <c r="AU13" s="707"/>
      <c r="AV13" s="122" t="s">
        <v>44</v>
      </c>
      <c r="AW13" s="18">
        <f>AW3-$BB$11</f>
        <v>0.35000000000000009</v>
      </c>
      <c r="AX13" s="18">
        <f t="shared" ref="AX13:BG13" si="3">AX3-$BB$11</f>
        <v>0.35000000000000009</v>
      </c>
      <c r="AY13" s="18">
        <f t="shared" si="3"/>
        <v>52.35</v>
      </c>
      <c r="AZ13" s="18">
        <f t="shared" si="3"/>
        <v>51.35</v>
      </c>
      <c r="BA13" s="18">
        <f t="shared" si="3"/>
        <v>23.35</v>
      </c>
      <c r="BB13" s="18">
        <f t="shared" si="3"/>
        <v>25.35</v>
      </c>
      <c r="BC13" s="18">
        <f t="shared" si="3"/>
        <v>27.35</v>
      </c>
      <c r="BD13" s="18">
        <f t="shared" si="3"/>
        <v>27.35</v>
      </c>
      <c r="BE13" s="18">
        <f t="shared" si="3"/>
        <v>-0.64999999999999991</v>
      </c>
      <c r="BF13" s="18">
        <f t="shared" si="3"/>
        <v>1.35</v>
      </c>
      <c r="BG13" s="18">
        <f t="shared" si="3"/>
        <v>-0.64999999999999991</v>
      </c>
      <c r="BH13" s="18">
        <f t="shared" ref="BH13:BH20" si="4">BH3-$BB$11</f>
        <v>-1.65</v>
      </c>
      <c r="BJ13" s="707"/>
      <c r="BK13" s="122" t="s">
        <v>44</v>
      </c>
      <c r="BL13" s="18">
        <f>BL3-$BQ$11</f>
        <v>0.42424242424242431</v>
      </c>
      <c r="BM13" s="18">
        <f t="shared" ref="BM13:BW13" si="5">BM3-$BQ$11</f>
        <v>-0.57575757575757569</v>
      </c>
      <c r="BN13" s="18">
        <f t="shared" si="5"/>
        <v>19.424242424242426</v>
      </c>
      <c r="BO13" s="18">
        <f t="shared" si="5"/>
        <v>13.424242424242424</v>
      </c>
      <c r="BP13" s="18">
        <f t="shared" si="5"/>
        <v>21.424242424242426</v>
      </c>
      <c r="BQ13" s="18">
        <f t="shared" si="5"/>
        <v>23.424242424242426</v>
      </c>
      <c r="BR13" s="18">
        <f t="shared" si="5"/>
        <v>0.42424242424242431</v>
      </c>
      <c r="BS13" s="18">
        <f t="shared" si="5"/>
        <v>-0.57575757575757569</v>
      </c>
      <c r="BT13" s="18">
        <f t="shared" si="5"/>
        <v>-2.5757575757575757</v>
      </c>
      <c r="BU13" s="18">
        <f t="shared" si="5"/>
        <v>-0.57575757575757569</v>
      </c>
      <c r="BV13" s="18">
        <f t="shared" si="5"/>
        <v>-0.57575757575757569</v>
      </c>
      <c r="BW13" s="39">
        <f t="shared" si="5"/>
        <v>0.42424242424242431</v>
      </c>
      <c r="BY13" s="707"/>
      <c r="BZ13" s="122" t="s">
        <v>44</v>
      </c>
      <c r="CA13" s="18">
        <f>CA3-$CF$11</f>
        <v>9.9318181818181817</v>
      </c>
      <c r="CB13" s="18">
        <f t="shared" ref="CB13:CL13" si="6">CB3-$CF$11</f>
        <v>-4.0681818181818183</v>
      </c>
      <c r="CC13" s="18">
        <f t="shared" si="6"/>
        <v>41.93181818181818</v>
      </c>
      <c r="CD13" s="18">
        <f t="shared" si="6"/>
        <v>47.93181818181818</v>
      </c>
      <c r="CE13" s="18">
        <f t="shared" si="6"/>
        <v>12.931818181818182</v>
      </c>
      <c r="CF13" s="18">
        <f t="shared" si="6"/>
        <v>13.931818181818182</v>
      </c>
      <c r="CG13" s="18">
        <f t="shared" si="6"/>
        <v>72.931818181818187</v>
      </c>
      <c r="CH13" s="18">
        <f t="shared" si="6"/>
        <v>71.931818181818187</v>
      </c>
      <c r="CI13" s="18">
        <f t="shared" si="6"/>
        <v>37.93181818181818</v>
      </c>
      <c r="CJ13" s="18">
        <f t="shared" si="6"/>
        <v>37.93181818181818</v>
      </c>
      <c r="CK13" s="18">
        <f t="shared" si="6"/>
        <v>-1.0681818181818183</v>
      </c>
      <c r="CL13" s="39">
        <f t="shared" si="6"/>
        <v>-3.0681818181818183</v>
      </c>
      <c r="CN13" s="707"/>
      <c r="CO13" s="122" t="s">
        <v>44</v>
      </c>
      <c r="CP13" s="18">
        <f>CP3-$CU$11</f>
        <v>3.0892857142857144</v>
      </c>
      <c r="CQ13" s="18">
        <f t="shared" ref="CQ13:DA13" si="7">CQ3-$CU$11</f>
        <v>8.9285714285714191E-2</v>
      </c>
      <c r="CR13" s="18">
        <f t="shared" si="7"/>
        <v>47.089285714285715</v>
      </c>
      <c r="CS13" s="18">
        <f t="shared" si="7"/>
        <v>51.089285714285715</v>
      </c>
      <c r="CT13" s="18">
        <f t="shared" si="7"/>
        <v>31.089285714285715</v>
      </c>
      <c r="CU13" s="18">
        <f t="shared" si="7"/>
        <v>31.089285714285715</v>
      </c>
      <c r="CV13" s="18">
        <f t="shared" si="7"/>
        <v>24.089285714285715</v>
      </c>
      <c r="CW13" s="18">
        <f t="shared" si="7"/>
        <v>29.089285714285715</v>
      </c>
      <c r="CX13" s="18">
        <f t="shared" si="7"/>
        <v>1.0892857142857142</v>
      </c>
      <c r="CY13" s="18">
        <f t="shared" si="7"/>
        <v>8.9285714285714191E-2</v>
      </c>
      <c r="CZ13" s="18">
        <f t="shared" si="7"/>
        <v>1.0892857142857142</v>
      </c>
      <c r="DA13" s="39">
        <f t="shared" si="7"/>
        <v>-0.91071428571428581</v>
      </c>
      <c r="DC13" s="707"/>
      <c r="DD13" s="122" t="s">
        <v>44</v>
      </c>
      <c r="DE13" s="18">
        <f>DE3-$DJ$11</f>
        <v>-0.47727272727272707</v>
      </c>
      <c r="DF13" s="18">
        <f t="shared" ref="DF13:DP13" si="8">DF3-$DJ$11</f>
        <v>1.5227272727272729</v>
      </c>
      <c r="DG13" s="18">
        <f t="shared" si="8"/>
        <v>68.522727272727266</v>
      </c>
      <c r="DH13" s="18">
        <f t="shared" si="8"/>
        <v>70.522727272727266</v>
      </c>
      <c r="DI13" s="18">
        <f t="shared" si="8"/>
        <v>12.522727272727273</v>
      </c>
      <c r="DJ13" s="18">
        <f t="shared" si="8"/>
        <v>13.522727272727273</v>
      </c>
      <c r="DK13" s="18">
        <f t="shared" si="8"/>
        <v>7.5227272727272734</v>
      </c>
      <c r="DL13" s="18">
        <f t="shared" si="8"/>
        <v>7.5227272727272734</v>
      </c>
      <c r="DM13" s="18">
        <f t="shared" si="8"/>
        <v>14.522727272727273</v>
      </c>
      <c r="DN13" s="18">
        <f t="shared" si="8"/>
        <v>14.522727272727273</v>
      </c>
      <c r="DO13" s="18">
        <f t="shared" si="8"/>
        <v>-0.47727272727272707</v>
      </c>
      <c r="DP13" s="18">
        <f t="shared" si="8"/>
        <v>-1.4772727272727271</v>
      </c>
      <c r="DR13" s="707"/>
      <c r="DS13" s="122" t="s">
        <v>44</v>
      </c>
      <c r="DT13" s="18">
        <f>DT3-$DY$11</f>
        <v>6.25E-2</v>
      </c>
      <c r="DU13" s="18">
        <f t="shared" ref="DU13:EE13" si="9">DU3-$DY$11</f>
        <v>-0.9375</v>
      </c>
      <c r="DV13" s="18">
        <f t="shared" si="9"/>
        <v>11.0625</v>
      </c>
      <c r="DW13" s="18">
        <f t="shared" si="9"/>
        <v>11.0625</v>
      </c>
      <c r="DX13" s="18">
        <f t="shared" si="9"/>
        <v>19.0625</v>
      </c>
      <c r="DY13" s="18">
        <f t="shared" si="9"/>
        <v>17.0625</v>
      </c>
      <c r="DZ13" s="18">
        <f t="shared" si="9"/>
        <v>14.0625</v>
      </c>
      <c r="EA13" s="18">
        <f t="shared" si="9"/>
        <v>14.0625</v>
      </c>
      <c r="EB13" s="18">
        <f t="shared" si="9"/>
        <v>29.0625</v>
      </c>
      <c r="EC13" s="18">
        <f t="shared" si="9"/>
        <v>30.0625</v>
      </c>
      <c r="ED13" s="18">
        <f t="shared" si="9"/>
        <v>13.0625</v>
      </c>
      <c r="EE13" s="39">
        <f t="shared" si="9"/>
        <v>13.0625</v>
      </c>
      <c r="EG13" s="707"/>
      <c r="EH13" s="122" t="s">
        <v>44</v>
      </c>
      <c r="EI13" s="18">
        <f>EI3-$EN$11</f>
        <v>-2.6447619047619049</v>
      </c>
      <c r="EJ13" s="18">
        <f t="shared" ref="EJ13:ET13" si="10">EJ3-$EN$11</f>
        <v>2.3552380952380951</v>
      </c>
      <c r="EK13" s="18">
        <f t="shared" si="10"/>
        <v>34.355238095238093</v>
      </c>
      <c r="EL13" s="18">
        <f t="shared" si="10"/>
        <v>30.355238095238096</v>
      </c>
      <c r="EM13" s="18">
        <f t="shared" si="10"/>
        <v>35.355238095238093</v>
      </c>
      <c r="EN13" s="18">
        <f t="shared" si="10"/>
        <v>38.355238095238093</v>
      </c>
      <c r="EO13" s="18">
        <f t="shared" si="10"/>
        <v>-2.6447619047619049</v>
      </c>
      <c r="EP13" s="18">
        <f t="shared" si="10"/>
        <v>-1.6447619047619049</v>
      </c>
      <c r="EQ13" s="18">
        <f t="shared" si="10"/>
        <v>3.3552380952380951</v>
      </c>
      <c r="ER13" s="18">
        <f t="shared" si="10"/>
        <v>1.3552380952380951</v>
      </c>
      <c r="ES13" s="18">
        <f t="shared" si="10"/>
        <v>2.3552380952380951</v>
      </c>
      <c r="ET13" s="39">
        <f t="shared" si="10"/>
        <v>-0.64476190476190487</v>
      </c>
      <c r="EV13" s="707"/>
      <c r="EW13" s="122" t="s">
        <v>44</v>
      </c>
      <c r="EX13" s="18">
        <f t="shared" ref="EX13:EX20" si="11">EX3-$FC$11</f>
        <v>-0.15909090909090917</v>
      </c>
      <c r="EY13" s="18">
        <f t="shared" ref="EY13:FI13" si="12">EY3-$FC$11</f>
        <v>-1.1590909090909092</v>
      </c>
      <c r="EZ13" s="18">
        <f t="shared" si="12"/>
        <v>42.840909090909093</v>
      </c>
      <c r="FA13" s="18">
        <f t="shared" si="12"/>
        <v>42.840909090909093</v>
      </c>
      <c r="FB13" s="18">
        <f t="shared" si="12"/>
        <v>51.840909090909093</v>
      </c>
      <c r="FC13" s="18">
        <f t="shared" si="12"/>
        <v>52.840909090909093</v>
      </c>
      <c r="FD13" s="18">
        <f t="shared" si="12"/>
        <v>17.84090909090909</v>
      </c>
      <c r="FE13" s="18">
        <f t="shared" si="12"/>
        <v>19.84090909090909</v>
      </c>
      <c r="FF13" s="18">
        <f t="shared" si="12"/>
        <v>37.840909090909093</v>
      </c>
      <c r="FG13" s="18">
        <f t="shared" si="12"/>
        <v>40.840909090909093</v>
      </c>
      <c r="FH13" s="18">
        <f t="shared" si="12"/>
        <v>0.84090909090909083</v>
      </c>
      <c r="FI13" s="39">
        <f t="shared" si="12"/>
        <v>0.84090909090909083</v>
      </c>
      <c r="FK13" s="707"/>
      <c r="FL13" s="122" t="s">
        <v>44</v>
      </c>
      <c r="FM13" s="18">
        <f>FM3-$FR$11</f>
        <v>1.171875</v>
      </c>
      <c r="FN13" s="18">
        <f t="shared" ref="FN13:FX13" si="13">FN3-$FR$11</f>
        <v>-0.828125</v>
      </c>
      <c r="FO13" s="18">
        <f t="shared" si="13"/>
        <v>58.171875</v>
      </c>
      <c r="FP13" s="18">
        <f t="shared" si="13"/>
        <v>57.171875</v>
      </c>
      <c r="FQ13" s="18">
        <f t="shared" si="13"/>
        <v>79.171875</v>
      </c>
      <c r="FR13" s="18">
        <f t="shared" si="13"/>
        <v>79.171875</v>
      </c>
      <c r="FS13" s="18">
        <f t="shared" si="13"/>
        <v>-1.828125</v>
      </c>
      <c r="FT13" s="18">
        <f t="shared" si="13"/>
        <v>2.171875</v>
      </c>
      <c r="FU13" s="18">
        <f t="shared" si="13"/>
        <v>2.171875</v>
      </c>
      <c r="FV13" s="18">
        <f t="shared" si="13"/>
        <v>1.171875</v>
      </c>
      <c r="FW13" s="18">
        <f t="shared" si="13"/>
        <v>1.171875</v>
      </c>
      <c r="FX13" s="39">
        <f t="shared" si="13"/>
        <v>-1.828125</v>
      </c>
      <c r="FZ13" s="707"/>
      <c r="GA13" s="122" t="s">
        <v>44</v>
      </c>
      <c r="GB13" s="18">
        <f>GB3-$GG$11</f>
        <v>2.5657894736842106</v>
      </c>
      <c r="GC13" s="18">
        <f t="shared" ref="GC13:GM13" si="14">GC3-$GG$11</f>
        <v>0.56578947368421062</v>
      </c>
      <c r="GD13" s="18">
        <f t="shared" si="14"/>
        <v>27.565789473684212</v>
      </c>
      <c r="GE13" s="18">
        <f t="shared" si="14"/>
        <v>33.565789473684212</v>
      </c>
      <c r="GF13" s="18">
        <f t="shared" si="14"/>
        <v>-0.43421052631578938</v>
      </c>
      <c r="GG13" s="18">
        <f t="shared" si="14"/>
        <v>-0.43421052631578938</v>
      </c>
      <c r="GH13" s="18">
        <f t="shared" si="14"/>
        <v>-1.4342105263157894</v>
      </c>
      <c r="GI13" s="18">
        <f t="shared" si="14"/>
        <v>1.5657894736842106</v>
      </c>
      <c r="GJ13" s="18">
        <f t="shared" si="14"/>
        <v>0.56578947368421062</v>
      </c>
      <c r="GK13" s="18">
        <f t="shared" si="14"/>
        <v>-0.43421052631578938</v>
      </c>
      <c r="GL13" s="18">
        <f t="shared" si="14"/>
        <v>3.5657894736842106</v>
      </c>
      <c r="GM13" s="39">
        <f t="shared" si="14"/>
        <v>-1.4342105263157894</v>
      </c>
    </row>
    <row r="14" spans="2:195" x14ac:dyDescent="0.25">
      <c r="B14" s="707"/>
      <c r="C14" s="122" t="s">
        <v>45</v>
      </c>
      <c r="D14" s="18">
        <f t="shared" ref="D14:O20" si="15">D4-$I$11</f>
        <v>27.574074074074073</v>
      </c>
      <c r="E14" s="18">
        <f t="shared" si="15"/>
        <v>27.574074074074073</v>
      </c>
      <c r="F14" s="18">
        <f t="shared" si="15"/>
        <v>32.574074074074076</v>
      </c>
      <c r="G14" s="18">
        <f t="shared" si="15"/>
        <v>51.574074074074076</v>
      </c>
      <c r="H14" s="18">
        <f t="shared" si="15"/>
        <v>23.574074074074073</v>
      </c>
      <c r="I14" s="18">
        <f t="shared" si="15"/>
        <v>24.574074074074073</v>
      </c>
      <c r="J14" s="18">
        <f t="shared" si="15"/>
        <v>14.574074074074074</v>
      </c>
      <c r="K14" s="18">
        <f t="shared" si="15"/>
        <v>14.574074074074074</v>
      </c>
      <c r="L14" s="18">
        <f t="shared" si="15"/>
        <v>1.574074074074074</v>
      </c>
      <c r="M14" s="18">
        <f t="shared" si="15"/>
        <v>0.57407407407407396</v>
      </c>
      <c r="N14" s="18">
        <f t="shared" si="15"/>
        <v>1.574074074074074</v>
      </c>
      <c r="O14" s="18">
        <f t="shared" si="15"/>
        <v>-1.425925925925926</v>
      </c>
      <c r="Q14" s="707"/>
      <c r="R14" s="122" t="s">
        <v>45</v>
      </c>
      <c r="S14" s="18">
        <f t="shared" ref="S14:AD20" si="16">S4-$X$11</f>
        <v>11.722222222222221</v>
      </c>
      <c r="T14" s="18">
        <f t="shared" si="16"/>
        <v>10.722222222222221</v>
      </c>
      <c r="U14" s="18">
        <f t="shared" si="16"/>
        <v>8.7222222222222214</v>
      </c>
      <c r="V14" s="18">
        <f t="shared" si="16"/>
        <v>7.7222222222222223</v>
      </c>
      <c r="W14" s="18">
        <f t="shared" si="16"/>
        <v>69.722222222222229</v>
      </c>
      <c r="X14" s="18">
        <f t="shared" si="16"/>
        <v>68.722222222222229</v>
      </c>
      <c r="Y14" s="18">
        <f t="shared" si="16"/>
        <v>83.722222222222229</v>
      </c>
      <c r="Z14" s="18">
        <f t="shared" si="16"/>
        <v>83.722222222222229</v>
      </c>
      <c r="AA14" s="18">
        <f t="shared" si="16"/>
        <v>32.722222222222221</v>
      </c>
      <c r="AB14" s="18">
        <f t="shared" si="16"/>
        <v>33.722222222222221</v>
      </c>
      <c r="AC14" s="18">
        <f t="shared" si="16"/>
        <v>-0.27777777777777768</v>
      </c>
      <c r="AD14" s="18">
        <f t="shared" si="16"/>
        <v>-0.27777777777777768</v>
      </c>
      <c r="AF14" s="707"/>
      <c r="AG14" s="122" t="s">
        <v>45</v>
      </c>
      <c r="AH14" s="18">
        <f t="shared" ref="AH14:AS20" si="17">AH4-$AM$11</f>
        <v>17.882352941176471</v>
      </c>
      <c r="AI14" s="18">
        <f t="shared" si="17"/>
        <v>16.882352941176471</v>
      </c>
      <c r="AJ14" s="18">
        <f t="shared" si="17"/>
        <v>0.88235294117647056</v>
      </c>
      <c r="AK14" s="18">
        <f t="shared" si="17"/>
        <v>1.8823529411764706</v>
      </c>
      <c r="AL14" s="18">
        <f t="shared" si="17"/>
        <v>38.882352941176471</v>
      </c>
      <c r="AM14" s="18">
        <f t="shared" si="17"/>
        <v>38.882352941176471</v>
      </c>
      <c r="AN14" s="18">
        <f t="shared" si="17"/>
        <v>-1.1176470588235294</v>
      </c>
      <c r="AO14" s="18">
        <f t="shared" si="17"/>
        <v>0.88235294117647056</v>
      </c>
      <c r="AP14" s="18">
        <f t="shared" si="17"/>
        <v>-1.1176470588235294</v>
      </c>
      <c r="AQ14" s="18">
        <f t="shared" si="17"/>
        <v>0.88235294117647056</v>
      </c>
      <c r="AR14" s="18">
        <f t="shared" si="17"/>
        <v>-0.11764705882352944</v>
      </c>
      <c r="AS14" s="18">
        <f t="shared" si="17"/>
        <v>0.88235294117647056</v>
      </c>
      <c r="AU14" s="707"/>
      <c r="AV14" s="122" t="s">
        <v>45</v>
      </c>
      <c r="AW14" s="18">
        <f t="shared" ref="AW14:BG20" si="18">AW4-$BB$11</f>
        <v>24.35</v>
      </c>
      <c r="AX14" s="18">
        <f t="shared" si="18"/>
        <v>20.350000000000001</v>
      </c>
      <c r="AY14" s="18">
        <f t="shared" si="18"/>
        <v>96.35</v>
      </c>
      <c r="AZ14" s="18">
        <f t="shared" si="18"/>
        <v>96.35</v>
      </c>
      <c r="BA14" s="18">
        <f t="shared" si="18"/>
        <v>21.35</v>
      </c>
      <c r="BB14" s="18">
        <f t="shared" si="18"/>
        <v>20.350000000000001</v>
      </c>
      <c r="BC14" s="18">
        <f t="shared" si="18"/>
        <v>41.35</v>
      </c>
      <c r="BD14" s="18">
        <f t="shared" si="18"/>
        <v>43.35</v>
      </c>
      <c r="BE14" s="18">
        <f t="shared" si="18"/>
        <v>0.35000000000000009</v>
      </c>
      <c r="BF14" s="18">
        <f t="shared" si="18"/>
        <v>-1.65</v>
      </c>
      <c r="BG14" s="18">
        <f t="shared" si="18"/>
        <v>0.35000000000000009</v>
      </c>
      <c r="BH14" s="18">
        <f t="shared" si="4"/>
        <v>-1.65</v>
      </c>
      <c r="BJ14" s="707"/>
      <c r="BK14" s="122" t="s">
        <v>45</v>
      </c>
      <c r="BL14" s="18">
        <f t="shared" ref="BL14:BL20" si="19">BL4-$BQ$11</f>
        <v>20.424242424242426</v>
      </c>
      <c r="BM14" s="18">
        <f t="shared" ref="BM14:BW14" si="20">BM4-$BQ$11</f>
        <v>20.424242424242426</v>
      </c>
      <c r="BN14" s="18">
        <f t="shared" si="20"/>
        <v>19.424242424242426</v>
      </c>
      <c r="BO14" s="18">
        <f t="shared" si="20"/>
        <v>19.424242424242426</v>
      </c>
      <c r="BP14" s="18">
        <f t="shared" si="20"/>
        <v>17.424242424242426</v>
      </c>
      <c r="BQ14" s="18">
        <f t="shared" si="20"/>
        <v>22.424242424242426</v>
      </c>
      <c r="BR14" s="18">
        <f t="shared" si="20"/>
        <v>-1.5757575757575757</v>
      </c>
      <c r="BS14" s="18">
        <f t="shared" si="20"/>
        <v>0.42424242424242431</v>
      </c>
      <c r="BT14" s="18">
        <f t="shared" si="20"/>
        <v>0.42424242424242431</v>
      </c>
      <c r="BU14" s="18">
        <f t="shared" si="20"/>
        <v>-0.57575757575757569</v>
      </c>
      <c r="BV14" s="18">
        <f t="shared" si="20"/>
        <v>-0.57575757575757569</v>
      </c>
      <c r="BW14" s="39">
        <f t="shared" si="20"/>
        <v>-0.57575757575757569</v>
      </c>
      <c r="BY14" s="707"/>
      <c r="BZ14" s="122" t="s">
        <v>45</v>
      </c>
      <c r="CA14" s="18">
        <f t="shared" ref="CA14:CA20" si="21">CA4-$CF$11</f>
        <v>48.93181818181818</v>
      </c>
      <c r="CB14" s="18">
        <f t="shared" ref="CB14:CL14" si="22">CB4-$CF$11</f>
        <v>51.93181818181818</v>
      </c>
      <c r="CC14" s="18">
        <f t="shared" si="22"/>
        <v>71.931818181818187</v>
      </c>
      <c r="CD14" s="18">
        <f t="shared" si="22"/>
        <v>67.931818181818187</v>
      </c>
      <c r="CE14" s="18">
        <f t="shared" si="22"/>
        <v>19.93181818181818</v>
      </c>
      <c r="CF14" s="18">
        <f t="shared" si="22"/>
        <v>26.93181818181818</v>
      </c>
      <c r="CG14" s="18">
        <f t="shared" si="22"/>
        <v>72.931818181818187</v>
      </c>
      <c r="CH14" s="18">
        <f t="shared" si="22"/>
        <v>70.931818181818187</v>
      </c>
      <c r="CI14" s="18">
        <f t="shared" si="22"/>
        <v>24.93181818181818</v>
      </c>
      <c r="CJ14" s="18">
        <f t="shared" si="22"/>
        <v>25.93181818181818</v>
      </c>
      <c r="CK14" s="18">
        <f t="shared" si="22"/>
        <v>0.93181818181818166</v>
      </c>
      <c r="CL14" s="39">
        <f t="shared" si="22"/>
        <v>1.9318181818181817</v>
      </c>
      <c r="CN14" s="707"/>
      <c r="CO14" s="122" t="s">
        <v>45</v>
      </c>
      <c r="CP14" s="18">
        <f t="shared" ref="CP14:CP20" si="23">CP4-$CU$11</f>
        <v>19.089285714285715</v>
      </c>
      <c r="CQ14" s="18">
        <f t="shared" ref="CQ14:DA14" si="24">CQ4-$CU$11</f>
        <v>19.089285714285715</v>
      </c>
      <c r="CR14" s="18">
        <f t="shared" si="24"/>
        <v>66.089285714285708</v>
      </c>
      <c r="CS14" s="18">
        <f t="shared" si="24"/>
        <v>65.089285714285708</v>
      </c>
      <c r="CT14" s="18">
        <f t="shared" si="24"/>
        <v>37.089285714285715</v>
      </c>
      <c r="CU14" s="18">
        <f t="shared" si="24"/>
        <v>36.089285714285715</v>
      </c>
      <c r="CV14" s="18">
        <f t="shared" si="24"/>
        <v>15.089285714285714</v>
      </c>
      <c r="CW14" s="18">
        <f t="shared" si="24"/>
        <v>16.089285714285715</v>
      </c>
      <c r="CX14" s="18">
        <f t="shared" si="24"/>
        <v>-0.91071428571428581</v>
      </c>
      <c r="CY14" s="18">
        <f t="shared" si="24"/>
        <v>8.9285714285714191E-2</v>
      </c>
      <c r="CZ14" s="18">
        <f t="shared" si="24"/>
        <v>8.9285714285714191E-2</v>
      </c>
      <c r="DA14" s="39">
        <f t="shared" si="24"/>
        <v>-0.91071428571428581</v>
      </c>
      <c r="DC14" s="707"/>
      <c r="DD14" s="122" t="s">
        <v>45</v>
      </c>
      <c r="DE14" s="18">
        <f t="shared" ref="DE14:DP20" si="25">DE4-$DJ$11</f>
        <v>37.522727272727273</v>
      </c>
      <c r="DF14" s="18">
        <f t="shared" si="25"/>
        <v>34.522727272727273</v>
      </c>
      <c r="DG14" s="18">
        <f t="shared" si="25"/>
        <v>84.522727272727266</v>
      </c>
      <c r="DH14" s="18">
        <f t="shared" si="25"/>
        <v>79.522727272727266</v>
      </c>
      <c r="DI14" s="18">
        <f t="shared" si="25"/>
        <v>23.522727272727273</v>
      </c>
      <c r="DJ14" s="18">
        <f t="shared" si="25"/>
        <v>21.522727272727273</v>
      </c>
      <c r="DK14" s="18">
        <f t="shared" si="25"/>
        <v>3.5227272727272729</v>
      </c>
      <c r="DL14" s="18">
        <f t="shared" si="25"/>
        <v>4.5227272727272734</v>
      </c>
      <c r="DM14" s="18">
        <f t="shared" si="25"/>
        <v>6.5227272727272734</v>
      </c>
      <c r="DN14" s="18">
        <f t="shared" si="25"/>
        <v>6.5227272727272734</v>
      </c>
      <c r="DO14" s="18">
        <f t="shared" si="25"/>
        <v>-1.4772727272727271</v>
      </c>
      <c r="DP14" s="18">
        <f t="shared" si="25"/>
        <v>0.52272727272727293</v>
      </c>
      <c r="DR14" s="707"/>
      <c r="DS14" s="122" t="s">
        <v>45</v>
      </c>
      <c r="DT14" s="18">
        <f t="shared" ref="DT14:DT20" si="26">DT4-$DY$11</f>
        <v>28.0625</v>
      </c>
      <c r="DU14" s="18">
        <f t="shared" ref="DU14:EE14" si="27">DU4-$DY$11</f>
        <v>28.0625</v>
      </c>
      <c r="DV14" s="18">
        <f t="shared" si="27"/>
        <v>30.0625</v>
      </c>
      <c r="DW14" s="18">
        <f t="shared" si="27"/>
        <v>30.0625</v>
      </c>
      <c r="DX14" s="18">
        <f t="shared" si="27"/>
        <v>54.0625</v>
      </c>
      <c r="DY14" s="18">
        <f t="shared" si="27"/>
        <v>54.0625</v>
      </c>
      <c r="DZ14" s="18">
        <f t="shared" si="27"/>
        <v>-1.9375</v>
      </c>
      <c r="EA14" s="18">
        <f t="shared" si="27"/>
        <v>6.25E-2</v>
      </c>
      <c r="EB14" s="18">
        <f t="shared" si="27"/>
        <v>45.0625</v>
      </c>
      <c r="EC14" s="18">
        <f t="shared" si="27"/>
        <v>44.0625</v>
      </c>
      <c r="ED14" s="18">
        <f t="shared" si="27"/>
        <v>8.0625</v>
      </c>
      <c r="EE14" s="39">
        <f t="shared" si="27"/>
        <v>9.0625</v>
      </c>
      <c r="EG14" s="707"/>
      <c r="EH14" s="122" t="s">
        <v>45</v>
      </c>
      <c r="EI14" s="18">
        <f t="shared" ref="EI14:EI20" si="28">EI4-$EN$11</f>
        <v>11.355238095238095</v>
      </c>
      <c r="EJ14" s="18">
        <f t="shared" ref="EJ14:ET14" si="29">EJ4-$EN$11</f>
        <v>15.355238095238095</v>
      </c>
      <c r="EK14" s="18">
        <f t="shared" si="29"/>
        <v>32.355238095238093</v>
      </c>
      <c r="EL14" s="18">
        <f t="shared" si="29"/>
        <v>37.355238095238093</v>
      </c>
      <c r="EM14" s="18">
        <f t="shared" si="29"/>
        <v>32.355238095238093</v>
      </c>
      <c r="EN14" s="18">
        <f t="shared" si="29"/>
        <v>32.355238095238093</v>
      </c>
      <c r="EO14" s="18">
        <f t="shared" si="29"/>
        <v>-1.6447619047619049</v>
      </c>
      <c r="EP14" s="18">
        <f t="shared" si="29"/>
        <v>1.3552380952380951</v>
      </c>
      <c r="EQ14" s="18">
        <f t="shared" si="29"/>
        <v>1.3552380952380951</v>
      </c>
      <c r="ER14" s="18">
        <f t="shared" si="29"/>
        <v>2.3552380952380951</v>
      </c>
      <c r="ES14" s="18">
        <f t="shared" si="29"/>
        <v>2.3552380952380951</v>
      </c>
      <c r="ET14" s="39">
        <f t="shared" si="29"/>
        <v>6.3552380952380947</v>
      </c>
      <c r="EV14" s="707"/>
      <c r="EW14" s="122" t="s">
        <v>45</v>
      </c>
      <c r="EX14" s="18">
        <f t="shared" si="11"/>
        <v>21.84090909090909</v>
      </c>
      <c r="EY14" s="18">
        <f t="shared" ref="EY14:FI14" si="30">EY4-$FC$11</f>
        <v>20.84090909090909</v>
      </c>
      <c r="EZ14" s="18">
        <f t="shared" si="30"/>
        <v>36.840909090909093</v>
      </c>
      <c r="FA14" s="18">
        <f t="shared" si="30"/>
        <v>34.840909090909093</v>
      </c>
      <c r="FB14" s="18">
        <f t="shared" si="30"/>
        <v>41.840909090909093</v>
      </c>
      <c r="FC14" s="18">
        <f t="shared" si="30"/>
        <v>41.840909090909093</v>
      </c>
      <c r="FD14" s="18">
        <f t="shared" si="30"/>
        <v>20.84090909090909</v>
      </c>
      <c r="FE14" s="18">
        <f t="shared" si="30"/>
        <v>19.84090909090909</v>
      </c>
      <c r="FF14" s="18">
        <f t="shared" si="30"/>
        <v>23.84090909090909</v>
      </c>
      <c r="FG14" s="18">
        <f t="shared" si="30"/>
        <v>25.84090909090909</v>
      </c>
      <c r="FH14" s="18">
        <f t="shared" si="30"/>
        <v>2.8409090909090908</v>
      </c>
      <c r="FI14" s="39">
        <f t="shared" si="30"/>
        <v>-0.15909090909090917</v>
      </c>
      <c r="FK14" s="707"/>
      <c r="FL14" s="122" t="s">
        <v>45</v>
      </c>
      <c r="FM14" s="18">
        <f t="shared" ref="FM14:FM20" si="31">FM4-$FR$11</f>
        <v>28.171875</v>
      </c>
      <c r="FN14" s="18">
        <f t="shared" ref="FN14:FX14" si="32">FN4-$FR$11</f>
        <v>27.171875</v>
      </c>
      <c r="FO14" s="18">
        <f t="shared" si="32"/>
        <v>49.171875</v>
      </c>
      <c r="FP14" s="18">
        <f t="shared" si="32"/>
        <v>46.171875</v>
      </c>
      <c r="FQ14" s="18">
        <f t="shared" si="32"/>
        <v>54.171875</v>
      </c>
      <c r="FR14" s="18">
        <f t="shared" si="32"/>
        <v>53.171875</v>
      </c>
      <c r="FS14" s="18">
        <f t="shared" si="32"/>
        <v>0.171875</v>
      </c>
      <c r="FT14" s="18">
        <f t="shared" si="32"/>
        <v>0.171875</v>
      </c>
      <c r="FU14" s="18">
        <f t="shared" si="32"/>
        <v>-1.828125</v>
      </c>
      <c r="FV14" s="18">
        <f t="shared" si="32"/>
        <v>0.171875</v>
      </c>
      <c r="FW14" s="18">
        <f t="shared" si="32"/>
        <v>-0.828125</v>
      </c>
      <c r="FX14" s="39">
        <f t="shared" si="32"/>
        <v>4.171875</v>
      </c>
      <c r="FZ14" s="707"/>
      <c r="GA14" s="122" t="s">
        <v>45</v>
      </c>
      <c r="GB14" s="18">
        <f t="shared" ref="GB14:GB20" si="33">GB4-$GG$11</f>
        <v>21.565789473684212</v>
      </c>
      <c r="GC14" s="18">
        <f t="shared" ref="GC14:GM14" si="34">GC4-$GG$11</f>
        <v>21.565789473684212</v>
      </c>
      <c r="GD14" s="18">
        <f t="shared" si="34"/>
        <v>20.565789473684212</v>
      </c>
      <c r="GE14" s="18">
        <f t="shared" si="34"/>
        <v>16.565789473684212</v>
      </c>
      <c r="GF14" s="18">
        <f t="shared" si="34"/>
        <v>0.56578947368421062</v>
      </c>
      <c r="GG14" s="18">
        <f t="shared" si="34"/>
        <v>0.56578947368421062</v>
      </c>
      <c r="GH14" s="18">
        <f t="shared" si="34"/>
        <v>-0.43421052631578938</v>
      </c>
      <c r="GI14" s="18">
        <f t="shared" si="34"/>
        <v>0.56578947368421062</v>
      </c>
      <c r="GJ14" s="18">
        <f t="shared" si="34"/>
        <v>-0.43421052631578938</v>
      </c>
      <c r="GK14" s="18">
        <f t="shared" si="34"/>
        <v>-1.4342105263157894</v>
      </c>
      <c r="GL14" s="18">
        <f t="shared" si="34"/>
        <v>0.56578947368421062</v>
      </c>
      <c r="GM14" s="39">
        <f t="shared" si="34"/>
        <v>-1.4342105263157894</v>
      </c>
    </row>
    <row r="15" spans="2:195" x14ac:dyDescent="0.25">
      <c r="B15" s="707"/>
      <c r="C15" s="122" t="s">
        <v>46</v>
      </c>
      <c r="D15" s="18">
        <f t="shared" si="15"/>
        <v>55.574074074074076</v>
      </c>
      <c r="E15" s="18">
        <f t="shared" si="15"/>
        <v>57.574074074074076</v>
      </c>
      <c r="F15" s="18">
        <f t="shared" si="15"/>
        <v>38.574074074074076</v>
      </c>
      <c r="G15" s="18">
        <f t="shared" si="15"/>
        <v>42.574074074074076</v>
      </c>
      <c r="H15" s="18">
        <f t="shared" si="15"/>
        <v>17.574074074074073</v>
      </c>
      <c r="I15" s="18">
        <f t="shared" si="15"/>
        <v>16.574074074074073</v>
      </c>
      <c r="J15" s="18">
        <f t="shared" si="15"/>
        <v>8.5740740740740744</v>
      </c>
      <c r="K15" s="18">
        <f t="shared" si="15"/>
        <v>12.574074074074074</v>
      </c>
      <c r="L15" s="18">
        <f t="shared" si="15"/>
        <v>2.574074074074074</v>
      </c>
      <c r="M15" s="18">
        <f t="shared" si="15"/>
        <v>0.57407407407407396</v>
      </c>
      <c r="N15" s="18">
        <f t="shared" si="15"/>
        <v>-0.42592592592592604</v>
      </c>
      <c r="O15" s="18">
        <f t="shared" si="15"/>
        <v>1.574074074074074</v>
      </c>
      <c r="Q15" s="707"/>
      <c r="R15" s="122" t="s">
        <v>46</v>
      </c>
      <c r="S15" s="18">
        <f t="shared" si="16"/>
        <v>38.722222222222221</v>
      </c>
      <c r="T15" s="18">
        <f t="shared" si="16"/>
        <v>39.722222222222221</v>
      </c>
      <c r="U15" s="18">
        <f t="shared" si="16"/>
        <v>17.722222222222221</v>
      </c>
      <c r="V15" s="18">
        <f t="shared" si="16"/>
        <v>18.722222222222221</v>
      </c>
      <c r="W15" s="18">
        <f t="shared" si="16"/>
        <v>76.722222222222229</v>
      </c>
      <c r="X15" s="18">
        <f t="shared" si="16"/>
        <v>77.722222222222229</v>
      </c>
      <c r="Y15" s="18">
        <f t="shared" si="16"/>
        <v>68.722222222222229</v>
      </c>
      <c r="Z15" s="18">
        <f t="shared" si="16"/>
        <v>72.722222222222229</v>
      </c>
      <c r="AA15" s="18">
        <f t="shared" si="16"/>
        <v>53.722222222222221</v>
      </c>
      <c r="AB15" s="18">
        <f t="shared" si="16"/>
        <v>52.722222222222221</v>
      </c>
      <c r="AC15" s="18">
        <f t="shared" si="16"/>
        <v>0.72222222222222232</v>
      </c>
      <c r="AD15" s="18">
        <f t="shared" si="16"/>
        <v>0.72222222222222232</v>
      </c>
      <c r="AF15" s="707"/>
      <c r="AG15" s="122" t="s">
        <v>46</v>
      </c>
      <c r="AH15" s="18">
        <f t="shared" si="17"/>
        <v>23.882352941176471</v>
      </c>
      <c r="AI15" s="18">
        <f t="shared" si="17"/>
        <v>22.882352941176471</v>
      </c>
      <c r="AJ15" s="18">
        <f t="shared" si="17"/>
        <v>17.882352941176471</v>
      </c>
      <c r="AK15" s="18">
        <f t="shared" si="17"/>
        <v>19.882352941176471</v>
      </c>
      <c r="AL15" s="18">
        <f t="shared" si="17"/>
        <v>24.882352941176471</v>
      </c>
      <c r="AM15" s="18">
        <f t="shared" si="17"/>
        <v>26.882352941176471</v>
      </c>
      <c r="AN15" s="18">
        <f t="shared" si="17"/>
        <v>-1.1176470588235294</v>
      </c>
      <c r="AO15" s="18">
        <f t="shared" si="17"/>
        <v>-0.11764705882352944</v>
      </c>
      <c r="AP15" s="18">
        <f t="shared" si="17"/>
        <v>-0.11764705882352944</v>
      </c>
      <c r="AQ15" s="18">
        <f t="shared" si="17"/>
        <v>-1.1176470588235294</v>
      </c>
      <c r="AR15" s="18">
        <f t="shared" si="17"/>
        <v>-1.1176470588235294</v>
      </c>
      <c r="AS15" s="18">
        <f t="shared" si="17"/>
        <v>-1.1176470588235294</v>
      </c>
      <c r="AU15" s="707"/>
      <c r="AV15" s="122" t="s">
        <v>46</v>
      </c>
      <c r="AW15" s="18">
        <f t="shared" si="18"/>
        <v>41.35</v>
      </c>
      <c r="AX15" s="18">
        <f t="shared" si="18"/>
        <v>42.35</v>
      </c>
      <c r="AY15" s="18">
        <f t="shared" si="18"/>
        <v>62.35</v>
      </c>
      <c r="AZ15" s="18">
        <f t="shared" si="18"/>
        <v>63.35</v>
      </c>
      <c r="BA15" s="18">
        <f t="shared" si="18"/>
        <v>-0.64999999999999991</v>
      </c>
      <c r="BB15" s="18">
        <f t="shared" si="18"/>
        <v>-0.64999999999999991</v>
      </c>
      <c r="BC15" s="18">
        <f t="shared" si="18"/>
        <v>26.35</v>
      </c>
      <c r="BD15" s="18">
        <f t="shared" si="18"/>
        <v>27.35</v>
      </c>
      <c r="BE15" s="18">
        <f t="shared" si="18"/>
        <v>-0.64999999999999991</v>
      </c>
      <c r="BF15" s="18">
        <f t="shared" si="18"/>
        <v>1.35</v>
      </c>
      <c r="BG15" s="18">
        <f t="shared" si="18"/>
        <v>-0.64999999999999991</v>
      </c>
      <c r="BH15" s="18">
        <f t="shared" si="4"/>
        <v>-0.64999999999999991</v>
      </c>
      <c r="BJ15" s="707"/>
      <c r="BK15" s="122" t="s">
        <v>46</v>
      </c>
      <c r="BL15" s="18">
        <f t="shared" si="19"/>
        <v>37.424242424242422</v>
      </c>
      <c r="BM15" s="18">
        <f t="shared" ref="BM15:BW15" si="35">BM5-$BQ$11</f>
        <v>37.424242424242422</v>
      </c>
      <c r="BN15" s="18">
        <f t="shared" si="35"/>
        <v>11.424242424242424</v>
      </c>
      <c r="BO15" s="18">
        <f t="shared" si="35"/>
        <v>13.424242424242424</v>
      </c>
      <c r="BP15" s="18">
        <f t="shared" si="35"/>
        <v>24.424242424242426</v>
      </c>
      <c r="BQ15" s="18">
        <f t="shared" si="35"/>
        <v>23.424242424242426</v>
      </c>
      <c r="BR15" s="18">
        <f t="shared" si="35"/>
        <v>-0.57575757575757569</v>
      </c>
      <c r="BS15" s="18">
        <f t="shared" si="35"/>
        <v>-1.5757575757575757</v>
      </c>
      <c r="BT15" s="18">
        <f t="shared" si="35"/>
        <v>0.42424242424242431</v>
      </c>
      <c r="BU15" s="18">
        <f t="shared" si="35"/>
        <v>0.42424242424242431</v>
      </c>
      <c r="BV15" s="18">
        <f t="shared" si="35"/>
        <v>-0.57575757575757569</v>
      </c>
      <c r="BW15" s="39">
        <f t="shared" si="35"/>
        <v>-0.57575757575757569</v>
      </c>
      <c r="BY15" s="707"/>
      <c r="BZ15" s="122" t="s">
        <v>46</v>
      </c>
      <c r="CA15" s="18">
        <f t="shared" si="21"/>
        <v>283.93181818181819</v>
      </c>
      <c r="CB15" s="18">
        <f t="shared" ref="CB15:CL15" si="36">CB5-$CF$11</f>
        <v>283.93181818181819</v>
      </c>
      <c r="CC15" s="18">
        <f t="shared" si="36"/>
        <v>58.93181818181818</v>
      </c>
      <c r="CD15" s="18">
        <f t="shared" si="36"/>
        <v>53.93181818181818</v>
      </c>
      <c r="CE15" s="18">
        <f t="shared" si="36"/>
        <v>20.93181818181818</v>
      </c>
      <c r="CF15" s="18">
        <f t="shared" si="36"/>
        <v>24.93181818181818</v>
      </c>
      <c r="CG15" s="18">
        <f t="shared" si="36"/>
        <v>58.93181818181818</v>
      </c>
      <c r="CH15" s="18">
        <f t="shared" si="36"/>
        <v>56.93181818181818</v>
      </c>
      <c r="CI15" s="18">
        <f t="shared" si="36"/>
        <v>29.93181818181818</v>
      </c>
      <c r="CJ15" s="18">
        <f t="shared" si="36"/>
        <v>27.93181818181818</v>
      </c>
      <c r="CK15" s="18">
        <f t="shared" si="36"/>
        <v>2.9318181818181817</v>
      </c>
      <c r="CL15" s="39">
        <f t="shared" si="36"/>
        <v>-2.0681818181818183</v>
      </c>
      <c r="CN15" s="707"/>
      <c r="CO15" s="122" t="s">
        <v>46</v>
      </c>
      <c r="CP15" s="18">
        <f t="shared" si="23"/>
        <v>35.089285714285715</v>
      </c>
      <c r="CQ15" s="18">
        <f t="shared" ref="CQ15:DA15" si="37">CQ5-$CU$11</f>
        <v>35.089285714285715</v>
      </c>
      <c r="CR15" s="18">
        <f t="shared" si="37"/>
        <v>57.089285714285715</v>
      </c>
      <c r="CS15" s="18">
        <f t="shared" si="37"/>
        <v>56.089285714285715</v>
      </c>
      <c r="CT15" s="18">
        <f t="shared" si="37"/>
        <v>40.089285714285715</v>
      </c>
      <c r="CU15" s="18">
        <f t="shared" si="37"/>
        <v>36.089285714285715</v>
      </c>
      <c r="CV15" s="18">
        <f t="shared" si="37"/>
        <v>22.089285714285715</v>
      </c>
      <c r="CW15" s="18">
        <f t="shared" si="37"/>
        <v>22.089285714285715</v>
      </c>
      <c r="CX15" s="18">
        <f t="shared" si="37"/>
        <v>8.9285714285714191E-2</v>
      </c>
      <c r="CY15" s="18">
        <f t="shared" si="37"/>
        <v>8.9285714285714191E-2</v>
      </c>
      <c r="CZ15" s="18">
        <f t="shared" si="37"/>
        <v>8.9285714285714191E-2</v>
      </c>
      <c r="DA15" s="39">
        <f t="shared" si="37"/>
        <v>-0.91071428571428581</v>
      </c>
      <c r="DC15" s="707"/>
      <c r="DD15" s="122" t="s">
        <v>46</v>
      </c>
      <c r="DE15" s="18">
        <f t="shared" si="25"/>
        <v>74.522727272727266</v>
      </c>
      <c r="DF15" s="18">
        <f t="shared" si="25"/>
        <v>66.522727272727266</v>
      </c>
      <c r="DG15" s="18">
        <f t="shared" si="25"/>
        <v>62.522727272727273</v>
      </c>
      <c r="DH15" s="18">
        <f t="shared" si="25"/>
        <v>61.522727272727273</v>
      </c>
      <c r="DI15" s="18">
        <f t="shared" si="25"/>
        <v>15.522727272727273</v>
      </c>
      <c r="DJ15" s="18">
        <f t="shared" si="25"/>
        <v>15.522727272727273</v>
      </c>
      <c r="DK15" s="18">
        <f t="shared" si="25"/>
        <v>5.5227272727272734</v>
      </c>
      <c r="DL15" s="18">
        <f t="shared" si="25"/>
        <v>6.5227272727272734</v>
      </c>
      <c r="DM15" s="18">
        <f t="shared" si="25"/>
        <v>7.5227272727272734</v>
      </c>
      <c r="DN15" s="18">
        <f t="shared" si="25"/>
        <v>6.5227272727272734</v>
      </c>
      <c r="DO15" s="18">
        <f t="shared" si="25"/>
        <v>0.52272727272727293</v>
      </c>
      <c r="DP15" s="18">
        <f t="shared" si="25"/>
        <v>1.5227272727272729</v>
      </c>
      <c r="DR15" s="707"/>
      <c r="DS15" s="122" t="s">
        <v>46</v>
      </c>
      <c r="DT15" s="18">
        <f t="shared" si="26"/>
        <v>35.0625</v>
      </c>
      <c r="DU15" s="18">
        <f t="shared" ref="DU15:EE15" si="38">DU5-$DY$11</f>
        <v>32.0625</v>
      </c>
      <c r="DV15" s="18">
        <f t="shared" si="38"/>
        <v>30.0625</v>
      </c>
      <c r="DW15" s="18">
        <f t="shared" si="38"/>
        <v>28.0625</v>
      </c>
      <c r="DX15" s="18">
        <f t="shared" si="38"/>
        <v>40.0625</v>
      </c>
      <c r="DY15" s="18">
        <f t="shared" si="38"/>
        <v>38.0625</v>
      </c>
      <c r="DZ15" s="18">
        <f t="shared" si="38"/>
        <v>35.0625</v>
      </c>
      <c r="EA15" s="18">
        <f t="shared" si="38"/>
        <v>35.0625</v>
      </c>
      <c r="EB15" s="18">
        <f t="shared" si="38"/>
        <v>71.0625</v>
      </c>
      <c r="EC15" s="18">
        <f t="shared" si="38"/>
        <v>70.0625</v>
      </c>
      <c r="ED15" s="18">
        <f t="shared" si="38"/>
        <v>13.0625</v>
      </c>
      <c r="EE15" s="39">
        <f t="shared" si="38"/>
        <v>14.0625</v>
      </c>
      <c r="EG15" s="707"/>
      <c r="EH15" s="122" t="s">
        <v>46</v>
      </c>
      <c r="EI15" s="18">
        <f t="shared" si="28"/>
        <v>51.355238095238093</v>
      </c>
      <c r="EJ15" s="18">
        <f t="shared" ref="EJ15:ET15" si="39">EJ5-$EN$11</f>
        <v>42.355238095238093</v>
      </c>
      <c r="EK15" s="18">
        <f t="shared" si="39"/>
        <v>37.355238095238093</v>
      </c>
      <c r="EL15" s="18">
        <f t="shared" si="39"/>
        <v>31.355238095238096</v>
      </c>
      <c r="EM15" s="18">
        <f t="shared" si="39"/>
        <v>34.355238095238093</v>
      </c>
      <c r="EN15" s="18">
        <f t="shared" si="39"/>
        <v>23.355238095238096</v>
      </c>
      <c r="EO15" s="18">
        <f t="shared" si="39"/>
        <v>-2.6447619047619049</v>
      </c>
      <c r="EP15" s="18">
        <f t="shared" si="39"/>
        <v>3.3552380952380951</v>
      </c>
      <c r="EQ15" s="18">
        <f t="shared" si="39"/>
        <v>0.35523809523809513</v>
      </c>
      <c r="ER15" s="18">
        <f t="shared" si="39"/>
        <v>0.35523809523809513</v>
      </c>
      <c r="ES15" s="18">
        <f t="shared" si="39"/>
        <v>-2.6447619047619049</v>
      </c>
      <c r="ET15" s="39">
        <f t="shared" si="39"/>
        <v>4.3552380952380947</v>
      </c>
      <c r="EV15" s="707"/>
      <c r="EW15" s="122" t="s">
        <v>46</v>
      </c>
      <c r="EX15" s="18">
        <f t="shared" si="11"/>
        <v>43.840909090909093</v>
      </c>
      <c r="EY15" s="18">
        <f t="shared" ref="EY15:FI15" si="40">EY5-$FC$11</f>
        <v>43.840909090909093</v>
      </c>
      <c r="EZ15" s="18">
        <f t="shared" si="40"/>
        <v>58.840909090909093</v>
      </c>
      <c r="FA15" s="18">
        <f t="shared" si="40"/>
        <v>58.840909090909093</v>
      </c>
      <c r="FB15" s="18">
        <f t="shared" si="40"/>
        <v>35.840909090909093</v>
      </c>
      <c r="FC15" s="18">
        <f t="shared" si="40"/>
        <v>38.840909090909093</v>
      </c>
      <c r="FD15" s="18">
        <f t="shared" si="40"/>
        <v>14.84090909090909</v>
      </c>
      <c r="FE15" s="18">
        <f t="shared" si="40"/>
        <v>16.84090909090909</v>
      </c>
      <c r="FF15" s="18">
        <f t="shared" si="40"/>
        <v>42.840909090909093</v>
      </c>
      <c r="FG15" s="18">
        <f t="shared" si="40"/>
        <v>40.840909090909093</v>
      </c>
      <c r="FH15" s="18">
        <f t="shared" si="40"/>
        <v>-0.15909090909090917</v>
      </c>
      <c r="FI15" s="39">
        <f t="shared" si="40"/>
        <v>0.84090909090909083</v>
      </c>
      <c r="FK15" s="707"/>
      <c r="FL15" s="122" t="s">
        <v>46</v>
      </c>
      <c r="FM15" s="18">
        <f t="shared" si="31"/>
        <v>47.171875</v>
      </c>
      <c r="FN15" s="18">
        <f t="shared" ref="FN15:FX15" si="41">FN5-$FR$11</f>
        <v>52.171875</v>
      </c>
      <c r="FO15" s="18">
        <f t="shared" si="41"/>
        <v>66.171875</v>
      </c>
      <c r="FP15" s="18">
        <f t="shared" si="41"/>
        <v>65.171875</v>
      </c>
      <c r="FQ15" s="18">
        <f t="shared" si="41"/>
        <v>50.171875</v>
      </c>
      <c r="FR15" s="18">
        <f t="shared" si="41"/>
        <v>50.171875</v>
      </c>
      <c r="FS15" s="18">
        <f t="shared" si="41"/>
        <v>1.171875</v>
      </c>
      <c r="FT15" s="18">
        <f t="shared" si="41"/>
        <v>1.171875</v>
      </c>
      <c r="FU15" s="18">
        <f t="shared" si="41"/>
        <v>-1.828125</v>
      </c>
      <c r="FV15" s="18">
        <f t="shared" si="41"/>
        <v>0.171875</v>
      </c>
      <c r="FW15" s="18">
        <f t="shared" si="41"/>
        <v>1.171875</v>
      </c>
      <c r="FX15" s="39">
        <f t="shared" si="41"/>
        <v>0.171875</v>
      </c>
      <c r="FZ15" s="707"/>
      <c r="GA15" s="122" t="s">
        <v>46</v>
      </c>
      <c r="GB15" s="18">
        <f t="shared" si="33"/>
        <v>41.565789473684212</v>
      </c>
      <c r="GC15" s="18">
        <f t="shared" ref="GC15:GM15" si="42">GC5-$GG$11</f>
        <v>39.565789473684212</v>
      </c>
      <c r="GD15" s="18">
        <f t="shared" si="42"/>
        <v>29.565789473684212</v>
      </c>
      <c r="GE15" s="18">
        <f t="shared" si="42"/>
        <v>25.565789473684212</v>
      </c>
      <c r="GF15" s="18">
        <f t="shared" si="42"/>
        <v>0.56578947368421062</v>
      </c>
      <c r="GG15" s="18">
        <f t="shared" si="42"/>
        <v>-1.4342105263157894</v>
      </c>
      <c r="GH15" s="18">
        <f t="shared" si="42"/>
        <v>2.5657894736842106</v>
      </c>
      <c r="GI15" s="18">
        <f t="shared" si="42"/>
        <v>-0.43421052631578938</v>
      </c>
      <c r="GJ15" s="18">
        <f t="shared" si="42"/>
        <v>-0.43421052631578938</v>
      </c>
      <c r="GK15" s="18">
        <f t="shared" si="42"/>
        <v>-0.43421052631578938</v>
      </c>
      <c r="GL15" s="18">
        <f t="shared" si="42"/>
        <v>0.56578947368421062</v>
      </c>
      <c r="GM15" s="39">
        <f t="shared" si="42"/>
        <v>-0.43421052631578938</v>
      </c>
    </row>
    <row r="16" spans="2:195" x14ac:dyDescent="0.25">
      <c r="B16" s="707"/>
      <c r="C16" s="122" t="s">
        <v>47</v>
      </c>
      <c r="D16" s="18">
        <f t="shared" si="15"/>
        <v>113.57407407407408</v>
      </c>
      <c r="E16" s="18">
        <f t="shared" si="15"/>
        <v>110.57407407407408</v>
      </c>
      <c r="F16" s="18">
        <f t="shared" si="15"/>
        <v>35.574074074074076</v>
      </c>
      <c r="G16" s="18">
        <f t="shared" si="15"/>
        <v>31.574074074074073</v>
      </c>
      <c r="H16" s="18">
        <f t="shared" si="15"/>
        <v>5.5740740740740744</v>
      </c>
      <c r="I16" s="18">
        <f t="shared" si="15"/>
        <v>5.5740740740740744</v>
      </c>
      <c r="J16" s="18">
        <f t="shared" si="15"/>
        <v>12.574074074074074</v>
      </c>
      <c r="K16" s="18">
        <f t="shared" si="15"/>
        <v>13.574074074074074</v>
      </c>
      <c r="L16" s="18">
        <f t="shared" si="15"/>
        <v>0.57407407407407396</v>
      </c>
      <c r="M16" s="18">
        <f t="shared" si="15"/>
        <v>1.574074074074074</v>
      </c>
      <c r="N16" s="18">
        <f t="shared" si="15"/>
        <v>-0.42592592592592604</v>
      </c>
      <c r="O16" s="18">
        <f t="shared" si="15"/>
        <v>0.57407407407407396</v>
      </c>
      <c r="Q16" s="707"/>
      <c r="R16" s="122" t="s">
        <v>47</v>
      </c>
      <c r="S16" s="18">
        <f t="shared" si="16"/>
        <v>73.722222222222229</v>
      </c>
      <c r="T16" s="18">
        <f t="shared" si="16"/>
        <v>72.722222222222229</v>
      </c>
      <c r="U16" s="18">
        <f t="shared" si="16"/>
        <v>25.722222222222221</v>
      </c>
      <c r="V16" s="18">
        <f t="shared" si="16"/>
        <v>10.722222222222221</v>
      </c>
      <c r="W16" s="18">
        <f t="shared" si="16"/>
        <v>59.722222222222221</v>
      </c>
      <c r="X16" s="18">
        <f t="shared" si="16"/>
        <v>59.722222222222221</v>
      </c>
      <c r="Y16" s="18">
        <f t="shared" si="16"/>
        <v>73.722222222222229</v>
      </c>
      <c r="Z16" s="18">
        <f t="shared" si="16"/>
        <v>72.722222222222229</v>
      </c>
      <c r="AA16" s="18">
        <f t="shared" si="16"/>
        <v>38.722222222222221</v>
      </c>
      <c r="AB16" s="18">
        <f t="shared" si="16"/>
        <v>40.722222222222221</v>
      </c>
      <c r="AC16" s="18">
        <f t="shared" si="16"/>
        <v>-0.27777777777777768</v>
      </c>
      <c r="AD16" s="18">
        <f t="shared" si="16"/>
        <v>1.7222222222222223</v>
      </c>
      <c r="AF16" s="707"/>
      <c r="AG16" s="122" t="s">
        <v>47</v>
      </c>
      <c r="AH16" s="18">
        <f t="shared" si="17"/>
        <v>62.882352941176471</v>
      </c>
      <c r="AI16" s="18">
        <f t="shared" si="17"/>
        <v>62.882352941176471</v>
      </c>
      <c r="AJ16" s="18">
        <f t="shared" si="17"/>
        <v>-0.11764705882352944</v>
      </c>
      <c r="AK16" s="18">
        <f t="shared" si="17"/>
        <v>-0.11764705882352944</v>
      </c>
      <c r="AL16" s="18">
        <f t="shared" si="17"/>
        <v>35.882352941176471</v>
      </c>
      <c r="AM16" s="18">
        <f t="shared" si="17"/>
        <v>31.882352941176471</v>
      </c>
      <c r="AN16" s="18">
        <f t="shared" si="17"/>
        <v>-0.11764705882352944</v>
      </c>
      <c r="AO16" s="18">
        <f t="shared" si="17"/>
        <v>-0.11764705882352944</v>
      </c>
      <c r="AP16" s="18">
        <f t="shared" si="17"/>
        <v>-0.11764705882352944</v>
      </c>
      <c r="AQ16" s="18">
        <f t="shared" si="17"/>
        <v>-0.11764705882352944</v>
      </c>
      <c r="AR16" s="18">
        <f t="shared" si="17"/>
        <v>1.8823529411764706</v>
      </c>
      <c r="AS16" s="18">
        <f t="shared" si="17"/>
        <v>-1.1176470588235294</v>
      </c>
      <c r="AU16" s="707"/>
      <c r="AV16" s="122" t="s">
        <v>47</v>
      </c>
      <c r="AW16" s="18">
        <f t="shared" si="18"/>
        <v>88.35</v>
      </c>
      <c r="AX16" s="18">
        <f t="shared" si="18"/>
        <v>89.35</v>
      </c>
      <c r="AY16" s="18">
        <f t="shared" si="18"/>
        <v>45.35</v>
      </c>
      <c r="AZ16" s="18">
        <f t="shared" si="18"/>
        <v>52.35</v>
      </c>
      <c r="BA16" s="18">
        <f t="shared" si="18"/>
        <v>0.35000000000000009</v>
      </c>
      <c r="BB16" s="18">
        <f t="shared" si="18"/>
        <v>-0.64999999999999991</v>
      </c>
      <c r="BC16" s="18">
        <f t="shared" si="18"/>
        <v>26.35</v>
      </c>
      <c r="BD16" s="18">
        <f t="shared" si="18"/>
        <v>26.35</v>
      </c>
      <c r="BE16" s="18">
        <f t="shared" si="18"/>
        <v>0.35000000000000009</v>
      </c>
      <c r="BF16" s="18">
        <f t="shared" si="18"/>
        <v>0.35000000000000009</v>
      </c>
      <c r="BG16" s="18">
        <f t="shared" si="18"/>
        <v>-0.64999999999999991</v>
      </c>
      <c r="BH16" s="18">
        <f t="shared" si="4"/>
        <v>-0.64999999999999991</v>
      </c>
      <c r="BJ16" s="707"/>
      <c r="BK16" s="122" t="s">
        <v>47</v>
      </c>
      <c r="BL16" s="18">
        <f t="shared" si="19"/>
        <v>85.424242424242422</v>
      </c>
      <c r="BM16" s="18">
        <f t="shared" ref="BM16:BW16" si="43">BM6-$BQ$11</f>
        <v>88.424242424242422</v>
      </c>
      <c r="BN16" s="18">
        <f t="shared" si="43"/>
        <v>19.424242424242426</v>
      </c>
      <c r="BO16" s="18">
        <f t="shared" si="43"/>
        <v>18.424242424242426</v>
      </c>
      <c r="BP16" s="18">
        <f t="shared" si="43"/>
        <v>33.424242424242422</v>
      </c>
      <c r="BQ16" s="18">
        <f t="shared" si="43"/>
        <v>34.424242424242422</v>
      </c>
      <c r="BR16" s="18">
        <f t="shared" si="43"/>
        <v>0.42424242424242431</v>
      </c>
      <c r="BS16" s="18">
        <f t="shared" si="43"/>
        <v>0.42424242424242431</v>
      </c>
      <c r="BT16" s="18">
        <f t="shared" si="43"/>
        <v>0.42424242424242431</v>
      </c>
      <c r="BU16" s="18">
        <f t="shared" si="43"/>
        <v>-0.57575757575757569</v>
      </c>
      <c r="BV16" s="18">
        <f t="shared" si="43"/>
        <v>0.42424242424242431</v>
      </c>
      <c r="BW16" s="39">
        <f t="shared" si="43"/>
        <v>0.42424242424242431</v>
      </c>
      <c r="BY16" s="707"/>
      <c r="BZ16" s="122" t="s">
        <v>47</v>
      </c>
      <c r="CA16" s="18">
        <f t="shared" si="21"/>
        <v>125.93181818181819</v>
      </c>
      <c r="CB16" s="18">
        <f t="shared" ref="CB16:CL16" si="44">CB6-$CF$11</f>
        <v>107.93181818181819</v>
      </c>
      <c r="CC16" s="18">
        <f t="shared" si="44"/>
        <v>50.93181818181818</v>
      </c>
      <c r="CD16" s="18">
        <f t="shared" si="44"/>
        <v>48.93181818181818</v>
      </c>
      <c r="CE16" s="18">
        <f t="shared" si="44"/>
        <v>19.93181818181818</v>
      </c>
      <c r="CF16" s="18">
        <f t="shared" si="44"/>
        <v>19.93181818181818</v>
      </c>
      <c r="CG16" s="18">
        <f t="shared" si="44"/>
        <v>52.93181818181818</v>
      </c>
      <c r="CH16" s="18">
        <f t="shared" si="44"/>
        <v>44.93181818181818</v>
      </c>
      <c r="CI16" s="18">
        <f t="shared" si="44"/>
        <v>46.93181818181818</v>
      </c>
      <c r="CJ16" s="18">
        <f t="shared" si="44"/>
        <v>43.93181818181818</v>
      </c>
      <c r="CK16" s="18">
        <f t="shared" si="44"/>
        <v>-2.0681818181818183</v>
      </c>
      <c r="CL16" s="39">
        <f t="shared" si="44"/>
        <v>-3.0681818181818183</v>
      </c>
      <c r="CN16" s="707"/>
      <c r="CO16" s="122" t="s">
        <v>47</v>
      </c>
      <c r="CP16" s="18">
        <f t="shared" si="23"/>
        <v>63.089285714285715</v>
      </c>
      <c r="CQ16" s="18">
        <f t="shared" ref="CQ16:DA16" si="45">CQ6-$CU$11</f>
        <v>70.089285714285708</v>
      </c>
      <c r="CR16" s="18">
        <f t="shared" si="45"/>
        <v>24.089285714285715</v>
      </c>
      <c r="CS16" s="18">
        <f t="shared" si="45"/>
        <v>24.089285714285715</v>
      </c>
      <c r="CT16" s="18">
        <f t="shared" si="45"/>
        <v>23.089285714285715</v>
      </c>
      <c r="CU16" s="18">
        <f t="shared" si="45"/>
        <v>25.089285714285715</v>
      </c>
      <c r="CV16" s="18">
        <f t="shared" si="45"/>
        <v>-1.9107142857142858</v>
      </c>
      <c r="CW16" s="18">
        <f t="shared" si="45"/>
        <v>-0.91071428571428581</v>
      </c>
      <c r="CX16" s="18">
        <f t="shared" si="45"/>
        <v>8.9285714285714191E-2</v>
      </c>
      <c r="CY16" s="18">
        <f t="shared" si="45"/>
        <v>-0.91071428571428581</v>
      </c>
      <c r="CZ16" s="18">
        <f t="shared" si="45"/>
        <v>1.0892857142857142</v>
      </c>
      <c r="DA16" s="39">
        <f t="shared" si="45"/>
        <v>-0.91071428571428581</v>
      </c>
      <c r="DC16" s="707"/>
      <c r="DD16" s="122" t="s">
        <v>47</v>
      </c>
      <c r="DE16" s="18">
        <f t="shared" si="25"/>
        <v>133.52272727272728</v>
      </c>
      <c r="DF16" s="18">
        <f t="shared" si="25"/>
        <v>132.52272727272728</v>
      </c>
      <c r="DG16" s="18">
        <f t="shared" si="25"/>
        <v>57.522727272727273</v>
      </c>
      <c r="DH16" s="18">
        <f t="shared" si="25"/>
        <v>54.522727272727273</v>
      </c>
      <c r="DI16" s="18">
        <f t="shared" si="25"/>
        <v>9.5227272727272734</v>
      </c>
      <c r="DJ16" s="18">
        <f t="shared" si="25"/>
        <v>10.522727272727273</v>
      </c>
      <c r="DK16" s="18">
        <f t="shared" si="25"/>
        <v>6.5227272727272734</v>
      </c>
      <c r="DL16" s="18">
        <f t="shared" si="25"/>
        <v>5.5227272727272734</v>
      </c>
      <c r="DM16" s="18">
        <f t="shared" si="25"/>
        <v>10.522727272727273</v>
      </c>
      <c r="DN16" s="18">
        <f t="shared" si="25"/>
        <v>9.5227272727272734</v>
      </c>
      <c r="DO16" s="18">
        <f t="shared" si="25"/>
        <v>1.5227272727272729</v>
      </c>
      <c r="DP16" s="18">
        <f t="shared" si="25"/>
        <v>-1.4772727272727271</v>
      </c>
      <c r="DR16" s="707"/>
      <c r="DS16" s="122" t="s">
        <v>47</v>
      </c>
      <c r="DT16" s="18">
        <f t="shared" si="26"/>
        <v>89.0625</v>
      </c>
      <c r="DU16" s="18">
        <f t="shared" ref="DU16:EE16" si="46">DU6-$DY$11</f>
        <v>85.0625</v>
      </c>
      <c r="DV16" s="18">
        <f t="shared" si="46"/>
        <v>19.0625</v>
      </c>
      <c r="DW16" s="18">
        <f t="shared" si="46"/>
        <v>17.0625</v>
      </c>
      <c r="DX16" s="18">
        <f t="shared" si="46"/>
        <v>37.0625</v>
      </c>
      <c r="DY16" s="18">
        <f t="shared" si="46"/>
        <v>37.0625</v>
      </c>
      <c r="DZ16" s="18">
        <f t="shared" si="46"/>
        <v>16.0625</v>
      </c>
      <c r="EA16" s="18">
        <f t="shared" si="46"/>
        <v>16.0625</v>
      </c>
      <c r="EB16" s="18">
        <f t="shared" si="46"/>
        <v>65.0625</v>
      </c>
      <c r="EC16" s="18">
        <f t="shared" si="46"/>
        <v>62.0625</v>
      </c>
      <c r="ED16" s="18">
        <f t="shared" si="46"/>
        <v>2.0625</v>
      </c>
      <c r="EE16" s="39">
        <f t="shared" si="46"/>
        <v>6.0625</v>
      </c>
      <c r="EG16" s="707"/>
      <c r="EH16" s="122" t="s">
        <v>47</v>
      </c>
      <c r="EI16" s="18">
        <f t="shared" si="28"/>
        <v>68.355238095238093</v>
      </c>
      <c r="EJ16" s="18">
        <f t="shared" ref="EJ16:ET16" si="47">EJ6-$EN$11</f>
        <v>79.355238095238093</v>
      </c>
      <c r="EK16" s="18">
        <f t="shared" si="47"/>
        <v>41.355238095238093</v>
      </c>
      <c r="EL16" s="18">
        <f t="shared" si="47"/>
        <v>40.355238095238093</v>
      </c>
      <c r="EM16" s="18">
        <f t="shared" si="47"/>
        <v>49.355238095238093</v>
      </c>
      <c r="EN16" s="18">
        <f t="shared" si="47"/>
        <v>48.355238095238093</v>
      </c>
      <c r="EO16" s="18">
        <f t="shared" si="47"/>
        <v>-2.6447619047619049</v>
      </c>
      <c r="EP16" s="18">
        <f t="shared" si="47"/>
        <v>3.3552380952380951</v>
      </c>
      <c r="EQ16" s="18">
        <f t="shared" si="47"/>
        <v>5.3552380952380947</v>
      </c>
      <c r="ER16" s="18">
        <f t="shared" si="47"/>
        <v>-1.6447619047619049</v>
      </c>
      <c r="ES16" s="18">
        <f t="shared" si="47"/>
        <v>4.3552380952380947</v>
      </c>
      <c r="ET16" s="39">
        <f t="shared" si="47"/>
        <v>-0.64476190476190487</v>
      </c>
      <c r="EV16" s="707"/>
      <c r="EW16" s="122" t="s">
        <v>47</v>
      </c>
      <c r="EX16" s="18">
        <f t="shared" si="11"/>
        <v>87.840909090909093</v>
      </c>
      <c r="EY16" s="18">
        <f t="shared" ref="EY16:FI16" si="48">EY6-$FC$11</f>
        <v>89.840909090909093</v>
      </c>
      <c r="EZ16" s="18">
        <f t="shared" si="48"/>
        <v>55.840909090909093</v>
      </c>
      <c r="FA16" s="18">
        <f t="shared" si="48"/>
        <v>53.840909090909093</v>
      </c>
      <c r="FB16" s="18">
        <f t="shared" si="48"/>
        <v>36.840909090909093</v>
      </c>
      <c r="FC16" s="18">
        <f t="shared" si="48"/>
        <v>39.840909090909093</v>
      </c>
      <c r="FD16" s="18">
        <f t="shared" si="48"/>
        <v>11.84090909090909</v>
      </c>
      <c r="FE16" s="18">
        <f t="shared" si="48"/>
        <v>12.84090909090909</v>
      </c>
      <c r="FF16" s="18">
        <f t="shared" si="48"/>
        <v>37.840909090909093</v>
      </c>
      <c r="FG16" s="18">
        <f t="shared" si="48"/>
        <v>37.840909090909093</v>
      </c>
      <c r="FH16" s="18">
        <f t="shared" si="48"/>
        <v>-1.1590909090909092</v>
      </c>
      <c r="FI16" s="39">
        <f t="shared" si="48"/>
        <v>0.84090909090909083</v>
      </c>
      <c r="FK16" s="707"/>
      <c r="FL16" s="122" t="s">
        <v>47</v>
      </c>
      <c r="FM16" s="18">
        <f t="shared" si="31"/>
        <v>98.171875</v>
      </c>
      <c r="FN16" s="18">
        <f t="shared" ref="FN16:FX16" si="49">FN6-$FR$11</f>
        <v>97.171875</v>
      </c>
      <c r="FO16" s="18">
        <f t="shared" si="49"/>
        <v>51.171875</v>
      </c>
      <c r="FP16" s="18">
        <f t="shared" si="49"/>
        <v>54.171875</v>
      </c>
      <c r="FQ16" s="18">
        <f t="shared" si="49"/>
        <v>61.171875</v>
      </c>
      <c r="FR16" s="18">
        <f t="shared" si="49"/>
        <v>54.171875</v>
      </c>
      <c r="FS16" s="18">
        <f t="shared" si="49"/>
        <v>2.171875</v>
      </c>
      <c r="FT16" s="18">
        <f t="shared" si="49"/>
        <v>1.171875</v>
      </c>
      <c r="FU16" s="18">
        <f t="shared" si="49"/>
        <v>-0.828125</v>
      </c>
      <c r="FV16" s="18">
        <f t="shared" si="49"/>
        <v>-0.828125</v>
      </c>
      <c r="FW16" s="18">
        <f t="shared" si="49"/>
        <v>0.171875</v>
      </c>
      <c r="FX16" s="39">
        <f t="shared" si="49"/>
        <v>-1.828125</v>
      </c>
      <c r="FZ16" s="707"/>
      <c r="GA16" s="122" t="s">
        <v>47</v>
      </c>
      <c r="GB16" s="18">
        <f t="shared" si="33"/>
        <v>79.565789473684205</v>
      </c>
      <c r="GC16" s="18">
        <f t="shared" ref="GC16:GM16" si="50">GC6-$GG$11</f>
        <v>78.565789473684205</v>
      </c>
      <c r="GD16" s="18">
        <f t="shared" si="50"/>
        <v>14.565789473684211</v>
      </c>
      <c r="GE16" s="18">
        <f t="shared" si="50"/>
        <v>21.565789473684212</v>
      </c>
      <c r="GF16" s="18">
        <f t="shared" si="50"/>
        <v>-0.43421052631578938</v>
      </c>
      <c r="GG16" s="18">
        <f t="shared" si="50"/>
        <v>-0.43421052631578938</v>
      </c>
      <c r="GH16" s="18">
        <f t="shared" si="50"/>
        <v>-0.43421052631578938</v>
      </c>
      <c r="GI16" s="18">
        <f t="shared" si="50"/>
        <v>1.5657894736842106</v>
      </c>
      <c r="GJ16" s="18">
        <f t="shared" si="50"/>
        <v>-0.43421052631578938</v>
      </c>
      <c r="GK16" s="18">
        <f t="shared" si="50"/>
        <v>-1.4342105263157894</v>
      </c>
      <c r="GL16" s="18">
        <f t="shared" si="50"/>
        <v>-0.43421052631578938</v>
      </c>
      <c r="GM16" s="39">
        <f t="shared" si="50"/>
        <v>-0.43421052631578938</v>
      </c>
    </row>
    <row r="17" spans="2:195" x14ac:dyDescent="0.25">
      <c r="B17" s="707"/>
      <c r="C17" s="122" t="s">
        <v>48</v>
      </c>
      <c r="D17" s="18">
        <f t="shared" si="15"/>
        <v>237.57407407407408</v>
      </c>
      <c r="E17" s="18">
        <f t="shared" si="15"/>
        <v>242.57407407407408</v>
      </c>
      <c r="F17" s="18">
        <f t="shared" si="15"/>
        <v>12.574074074074074</v>
      </c>
      <c r="G17" s="18">
        <f t="shared" si="15"/>
        <v>12.574074074074074</v>
      </c>
      <c r="H17" s="18">
        <f t="shared" si="15"/>
        <v>20.574074074074073</v>
      </c>
      <c r="I17" s="18">
        <f t="shared" si="15"/>
        <v>24.574074074074073</v>
      </c>
      <c r="J17" s="18">
        <f t="shared" si="15"/>
        <v>-0.42592592592592604</v>
      </c>
      <c r="K17" s="18">
        <f t="shared" si="15"/>
        <v>0.57407407407407396</v>
      </c>
      <c r="L17" s="18">
        <f t="shared" si="15"/>
        <v>-0.42592592592592604</v>
      </c>
      <c r="M17" s="18">
        <f t="shared" si="15"/>
        <v>0.57407407407407396</v>
      </c>
      <c r="N17" s="18">
        <f t="shared" si="15"/>
        <v>-0.42592592592592604</v>
      </c>
      <c r="O17" s="18">
        <f t="shared" si="15"/>
        <v>0.57407407407407396</v>
      </c>
      <c r="Q17" s="707"/>
      <c r="R17" s="122" t="s">
        <v>48</v>
      </c>
      <c r="S17" s="18">
        <f t="shared" si="16"/>
        <v>174.72222222222223</v>
      </c>
      <c r="T17" s="18">
        <f t="shared" si="16"/>
        <v>177.72222222222223</v>
      </c>
      <c r="U17" s="18">
        <f t="shared" si="16"/>
        <v>11.722222222222221</v>
      </c>
      <c r="V17" s="18">
        <f t="shared" si="16"/>
        <v>8.7222222222222214</v>
      </c>
      <c r="W17" s="18">
        <f t="shared" si="16"/>
        <v>45.722222222222221</v>
      </c>
      <c r="X17" s="18">
        <f t="shared" si="16"/>
        <v>47.722222222222221</v>
      </c>
      <c r="Y17" s="18">
        <f t="shared" si="16"/>
        <v>51.722222222222221</v>
      </c>
      <c r="Z17" s="18">
        <f t="shared" si="16"/>
        <v>50.722222222222221</v>
      </c>
      <c r="AA17" s="18">
        <f t="shared" si="16"/>
        <v>41.722222222222221</v>
      </c>
      <c r="AB17" s="18">
        <f t="shared" si="16"/>
        <v>41.722222222222221</v>
      </c>
      <c r="AC17" s="18">
        <f t="shared" si="16"/>
        <v>0.72222222222222232</v>
      </c>
      <c r="AD17" s="18">
        <f t="shared" si="16"/>
        <v>-0.27777777777777768</v>
      </c>
      <c r="AF17" s="707"/>
      <c r="AG17" s="122" t="s">
        <v>48</v>
      </c>
      <c r="AH17" s="18">
        <f t="shared" si="17"/>
        <v>121.88235294117646</v>
      </c>
      <c r="AI17" s="18">
        <f t="shared" si="17"/>
        <v>131.88235294117646</v>
      </c>
      <c r="AJ17" s="18">
        <f t="shared" si="17"/>
        <v>-1.1176470588235294</v>
      </c>
      <c r="AK17" s="18">
        <f t="shared" si="17"/>
        <v>1.8823529411764706</v>
      </c>
      <c r="AL17" s="18">
        <f t="shared" si="17"/>
        <v>35.882352941176471</v>
      </c>
      <c r="AM17" s="18">
        <f t="shared" si="17"/>
        <v>38.882352941176471</v>
      </c>
      <c r="AN17" s="18">
        <f t="shared" si="17"/>
        <v>-0.11764705882352944</v>
      </c>
      <c r="AO17" s="18">
        <f t="shared" si="17"/>
        <v>-0.11764705882352944</v>
      </c>
      <c r="AP17" s="18">
        <f t="shared" si="17"/>
        <v>-1.1176470588235294</v>
      </c>
      <c r="AQ17" s="18">
        <f t="shared" si="17"/>
        <v>-1.1176470588235294</v>
      </c>
      <c r="AR17" s="18">
        <f t="shared" si="17"/>
        <v>0.88235294117647056</v>
      </c>
      <c r="AS17" s="18">
        <f t="shared" si="17"/>
        <v>1.8823529411764706</v>
      </c>
      <c r="AU17" s="707"/>
      <c r="AV17" s="122" t="s">
        <v>48</v>
      </c>
      <c r="AW17" s="18">
        <f t="shared" si="18"/>
        <v>166.35</v>
      </c>
      <c r="AX17" s="18">
        <f t="shared" si="18"/>
        <v>166.35</v>
      </c>
      <c r="AY17" s="18">
        <f t="shared" si="18"/>
        <v>60.35</v>
      </c>
      <c r="AZ17" s="18">
        <f t="shared" si="18"/>
        <v>63.35</v>
      </c>
      <c r="BA17" s="18">
        <f t="shared" si="18"/>
        <v>1.35</v>
      </c>
      <c r="BB17" s="18">
        <f t="shared" si="18"/>
        <v>-1.65</v>
      </c>
      <c r="BC17" s="18">
        <f t="shared" si="18"/>
        <v>29.35</v>
      </c>
      <c r="BD17" s="18">
        <f t="shared" si="18"/>
        <v>31.35</v>
      </c>
      <c r="BE17" s="18">
        <f t="shared" si="18"/>
        <v>-0.64999999999999991</v>
      </c>
      <c r="BF17" s="18">
        <f t="shared" si="18"/>
        <v>0.35000000000000009</v>
      </c>
      <c r="BG17" s="18">
        <f t="shared" si="18"/>
        <v>0.35000000000000009</v>
      </c>
      <c r="BH17" s="18">
        <f t="shared" si="4"/>
        <v>0.35000000000000009</v>
      </c>
      <c r="BJ17" s="707"/>
      <c r="BK17" s="122" t="s">
        <v>48</v>
      </c>
      <c r="BL17" s="18">
        <f t="shared" si="19"/>
        <v>109.42424242424242</v>
      </c>
      <c r="BM17" s="18">
        <f t="shared" ref="BM17:BW17" si="51">BM7-$BQ$11</f>
        <v>137.42424242424244</v>
      </c>
      <c r="BN17" s="18">
        <f t="shared" si="51"/>
        <v>-0.57575757575757569</v>
      </c>
      <c r="BO17" s="18">
        <f t="shared" si="51"/>
        <v>1.4242424242424243</v>
      </c>
      <c r="BP17" s="18">
        <f t="shared" si="51"/>
        <v>27.424242424242426</v>
      </c>
      <c r="BQ17" s="18">
        <f t="shared" si="51"/>
        <v>26.424242424242426</v>
      </c>
      <c r="BR17" s="18">
        <f t="shared" si="51"/>
        <v>-1.5757575757575757</v>
      </c>
      <c r="BS17" s="18">
        <f t="shared" si="51"/>
        <v>0.42424242424242431</v>
      </c>
      <c r="BT17" s="18">
        <f t="shared" si="51"/>
        <v>1.4242424242424243</v>
      </c>
      <c r="BU17" s="18">
        <f t="shared" si="51"/>
        <v>-1.5757575757575757</v>
      </c>
      <c r="BV17" s="18">
        <f t="shared" si="51"/>
        <v>-0.57575757575757569</v>
      </c>
      <c r="BW17" s="39">
        <f t="shared" si="51"/>
        <v>-1.5757575757575757</v>
      </c>
      <c r="BY17" s="707"/>
      <c r="BZ17" s="122" t="s">
        <v>48</v>
      </c>
      <c r="CA17" s="18">
        <f t="shared" si="21"/>
        <v>147.93181818181819</v>
      </c>
      <c r="CB17" s="18">
        <f t="shared" ref="CB17:CL17" si="52">CB7-$CF$11</f>
        <v>139.93181818181819</v>
      </c>
      <c r="CC17" s="18">
        <f t="shared" si="52"/>
        <v>56.93181818181818</v>
      </c>
      <c r="CD17" s="18">
        <f t="shared" si="52"/>
        <v>57.93181818181818</v>
      </c>
      <c r="CE17" s="18">
        <f t="shared" si="52"/>
        <v>21.93181818181818</v>
      </c>
      <c r="CF17" s="18">
        <f t="shared" si="52"/>
        <v>19.93181818181818</v>
      </c>
      <c r="CG17" s="18">
        <f t="shared" si="52"/>
        <v>37.93181818181818</v>
      </c>
      <c r="CH17" s="18">
        <f t="shared" si="52"/>
        <v>34.93181818181818</v>
      </c>
      <c r="CI17" s="18">
        <f t="shared" si="52"/>
        <v>32.93181818181818</v>
      </c>
      <c r="CJ17" s="18">
        <f t="shared" si="52"/>
        <v>29.93181818181818</v>
      </c>
      <c r="CK17" s="18">
        <f t="shared" si="52"/>
        <v>-1.0681818181818183</v>
      </c>
      <c r="CL17" s="39">
        <f t="shared" si="52"/>
        <v>-6.8181818181818343E-2</v>
      </c>
      <c r="CN17" s="707"/>
      <c r="CO17" s="122" t="s">
        <v>48</v>
      </c>
      <c r="CP17" s="18">
        <f t="shared" si="23"/>
        <v>160.08928571428572</v>
      </c>
      <c r="CQ17" s="18">
        <f t="shared" ref="CQ17:DA17" si="53">CQ7-$CU$11</f>
        <v>163.08928571428572</v>
      </c>
      <c r="CR17" s="18">
        <f t="shared" si="53"/>
        <v>41.089285714285715</v>
      </c>
      <c r="CS17" s="18">
        <f t="shared" si="53"/>
        <v>35.089285714285715</v>
      </c>
      <c r="CT17" s="18">
        <f t="shared" si="53"/>
        <v>21.089285714285715</v>
      </c>
      <c r="CU17" s="18">
        <f t="shared" si="53"/>
        <v>20.089285714285715</v>
      </c>
      <c r="CV17" s="18">
        <f t="shared" si="53"/>
        <v>1.0892857142857142</v>
      </c>
      <c r="CW17" s="18">
        <f t="shared" si="53"/>
        <v>1.0892857142857142</v>
      </c>
      <c r="CX17" s="18">
        <f t="shared" si="53"/>
        <v>2.0892857142857144</v>
      </c>
      <c r="CY17" s="18">
        <f t="shared" si="53"/>
        <v>8.9285714285714191E-2</v>
      </c>
      <c r="CZ17" s="18">
        <f t="shared" si="53"/>
        <v>1.0892857142857142</v>
      </c>
      <c r="DA17" s="39">
        <f t="shared" si="53"/>
        <v>1.0892857142857142</v>
      </c>
      <c r="DC17" s="707"/>
      <c r="DD17" s="122" t="s">
        <v>48</v>
      </c>
      <c r="DE17" s="18">
        <f t="shared" si="25"/>
        <v>243.52272727272728</v>
      </c>
      <c r="DF17" s="18">
        <f t="shared" si="25"/>
        <v>240.52272727272728</v>
      </c>
      <c r="DG17" s="18">
        <f t="shared" si="25"/>
        <v>58.522727272727273</v>
      </c>
      <c r="DH17" s="18">
        <f t="shared" si="25"/>
        <v>51.522727272727273</v>
      </c>
      <c r="DI17" s="18">
        <f t="shared" si="25"/>
        <v>19.522727272727273</v>
      </c>
      <c r="DJ17" s="18">
        <f t="shared" si="25"/>
        <v>21.522727272727273</v>
      </c>
      <c r="DK17" s="18">
        <f t="shared" si="25"/>
        <v>15.522727272727273</v>
      </c>
      <c r="DL17" s="18">
        <f t="shared" si="25"/>
        <v>15.522727272727273</v>
      </c>
      <c r="DM17" s="18">
        <f t="shared" si="25"/>
        <v>0.52272727272727293</v>
      </c>
      <c r="DN17" s="18">
        <f t="shared" si="25"/>
        <v>0.52272727272727293</v>
      </c>
      <c r="DO17" s="18">
        <f t="shared" si="25"/>
        <v>-0.47727272727272707</v>
      </c>
      <c r="DP17" s="18">
        <f t="shared" si="25"/>
        <v>0.52272727272727293</v>
      </c>
      <c r="DR17" s="707"/>
      <c r="DS17" s="122" t="s">
        <v>48</v>
      </c>
      <c r="DT17" s="18">
        <f t="shared" si="26"/>
        <v>131.0625</v>
      </c>
      <c r="DU17" s="18">
        <f t="shared" ref="DU17:EE17" si="54">DU7-$DY$11</f>
        <v>132.0625</v>
      </c>
      <c r="DV17" s="18">
        <f t="shared" si="54"/>
        <v>19.0625</v>
      </c>
      <c r="DW17" s="18">
        <f t="shared" si="54"/>
        <v>19.0625</v>
      </c>
      <c r="DX17" s="18">
        <f t="shared" si="54"/>
        <v>34.0625</v>
      </c>
      <c r="DY17" s="18">
        <f t="shared" si="54"/>
        <v>35.0625</v>
      </c>
      <c r="DZ17" s="18">
        <f t="shared" si="54"/>
        <v>9.0625</v>
      </c>
      <c r="EA17" s="18">
        <f t="shared" si="54"/>
        <v>9.0625</v>
      </c>
      <c r="EB17" s="18">
        <f t="shared" si="54"/>
        <v>50.0625</v>
      </c>
      <c r="EC17" s="18">
        <f t="shared" si="54"/>
        <v>67.0625</v>
      </c>
      <c r="ED17" s="18">
        <f t="shared" si="54"/>
        <v>6.0625</v>
      </c>
      <c r="EE17" s="39">
        <f t="shared" si="54"/>
        <v>3.0625</v>
      </c>
      <c r="EG17" s="707"/>
      <c r="EH17" s="122" t="s">
        <v>48</v>
      </c>
      <c r="EI17" s="18">
        <f t="shared" si="28"/>
        <v>195.35523809523809</v>
      </c>
      <c r="EJ17" s="18">
        <f t="shared" ref="EJ17:ET17" si="55">EJ7-$EN$11</f>
        <v>197.35523809523809</v>
      </c>
      <c r="EK17" s="18">
        <f t="shared" si="55"/>
        <v>46.355238095238093</v>
      </c>
      <c r="EL17" s="18">
        <f t="shared" si="55"/>
        <v>53.355238095238093</v>
      </c>
      <c r="EM17" s="18">
        <f t="shared" si="55"/>
        <v>34.355238095238093</v>
      </c>
      <c r="EN17" s="18">
        <f t="shared" si="55"/>
        <v>37.355238095238093</v>
      </c>
      <c r="EO17" s="18">
        <f t="shared" si="55"/>
        <v>-0.64476190476190487</v>
      </c>
      <c r="EP17" s="18">
        <f t="shared" si="55"/>
        <v>3.3552380952380951</v>
      </c>
      <c r="EQ17" s="18">
        <f t="shared" si="55"/>
        <v>3.3552380952380951</v>
      </c>
      <c r="ER17" s="18">
        <f t="shared" si="55"/>
        <v>-1.6447619047619049</v>
      </c>
      <c r="ES17" s="18">
        <f t="shared" si="55"/>
        <v>0.35523809523809513</v>
      </c>
      <c r="ET17" s="39">
        <f t="shared" si="55"/>
        <v>-2.6447619047619049</v>
      </c>
      <c r="EV17" s="707"/>
      <c r="EW17" s="122" t="s">
        <v>48</v>
      </c>
      <c r="EX17" s="18">
        <f t="shared" si="11"/>
        <v>179.84090909090909</v>
      </c>
      <c r="EY17" s="18">
        <f t="shared" ref="EY17:FI17" si="56">EY7-$FC$11</f>
        <v>172.84090909090909</v>
      </c>
      <c r="EZ17" s="18">
        <f t="shared" si="56"/>
        <v>25.84090909090909</v>
      </c>
      <c r="FA17" s="18">
        <f t="shared" si="56"/>
        <v>29.84090909090909</v>
      </c>
      <c r="FB17" s="18">
        <f t="shared" si="56"/>
        <v>37.840909090909093</v>
      </c>
      <c r="FC17" s="18">
        <f t="shared" si="56"/>
        <v>38.840909090909093</v>
      </c>
      <c r="FD17" s="18">
        <f t="shared" si="56"/>
        <v>41.840909090909093</v>
      </c>
      <c r="FE17" s="18">
        <f t="shared" si="56"/>
        <v>40.840909090909093</v>
      </c>
      <c r="FF17" s="18">
        <f t="shared" si="56"/>
        <v>43.840909090909093</v>
      </c>
      <c r="FG17" s="18">
        <f t="shared" si="56"/>
        <v>39.840909090909093</v>
      </c>
      <c r="FH17" s="18">
        <f t="shared" si="56"/>
        <v>-0.15909090909090917</v>
      </c>
      <c r="FI17" s="39">
        <f t="shared" si="56"/>
        <v>-1.1590909090909092</v>
      </c>
      <c r="FK17" s="707"/>
      <c r="FL17" s="122" t="s">
        <v>48</v>
      </c>
      <c r="FM17" s="18">
        <f t="shared" si="31"/>
        <v>178.171875</v>
      </c>
      <c r="FN17" s="18">
        <f t="shared" ref="FN17:FX17" si="57">FN7-$FR$11</f>
        <v>179.171875</v>
      </c>
      <c r="FO17" s="18">
        <f t="shared" si="57"/>
        <v>53.171875</v>
      </c>
      <c r="FP17" s="18">
        <f t="shared" si="57"/>
        <v>52.171875</v>
      </c>
      <c r="FQ17" s="18">
        <f t="shared" si="57"/>
        <v>48.171875</v>
      </c>
      <c r="FR17" s="18">
        <f t="shared" si="57"/>
        <v>46.171875</v>
      </c>
      <c r="FS17" s="18">
        <f t="shared" si="57"/>
        <v>1.171875</v>
      </c>
      <c r="FT17" s="18">
        <f t="shared" si="57"/>
        <v>-0.828125</v>
      </c>
      <c r="FU17" s="18">
        <f t="shared" si="57"/>
        <v>0.171875</v>
      </c>
      <c r="FV17" s="18">
        <f t="shared" si="57"/>
        <v>-1.828125</v>
      </c>
      <c r="FW17" s="18">
        <f t="shared" si="57"/>
        <v>0.171875</v>
      </c>
      <c r="FX17" s="39">
        <f t="shared" si="57"/>
        <v>3.171875</v>
      </c>
      <c r="FZ17" s="707"/>
      <c r="GA17" s="122" t="s">
        <v>48</v>
      </c>
      <c r="GB17" s="18">
        <f t="shared" si="33"/>
        <v>160.56578947368422</v>
      </c>
      <c r="GC17" s="18">
        <f t="shared" ref="GC17:GM17" si="58">GC7-$GG$11</f>
        <v>160.56578947368422</v>
      </c>
      <c r="GD17" s="18">
        <f t="shared" si="58"/>
        <v>-0.43421052631578938</v>
      </c>
      <c r="GE17" s="18">
        <f t="shared" si="58"/>
        <v>-0.43421052631578938</v>
      </c>
      <c r="GF17" s="18">
        <f t="shared" si="58"/>
        <v>-0.43421052631578938</v>
      </c>
      <c r="GG17" s="18">
        <f t="shared" si="58"/>
        <v>-1.4342105263157894</v>
      </c>
      <c r="GH17" s="18">
        <f t="shared" si="58"/>
        <v>-0.43421052631578938</v>
      </c>
      <c r="GI17" s="18">
        <f t="shared" si="58"/>
        <v>2.5657894736842106</v>
      </c>
      <c r="GJ17" s="18">
        <f t="shared" si="58"/>
        <v>0.56578947368421062</v>
      </c>
      <c r="GK17" s="18">
        <f t="shared" si="58"/>
        <v>-1.4342105263157894</v>
      </c>
      <c r="GL17" s="18">
        <f t="shared" si="58"/>
        <v>-0.43421052631578938</v>
      </c>
      <c r="GM17" s="39">
        <f t="shared" si="58"/>
        <v>1.5657894736842106</v>
      </c>
    </row>
    <row r="18" spans="2:195" x14ac:dyDescent="0.25">
      <c r="B18" s="707"/>
      <c r="C18" s="122" t="s">
        <v>49</v>
      </c>
      <c r="D18" s="18">
        <f t="shared" si="15"/>
        <v>234.57407407407408</v>
      </c>
      <c r="E18" s="18">
        <f t="shared" si="15"/>
        <v>264.57407407407408</v>
      </c>
      <c r="F18" s="18">
        <f t="shared" si="15"/>
        <v>25.574074074074073</v>
      </c>
      <c r="G18" s="18">
        <f t="shared" si="15"/>
        <v>20.574074074074073</v>
      </c>
      <c r="H18" s="18">
        <f t="shared" si="15"/>
        <v>-1.425925925925926</v>
      </c>
      <c r="I18" s="18">
        <f t="shared" si="15"/>
        <v>0.57407407407407396</v>
      </c>
      <c r="J18" s="18">
        <f t="shared" si="15"/>
        <v>-1.425925925925926</v>
      </c>
      <c r="K18" s="18">
        <f t="shared" si="15"/>
        <v>1.574074074074074</v>
      </c>
      <c r="L18" s="18">
        <f t="shared" si="15"/>
        <v>-0.42592592592592604</v>
      </c>
      <c r="M18" s="18">
        <f t="shared" si="15"/>
        <v>1.574074074074074</v>
      </c>
      <c r="N18" s="18">
        <f t="shared" si="15"/>
        <v>0.57407407407407396</v>
      </c>
      <c r="O18" s="18">
        <f t="shared" si="15"/>
        <v>-2.425925925925926</v>
      </c>
      <c r="Q18" s="707"/>
      <c r="R18" s="122" t="s">
        <v>49</v>
      </c>
      <c r="S18" s="18">
        <f t="shared" si="16"/>
        <v>265.72222222222223</v>
      </c>
      <c r="T18" s="18">
        <f t="shared" si="16"/>
        <v>260.72222222222223</v>
      </c>
      <c r="U18" s="18">
        <f t="shared" si="16"/>
        <v>0.72222222222222232</v>
      </c>
      <c r="V18" s="18">
        <f t="shared" si="16"/>
        <v>0.72222222222222232</v>
      </c>
      <c r="W18" s="18">
        <f t="shared" si="16"/>
        <v>38.722222222222221</v>
      </c>
      <c r="X18" s="18">
        <f t="shared" si="16"/>
        <v>37.722222222222221</v>
      </c>
      <c r="Y18" s="18">
        <f t="shared" si="16"/>
        <v>51.722222222222221</v>
      </c>
      <c r="Z18" s="18">
        <f t="shared" si="16"/>
        <v>51.722222222222221</v>
      </c>
      <c r="AA18" s="18">
        <f t="shared" si="16"/>
        <v>30.722222222222221</v>
      </c>
      <c r="AB18" s="18">
        <f t="shared" si="16"/>
        <v>31.722222222222221</v>
      </c>
      <c r="AC18" s="18">
        <f t="shared" si="16"/>
        <v>-0.27777777777777768</v>
      </c>
      <c r="AD18" s="18">
        <f t="shared" si="16"/>
        <v>0.72222222222222232</v>
      </c>
      <c r="AF18" s="707"/>
      <c r="AG18" s="122" t="s">
        <v>49</v>
      </c>
      <c r="AH18" s="18">
        <f t="shared" si="17"/>
        <v>133.88235294117646</v>
      </c>
      <c r="AI18" s="18">
        <f t="shared" si="17"/>
        <v>136.88235294117646</v>
      </c>
      <c r="AJ18" s="18">
        <f t="shared" si="17"/>
        <v>-1.1176470588235294</v>
      </c>
      <c r="AK18" s="18">
        <f t="shared" si="17"/>
        <v>0.88235294117647056</v>
      </c>
      <c r="AL18" s="18">
        <f t="shared" si="17"/>
        <v>-1.1176470588235294</v>
      </c>
      <c r="AM18" s="18">
        <f t="shared" si="17"/>
        <v>-1.1176470588235294</v>
      </c>
      <c r="AN18" s="18">
        <f t="shared" si="17"/>
        <v>-0.11764705882352944</v>
      </c>
      <c r="AO18" s="18">
        <f t="shared" si="17"/>
        <v>-1.1176470588235294</v>
      </c>
      <c r="AP18" s="18">
        <f t="shared" si="17"/>
        <v>-1.1176470588235294</v>
      </c>
      <c r="AQ18" s="18">
        <f t="shared" si="17"/>
        <v>-0.11764705882352944</v>
      </c>
      <c r="AR18" s="18">
        <f t="shared" si="17"/>
        <v>0.88235294117647056</v>
      </c>
      <c r="AS18" s="18">
        <f t="shared" si="17"/>
        <v>-1.1176470588235294</v>
      </c>
      <c r="AU18" s="707"/>
      <c r="AV18" s="122" t="s">
        <v>49</v>
      </c>
      <c r="AW18" s="18">
        <f t="shared" si="18"/>
        <v>194.35</v>
      </c>
      <c r="AX18" s="18">
        <f t="shared" si="18"/>
        <v>201.35</v>
      </c>
      <c r="AY18" s="18">
        <f t="shared" si="18"/>
        <v>-0.64999999999999991</v>
      </c>
      <c r="AZ18" s="18">
        <f t="shared" si="18"/>
        <v>-0.64999999999999991</v>
      </c>
      <c r="BA18" s="18">
        <f t="shared" si="18"/>
        <v>1.35</v>
      </c>
      <c r="BB18" s="18">
        <f t="shared" si="18"/>
        <v>0.35000000000000009</v>
      </c>
      <c r="BC18" s="18">
        <f t="shared" si="18"/>
        <v>-0.64999999999999991</v>
      </c>
      <c r="BD18" s="18">
        <f t="shared" si="18"/>
        <v>1.35</v>
      </c>
      <c r="BE18" s="18">
        <f t="shared" si="18"/>
        <v>-0.64999999999999991</v>
      </c>
      <c r="BF18" s="18">
        <f t="shared" si="18"/>
        <v>0.35000000000000009</v>
      </c>
      <c r="BG18" s="18">
        <f t="shared" si="18"/>
        <v>-0.64999999999999991</v>
      </c>
      <c r="BH18" s="18">
        <f t="shared" si="4"/>
        <v>2.35</v>
      </c>
      <c r="BJ18" s="707"/>
      <c r="BK18" s="122" t="s">
        <v>49</v>
      </c>
      <c r="BL18" s="18">
        <f t="shared" si="19"/>
        <v>183.42424242424244</v>
      </c>
      <c r="BM18" s="18">
        <f t="shared" ref="BM18:BW18" si="59">BM8-$BQ$11</f>
        <v>183.42424242424244</v>
      </c>
      <c r="BN18" s="18">
        <f t="shared" si="59"/>
        <v>1.4242424242424243</v>
      </c>
      <c r="BO18" s="18">
        <f t="shared" si="59"/>
        <v>-0.57575757575757569</v>
      </c>
      <c r="BP18" s="18">
        <f t="shared" si="59"/>
        <v>-0.57575757575757569</v>
      </c>
      <c r="BQ18" s="18">
        <f t="shared" si="59"/>
        <v>-0.57575757575757569</v>
      </c>
      <c r="BR18" s="18">
        <f t="shared" si="59"/>
        <v>-0.57575757575757569</v>
      </c>
      <c r="BS18" s="18">
        <f t="shared" si="59"/>
        <v>-1.5757575757575757</v>
      </c>
      <c r="BT18" s="18">
        <f t="shared" si="59"/>
        <v>0.42424242424242431</v>
      </c>
      <c r="BU18" s="18">
        <f t="shared" si="59"/>
        <v>0.42424242424242431</v>
      </c>
      <c r="BV18" s="18">
        <f t="shared" si="59"/>
        <v>-0.57575757575757569</v>
      </c>
      <c r="BW18" s="39">
        <f t="shared" si="59"/>
        <v>1.4242424242424243</v>
      </c>
      <c r="BY18" s="707"/>
      <c r="BZ18" s="122" t="s">
        <v>49</v>
      </c>
      <c r="CA18" s="18">
        <f t="shared" si="21"/>
        <v>281.93181818181819</v>
      </c>
      <c r="CB18" s="18">
        <f t="shared" ref="CB18:CL18" si="60">CB8-$CF$11</f>
        <v>267.93181818181819</v>
      </c>
      <c r="CC18" s="18">
        <f t="shared" si="60"/>
        <v>-6.8181818181818343E-2</v>
      </c>
      <c r="CD18" s="18">
        <f t="shared" si="60"/>
        <v>2.9318181818181817</v>
      </c>
      <c r="CE18" s="18">
        <f t="shared" si="60"/>
        <v>1.9318181818181817</v>
      </c>
      <c r="CF18" s="18">
        <f t="shared" si="60"/>
        <v>-1.0681818181818183</v>
      </c>
      <c r="CG18" s="18">
        <f t="shared" si="60"/>
        <v>1.9318181818181817</v>
      </c>
      <c r="CH18" s="18">
        <f t="shared" si="60"/>
        <v>-6.8181818181818343E-2</v>
      </c>
      <c r="CI18" s="18">
        <f t="shared" si="60"/>
        <v>0.93181818181818166</v>
      </c>
      <c r="CJ18" s="18">
        <f t="shared" si="60"/>
        <v>-1.0681818181818183</v>
      </c>
      <c r="CK18" s="18">
        <f t="shared" si="60"/>
        <v>-2.0681818181818183</v>
      </c>
      <c r="CL18" s="39">
        <f t="shared" si="60"/>
        <v>1.9318181818181817</v>
      </c>
      <c r="CN18" s="707"/>
      <c r="CO18" s="122" t="s">
        <v>49</v>
      </c>
      <c r="CP18" s="18">
        <f t="shared" si="23"/>
        <v>200.08928571428572</v>
      </c>
      <c r="CQ18" s="18">
        <f t="shared" ref="CQ18:DA18" si="61">CQ8-$CU$11</f>
        <v>202.08928571428572</v>
      </c>
      <c r="CR18" s="18">
        <f t="shared" si="61"/>
        <v>1.0892857142857142</v>
      </c>
      <c r="CS18" s="18">
        <f t="shared" si="61"/>
        <v>-0.91071428571428581</v>
      </c>
      <c r="CT18" s="18">
        <f t="shared" si="61"/>
        <v>17.089285714285715</v>
      </c>
      <c r="CU18" s="18">
        <f t="shared" si="61"/>
        <v>15.089285714285714</v>
      </c>
      <c r="CV18" s="18">
        <f t="shared" si="61"/>
        <v>8.9285714285714191E-2</v>
      </c>
      <c r="CW18" s="18">
        <f t="shared" si="61"/>
        <v>-0.91071428571428581</v>
      </c>
      <c r="CX18" s="18">
        <f t="shared" si="61"/>
        <v>-0.91071428571428581</v>
      </c>
      <c r="CY18" s="18">
        <f t="shared" si="61"/>
        <v>2.0892857142857144</v>
      </c>
      <c r="CZ18" s="18">
        <f t="shared" si="61"/>
        <v>8.9285714285714191E-2</v>
      </c>
      <c r="DA18" s="39">
        <f t="shared" si="61"/>
        <v>8.9285714285714191E-2</v>
      </c>
      <c r="DC18" s="707"/>
      <c r="DD18" s="122" t="s">
        <v>49</v>
      </c>
      <c r="DE18" s="18">
        <f t="shared" si="25"/>
        <v>274.52272727272725</v>
      </c>
      <c r="DF18" s="18">
        <f t="shared" si="25"/>
        <v>263.52272727272725</v>
      </c>
      <c r="DG18" s="18">
        <f t="shared" si="25"/>
        <v>0.52272727272727293</v>
      </c>
      <c r="DH18" s="18">
        <f t="shared" si="25"/>
        <v>-1.4772727272727271</v>
      </c>
      <c r="DI18" s="18">
        <f t="shared" si="25"/>
        <v>1.5227272727272729</v>
      </c>
      <c r="DJ18" s="18">
        <f t="shared" si="25"/>
        <v>0.52272727272727293</v>
      </c>
      <c r="DK18" s="18">
        <f t="shared" si="25"/>
        <v>-0.47727272727272707</v>
      </c>
      <c r="DL18" s="18">
        <f t="shared" si="25"/>
        <v>2.5227272727272729</v>
      </c>
      <c r="DM18" s="18">
        <f t="shared" si="25"/>
        <v>-0.47727272727272707</v>
      </c>
      <c r="DN18" s="18">
        <f t="shared" si="25"/>
        <v>0.52272727272727293</v>
      </c>
      <c r="DO18" s="18">
        <f t="shared" si="25"/>
        <v>1.5227272727272729</v>
      </c>
      <c r="DP18" s="18">
        <f t="shared" si="25"/>
        <v>-2.4772727272727271</v>
      </c>
      <c r="DR18" s="707"/>
      <c r="DS18" s="122" t="s">
        <v>49</v>
      </c>
      <c r="DT18" s="18">
        <f t="shared" si="26"/>
        <v>372.0625</v>
      </c>
      <c r="DU18" s="18">
        <f t="shared" ref="DU18:EE18" si="62">DU8-$DY$11</f>
        <v>375.0625</v>
      </c>
      <c r="DV18" s="18">
        <f t="shared" si="62"/>
        <v>15.0625</v>
      </c>
      <c r="DW18" s="18">
        <f t="shared" si="62"/>
        <v>19.0625</v>
      </c>
      <c r="DX18" s="18">
        <f t="shared" si="62"/>
        <v>1.0625</v>
      </c>
      <c r="DY18" s="18">
        <f t="shared" si="62"/>
        <v>6.25E-2</v>
      </c>
      <c r="DZ18" s="18">
        <f t="shared" si="62"/>
        <v>-0.9375</v>
      </c>
      <c r="EA18" s="18">
        <f t="shared" si="62"/>
        <v>6.25E-2</v>
      </c>
      <c r="EB18" s="18">
        <f t="shared" si="62"/>
        <v>1.0625</v>
      </c>
      <c r="EC18" s="18">
        <f t="shared" si="62"/>
        <v>-0.9375</v>
      </c>
      <c r="ED18" s="18">
        <f t="shared" si="62"/>
        <v>6.25E-2</v>
      </c>
      <c r="EE18" s="39">
        <f t="shared" si="62"/>
        <v>2.0625</v>
      </c>
      <c r="EG18" s="707"/>
      <c r="EH18" s="122" t="s">
        <v>49</v>
      </c>
      <c r="EI18" s="18">
        <f t="shared" si="28"/>
        <v>193.35523809523809</v>
      </c>
      <c r="EJ18" s="18">
        <f t="shared" ref="EJ18:ET18" si="63">EJ8-$EN$11</f>
        <v>191.35523809523809</v>
      </c>
      <c r="EK18" s="18">
        <f t="shared" si="63"/>
        <v>-0.64476190476190487</v>
      </c>
      <c r="EL18" s="18">
        <f t="shared" si="63"/>
        <v>-0.64476190476190487</v>
      </c>
      <c r="EM18" s="18">
        <f t="shared" si="63"/>
        <v>2.3552380952380951</v>
      </c>
      <c r="EN18" s="18">
        <f t="shared" si="63"/>
        <v>-2.6447619047619049</v>
      </c>
      <c r="EO18" s="18">
        <f t="shared" si="63"/>
        <v>2.3552380952380951</v>
      </c>
      <c r="EP18" s="18">
        <f t="shared" si="63"/>
        <v>0.35523809523809513</v>
      </c>
      <c r="EQ18" s="18">
        <f t="shared" si="63"/>
        <v>-1.6447619047619049</v>
      </c>
      <c r="ER18" s="18">
        <f t="shared" si="63"/>
        <v>1.3552380952380951</v>
      </c>
      <c r="ES18" s="18">
        <f t="shared" si="63"/>
        <v>-0.64476190476190487</v>
      </c>
      <c r="ET18" s="39">
        <f t="shared" si="63"/>
        <v>4.3552380952380947</v>
      </c>
      <c r="EV18" s="707"/>
      <c r="EW18" s="122" t="s">
        <v>49</v>
      </c>
      <c r="EX18" s="18">
        <f t="shared" si="11"/>
        <v>202.84090909090909</v>
      </c>
      <c r="EY18" s="18">
        <f t="shared" ref="EY18:FI18" si="64">EY8-$FC$11</f>
        <v>189.84090909090909</v>
      </c>
      <c r="EZ18" s="18">
        <f t="shared" si="64"/>
        <v>0.84090909090909083</v>
      </c>
      <c r="FA18" s="18">
        <f t="shared" si="64"/>
        <v>0.84090909090909083</v>
      </c>
      <c r="FB18" s="18">
        <f t="shared" si="64"/>
        <v>-1.1590909090909092</v>
      </c>
      <c r="FC18" s="18">
        <f t="shared" si="64"/>
        <v>-1.1590909090909092</v>
      </c>
      <c r="FD18" s="18">
        <f t="shared" si="64"/>
        <v>0.84090909090909083</v>
      </c>
      <c r="FE18" s="18">
        <f t="shared" si="64"/>
        <v>-0.15909090909090917</v>
      </c>
      <c r="FF18" s="18">
        <f t="shared" si="64"/>
        <v>-0.15909090909090917</v>
      </c>
      <c r="FG18" s="18">
        <f t="shared" si="64"/>
        <v>-0.15909090909090917</v>
      </c>
      <c r="FH18" s="18">
        <f t="shared" si="64"/>
        <v>-0.15909090909090917</v>
      </c>
      <c r="FI18" s="39">
        <f t="shared" si="64"/>
        <v>0.84090909090909083</v>
      </c>
      <c r="FK18" s="707"/>
      <c r="FL18" s="122" t="s">
        <v>49</v>
      </c>
      <c r="FM18" s="18">
        <f t="shared" si="31"/>
        <v>180.171875</v>
      </c>
      <c r="FN18" s="18">
        <f t="shared" ref="FN18:FX18" si="65">FN8-$FR$11</f>
        <v>197.171875</v>
      </c>
      <c r="FO18" s="18">
        <f t="shared" si="65"/>
        <v>-1.828125</v>
      </c>
      <c r="FP18" s="18">
        <f t="shared" si="65"/>
        <v>0.171875</v>
      </c>
      <c r="FQ18" s="18">
        <f t="shared" si="65"/>
        <v>-1.828125</v>
      </c>
      <c r="FR18" s="18">
        <f t="shared" si="65"/>
        <v>1.171875</v>
      </c>
      <c r="FS18" s="18">
        <f t="shared" si="65"/>
        <v>1.171875</v>
      </c>
      <c r="FT18" s="18">
        <f t="shared" si="65"/>
        <v>0.171875</v>
      </c>
      <c r="FU18" s="18">
        <f t="shared" si="65"/>
        <v>-1.828125</v>
      </c>
      <c r="FV18" s="18">
        <f t="shared" si="65"/>
        <v>-1.828125</v>
      </c>
      <c r="FW18" s="18">
        <f t="shared" si="65"/>
        <v>0.171875</v>
      </c>
      <c r="FX18" s="39">
        <f t="shared" si="65"/>
        <v>0.171875</v>
      </c>
      <c r="FZ18" s="707"/>
      <c r="GA18" s="122" t="s">
        <v>49</v>
      </c>
      <c r="GB18" s="18">
        <f t="shared" si="33"/>
        <v>163.56578947368422</v>
      </c>
      <c r="GC18" s="18">
        <f t="shared" ref="GC18:GM18" si="66">GC8-$GG$11</f>
        <v>156.56578947368422</v>
      </c>
      <c r="GD18" s="18">
        <f t="shared" si="66"/>
        <v>0.56578947368421062</v>
      </c>
      <c r="GE18" s="18">
        <f t="shared" si="66"/>
        <v>0.56578947368421062</v>
      </c>
      <c r="GF18" s="18">
        <f t="shared" si="66"/>
        <v>-0.43421052631578938</v>
      </c>
      <c r="GG18" s="18">
        <f t="shared" si="66"/>
        <v>1.5657894736842106</v>
      </c>
      <c r="GH18" s="18">
        <f t="shared" si="66"/>
        <v>-0.43421052631578938</v>
      </c>
      <c r="GI18" s="18">
        <f t="shared" si="66"/>
        <v>-0.43421052631578938</v>
      </c>
      <c r="GJ18" s="18">
        <f t="shared" si="66"/>
        <v>0.56578947368421062</v>
      </c>
      <c r="GK18" s="18">
        <f t="shared" si="66"/>
        <v>0.56578947368421062</v>
      </c>
      <c r="GL18" s="18">
        <f t="shared" si="66"/>
        <v>-0.43421052631578938</v>
      </c>
      <c r="GM18" s="39">
        <f t="shared" si="66"/>
        <v>0.56578947368421062</v>
      </c>
    </row>
    <row r="19" spans="2:195" x14ac:dyDescent="0.25">
      <c r="B19" s="707"/>
      <c r="C19" s="122" t="s">
        <v>50</v>
      </c>
      <c r="D19" s="18">
        <f t="shared" si="15"/>
        <v>0.57407407407407396</v>
      </c>
      <c r="E19" s="18">
        <f t="shared" si="15"/>
        <v>-0.42592592592592604</v>
      </c>
      <c r="F19" s="18">
        <f t="shared" si="15"/>
        <v>0.57407407407407396</v>
      </c>
      <c r="G19" s="18">
        <f t="shared" si="15"/>
        <v>2.574074074074074</v>
      </c>
      <c r="H19" s="18">
        <f t="shared" si="15"/>
        <v>-0.42592592592592604</v>
      </c>
      <c r="I19" s="18">
        <f t="shared" si="15"/>
        <v>-0.42592592592592604</v>
      </c>
      <c r="J19" s="18">
        <f t="shared" si="15"/>
        <v>-1.425925925925926</v>
      </c>
      <c r="K19" s="18">
        <f t="shared" si="15"/>
        <v>0.57407407407407396</v>
      </c>
      <c r="L19" s="18">
        <f t="shared" si="15"/>
        <v>2.574074074074074</v>
      </c>
      <c r="M19" s="18">
        <f t="shared" si="15"/>
        <v>-0.42592592592592604</v>
      </c>
      <c r="N19" s="18">
        <f t="shared" si="15"/>
        <v>0.57407407407407396</v>
      </c>
      <c r="O19" s="18">
        <f t="shared" si="15"/>
        <v>-1.425925925925926</v>
      </c>
      <c r="Q19" s="707"/>
      <c r="R19" s="122" t="s">
        <v>50</v>
      </c>
      <c r="S19" s="18">
        <f t="shared" si="16"/>
        <v>-0.27777777777777768</v>
      </c>
      <c r="T19" s="18">
        <f t="shared" si="16"/>
        <v>-1.2777777777777777</v>
      </c>
      <c r="U19" s="18">
        <f t="shared" si="16"/>
        <v>-1.2777777777777777</v>
      </c>
      <c r="V19" s="18">
        <f t="shared" si="16"/>
        <v>-0.27777777777777768</v>
      </c>
      <c r="W19" s="18">
        <f t="shared" si="16"/>
        <v>1.7222222222222223</v>
      </c>
      <c r="X19" s="18">
        <f t="shared" si="16"/>
        <v>-1.2777777777777777</v>
      </c>
      <c r="Y19" s="18">
        <f t="shared" si="16"/>
        <v>0.72222222222222232</v>
      </c>
      <c r="Z19" s="18">
        <f t="shared" si="16"/>
        <v>-1.2777777777777777</v>
      </c>
      <c r="AA19" s="18">
        <f t="shared" si="16"/>
        <v>-0.27777777777777768</v>
      </c>
      <c r="AB19" s="18">
        <f t="shared" si="16"/>
        <v>0.72222222222222232</v>
      </c>
      <c r="AC19" s="18">
        <f t="shared" si="16"/>
        <v>-0.27777777777777768</v>
      </c>
      <c r="AD19" s="18">
        <f t="shared" si="16"/>
        <v>-0.27777777777777768</v>
      </c>
      <c r="AF19" s="707"/>
      <c r="AG19" s="122" t="s">
        <v>50</v>
      </c>
      <c r="AH19" s="18">
        <f t="shared" si="17"/>
        <v>-0.11764705882352944</v>
      </c>
      <c r="AI19" s="18">
        <f t="shared" si="17"/>
        <v>2.8823529411764706</v>
      </c>
      <c r="AJ19" s="18">
        <f t="shared" si="17"/>
        <v>-1.1176470588235294</v>
      </c>
      <c r="AK19" s="18">
        <f t="shared" si="17"/>
        <v>1.8823529411764706</v>
      </c>
      <c r="AL19" s="18">
        <f t="shared" si="17"/>
        <v>0.88235294117647056</v>
      </c>
      <c r="AM19" s="18">
        <f t="shared" si="17"/>
        <v>0.88235294117647056</v>
      </c>
      <c r="AN19" s="18">
        <f t="shared" si="17"/>
        <v>-1.1176470588235294</v>
      </c>
      <c r="AO19" s="18">
        <f t="shared" si="17"/>
        <v>0.88235294117647056</v>
      </c>
      <c r="AP19" s="18">
        <f t="shared" si="17"/>
        <v>-0.11764705882352944</v>
      </c>
      <c r="AQ19" s="18">
        <f t="shared" si="17"/>
        <v>-1.1176470588235294</v>
      </c>
      <c r="AR19" s="18">
        <f t="shared" si="17"/>
        <v>0.88235294117647056</v>
      </c>
      <c r="AS19" s="18">
        <f t="shared" si="17"/>
        <v>0.88235294117647056</v>
      </c>
      <c r="AU19" s="707"/>
      <c r="AV19" s="122" t="s">
        <v>50</v>
      </c>
      <c r="AW19" s="18">
        <f t="shared" si="18"/>
        <v>-0.64999999999999991</v>
      </c>
      <c r="AX19" s="18">
        <f t="shared" si="18"/>
        <v>0.35000000000000009</v>
      </c>
      <c r="AY19" s="18">
        <f t="shared" si="18"/>
        <v>2.35</v>
      </c>
      <c r="AZ19" s="18">
        <f t="shared" si="18"/>
        <v>0.35000000000000009</v>
      </c>
      <c r="BA19" s="18">
        <f t="shared" si="18"/>
        <v>-0.64999999999999991</v>
      </c>
      <c r="BB19" s="18">
        <f t="shared" si="18"/>
        <v>-0.64999999999999991</v>
      </c>
      <c r="BC19" s="18">
        <f t="shared" si="18"/>
        <v>0.35000000000000009</v>
      </c>
      <c r="BD19" s="18">
        <f t="shared" si="18"/>
        <v>1.35</v>
      </c>
      <c r="BE19" s="18">
        <f t="shared" si="18"/>
        <v>1.35</v>
      </c>
      <c r="BF19" s="18">
        <f t="shared" si="18"/>
        <v>0.35000000000000009</v>
      </c>
      <c r="BG19" s="18">
        <f t="shared" si="18"/>
        <v>-0.64999999999999991</v>
      </c>
      <c r="BH19" s="18">
        <f t="shared" si="4"/>
        <v>-1.65</v>
      </c>
      <c r="BJ19" s="707"/>
      <c r="BK19" s="122" t="s">
        <v>50</v>
      </c>
      <c r="BL19" s="18">
        <f t="shared" si="19"/>
        <v>1.4242424242424243</v>
      </c>
      <c r="BM19" s="18">
        <f t="shared" ref="BM19:BW19" si="67">BM9-$BQ$11</f>
        <v>1.4242424242424243</v>
      </c>
      <c r="BN19" s="18">
        <f t="shared" si="67"/>
        <v>1.4242424242424243</v>
      </c>
      <c r="BO19" s="18">
        <f t="shared" si="67"/>
        <v>0.42424242424242431</v>
      </c>
      <c r="BP19" s="18">
        <f t="shared" si="67"/>
        <v>0.42424242424242431</v>
      </c>
      <c r="BQ19" s="18">
        <f t="shared" si="67"/>
        <v>3.4242424242424243</v>
      </c>
      <c r="BR19" s="18">
        <f t="shared" si="67"/>
        <v>-0.57575757575757569</v>
      </c>
      <c r="BS19" s="18">
        <f t="shared" si="67"/>
        <v>-0.57575757575757569</v>
      </c>
      <c r="BT19" s="18">
        <f t="shared" si="67"/>
        <v>0.42424242424242431</v>
      </c>
      <c r="BU19" s="18">
        <f t="shared" si="67"/>
        <v>-0.57575757575757569</v>
      </c>
      <c r="BV19" s="18">
        <f t="shared" si="67"/>
        <v>0.42424242424242431</v>
      </c>
      <c r="BW19" s="39">
        <f t="shared" si="67"/>
        <v>1.4242424242424243</v>
      </c>
      <c r="BY19" s="707"/>
      <c r="BZ19" s="122" t="s">
        <v>50</v>
      </c>
      <c r="CA19" s="18">
        <f t="shared" si="21"/>
        <v>0.93181818181818166</v>
      </c>
      <c r="CB19" s="18">
        <f t="shared" ref="CB19:CL19" si="68">CB9-$CF$11</f>
        <v>2.9318181818181817</v>
      </c>
      <c r="CC19" s="18">
        <f t="shared" si="68"/>
        <v>-6.8181818181818343E-2</v>
      </c>
      <c r="CD19" s="18">
        <f t="shared" si="68"/>
        <v>3.9318181818181817</v>
      </c>
      <c r="CE19" s="18">
        <f t="shared" si="68"/>
        <v>0.93181818181818166</v>
      </c>
      <c r="CF19" s="18">
        <f t="shared" si="68"/>
        <v>2.9318181818181817</v>
      </c>
      <c r="CG19" s="18">
        <f t="shared" si="68"/>
        <v>-1.0681818181818183</v>
      </c>
      <c r="CH19" s="18">
        <f t="shared" si="68"/>
        <v>-6.8181818181818343E-2</v>
      </c>
      <c r="CI19" s="18">
        <f t="shared" si="68"/>
        <v>0.93181818181818166</v>
      </c>
      <c r="CJ19" s="18">
        <f t="shared" si="68"/>
        <v>-1.0681818181818183</v>
      </c>
      <c r="CK19" s="18">
        <f t="shared" si="68"/>
        <v>0.93181818181818166</v>
      </c>
      <c r="CL19" s="39">
        <f t="shared" si="68"/>
        <v>-6.8181818181818343E-2</v>
      </c>
      <c r="CN19" s="707"/>
      <c r="CO19" s="122" t="s">
        <v>50</v>
      </c>
      <c r="CP19" s="18">
        <f t="shared" si="23"/>
        <v>8.9285714285714191E-2</v>
      </c>
      <c r="CQ19" s="18">
        <f t="shared" ref="CQ19:DA19" si="69">CQ9-$CU$11</f>
        <v>2.0892857142857144</v>
      </c>
      <c r="CR19" s="18">
        <f t="shared" si="69"/>
        <v>8.9285714285714191E-2</v>
      </c>
      <c r="CS19" s="18">
        <f t="shared" si="69"/>
        <v>-0.91071428571428581</v>
      </c>
      <c r="CT19" s="18">
        <f t="shared" si="69"/>
        <v>8.9285714285714191E-2</v>
      </c>
      <c r="CU19" s="18">
        <f t="shared" si="69"/>
        <v>8.9285714285714191E-2</v>
      </c>
      <c r="CV19" s="18">
        <f t="shared" si="69"/>
        <v>1.0892857142857142</v>
      </c>
      <c r="CW19" s="18">
        <f t="shared" si="69"/>
        <v>8.9285714285714191E-2</v>
      </c>
      <c r="CX19" s="18">
        <f t="shared" si="69"/>
        <v>8.9285714285714191E-2</v>
      </c>
      <c r="CY19" s="18">
        <f t="shared" si="69"/>
        <v>8.9285714285714191E-2</v>
      </c>
      <c r="CZ19" s="18">
        <f t="shared" si="69"/>
        <v>8.9285714285714191E-2</v>
      </c>
      <c r="DA19" s="39">
        <f t="shared" si="69"/>
        <v>8.9285714285714191E-2</v>
      </c>
      <c r="DC19" s="707"/>
      <c r="DD19" s="122" t="s">
        <v>50</v>
      </c>
      <c r="DE19" s="18">
        <f t="shared" si="25"/>
        <v>0.52272727272727293</v>
      </c>
      <c r="DF19" s="18">
        <f t="shared" si="25"/>
        <v>-1.4772727272727271</v>
      </c>
      <c r="DG19" s="18">
        <f t="shared" si="25"/>
        <v>0.52272727272727293</v>
      </c>
      <c r="DH19" s="18">
        <f t="shared" si="25"/>
        <v>2.5227272727272729</v>
      </c>
      <c r="DI19" s="18">
        <f t="shared" si="25"/>
        <v>-1.4772727272727271</v>
      </c>
      <c r="DJ19" s="18">
        <f t="shared" si="25"/>
        <v>0.52272727272727293</v>
      </c>
      <c r="DK19" s="18">
        <f t="shared" si="25"/>
        <v>-0.47727272727272707</v>
      </c>
      <c r="DL19" s="18">
        <f t="shared" si="25"/>
        <v>-1.4772727272727271</v>
      </c>
      <c r="DM19" s="18">
        <f t="shared" si="25"/>
        <v>-0.47727272727272707</v>
      </c>
      <c r="DN19" s="18">
        <f t="shared" si="25"/>
        <v>-0.47727272727272707</v>
      </c>
      <c r="DO19" s="18">
        <f t="shared" si="25"/>
        <v>-0.47727272727272707</v>
      </c>
      <c r="DP19" s="18">
        <f t="shared" si="25"/>
        <v>0.52272727272727293</v>
      </c>
      <c r="DR19" s="707"/>
      <c r="DS19" s="122" t="s">
        <v>50</v>
      </c>
      <c r="DT19" s="18">
        <f t="shared" si="26"/>
        <v>1.0625</v>
      </c>
      <c r="DU19" s="18">
        <f t="shared" ref="DU19:EE19" si="70">DU9-$DY$11</f>
        <v>-1.9375</v>
      </c>
      <c r="DV19" s="18">
        <f t="shared" si="70"/>
        <v>1.0625</v>
      </c>
      <c r="DW19" s="18">
        <f t="shared" si="70"/>
        <v>-0.9375</v>
      </c>
      <c r="DX19" s="18">
        <f t="shared" si="70"/>
        <v>-1.9375</v>
      </c>
      <c r="DY19" s="18">
        <f t="shared" si="70"/>
        <v>2.0625</v>
      </c>
      <c r="DZ19" s="18">
        <f t="shared" si="70"/>
        <v>-0.9375</v>
      </c>
      <c r="EA19" s="18">
        <f t="shared" si="70"/>
        <v>6.25E-2</v>
      </c>
      <c r="EB19" s="18">
        <f t="shared" si="70"/>
        <v>6.25E-2</v>
      </c>
      <c r="EC19" s="18">
        <f t="shared" si="70"/>
        <v>6.25E-2</v>
      </c>
      <c r="ED19" s="18">
        <f t="shared" si="70"/>
        <v>-0.9375</v>
      </c>
      <c r="EE19" s="39">
        <f t="shared" si="70"/>
        <v>-0.9375</v>
      </c>
      <c r="EG19" s="707"/>
      <c r="EH19" s="122" t="s">
        <v>50</v>
      </c>
      <c r="EI19" s="18">
        <f t="shared" si="28"/>
        <v>-2.6447619047619049</v>
      </c>
      <c r="EJ19" s="18">
        <f t="shared" ref="EJ19:ET19" si="71">EJ9-$EN$11</f>
        <v>0.35523809523809513</v>
      </c>
      <c r="EK19" s="18">
        <f t="shared" si="71"/>
        <v>0.35523809523809513</v>
      </c>
      <c r="EL19" s="18">
        <f t="shared" si="71"/>
        <v>0.35523809523809513</v>
      </c>
      <c r="EM19" s="18">
        <f t="shared" si="71"/>
        <v>1.3552380952380951</v>
      </c>
      <c r="EN19" s="18">
        <f t="shared" si="71"/>
        <v>-0.64476190476190487</v>
      </c>
      <c r="EO19" s="18">
        <f t="shared" si="71"/>
        <v>0.35523809523809513</v>
      </c>
      <c r="EP19" s="18">
        <f t="shared" si="71"/>
        <v>-2.6447619047619049</v>
      </c>
      <c r="EQ19" s="18">
        <f t="shared" si="71"/>
        <v>-2.6447619047619049</v>
      </c>
      <c r="ER19" s="18">
        <f t="shared" si="71"/>
        <v>2.3552380952380951</v>
      </c>
      <c r="ES19" s="18">
        <f t="shared" si="71"/>
        <v>-0.64476190476190487</v>
      </c>
      <c r="ET19" s="39">
        <f t="shared" si="71"/>
        <v>0.35523809523809513</v>
      </c>
      <c r="EV19" s="707"/>
      <c r="EW19" s="122" t="s">
        <v>50</v>
      </c>
      <c r="EX19" s="18">
        <f t="shared" si="11"/>
        <v>0.84090909090909083</v>
      </c>
      <c r="EY19" s="18">
        <f t="shared" ref="EY19:FI19" si="72">EY9-$FC$11</f>
        <v>0.84090909090909083</v>
      </c>
      <c r="EZ19" s="18">
        <f t="shared" si="72"/>
        <v>-2.1590909090909092</v>
      </c>
      <c r="FA19" s="18">
        <f t="shared" si="72"/>
        <v>0.84090909090909083</v>
      </c>
      <c r="FB19" s="18">
        <f t="shared" si="72"/>
        <v>-0.15909090909090917</v>
      </c>
      <c r="FC19" s="18">
        <f t="shared" si="72"/>
        <v>-0.15909090909090917</v>
      </c>
      <c r="FD19" s="18">
        <f t="shared" si="72"/>
        <v>-0.15909090909090917</v>
      </c>
      <c r="FE19" s="18">
        <f t="shared" si="72"/>
        <v>-2.1590909090909092</v>
      </c>
      <c r="FF19" s="18">
        <f t="shared" si="72"/>
        <v>-1.1590909090909092</v>
      </c>
      <c r="FG19" s="18">
        <f t="shared" si="72"/>
        <v>-0.15909090909090917</v>
      </c>
      <c r="FH19" s="18">
        <f t="shared" si="72"/>
        <v>-1.1590909090909092</v>
      </c>
      <c r="FI19" s="39">
        <f t="shared" si="72"/>
        <v>0.84090909090909083</v>
      </c>
      <c r="FK19" s="707"/>
      <c r="FL19" s="122" t="s">
        <v>50</v>
      </c>
      <c r="FM19" s="18">
        <f t="shared" si="31"/>
        <v>5.171875</v>
      </c>
      <c r="FN19" s="18">
        <f t="shared" ref="FN19:FX19" si="73">FN9-$FR$11</f>
        <v>-1.828125</v>
      </c>
      <c r="FO19" s="18">
        <f t="shared" si="73"/>
        <v>2.171875</v>
      </c>
      <c r="FP19" s="18">
        <f t="shared" si="73"/>
        <v>1.171875</v>
      </c>
      <c r="FQ19" s="18">
        <f t="shared" si="73"/>
        <v>-1.828125</v>
      </c>
      <c r="FR19" s="18">
        <f t="shared" si="73"/>
        <v>2.171875</v>
      </c>
      <c r="FS19" s="18">
        <f t="shared" si="73"/>
        <v>1.171875</v>
      </c>
      <c r="FT19" s="18">
        <f t="shared" si="73"/>
        <v>0.171875</v>
      </c>
      <c r="FU19" s="18">
        <f t="shared" si="73"/>
        <v>-1.828125</v>
      </c>
      <c r="FV19" s="18">
        <f t="shared" si="73"/>
        <v>1.171875</v>
      </c>
      <c r="FW19" s="18">
        <f t="shared" si="73"/>
        <v>-1.828125</v>
      </c>
      <c r="FX19" s="39">
        <f t="shared" si="73"/>
        <v>0.171875</v>
      </c>
      <c r="FZ19" s="707"/>
      <c r="GA19" s="122" t="s">
        <v>50</v>
      </c>
      <c r="GB19" s="18">
        <f t="shared" si="33"/>
        <v>0.56578947368421062</v>
      </c>
      <c r="GC19" s="18">
        <f t="shared" ref="GC19:GM19" si="74">GC9-$GG$11</f>
        <v>1.5657894736842106</v>
      </c>
      <c r="GD19" s="18">
        <f t="shared" si="74"/>
        <v>0.56578947368421062</v>
      </c>
      <c r="GE19" s="18">
        <f t="shared" si="74"/>
        <v>-1.4342105263157894</v>
      </c>
      <c r="GF19" s="18">
        <f t="shared" si="74"/>
        <v>-1.4342105263157894</v>
      </c>
      <c r="GG19" s="18">
        <f t="shared" si="74"/>
        <v>0.56578947368421062</v>
      </c>
      <c r="GH19" s="18">
        <f t="shared" si="74"/>
        <v>-0.43421052631578938</v>
      </c>
      <c r="GI19" s="18">
        <f t="shared" si="74"/>
        <v>-0.43421052631578938</v>
      </c>
      <c r="GJ19" s="18">
        <f t="shared" si="74"/>
        <v>-1.4342105263157894</v>
      </c>
      <c r="GK19" s="18">
        <f t="shared" si="74"/>
        <v>1.5657894736842106</v>
      </c>
      <c r="GL19" s="18">
        <f t="shared" si="74"/>
        <v>-0.43421052631578938</v>
      </c>
      <c r="GM19" s="39">
        <f t="shared" si="74"/>
        <v>-0.43421052631578938</v>
      </c>
    </row>
    <row r="20" spans="2:195" ht="15.75" thickBot="1" x14ac:dyDescent="0.3">
      <c r="B20" s="708"/>
      <c r="C20" s="123" t="s">
        <v>51</v>
      </c>
      <c r="D20" s="18">
        <f t="shared" si="15"/>
        <v>-1.425925925925926</v>
      </c>
      <c r="E20" s="18">
        <f t="shared" si="15"/>
        <v>-0.42592592592592604</v>
      </c>
      <c r="F20" s="18">
        <f t="shared" si="15"/>
        <v>-0.42592592592592604</v>
      </c>
      <c r="G20" s="18">
        <f t="shared" si="15"/>
        <v>-0.42592592592592604</v>
      </c>
      <c r="H20" s="18">
        <f t="shared" si="15"/>
        <v>-0.42592592592592604</v>
      </c>
      <c r="I20" s="18">
        <f t="shared" si="15"/>
        <v>-1.425925925925926</v>
      </c>
      <c r="J20" s="18">
        <f t="shared" si="15"/>
        <v>-2.425925925925926</v>
      </c>
      <c r="K20" s="18">
        <f t="shared" si="15"/>
        <v>-2.425925925925926</v>
      </c>
      <c r="L20" s="18">
        <f t="shared" si="15"/>
        <v>-0.42592592592592604</v>
      </c>
      <c r="M20" s="18">
        <f t="shared" si="15"/>
        <v>0.57407407407407396</v>
      </c>
      <c r="N20" s="18">
        <f t="shared" si="15"/>
        <v>-1.425925925925926</v>
      </c>
      <c r="O20" s="18">
        <f t="shared" si="15"/>
        <v>-2.425925925925926</v>
      </c>
      <c r="Q20" s="708"/>
      <c r="R20" s="123" t="s">
        <v>51</v>
      </c>
      <c r="S20" s="18">
        <f t="shared" si="16"/>
        <v>0.72222222222222232</v>
      </c>
      <c r="T20" s="18">
        <f t="shared" si="16"/>
        <v>0.72222222222222232</v>
      </c>
      <c r="U20" s="18">
        <f t="shared" si="16"/>
        <v>1.7222222222222223</v>
      </c>
      <c r="V20" s="18">
        <f t="shared" si="16"/>
        <v>-1.2777777777777777</v>
      </c>
      <c r="W20" s="18">
        <f t="shared" si="16"/>
        <v>-0.27777777777777768</v>
      </c>
      <c r="X20" s="18">
        <f t="shared" si="16"/>
        <v>0.72222222222222232</v>
      </c>
      <c r="Y20" s="18">
        <f t="shared" si="16"/>
        <v>-0.27777777777777768</v>
      </c>
      <c r="Z20" s="18">
        <f t="shared" si="16"/>
        <v>-0.27777777777777768</v>
      </c>
      <c r="AA20" s="18">
        <f t="shared" si="16"/>
        <v>0.72222222222222232</v>
      </c>
      <c r="AB20" s="18">
        <f t="shared" si="16"/>
        <v>-0.27777777777777768</v>
      </c>
      <c r="AC20" s="18">
        <f t="shared" si="16"/>
        <v>-1.2777777777777777</v>
      </c>
      <c r="AD20" s="18">
        <f t="shared" si="16"/>
        <v>-0.27777777777777768</v>
      </c>
      <c r="AF20" s="708"/>
      <c r="AG20" s="123" t="s">
        <v>51</v>
      </c>
      <c r="AH20" s="18">
        <f t="shared" si="17"/>
        <v>-1.1176470588235294</v>
      </c>
      <c r="AI20" s="18">
        <f t="shared" si="17"/>
        <v>-1.1176470588235294</v>
      </c>
      <c r="AJ20" s="18">
        <f t="shared" si="17"/>
        <v>0.88235294117647056</v>
      </c>
      <c r="AK20" s="18">
        <f t="shared" si="17"/>
        <v>-0.11764705882352944</v>
      </c>
      <c r="AL20" s="18">
        <f t="shared" si="17"/>
        <v>0.88235294117647056</v>
      </c>
      <c r="AM20" s="18">
        <f t="shared" si="17"/>
        <v>-1.1176470588235294</v>
      </c>
      <c r="AN20" s="18">
        <f t="shared" si="17"/>
        <v>-0.11764705882352944</v>
      </c>
      <c r="AO20" s="18">
        <f t="shared" si="17"/>
        <v>-0.11764705882352944</v>
      </c>
      <c r="AP20" s="18">
        <f t="shared" si="17"/>
        <v>0.88235294117647056</v>
      </c>
      <c r="AQ20" s="18">
        <f t="shared" si="17"/>
        <v>-0.11764705882352944</v>
      </c>
      <c r="AR20" s="18">
        <f t="shared" si="17"/>
        <v>0.88235294117647056</v>
      </c>
      <c r="AS20" s="18">
        <f t="shared" si="17"/>
        <v>2.8823529411764706</v>
      </c>
      <c r="AU20" s="708"/>
      <c r="AV20" s="304" t="s">
        <v>51</v>
      </c>
      <c r="AW20" s="247">
        <f t="shared" si="18"/>
        <v>0.35000000000000009</v>
      </c>
      <c r="AX20" s="247">
        <f t="shared" si="18"/>
        <v>1.35</v>
      </c>
      <c r="AY20" s="247">
        <f t="shared" si="18"/>
        <v>0.35000000000000009</v>
      </c>
      <c r="AZ20" s="247">
        <f t="shared" si="18"/>
        <v>1.35</v>
      </c>
      <c r="BA20" s="247">
        <f t="shared" si="18"/>
        <v>-0.64999999999999991</v>
      </c>
      <c r="BB20" s="247">
        <f t="shared" si="18"/>
        <v>0.35000000000000009</v>
      </c>
      <c r="BC20" s="247">
        <f t="shared" si="18"/>
        <v>-0.64999999999999991</v>
      </c>
      <c r="BD20" s="247">
        <f t="shared" si="18"/>
        <v>0.35000000000000009</v>
      </c>
      <c r="BE20" s="247">
        <f t="shared" si="18"/>
        <v>-0.64999999999999991</v>
      </c>
      <c r="BF20" s="247">
        <f t="shared" si="18"/>
        <v>1.35</v>
      </c>
      <c r="BG20" s="247">
        <f t="shared" si="18"/>
        <v>-0.64999999999999991</v>
      </c>
      <c r="BH20" s="247">
        <f t="shared" si="4"/>
        <v>-0.64999999999999991</v>
      </c>
      <c r="BJ20" s="708"/>
      <c r="BK20" s="123" t="s">
        <v>51</v>
      </c>
      <c r="BL20" s="40">
        <f t="shared" si="19"/>
        <v>0.42424242424242431</v>
      </c>
      <c r="BM20" s="40">
        <f t="shared" ref="BM20:BW20" si="75">BM10-$BQ$11</f>
        <v>3.4242424242424243</v>
      </c>
      <c r="BN20" s="40">
        <f t="shared" si="75"/>
        <v>-0.57575757575757569</v>
      </c>
      <c r="BO20" s="40">
        <f t="shared" si="75"/>
        <v>0.42424242424242431</v>
      </c>
      <c r="BP20" s="40">
        <f t="shared" si="75"/>
        <v>-0.57575757575757569</v>
      </c>
      <c r="BQ20" s="40">
        <f t="shared" si="75"/>
        <v>0.42424242424242431</v>
      </c>
      <c r="BR20" s="40">
        <f t="shared" si="75"/>
        <v>-1.5757575757575757</v>
      </c>
      <c r="BS20" s="40">
        <f t="shared" si="75"/>
        <v>0.42424242424242431</v>
      </c>
      <c r="BT20" s="40">
        <f t="shared" si="75"/>
        <v>0.42424242424242431</v>
      </c>
      <c r="BU20" s="40">
        <f t="shared" si="75"/>
        <v>1.4242424242424243</v>
      </c>
      <c r="BV20" s="40">
        <f t="shared" si="75"/>
        <v>-0.57575757575757569</v>
      </c>
      <c r="BW20" s="41">
        <f t="shared" si="75"/>
        <v>-2.5757575757575757</v>
      </c>
      <c r="BY20" s="708"/>
      <c r="BZ20" s="123" t="s">
        <v>51</v>
      </c>
      <c r="CA20" s="40">
        <f t="shared" si="21"/>
        <v>-1.0681818181818183</v>
      </c>
      <c r="CB20" s="40">
        <f t="shared" ref="CB20:CL20" si="76">CB10-$CF$11</f>
        <v>0.93181818181818166</v>
      </c>
      <c r="CC20" s="40">
        <f t="shared" si="76"/>
        <v>-1.0681818181818183</v>
      </c>
      <c r="CD20" s="40">
        <f t="shared" si="76"/>
        <v>0.93181818181818166</v>
      </c>
      <c r="CE20" s="40">
        <f t="shared" si="76"/>
        <v>-3.0681818181818183</v>
      </c>
      <c r="CF20" s="40">
        <f t="shared" si="76"/>
        <v>-6.8181818181818343E-2</v>
      </c>
      <c r="CG20" s="40">
        <f t="shared" si="76"/>
        <v>-6.8181818181818343E-2</v>
      </c>
      <c r="CH20" s="40">
        <f t="shared" si="76"/>
        <v>-2.0681818181818183</v>
      </c>
      <c r="CI20" s="40">
        <f t="shared" si="76"/>
        <v>-4.0681818181818183</v>
      </c>
      <c r="CJ20" s="40">
        <f t="shared" si="76"/>
        <v>0.93181818181818166</v>
      </c>
      <c r="CK20" s="40">
        <f t="shared" si="76"/>
        <v>-1.0681818181818183</v>
      </c>
      <c r="CL20" s="41">
        <f t="shared" si="76"/>
        <v>-6.8181818181818343E-2</v>
      </c>
      <c r="CN20" s="708"/>
      <c r="CO20" s="123" t="s">
        <v>51</v>
      </c>
      <c r="CP20" s="40">
        <f t="shared" si="23"/>
        <v>-1.9107142857142858</v>
      </c>
      <c r="CQ20" s="40">
        <f t="shared" ref="CQ20:DA20" si="77">CQ10-$CU$11</f>
        <v>-1.9107142857142858</v>
      </c>
      <c r="CR20" s="40">
        <f t="shared" si="77"/>
        <v>8.9285714285714191E-2</v>
      </c>
      <c r="CS20" s="40">
        <f t="shared" si="77"/>
        <v>8.9285714285714191E-2</v>
      </c>
      <c r="CT20" s="40">
        <f t="shared" si="77"/>
        <v>8.9285714285714191E-2</v>
      </c>
      <c r="CU20" s="40">
        <f t="shared" si="77"/>
        <v>-0.91071428571428581</v>
      </c>
      <c r="CV20" s="40">
        <f t="shared" si="77"/>
        <v>-0.91071428571428581</v>
      </c>
      <c r="CW20" s="40">
        <f t="shared" si="77"/>
        <v>-0.91071428571428581</v>
      </c>
      <c r="CX20" s="40">
        <f t="shared" si="77"/>
        <v>1.0892857142857142</v>
      </c>
      <c r="CY20" s="40">
        <f t="shared" si="77"/>
        <v>8.9285714285714191E-2</v>
      </c>
      <c r="CZ20" s="40">
        <f t="shared" si="77"/>
        <v>8.9285714285714191E-2</v>
      </c>
      <c r="DA20" s="41">
        <f t="shared" si="77"/>
        <v>-0.91071428571428581</v>
      </c>
      <c r="DC20" s="708"/>
      <c r="DD20" s="123" t="s">
        <v>51</v>
      </c>
      <c r="DE20" s="18">
        <f t="shared" si="25"/>
        <v>0.52272727272727293</v>
      </c>
      <c r="DF20" s="18">
        <f t="shared" si="25"/>
        <v>0.52272727272727293</v>
      </c>
      <c r="DG20" s="18">
        <f t="shared" si="25"/>
        <v>0.52272727272727293</v>
      </c>
      <c r="DH20" s="18">
        <f t="shared" si="25"/>
        <v>0.52272727272727293</v>
      </c>
      <c r="DI20" s="18">
        <f t="shared" si="25"/>
        <v>0.52272727272727293</v>
      </c>
      <c r="DJ20" s="18">
        <f t="shared" si="25"/>
        <v>0.52272727272727293</v>
      </c>
      <c r="DK20" s="18">
        <f t="shared" si="25"/>
        <v>-1.4772727272727271</v>
      </c>
      <c r="DL20" s="18">
        <f t="shared" si="25"/>
        <v>-0.47727272727272707</v>
      </c>
      <c r="DM20" s="18">
        <f t="shared" si="25"/>
        <v>-0.47727272727272707</v>
      </c>
      <c r="DN20" s="18">
        <f t="shared" si="25"/>
        <v>0.52272727272727293</v>
      </c>
      <c r="DO20" s="18">
        <f t="shared" si="25"/>
        <v>-1.4772727272727271</v>
      </c>
      <c r="DP20" s="18">
        <f t="shared" si="25"/>
        <v>0.52272727272727293</v>
      </c>
      <c r="DR20" s="708"/>
      <c r="DS20" s="123" t="s">
        <v>51</v>
      </c>
      <c r="DT20" s="40">
        <f t="shared" si="26"/>
        <v>-1.9375</v>
      </c>
      <c r="DU20" s="40">
        <f t="shared" ref="DU20:EE20" si="78">DU10-$DY$11</f>
        <v>2.0625</v>
      </c>
      <c r="DV20" s="40">
        <f t="shared" si="78"/>
        <v>6.25E-2</v>
      </c>
      <c r="DW20" s="40">
        <f t="shared" si="78"/>
        <v>1.0625</v>
      </c>
      <c r="DX20" s="40">
        <f t="shared" si="78"/>
        <v>6.25E-2</v>
      </c>
      <c r="DY20" s="40">
        <f t="shared" si="78"/>
        <v>1.0625</v>
      </c>
      <c r="DZ20" s="40">
        <f t="shared" si="78"/>
        <v>6.25E-2</v>
      </c>
      <c r="EA20" s="40">
        <f t="shared" si="78"/>
        <v>-1.9375</v>
      </c>
      <c r="EB20" s="40">
        <f t="shared" si="78"/>
        <v>1.0625</v>
      </c>
      <c r="EC20" s="40">
        <f t="shared" si="78"/>
        <v>-0.9375</v>
      </c>
      <c r="ED20" s="40">
        <f t="shared" si="78"/>
        <v>6.25E-2</v>
      </c>
      <c r="EE20" s="41">
        <f t="shared" si="78"/>
        <v>6.25E-2</v>
      </c>
      <c r="EG20" s="708"/>
      <c r="EH20" s="123" t="s">
        <v>51</v>
      </c>
      <c r="EI20" s="40">
        <f t="shared" si="28"/>
        <v>2.3552380952380951</v>
      </c>
      <c r="EJ20" s="40">
        <f t="shared" ref="EJ20:ET20" si="79">EJ10-$EN$11</f>
        <v>-2.6447619047619049</v>
      </c>
      <c r="EK20" s="40">
        <f t="shared" si="79"/>
        <v>3.3552380952380951</v>
      </c>
      <c r="EL20" s="40">
        <f t="shared" si="79"/>
        <v>1.3552380952380951</v>
      </c>
      <c r="EM20" s="40">
        <f t="shared" si="79"/>
        <v>-2.6447619047619049</v>
      </c>
      <c r="EN20" s="40">
        <f t="shared" si="79"/>
        <v>-1.6447619047619049</v>
      </c>
      <c r="EO20" s="40">
        <f t="shared" si="79"/>
        <v>-2.6447619047619049</v>
      </c>
      <c r="EP20" s="40">
        <f t="shared" si="79"/>
        <v>2.3552380952380951</v>
      </c>
      <c r="EQ20" s="40">
        <f t="shared" si="79"/>
        <v>-0.64476190476190487</v>
      </c>
      <c r="ER20" s="40">
        <f t="shared" si="79"/>
        <v>-0.64476190476190487</v>
      </c>
      <c r="ES20" s="40">
        <f t="shared" si="79"/>
        <v>-0.64476190476190487</v>
      </c>
      <c r="ET20" s="41">
        <f t="shared" si="79"/>
        <v>0.35523809523809513</v>
      </c>
      <c r="EV20" s="708"/>
      <c r="EW20" s="123" t="s">
        <v>51</v>
      </c>
      <c r="EX20" s="40">
        <f t="shared" si="11"/>
        <v>-1.1590909090909092</v>
      </c>
      <c r="EY20" s="40">
        <f t="shared" ref="EY20:FI20" si="80">EY10-$FC$11</f>
        <v>0.84090909090909083</v>
      </c>
      <c r="EZ20" s="40">
        <f t="shared" si="80"/>
        <v>0.84090909090909083</v>
      </c>
      <c r="FA20" s="40">
        <f t="shared" si="80"/>
        <v>-2.1590909090909092</v>
      </c>
      <c r="FB20" s="40">
        <f t="shared" si="80"/>
        <v>-0.15909090909090917</v>
      </c>
      <c r="FC20" s="40">
        <f t="shared" si="80"/>
        <v>-1.1590909090909092</v>
      </c>
      <c r="FD20" s="40">
        <f t="shared" si="80"/>
        <v>-0.15909090909090917</v>
      </c>
      <c r="FE20" s="40">
        <f t="shared" si="80"/>
        <v>0.84090909090909083</v>
      </c>
      <c r="FF20" s="40">
        <f t="shared" si="80"/>
        <v>-0.15909090909090917</v>
      </c>
      <c r="FG20" s="40">
        <f t="shared" si="80"/>
        <v>-0.15909090909090917</v>
      </c>
      <c r="FH20" s="40">
        <f t="shared" si="80"/>
        <v>1.8409090909090908</v>
      </c>
      <c r="FI20" s="41">
        <f t="shared" si="80"/>
        <v>0.84090909090909083</v>
      </c>
      <c r="FK20" s="708"/>
      <c r="FL20" s="123" t="s">
        <v>51</v>
      </c>
      <c r="FM20" s="40">
        <f t="shared" si="31"/>
        <v>-1.828125</v>
      </c>
      <c r="FN20" s="40">
        <f t="shared" ref="FN20:FX20" si="81">FN10-$FR$11</f>
        <v>-0.828125</v>
      </c>
      <c r="FO20" s="40">
        <f t="shared" si="81"/>
        <v>-1.828125</v>
      </c>
      <c r="FP20" s="40">
        <f t="shared" si="81"/>
        <v>-1.828125</v>
      </c>
      <c r="FQ20" s="40">
        <f t="shared" si="81"/>
        <v>-0.828125</v>
      </c>
      <c r="FR20" s="40">
        <f t="shared" si="81"/>
        <v>-0.828125</v>
      </c>
      <c r="FS20" s="40">
        <f t="shared" si="81"/>
        <v>-0.828125</v>
      </c>
      <c r="FT20" s="40">
        <f t="shared" si="81"/>
        <v>0.171875</v>
      </c>
      <c r="FU20" s="40">
        <f t="shared" si="81"/>
        <v>1.171875</v>
      </c>
      <c r="FV20" s="40">
        <f t="shared" si="81"/>
        <v>0.171875</v>
      </c>
      <c r="FW20" s="40">
        <f t="shared" si="81"/>
        <v>-1.828125</v>
      </c>
      <c r="FX20" s="41">
        <f t="shared" si="81"/>
        <v>-1.828125</v>
      </c>
      <c r="FZ20" s="708"/>
      <c r="GA20" s="123" t="s">
        <v>51</v>
      </c>
      <c r="GB20" s="40">
        <f t="shared" si="33"/>
        <v>-0.43421052631578938</v>
      </c>
      <c r="GC20" s="40">
        <f t="shared" ref="GC20:GM20" si="82">GC10-$GG$11</f>
        <v>-0.43421052631578938</v>
      </c>
      <c r="GD20" s="40">
        <f t="shared" si="82"/>
        <v>0.56578947368421062</v>
      </c>
      <c r="GE20" s="40">
        <f t="shared" si="82"/>
        <v>0.56578947368421062</v>
      </c>
      <c r="GF20" s="40">
        <f t="shared" si="82"/>
        <v>-0.43421052631578938</v>
      </c>
      <c r="GG20" s="40">
        <f t="shared" si="82"/>
        <v>1.5657894736842106</v>
      </c>
      <c r="GH20" s="40">
        <f t="shared" si="82"/>
        <v>-1.4342105263157894</v>
      </c>
      <c r="GI20" s="40">
        <f t="shared" si="82"/>
        <v>0.56578947368421062</v>
      </c>
      <c r="GJ20" s="40">
        <f t="shared" si="82"/>
        <v>1.5657894736842106</v>
      </c>
      <c r="GK20" s="40">
        <f t="shared" si="82"/>
        <v>0.56578947368421062</v>
      </c>
      <c r="GL20" s="40">
        <f t="shared" si="82"/>
        <v>-0.43421052631578938</v>
      </c>
      <c r="GM20" s="41">
        <f t="shared" si="82"/>
        <v>-1.4342105263157894</v>
      </c>
    </row>
    <row r="21" spans="2:195" x14ac:dyDescent="0.25">
      <c r="B21" s="706" t="s">
        <v>117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25"/>
      <c r="Q21" s="706" t="s">
        <v>117</v>
      </c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25"/>
      <c r="AF21" s="706" t="s">
        <v>117</v>
      </c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25"/>
      <c r="AU21" s="706" t="s">
        <v>117</v>
      </c>
      <c r="AV21" s="71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25"/>
      <c r="BJ21" s="706" t="s">
        <v>117</v>
      </c>
      <c r="BK21" s="71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25"/>
      <c r="BY21" s="706" t="s">
        <v>117</v>
      </c>
      <c r="BZ21" s="71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25"/>
      <c r="CN21" s="706" t="s">
        <v>117</v>
      </c>
      <c r="CO21" s="71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25"/>
      <c r="DC21" s="706" t="s">
        <v>117</v>
      </c>
      <c r="DD21" s="71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25"/>
      <c r="DR21" s="707" t="s">
        <v>117</v>
      </c>
      <c r="DS21" s="72"/>
      <c r="EE21" s="27"/>
      <c r="EG21" s="707" t="s">
        <v>117</v>
      </c>
      <c r="EH21" s="72"/>
      <c r="ET21" s="27"/>
      <c r="EV21" s="707" t="s">
        <v>117</v>
      </c>
      <c r="EW21" s="72"/>
      <c r="FI21" s="27"/>
      <c r="FK21" s="707" t="s">
        <v>117</v>
      </c>
      <c r="FL21" s="72"/>
      <c r="FX21" s="27"/>
      <c r="FZ21" s="707" t="s">
        <v>117</v>
      </c>
      <c r="GA21" s="72"/>
      <c r="GM21" s="27"/>
    </row>
    <row r="22" spans="2:195" x14ac:dyDescent="0.25">
      <c r="B22" s="707"/>
      <c r="O22" s="27"/>
      <c r="Q22" s="707"/>
      <c r="AD22" s="27"/>
      <c r="AF22" s="707"/>
      <c r="AS22" s="27"/>
      <c r="AU22" s="707"/>
      <c r="AV22" s="72"/>
      <c r="BH22" s="27"/>
      <c r="BJ22" s="707"/>
      <c r="BK22" s="72"/>
      <c r="BW22" s="27"/>
      <c r="BY22" s="707"/>
      <c r="BZ22" s="72"/>
      <c r="CL22" s="27"/>
      <c r="CN22" s="707"/>
      <c r="CO22" s="72"/>
      <c r="DA22" s="27"/>
      <c r="DC22" s="707"/>
      <c r="DD22" s="72"/>
      <c r="DP22" s="27"/>
      <c r="DR22" s="707"/>
      <c r="DS22" s="72"/>
      <c r="EE22" s="27"/>
      <c r="EG22" s="707"/>
      <c r="EH22" s="72"/>
      <c r="ET22" s="27"/>
      <c r="EV22" s="707"/>
      <c r="EW22" s="72"/>
      <c r="FI22" s="27"/>
      <c r="FK22" s="707"/>
      <c r="FL22" s="72"/>
      <c r="FX22" s="27"/>
      <c r="FZ22" s="707"/>
      <c r="GA22" s="72"/>
      <c r="GM22" s="27"/>
    </row>
    <row r="23" spans="2:195" x14ac:dyDescent="0.25">
      <c r="B23" s="707"/>
      <c r="O23" s="27"/>
      <c r="Q23" s="707"/>
      <c r="AD23" s="27"/>
      <c r="AF23" s="707"/>
      <c r="AS23" s="27"/>
      <c r="AU23" s="707"/>
      <c r="AV23" s="72"/>
      <c r="BH23" s="27"/>
      <c r="BJ23" s="707"/>
      <c r="BK23" s="72"/>
      <c r="BW23" s="27"/>
      <c r="BY23" s="707"/>
      <c r="BZ23" s="72"/>
      <c r="CL23" s="27"/>
      <c r="CN23" s="707"/>
      <c r="CO23" s="72"/>
      <c r="DA23" s="27"/>
      <c r="DC23" s="707"/>
      <c r="DD23" s="72"/>
      <c r="DP23" s="27"/>
      <c r="DR23" s="707"/>
      <c r="DS23" s="72"/>
      <c r="EE23" s="27"/>
      <c r="EG23" s="707"/>
      <c r="EH23" s="72"/>
      <c r="ET23" s="27"/>
      <c r="EV23" s="707"/>
      <c r="EW23" s="72"/>
      <c r="FI23" s="27"/>
      <c r="FK23" s="707"/>
      <c r="FL23" s="72"/>
      <c r="FX23" s="27"/>
      <c r="FZ23" s="707"/>
      <c r="GA23" s="72"/>
      <c r="GM23" s="27"/>
    </row>
    <row r="24" spans="2:195" x14ac:dyDescent="0.25">
      <c r="B24" s="707"/>
      <c r="C24" s="125">
        <f>AVERAGE(D13:E13)</f>
        <v>7.4074074074073959E-2</v>
      </c>
      <c r="D24" s="126">
        <v>0</v>
      </c>
      <c r="O24" s="27"/>
      <c r="Q24" s="707"/>
      <c r="R24" s="125">
        <f t="shared" ref="R24:R29" si="83">AVERAGE(S13:T13)</f>
        <v>0.72222222222222232</v>
      </c>
      <c r="S24" s="126">
        <v>0</v>
      </c>
      <c r="AD24" s="27"/>
      <c r="AF24" s="707"/>
      <c r="AG24" s="125">
        <f>AVERAGE(AH13:AI13)</f>
        <v>0.38235294117647056</v>
      </c>
      <c r="AH24" s="126">
        <v>0</v>
      </c>
      <c r="AS24" s="27"/>
      <c r="AU24" s="707"/>
      <c r="AV24" s="210">
        <f>AVERAGE(AW13:AX13)</f>
        <v>0.35000000000000009</v>
      </c>
      <c r="AW24" s="126">
        <v>0</v>
      </c>
      <c r="BH24" s="27"/>
      <c r="BJ24" s="707"/>
      <c r="BK24" s="210">
        <f>AVERAGE(BL13:BM13)</f>
        <v>-7.575757575757569E-2</v>
      </c>
      <c r="BL24" s="126">
        <v>0</v>
      </c>
      <c r="BW24" s="27"/>
      <c r="BY24" s="707"/>
      <c r="BZ24" s="210">
        <f>AVERAGE(CA13:CB13)</f>
        <v>2.9318181818181817</v>
      </c>
      <c r="CA24" s="126">
        <v>0</v>
      </c>
      <c r="CL24" s="27"/>
      <c r="CN24" s="707"/>
      <c r="CO24" s="210">
        <f>AVERAGE(CP13:CQ13)</f>
        <v>1.5892857142857144</v>
      </c>
      <c r="CP24" s="126">
        <v>0</v>
      </c>
      <c r="DA24" s="27"/>
      <c r="DC24" s="707"/>
      <c r="DD24" s="210">
        <f>AVERAGE(DE13:DF13)</f>
        <v>0.52272727272727293</v>
      </c>
      <c r="DE24" s="126">
        <v>0</v>
      </c>
      <c r="DP24" s="27"/>
      <c r="DR24" s="707"/>
      <c r="DS24" s="210">
        <f>AVERAGE(DT13:DU13)</f>
        <v>-0.4375</v>
      </c>
      <c r="DT24" s="126">
        <v>0</v>
      </c>
      <c r="EE24" s="27"/>
      <c r="EG24" s="707"/>
      <c r="EH24" s="210">
        <f>AVERAGE(EI13:EJ13)</f>
        <v>-0.14476190476190487</v>
      </c>
      <c r="EI24" s="126">
        <v>0</v>
      </c>
      <c r="ET24" s="27"/>
      <c r="EV24" s="707"/>
      <c r="EW24" s="210">
        <f>AVERAGE(EX13:EY13)</f>
        <v>-0.65909090909090917</v>
      </c>
      <c r="EX24" s="126">
        <v>0</v>
      </c>
      <c r="FI24" s="27"/>
      <c r="FK24" s="707"/>
      <c r="FL24" s="210">
        <f>AVERAGE(FM13:FN13)</f>
        <v>0.171875</v>
      </c>
      <c r="FM24" s="126">
        <v>0</v>
      </c>
      <c r="FX24" s="27"/>
      <c r="FZ24" s="707"/>
      <c r="GA24" s="210">
        <f>AVERAGE(GB13:GC13)</f>
        <v>1.5657894736842106</v>
      </c>
      <c r="GB24" s="126">
        <v>0</v>
      </c>
      <c r="GM24" s="27"/>
    </row>
    <row r="25" spans="2:195" x14ac:dyDescent="0.25">
      <c r="B25" s="707"/>
      <c r="C25" s="127">
        <f>AVERAGE(D14:E14)</f>
        <v>27.574074074074073</v>
      </c>
      <c r="D25" s="30">
        <v>200</v>
      </c>
      <c r="O25" s="27"/>
      <c r="Q25" s="707"/>
      <c r="R25" s="127">
        <f t="shared" si="83"/>
        <v>11.222222222222221</v>
      </c>
      <c r="S25" s="30">
        <v>200</v>
      </c>
      <c r="AD25" s="27"/>
      <c r="AF25" s="707"/>
      <c r="AG25" s="127">
        <f>AVERAGE(AH14:AI14)</f>
        <v>17.382352941176471</v>
      </c>
      <c r="AH25" s="30">
        <v>200</v>
      </c>
      <c r="AS25" s="27"/>
      <c r="AU25" s="707"/>
      <c r="AV25" s="305">
        <f>AVERAGE(AW14:AX14)</f>
        <v>22.35</v>
      </c>
      <c r="AW25" s="30">
        <v>200</v>
      </c>
      <c r="BH25" s="27"/>
      <c r="BJ25" s="707"/>
      <c r="BK25" s="305">
        <f>AVERAGE(BL14:BM14)</f>
        <v>20.424242424242426</v>
      </c>
      <c r="BL25" s="30">
        <v>200</v>
      </c>
      <c r="BW25" s="27"/>
      <c r="BY25" s="707"/>
      <c r="BZ25" s="305">
        <f>AVERAGE(CA14:CB14)</f>
        <v>50.43181818181818</v>
      </c>
      <c r="CA25" s="30">
        <v>200</v>
      </c>
      <c r="CL25" s="27"/>
      <c r="CN25" s="707"/>
      <c r="CO25" s="305">
        <f>AVERAGE(CP14:CQ14)</f>
        <v>19.089285714285715</v>
      </c>
      <c r="CP25" s="30">
        <v>200</v>
      </c>
      <c r="DA25" s="27"/>
      <c r="DC25" s="707"/>
      <c r="DD25" s="305">
        <f>AVERAGE(DE14:DF14)</f>
        <v>36.022727272727273</v>
      </c>
      <c r="DE25" s="30">
        <v>200</v>
      </c>
      <c r="DP25" s="27"/>
      <c r="DR25" s="707"/>
      <c r="DS25" s="305"/>
      <c r="DT25" s="30">
        <v>200</v>
      </c>
      <c r="EE25" s="27"/>
      <c r="EG25" s="707"/>
      <c r="EH25" s="305">
        <f>AVERAGE(EI14:EJ14)</f>
        <v>13.355238095238095</v>
      </c>
      <c r="EI25" s="30">
        <v>200</v>
      </c>
      <c r="ET25" s="27"/>
      <c r="EV25" s="707"/>
      <c r="EW25" s="305">
        <f>AVERAGE(EX14:EY14)</f>
        <v>21.34090909090909</v>
      </c>
      <c r="EX25" s="30">
        <v>200</v>
      </c>
      <c r="FI25" s="27"/>
      <c r="FK25" s="707"/>
      <c r="FL25" s="305">
        <f>AVERAGE(FM14:FN14)</f>
        <v>27.671875</v>
      </c>
      <c r="FM25" s="30">
        <v>200</v>
      </c>
      <c r="FX25" s="27"/>
      <c r="FZ25" s="707"/>
      <c r="GA25" s="305">
        <f>AVERAGE(GB14:GC14)</f>
        <v>21.565789473684212</v>
      </c>
      <c r="GB25" s="30">
        <v>200</v>
      </c>
      <c r="GM25" s="27"/>
    </row>
    <row r="26" spans="2:195" x14ac:dyDescent="0.25">
      <c r="B26" s="707"/>
      <c r="C26" s="127">
        <f>AVERAGE(D15:E15)</f>
        <v>56.574074074074076</v>
      </c>
      <c r="D26" s="30">
        <v>400</v>
      </c>
      <c r="O26" s="27"/>
      <c r="Q26" s="707"/>
      <c r="R26" s="127">
        <f t="shared" si="83"/>
        <v>39.222222222222221</v>
      </c>
      <c r="S26" s="30">
        <v>400</v>
      </c>
      <c r="AD26" s="27"/>
      <c r="AF26" s="707"/>
      <c r="AG26" s="127">
        <f>AVERAGE(AH15:AI15)</f>
        <v>23.382352941176471</v>
      </c>
      <c r="AH26" s="30">
        <v>400</v>
      </c>
      <c r="AS26" s="27"/>
      <c r="AU26" s="707"/>
      <c r="AV26" s="305">
        <f>AVERAGE(AW15:AX15)</f>
        <v>41.85</v>
      </c>
      <c r="AW26" s="30">
        <v>400</v>
      </c>
      <c r="BH26" s="27"/>
      <c r="BJ26" s="707"/>
      <c r="BK26" s="305">
        <f>AVERAGE(BL15:BM15)</f>
        <v>37.424242424242422</v>
      </c>
      <c r="BL26" s="30">
        <v>400</v>
      </c>
      <c r="BW26" s="27"/>
      <c r="BY26" s="707"/>
      <c r="BZ26" s="305"/>
      <c r="CA26" s="30">
        <v>400</v>
      </c>
      <c r="CL26" s="27"/>
      <c r="CN26" s="707"/>
      <c r="CO26" s="305">
        <f>AVERAGE(CP15:CQ15)</f>
        <v>35.089285714285715</v>
      </c>
      <c r="CP26" s="30">
        <v>400</v>
      </c>
      <c r="DA26" s="27"/>
      <c r="DC26" s="707"/>
      <c r="DD26" s="305">
        <f>AVERAGE(DE15:DF15)</f>
        <v>70.522727272727266</v>
      </c>
      <c r="DE26" s="30">
        <v>400</v>
      </c>
      <c r="DP26" s="27"/>
      <c r="DR26" s="707"/>
      <c r="DS26" s="305">
        <f>AVERAGE(DT15:DU15)</f>
        <v>33.5625</v>
      </c>
      <c r="DT26" s="30">
        <v>400</v>
      </c>
      <c r="EE26" s="27"/>
      <c r="EG26" s="707"/>
      <c r="EH26" s="305">
        <f>AVERAGE(EI15:EJ15)</f>
        <v>46.855238095238093</v>
      </c>
      <c r="EI26" s="30">
        <v>400</v>
      </c>
      <c r="ET26" s="27"/>
      <c r="EV26" s="707"/>
      <c r="EW26" s="305">
        <f>AVERAGE(EX15:EY15)</f>
        <v>43.840909090909093</v>
      </c>
      <c r="EX26" s="30">
        <v>400</v>
      </c>
      <c r="FI26" s="27"/>
      <c r="FK26" s="707"/>
      <c r="FL26" s="305">
        <f>AVERAGE(FM15:FN15)</f>
        <v>49.671875</v>
      </c>
      <c r="FM26" s="30">
        <v>400</v>
      </c>
      <c r="FX26" s="27"/>
      <c r="FZ26" s="707"/>
      <c r="GA26" s="305">
        <f>AVERAGE(GB15:GC15)</f>
        <v>40.565789473684212</v>
      </c>
      <c r="GB26" s="30">
        <v>400</v>
      </c>
      <c r="GM26" s="27"/>
    </row>
    <row r="27" spans="2:195" x14ac:dyDescent="0.25">
      <c r="B27" s="707"/>
      <c r="C27" s="127">
        <f>AVERAGE(D16:E16)</f>
        <v>112.07407407407408</v>
      </c>
      <c r="D27" s="30">
        <v>800</v>
      </c>
      <c r="O27" s="27"/>
      <c r="Q27" s="707"/>
      <c r="R27" s="127">
        <f t="shared" si="83"/>
        <v>73.222222222222229</v>
      </c>
      <c r="S27" s="30">
        <v>800</v>
      </c>
      <c r="AD27" s="27"/>
      <c r="AF27" s="707"/>
      <c r="AG27" s="127">
        <f>AVERAGE(AH16:AI16)</f>
        <v>62.882352941176471</v>
      </c>
      <c r="AH27" s="30">
        <v>800</v>
      </c>
      <c r="AS27" s="27"/>
      <c r="AU27" s="707"/>
      <c r="AV27" s="305">
        <f>AVERAGE(AW16:AX16)</f>
        <v>88.85</v>
      </c>
      <c r="AW27" s="30">
        <v>800</v>
      </c>
      <c r="BH27" s="27"/>
      <c r="BJ27" s="707"/>
      <c r="BK27" s="305"/>
      <c r="BL27" s="30">
        <v>800</v>
      </c>
      <c r="BW27" s="27"/>
      <c r="BY27" s="707"/>
      <c r="BZ27" s="305">
        <f>AVERAGE(CA16:CB16)</f>
        <v>116.93181818181819</v>
      </c>
      <c r="CA27" s="30">
        <v>800</v>
      </c>
      <c r="CL27" s="27"/>
      <c r="CN27" s="707"/>
      <c r="CO27" s="305">
        <f>AVERAGE(CP16:CQ16)</f>
        <v>66.589285714285708</v>
      </c>
      <c r="CP27" s="30">
        <v>800</v>
      </c>
      <c r="DA27" s="27"/>
      <c r="DC27" s="707"/>
      <c r="DD27" s="305">
        <f>AVERAGE(DE16:DF16)</f>
        <v>133.02272727272728</v>
      </c>
      <c r="DE27" s="30">
        <v>800</v>
      </c>
      <c r="DP27" s="27"/>
      <c r="DR27" s="707"/>
      <c r="DS27" s="305">
        <f>AVERAGE(DT16:DU16)</f>
        <v>87.0625</v>
      </c>
      <c r="DT27" s="30">
        <v>800</v>
      </c>
      <c r="EE27" s="27"/>
      <c r="EG27" s="707"/>
      <c r="EH27" s="305"/>
      <c r="EI27" s="30">
        <v>800</v>
      </c>
      <c r="ET27" s="27"/>
      <c r="EV27" s="707"/>
      <c r="EW27" s="305">
        <f>AVERAGE(EX16:EY16)</f>
        <v>88.840909090909093</v>
      </c>
      <c r="EX27" s="30">
        <v>800</v>
      </c>
      <c r="FI27" s="27"/>
      <c r="FK27" s="707"/>
      <c r="FL27" s="305">
        <f>AVERAGE(FM16:FN16)</f>
        <v>97.671875</v>
      </c>
      <c r="FM27" s="30">
        <v>800</v>
      </c>
      <c r="FX27" s="27"/>
      <c r="FZ27" s="707"/>
      <c r="GA27" s="305">
        <f>AVERAGE(GB16:GC16)</f>
        <v>79.065789473684205</v>
      </c>
      <c r="GB27" s="30">
        <v>800</v>
      </c>
      <c r="GM27" s="27"/>
    </row>
    <row r="28" spans="2:195" x14ac:dyDescent="0.25">
      <c r="B28" s="707"/>
      <c r="C28" s="127">
        <f>AVERAGE(D17:E17)</f>
        <v>240.07407407407408</v>
      </c>
      <c r="D28" s="30">
        <v>1600</v>
      </c>
      <c r="O28" s="27"/>
      <c r="Q28" s="707"/>
      <c r="R28" s="127">
        <f t="shared" si="83"/>
        <v>176.22222222222223</v>
      </c>
      <c r="S28" s="30">
        <v>1600</v>
      </c>
      <c r="AD28" s="27"/>
      <c r="AF28" s="707"/>
      <c r="AG28" s="127">
        <f>AVERAGE(AH17:AI17)</f>
        <v>126.88235294117646</v>
      </c>
      <c r="AH28" s="30">
        <v>1600</v>
      </c>
      <c r="AS28" s="27"/>
      <c r="AU28" s="707"/>
      <c r="AV28" s="305">
        <f>AVERAGE(AW17:AX17)</f>
        <v>166.35</v>
      </c>
      <c r="AW28" s="30">
        <v>1600</v>
      </c>
      <c r="BH28" s="27"/>
      <c r="BJ28" s="707"/>
      <c r="BK28" s="305">
        <f>AVERAGE(BL17:BM17)</f>
        <v>123.42424242424244</v>
      </c>
      <c r="BL28" s="30">
        <v>1600</v>
      </c>
      <c r="BW28" s="27"/>
      <c r="BY28" s="707"/>
      <c r="BZ28" s="305"/>
      <c r="CA28" s="30">
        <v>1600</v>
      </c>
      <c r="CL28" s="27"/>
      <c r="CN28" s="707"/>
      <c r="CO28" s="305"/>
      <c r="CP28" s="30">
        <v>1600</v>
      </c>
      <c r="DA28" s="27"/>
      <c r="DC28" s="707"/>
      <c r="DD28" s="305">
        <f>AVERAGE(DE17:DF17)</f>
        <v>242.02272727272728</v>
      </c>
      <c r="DE28" s="30">
        <v>1600</v>
      </c>
      <c r="DP28" s="27"/>
      <c r="DR28" s="707"/>
      <c r="DS28" s="305">
        <f>AVERAGE(DT17:DU17)</f>
        <v>131.5625</v>
      </c>
      <c r="DT28" s="30">
        <v>1600</v>
      </c>
      <c r="EE28" s="27"/>
      <c r="EG28" s="707"/>
      <c r="EH28" s="305">
        <f>AVERAGE(EI17:EJ17)</f>
        <v>196.35523809523809</v>
      </c>
      <c r="EI28" s="30">
        <v>1600</v>
      </c>
      <c r="ET28" s="27"/>
      <c r="EV28" s="707"/>
      <c r="EW28" s="305">
        <f>AVERAGE(EX17:EY17)</f>
        <v>176.34090909090909</v>
      </c>
      <c r="EX28" s="30">
        <v>1600</v>
      </c>
      <c r="FI28" s="27"/>
      <c r="FK28" s="707"/>
      <c r="FL28" s="305">
        <f>AVERAGE(FM17:FN17)</f>
        <v>178.671875</v>
      </c>
      <c r="FM28" s="30">
        <v>1600</v>
      </c>
      <c r="FX28" s="27"/>
      <c r="FZ28" s="707"/>
      <c r="GA28" s="305">
        <f>AVERAGE(GB17:GC17)</f>
        <v>160.56578947368422</v>
      </c>
      <c r="GB28" s="30">
        <v>1600</v>
      </c>
      <c r="GM28" s="27"/>
    </row>
    <row r="29" spans="2:195" x14ac:dyDescent="0.25">
      <c r="B29" s="707"/>
      <c r="C29" s="128"/>
      <c r="D29" s="90">
        <v>2500</v>
      </c>
      <c r="O29" s="27"/>
      <c r="Q29" s="707"/>
      <c r="R29" s="128">
        <f t="shared" si="83"/>
        <v>263.22222222222223</v>
      </c>
      <c r="S29" s="90">
        <v>2500</v>
      </c>
      <c r="AD29" s="27"/>
      <c r="AF29" s="707"/>
      <c r="AG29" s="128"/>
      <c r="AH29" s="90">
        <v>2500</v>
      </c>
      <c r="AS29" s="27"/>
      <c r="AU29" s="707"/>
      <c r="AV29" s="306"/>
      <c r="AW29" s="90">
        <v>2500</v>
      </c>
      <c r="BH29" s="27"/>
      <c r="BJ29" s="707"/>
      <c r="BK29" s="306">
        <f>AVERAGE(BL18:BM18)</f>
        <v>183.42424242424244</v>
      </c>
      <c r="BL29" s="90">
        <v>2500</v>
      </c>
      <c r="BW29" s="27"/>
      <c r="BY29" s="707"/>
      <c r="BZ29" s="306">
        <f>AVERAGE(CA18:CB18)</f>
        <v>274.93181818181819</v>
      </c>
      <c r="CA29" s="90">
        <v>2500</v>
      </c>
      <c r="CL29" s="27"/>
      <c r="CN29" s="707"/>
      <c r="CO29" s="306">
        <f>AVERAGE(CP18:CQ18)</f>
        <v>201.08928571428572</v>
      </c>
      <c r="CP29" s="90">
        <v>2500</v>
      </c>
      <c r="DA29" s="27"/>
      <c r="DC29" s="707"/>
      <c r="DD29" s="306"/>
      <c r="DE29" s="90">
        <v>2500</v>
      </c>
      <c r="DP29" s="27"/>
      <c r="DR29" s="707"/>
      <c r="DS29" s="306"/>
      <c r="DT29" s="90">
        <v>2500</v>
      </c>
      <c r="EE29" s="27"/>
      <c r="EG29" s="707"/>
      <c r="EH29" s="306"/>
      <c r="EI29" s="90">
        <v>2500</v>
      </c>
      <c r="ET29" s="27"/>
      <c r="EV29" s="707"/>
      <c r="EW29" s="306"/>
      <c r="EX29" s="90">
        <v>2500</v>
      </c>
      <c r="FI29" s="27"/>
      <c r="FK29" s="707"/>
      <c r="FL29" s="306"/>
      <c r="FM29" s="90">
        <v>2500</v>
      </c>
      <c r="FX29" s="27"/>
      <c r="FZ29" s="707"/>
      <c r="GA29" s="306"/>
      <c r="GB29" s="90">
        <v>2500</v>
      </c>
      <c r="GM29" s="27"/>
    </row>
    <row r="30" spans="2:195" x14ac:dyDescent="0.25">
      <c r="B30" s="707"/>
      <c r="O30" s="27"/>
      <c r="Q30" s="707"/>
      <c r="AD30" s="27"/>
      <c r="AF30" s="707"/>
      <c r="AS30" s="27"/>
      <c r="AU30" s="707"/>
      <c r="AV30" s="72"/>
      <c r="BH30" s="27"/>
      <c r="BJ30" s="707"/>
      <c r="BK30" s="72"/>
      <c r="BW30" s="27"/>
      <c r="BY30" s="707"/>
      <c r="BZ30" s="72"/>
      <c r="CL30" s="27"/>
      <c r="CN30" s="707"/>
      <c r="CO30" s="72"/>
      <c r="DA30" s="27"/>
      <c r="DC30" s="707"/>
      <c r="DD30" s="72"/>
      <c r="DP30" s="27"/>
      <c r="DR30" s="707"/>
      <c r="DS30" s="72"/>
      <c r="EE30" s="27"/>
      <c r="EG30" s="707"/>
      <c r="EH30" s="72"/>
      <c r="ET30" s="27"/>
      <c r="EV30" s="707"/>
      <c r="EW30" s="72"/>
      <c r="FI30" s="27"/>
      <c r="FK30" s="707"/>
      <c r="FL30" s="72"/>
      <c r="FX30" s="27"/>
      <c r="FZ30" s="707"/>
      <c r="GA30" s="72"/>
      <c r="GM30" s="27"/>
    </row>
    <row r="31" spans="2:195" x14ac:dyDescent="0.25">
      <c r="B31" s="707"/>
      <c r="O31" s="27"/>
      <c r="Q31" s="707"/>
      <c r="AD31" s="27"/>
      <c r="AF31" s="707"/>
      <c r="AS31" s="27"/>
      <c r="AU31" s="707"/>
      <c r="AV31" s="72"/>
      <c r="BH31" s="27"/>
      <c r="BJ31" s="707"/>
      <c r="BK31" s="72"/>
      <c r="BW31" s="27"/>
      <c r="BY31" s="707"/>
      <c r="BZ31" s="72"/>
      <c r="CL31" s="27"/>
      <c r="CN31" s="707"/>
      <c r="CO31" s="72"/>
      <c r="DA31" s="27"/>
      <c r="DC31" s="707"/>
      <c r="DD31" s="72"/>
      <c r="DP31" s="27"/>
      <c r="DR31" s="707"/>
      <c r="DS31" s="72"/>
      <c r="EE31" s="27"/>
      <c r="EG31" s="707"/>
      <c r="EH31" s="72"/>
      <c r="ET31" s="27"/>
      <c r="EV31" s="707"/>
      <c r="EW31" s="72"/>
      <c r="FI31" s="27"/>
      <c r="FK31" s="707"/>
      <c r="FL31" s="72"/>
      <c r="FX31" s="27"/>
      <c r="FZ31" s="707"/>
      <c r="GA31" s="72"/>
      <c r="GM31" s="27"/>
    </row>
    <row r="32" spans="2:195" x14ac:dyDescent="0.25">
      <c r="B32" s="707"/>
      <c r="C32" s="129" t="s">
        <v>118</v>
      </c>
      <c r="D32" s="126">
        <v>6.6558999999999999</v>
      </c>
      <c r="O32" s="27"/>
      <c r="Q32" s="707"/>
      <c r="R32" s="129" t="s">
        <v>118</v>
      </c>
      <c r="S32" s="126">
        <v>9.1882999999999999</v>
      </c>
      <c r="AD32" s="27"/>
      <c r="AF32" s="707"/>
      <c r="AG32" s="129" t="s">
        <v>118</v>
      </c>
      <c r="AH32" s="126">
        <v>12.462999999999999</v>
      </c>
      <c r="AS32" s="27"/>
      <c r="AU32" s="707"/>
      <c r="AV32" s="307" t="s">
        <v>118</v>
      </c>
      <c r="AW32" s="126">
        <v>9.5914000000000001</v>
      </c>
      <c r="BH32" s="27"/>
      <c r="BJ32" s="707"/>
      <c r="BK32" s="307" t="s">
        <v>118</v>
      </c>
      <c r="BL32" s="126">
        <v>13.787000000000001</v>
      </c>
      <c r="BW32" s="27"/>
      <c r="BY32" s="707"/>
      <c r="BZ32" s="307" t="s">
        <v>118</v>
      </c>
      <c r="CA32" s="126">
        <v>9.4990000000000006</v>
      </c>
      <c r="CL32" s="27"/>
      <c r="CN32" s="707"/>
      <c r="CO32" s="307" t="s">
        <v>118</v>
      </c>
      <c r="CP32" s="126">
        <v>12.587999999999999</v>
      </c>
      <c r="DA32" s="27"/>
      <c r="DC32" s="707"/>
      <c r="DD32" s="307" t="s">
        <v>118</v>
      </c>
      <c r="DE32" s="126">
        <v>6.6509999999999998</v>
      </c>
      <c r="DP32" s="27"/>
      <c r="DR32" s="707"/>
      <c r="DS32" s="307" t="s">
        <v>118</v>
      </c>
      <c r="DT32" s="126">
        <v>11.538</v>
      </c>
      <c r="EE32" s="27"/>
      <c r="EG32" s="707"/>
      <c r="EH32" s="307" t="s">
        <v>118</v>
      </c>
      <c r="EI32" s="126">
        <v>7.9436999999999998</v>
      </c>
      <c r="ET32" s="27"/>
      <c r="EV32" s="707"/>
      <c r="EW32" s="307" t="s">
        <v>118</v>
      </c>
      <c r="EX32" s="126">
        <v>9.0289999999999999</v>
      </c>
      <c r="FI32" s="27"/>
      <c r="FK32" s="707"/>
      <c r="FL32" s="307" t="s">
        <v>118</v>
      </c>
      <c r="FM32" s="126">
        <v>9.0113000000000003</v>
      </c>
      <c r="FX32" s="27"/>
      <c r="FZ32" s="707"/>
      <c r="GA32" s="307" t="s">
        <v>118</v>
      </c>
      <c r="GB32" s="126">
        <v>10.08</v>
      </c>
      <c r="GM32" s="27"/>
    </row>
    <row r="33" spans="2:195" x14ac:dyDescent="0.25">
      <c r="B33" s="707"/>
      <c r="C33" s="130" t="s">
        <v>119</v>
      </c>
      <c r="D33" s="90">
        <v>19.113</v>
      </c>
      <c r="O33" s="27"/>
      <c r="Q33" s="707"/>
      <c r="R33" s="130" t="s">
        <v>119</v>
      </c>
      <c r="S33" s="90">
        <v>53.225000000000001</v>
      </c>
      <c r="AD33" s="27"/>
      <c r="AF33" s="707"/>
      <c r="AG33" s="130" t="s">
        <v>119</v>
      </c>
      <c r="AH33" s="90">
        <v>24.428999999999998</v>
      </c>
      <c r="AS33" s="27"/>
      <c r="AU33" s="707"/>
      <c r="AV33" s="213" t="s">
        <v>119</v>
      </c>
      <c r="AW33" s="90">
        <v>-13.371</v>
      </c>
      <c r="BH33" s="27"/>
      <c r="BJ33" s="707"/>
      <c r="BK33" s="213" t="s">
        <v>119</v>
      </c>
      <c r="BL33" s="90">
        <v>-65.408000000000001</v>
      </c>
      <c r="BW33" s="27"/>
      <c r="BY33" s="707"/>
      <c r="BZ33" s="213" t="s">
        <v>119</v>
      </c>
      <c r="CA33" s="90">
        <v>-182.31</v>
      </c>
      <c r="CL33" s="27"/>
      <c r="CN33" s="707"/>
      <c r="CO33" s="213" t="s">
        <v>119</v>
      </c>
      <c r="CP33" s="90">
        <v>-34.284999999999997</v>
      </c>
      <c r="DA33" s="27"/>
      <c r="DC33" s="707"/>
      <c r="DD33" s="213" t="s">
        <v>119</v>
      </c>
      <c r="DE33" s="90">
        <v>-41.308</v>
      </c>
      <c r="DP33" s="27"/>
      <c r="DR33" s="707"/>
      <c r="DS33" s="213" t="s">
        <v>119</v>
      </c>
      <c r="DT33" s="90">
        <v>-26.177</v>
      </c>
      <c r="EE33" s="27"/>
      <c r="EG33" s="707"/>
      <c r="EH33" s="213" t="s">
        <v>119</v>
      </c>
      <c r="EI33" s="90">
        <v>40.770000000000003</v>
      </c>
      <c r="ET33" s="27"/>
      <c r="EV33" s="707"/>
      <c r="EW33" s="213" t="s">
        <v>119</v>
      </c>
      <c r="EX33" s="90">
        <v>4.6210000000000004</v>
      </c>
      <c r="FI33" s="27"/>
      <c r="FK33" s="707"/>
      <c r="FL33" s="213" t="s">
        <v>119</v>
      </c>
      <c r="FM33" s="90">
        <v>-37.743000000000002</v>
      </c>
      <c r="FX33" s="27"/>
      <c r="FZ33" s="707"/>
      <c r="GA33" s="213" t="s">
        <v>119</v>
      </c>
      <c r="GB33" s="90">
        <v>-11.505000000000001</v>
      </c>
      <c r="GM33" s="27"/>
    </row>
    <row r="34" spans="2:195" x14ac:dyDescent="0.25">
      <c r="B34" s="707"/>
      <c r="O34" s="27"/>
      <c r="Q34" s="707"/>
      <c r="AD34" s="27"/>
      <c r="AF34" s="707"/>
      <c r="AS34" s="27"/>
      <c r="AU34" s="707"/>
      <c r="AV34" s="72"/>
      <c r="BH34" s="27"/>
      <c r="BJ34" s="707"/>
      <c r="BK34" s="72"/>
      <c r="BW34" s="27"/>
      <c r="BY34" s="707"/>
      <c r="BZ34" s="72"/>
      <c r="CL34" s="27"/>
      <c r="CN34" s="707"/>
      <c r="CO34" s="72"/>
      <c r="DA34" s="27"/>
      <c r="DC34" s="707"/>
      <c r="DD34" s="72"/>
      <c r="DP34" s="27"/>
      <c r="DR34" s="707"/>
      <c r="DS34" s="72"/>
      <c r="EE34" s="27"/>
      <c r="EG34" s="707"/>
      <c r="EH34" s="72"/>
      <c r="ET34" s="27"/>
      <c r="EV34" s="707"/>
      <c r="EW34" s="72"/>
      <c r="FI34" s="27"/>
      <c r="FK34" s="707"/>
      <c r="FL34" s="72"/>
      <c r="FX34" s="27"/>
      <c r="FZ34" s="707"/>
      <c r="GA34" s="72"/>
      <c r="GM34" s="27"/>
    </row>
    <row r="35" spans="2:195" ht="15.75" thickBot="1" x14ac:dyDescent="0.3">
      <c r="B35" s="70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8"/>
      <c r="Q35" s="708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8"/>
      <c r="AF35" s="708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8"/>
      <c r="AU35" s="708"/>
      <c r="AV35" s="73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8"/>
      <c r="BJ35" s="708"/>
      <c r="BK35" s="73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8"/>
      <c r="BY35" s="708"/>
      <c r="BZ35" s="73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8"/>
      <c r="CN35" s="708"/>
      <c r="CO35" s="73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8"/>
      <c r="DC35" s="708"/>
      <c r="DD35" s="73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8"/>
      <c r="DR35" s="708"/>
      <c r="DS35" s="73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8"/>
      <c r="EG35" s="708"/>
      <c r="EH35" s="73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8"/>
      <c r="EV35" s="708"/>
      <c r="EW35" s="73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8"/>
      <c r="FK35" s="708"/>
      <c r="FL35" s="73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8"/>
      <c r="FZ35" s="708"/>
      <c r="GA35" s="73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8"/>
    </row>
    <row r="36" spans="2:195" x14ac:dyDescent="0.25">
      <c r="B36" s="706" t="s">
        <v>120</v>
      </c>
      <c r="C36" s="131"/>
      <c r="D36" s="132">
        <v>1</v>
      </c>
      <c r="E36" s="132">
        <v>2</v>
      </c>
      <c r="F36" s="132">
        <v>3</v>
      </c>
      <c r="G36" s="132">
        <v>4</v>
      </c>
      <c r="H36" s="132">
        <v>5</v>
      </c>
      <c r="I36" s="132">
        <v>6</v>
      </c>
      <c r="J36" s="132">
        <v>7</v>
      </c>
      <c r="K36" s="132">
        <v>8</v>
      </c>
      <c r="L36" s="132">
        <v>9</v>
      </c>
      <c r="M36" s="132">
        <v>10</v>
      </c>
      <c r="N36" s="132">
        <v>11</v>
      </c>
      <c r="O36" s="133">
        <v>12</v>
      </c>
      <c r="Q36" s="706" t="s">
        <v>120</v>
      </c>
      <c r="R36" s="131"/>
      <c r="S36" s="132">
        <v>1</v>
      </c>
      <c r="T36" s="132">
        <v>2</v>
      </c>
      <c r="U36" s="132">
        <v>3</v>
      </c>
      <c r="V36" s="132">
        <v>4</v>
      </c>
      <c r="W36" s="132">
        <v>5</v>
      </c>
      <c r="X36" s="132">
        <v>6</v>
      </c>
      <c r="Y36" s="132">
        <v>7</v>
      </c>
      <c r="Z36" s="132">
        <v>8</v>
      </c>
      <c r="AA36" s="132">
        <v>9</v>
      </c>
      <c r="AB36" s="132">
        <v>10</v>
      </c>
      <c r="AC36" s="132">
        <v>11</v>
      </c>
      <c r="AD36" s="133">
        <v>12</v>
      </c>
      <c r="AF36" s="706" t="s">
        <v>120</v>
      </c>
      <c r="AG36" s="131"/>
      <c r="AH36" s="132">
        <v>1</v>
      </c>
      <c r="AI36" s="132">
        <v>2</v>
      </c>
      <c r="AJ36" s="132">
        <v>3</v>
      </c>
      <c r="AK36" s="132">
        <v>4</v>
      </c>
      <c r="AL36" s="132">
        <v>5</v>
      </c>
      <c r="AM36" s="132">
        <v>6</v>
      </c>
      <c r="AN36" s="132">
        <v>7</v>
      </c>
      <c r="AO36" s="132">
        <v>8</v>
      </c>
      <c r="AP36" s="132">
        <v>9</v>
      </c>
      <c r="AQ36" s="132">
        <v>10</v>
      </c>
      <c r="AR36" s="132">
        <v>11</v>
      </c>
      <c r="AS36" s="133">
        <v>12</v>
      </c>
      <c r="AU36" s="706" t="s">
        <v>120</v>
      </c>
      <c r="AV36" s="131"/>
      <c r="AW36" s="132">
        <v>1</v>
      </c>
      <c r="AX36" s="132">
        <v>2</v>
      </c>
      <c r="AY36" s="132">
        <v>3</v>
      </c>
      <c r="AZ36" s="132">
        <v>4</v>
      </c>
      <c r="BA36" s="132">
        <v>5</v>
      </c>
      <c r="BB36" s="132">
        <v>6</v>
      </c>
      <c r="BC36" s="132">
        <v>7</v>
      </c>
      <c r="BD36" s="132">
        <v>8</v>
      </c>
      <c r="BE36" s="132">
        <v>9</v>
      </c>
      <c r="BF36" s="132">
        <v>10</v>
      </c>
      <c r="BG36" s="132">
        <v>11</v>
      </c>
      <c r="BH36" s="133">
        <v>12</v>
      </c>
      <c r="BJ36" s="706" t="s">
        <v>120</v>
      </c>
      <c r="BK36" s="150"/>
      <c r="BL36" s="132">
        <v>1</v>
      </c>
      <c r="BM36" s="132">
        <v>2</v>
      </c>
      <c r="BN36" s="132">
        <v>3</v>
      </c>
      <c r="BO36" s="132">
        <v>4</v>
      </c>
      <c r="BP36" s="132">
        <v>5</v>
      </c>
      <c r="BQ36" s="132">
        <v>6</v>
      </c>
      <c r="BR36" s="132">
        <v>7</v>
      </c>
      <c r="BS36" s="132">
        <v>8</v>
      </c>
      <c r="BT36" s="132">
        <v>9</v>
      </c>
      <c r="BU36" s="132">
        <v>10</v>
      </c>
      <c r="BV36" s="132">
        <v>11</v>
      </c>
      <c r="BW36" s="133">
        <v>12</v>
      </c>
      <c r="BY36" s="706" t="s">
        <v>120</v>
      </c>
      <c r="BZ36" s="150"/>
      <c r="CA36" s="132">
        <v>1</v>
      </c>
      <c r="CB36" s="132">
        <v>2</v>
      </c>
      <c r="CC36" s="132">
        <v>3</v>
      </c>
      <c r="CD36" s="132">
        <v>4</v>
      </c>
      <c r="CE36" s="132">
        <v>5</v>
      </c>
      <c r="CF36" s="132">
        <v>6</v>
      </c>
      <c r="CG36" s="132">
        <v>7</v>
      </c>
      <c r="CH36" s="132">
        <v>8</v>
      </c>
      <c r="CI36" s="132">
        <v>9</v>
      </c>
      <c r="CJ36" s="132">
        <v>10</v>
      </c>
      <c r="CK36" s="132">
        <v>11</v>
      </c>
      <c r="CL36" s="133">
        <v>12</v>
      </c>
      <c r="CN36" s="706" t="s">
        <v>120</v>
      </c>
      <c r="CO36" s="150"/>
      <c r="CP36" s="132">
        <v>1</v>
      </c>
      <c r="CQ36" s="132">
        <v>2</v>
      </c>
      <c r="CR36" s="132">
        <v>3</v>
      </c>
      <c r="CS36" s="132">
        <v>4</v>
      </c>
      <c r="CT36" s="132">
        <v>5</v>
      </c>
      <c r="CU36" s="132">
        <v>6</v>
      </c>
      <c r="CV36" s="132">
        <v>7</v>
      </c>
      <c r="CW36" s="132">
        <v>8</v>
      </c>
      <c r="CX36" s="132">
        <v>9</v>
      </c>
      <c r="CY36" s="132">
        <v>10</v>
      </c>
      <c r="CZ36" s="132">
        <v>11</v>
      </c>
      <c r="DA36" s="133">
        <v>12</v>
      </c>
      <c r="DC36" s="706" t="s">
        <v>120</v>
      </c>
      <c r="DD36" s="150"/>
      <c r="DE36" s="132">
        <v>1</v>
      </c>
      <c r="DF36" s="132">
        <v>2</v>
      </c>
      <c r="DG36" s="132">
        <v>3</v>
      </c>
      <c r="DH36" s="132">
        <v>4</v>
      </c>
      <c r="DI36" s="132">
        <v>5</v>
      </c>
      <c r="DJ36" s="132">
        <v>6</v>
      </c>
      <c r="DK36" s="132">
        <v>7</v>
      </c>
      <c r="DL36" s="132">
        <v>8</v>
      </c>
      <c r="DM36" s="132">
        <v>9</v>
      </c>
      <c r="DN36" s="132">
        <v>10</v>
      </c>
      <c r="DO36" s="132">
        <v>11</v>
      </c>
      <c r="DP36" s="133">
        <v>12</v>
      </c>
      <c r="DR36" s="706" t="s">
        <v>120</v>
      </c>
      <c r="DS36" s="150"/>
      <c r="DT36" s="132">
        <v>1</v>
      </c>
      <c r="DU36" s="132">
        <v>2</v>
      </c>
      <c r="DV36" s="132">
        <v>3</v>
      </c>
      <c r="DW36" s="132">
        <v>4</v>
      </c>
      <c r="DX36" s="132">
        <v>5</v>
      </c>
      <c r="DY36" s="132">
        <v>6</v>
      </c>
      <c r="DZ36" s="132">
        <v>7</v>
      </c>
      <c r="EA36" s="132">
        <v>8</v>
      </c>
      <c r="EB36" s="132">
        <v>9</v>
      </c>
      <c r="EC36" s="132">
        <v>10</v>
      </c>
      <c r="ED36" s="132">
        <v>11</v>
      </c>
      <c r="EE36" s="133">
        <v>12</v>
      </c>
      <c r="EG36" s="706" t="s">
        <v>120</v>
      </c>
      <c r="EH36" s="150"/>
      <c r="EI36" s="132">
        <v>1</v>
      </c>
      <c r="EJ36" s="132">
        <v>2</v>
      </c>
      <c r="EK36" s="132">
        <v>3</v>
      </c>
      <c r="EL36" s="132">
        <v>4</v>
      </c>
      <c r="EM36" s="132">
        <v>5</v>
      </c>
      <c r="EN36" s="132">
        <v>6</v>
      </c>
      <c r="EO36" s="132">
        <v>7</v>
      </c>
      <c r="EP36" s="132">
        <v>8</v>
      </c>
      <c r="EQ36" s="132">
        <v>9</v>
      </c>
      <c r="ER36" s="132">
        <v>10</v>
      </c>
      <c r="ES36" s="132">
        <v>11</v>
      </c>
      <c r="ET36" s="133">
        <v>12</v>
      </c>
      <c r="EV36" s="706" t="s">
        <v>120</v>
      </c>
      <c r="EW36" s="150"/>
      <c r="EX36" s="132">
        <v>1</v>
      </c>
      <c r="EY36" s="132">
        <v>2</v>
      </c>
      <c r="EZ36" s="132">
        <v>3</v>
      </c>
      <c r="FA36" s="132">
        <v>4</v>
      </c>
      <c r="FB36" s="132">
        <v>5</v>
      </c>
      <c r="FC36" s="132">
        <v>6</v>
      </c>
      <c r="FD36" s="132">
        <v>7</v>
      </c>
      <c r="FE36" s="132">
        <v>8</v>
      </c>
      <c r="FF36" s="132">
        <v>9</v>
      </c>
      <c r="FG36" s="132">
        <v>10</v>
      </c>
      <c r="FH36" s="132">
        <v>11</v>
      </c>
      <c r="FI36" s="133">
        <v>12</v>
      </c>
      <c r="FK36" s="706" t="s">
        <v>120</v>
      </c>
      <c r="FL36" s="150"/>
      <c r="FM36" s="132">
        <v>1</v>
      </c>
      <c r="FN36" s="132">
        <v>2</v>
      </c>
      <c r="FO36" s="132">
        <v>3</v>
      </c>
      <c r="FP36" s="132">
        <v>4</v>
      </c>
      <c r="FQ36" s="132">
        <v>5</v>
      </c>
      <c r="FR36" s="132">
        <v>6</v>
      </c>
      <c r="FS36" s="132">
        <v>7</v>
      </c>
      <c r="FT36" s="132">
        <v>8</v>
      </c>
      <c r="FU36" s="132">
        <v>9</v>
      </c>
      <c r="FV36" s="132">
        <v>10</v>
      </c>
      <c r="FW36" s="132">
        <v>11</v>
      </c>
      <c r="FX36" s="133">
        <v>12</v>
      </c>
      <c r="FZ36" s="706" t="s">
        <v>120</v>
      </c>
      <c r="GA36" s="150"/>
      <c r="GB36" s="132">
        <v>1</v>
      </c>
      <c r="GC36" s="132">
        <v>2</v>
      </c>
      <c r="GD36" s="132">
        <v>3</v>
      </c>
      <c r="GE36" s="132">
        <v>4</v>
      </c>
      <c r="GF36" s="132">
        <v>5</v>
      </c>
      <c r="GG36" s="132">
        <v>6</v>
      </c>
      <c r="GH36" s="132">
        <v>7</v>
      </c>
      <c r="GI36" s="132">
        <v>8</v>
      </c>
      <c r="GJ36" s="132">
        <v>9</v>
      </c>
      <c r="GK36" s="132">
        <v>10</v>
      </c>
      <c r="GL36" s="132">
        <v>11</v>
      </c>
      <c r="GM36" s="133">
        <v>12</v>
      </c>
    </row>
    <row r="37" spans="2:195" x14ac:dyDescent="0.25">
      <c r="B37" s="707"/>
      <c r="C37" s="45" t="s">
        <v>44</v>
      </c>
      <c r="D37" s="134">
        <f>D13*$D$32+$D$33</f>
        <v>16.27807962962963</v>
      </c>
      <c r="E37" s="134">
        <f t="shared" ref="E37:K37" si="84">E13*$D$32+$D$33</f>
        <v>22.933979629629629</v>
      </c>
      <c r="F37" s="134">
        <f t="shared" si="84"/>
        <v>122.77247962962963</v>
      </c>
      <c r="G37" s="134">
        <f t="shared" si="84"/>
        <v>122.77247962962963</v>
      </c>
      <c r="H37" s="134">
        <f t="shared" si="84"/>
        <v>162.70787962962962</v>
      </c>
      <c r="I37" s="134">
        <f t="shared" si="84"/>
        <v>182.67557962962962</v>
      </c>
      <c r="J37" s="134">
        <f t="shared" si="84"/>
        <v>169.36377962962962</v>
      </c>
      <c r="K37" s="134">
        <f t="shared" si="84"/>
        <v>102.80477962962964</v>
      </c>
      <c r="L37" s="134"/>
      <c r="M37" s="134"/>
      <c r="N37" s="134"/>
      <c r="O37" s="135"/>
      <c r="Q37" s="707"/>
      <c r="R37" s="45" t="s">
        <v>44</v>
      </c>
      <c r="S37" s="134">
        <f>S13*$S$32+$S$33</f>
        <v>50.672694444444446</v>
      </c>
      <c r="T37" s="134">
        <f t="shared" ref="T37:AB37" si="85">T13*$S$32+$S$33</f>
        <v>69.049294444444442</v>
      </c>
      <c r="U37" s="134">
        <f t="shared" si="85"/>
        <v>206.87379444444443</v>
      </c>
      <c r="V37" s="134">
        <f t="shared" si="85"/>
        <v>197.68549444444443</v>
      </c>
      <c r="W37" s="134">
        <f t="shared" si="85"/>
        <v>657.10049444444451</v>
      </c>
      <c r="X37" s="134">
        <f t="shared" si="85"/>
        <v>657.10049444444451</v>
      </c>
      <c r="Y37" s="134">
        <f t="shared" si="85"/>
        <v>620.3472944444444</v>
      </c>
      <c r="Z37" s="134">
        <f t="shared" si="85"/>
        <v>657.10049444444451</v>
      </c>
      <c r="AA37" s="134">
        <f t="shared" si="85"/>
        <v>601.97069444444446</v>
      </c>
      <c r="AB37" s="134">
        <f t="shared" si="85"/>
        <v>620.3472944444444</v>
      </c>
      <c r="AC37" s="134"/>
      <c r="AD37" s="134"/>
      <c r="AF37" s="707"/>
      <c r="AG37" s="45" t="s">
        <v>44</v>
      </c>
      <c r="AH37" s="134">
        <f t="shared" ref="AH37:AM37" si="86">AH13*$AH$32+$AH$33</f>
        <v>47.888764705882352</v>
      </c>
      <c r="AI37" s="134">
        <f t="shared" si="86"/>
        <v>10.499764705882352</v>
      </c>
      <c r="AJ37" s="134">
        <f t="shared" si="86"/>
        <v>110.20376470588235</v>
      </c>
      <c r="AK37" s="134">
        <f t="shared" si="86"/>
        <v>72.814764705882354</v>
      </c>
      <c r="AL37" s="134">
        <f t="shared" si="86"/>
        <v>459.16776470588229</v>
      </c>
      <c r="AM37" s="134">
        <f t="shared" si="86"/>
        <v>446.70476470588233</v>
      </c>
      <c r="AN37" s="134"/>
      <c r="AO37" s="134"/>
      <c r="AP37" s="134"/>
      <c r="AQ37" s="134"/>
      <c r="AR37" s="134"/>
      <c r="AS37" s="134"/>
      <c r="AU37" s="707"/>
      <c r="AV37" s="45" t="s">
        <v>44</v>
      </c>
      <c r="AW37" s="134">
        <f t="shared" ref="AW37:BD37" si="87">AW13*$AW$32+$AW$33</f>
        <v>-10.014009999999999</v>
      </c>
      <c r="AX37" s="134">
        <f t="shared" si="87"/>
        <v>-10.014009999999999</v>
      </c>
      <c r="AY37" s="134">
        <f t="shared" si="87"/>
        <v>488.73879000000005</v>
      </c>
      <c r="AZ37" s="134">
        <f t="shared" si="87"/>
        <v>479.14739000000003</v>
      </c>
      <c r="BA37" s="134">
        <f t="shared" si="87"/>
        <v>210.58819</v>
      </c>
      <c r="BB37" s="134">
        <f t="shared" si="87"/>
        <v>229.77099000000001</v>
      </c>
      <c r="BC37" s="134">
        <f t="shared" si="87"/>
        <v>248.95379</v>
      </c>
      <c r="BD37" s="134">
        <f t="shared" si="87"/>
        <v>248.95379</v>
      </c>
      <c r="BE37" s="134"/>
      <c r="BF37" s="134"/>
      <c r="BG37" s="134"/>
      <c r="BH37" s="134"/>
      <c r="BJ37" s="707"/>
      <c r="BK37" s="122" t="s">
        <v>44</v>
      </c>
      <c r="BL37" s="18">
        <f t="shared" ref="BL37:BQ37" si="88">BL13*$BL$32+$BL$33</f>
        <v>-59.558969696969697</v>
      </c>
      <c r="BM37" s="18">
        <f t="shared" si="88"/>
        <v>-73.345969696969703</v>
      </c>
      <c r="BN37" s="18">
        <f t="shared" si="88"/>
        <v>202.39403030303032</v>
      </c>
      <c r="BO37" s="18">
        <f t="shared" si="88"/>
        <v>119.6720303030303</v>
      </c>
      <c r="BP37" s="18">
        <f t="shared" si="88"/>
        <v>229.96803030303033</v>
      </c>
      <c r="BQ37" s="18">
        <f t="shared" si="88"/>
        <v>257.54203030303034</v>
      </c>
      <c r="BR37" s="18"/>
      <c r="BS37" s="18"/>
      <c r="BT37" s="18"/>
      <c r="BU37" s="18"/>
      <c r="BV37" s="18"/>
      <c r="BW37" s="39"/>
      <c r="BY37" s="707"/>
      <c r="BZ37" s="122" t="s">
        <v>44</v>
      </c>
      <c r="CA37" s="18">
        <f t="shared" ref="CA37:CA42" si="89">CA13*$CA$32+$CA$33</f>
        <v>-87.967659090909095</v>
      </c>
      <c r="CB37" s="18">
        <f t="shared" ref="CB37:CJ37" si="90">CB13*$CA$32+$CA$33</f>
        <v>-220.9536590909091</v>
      </c>
      <c r="CC37" s="18">
        <f t="shared" si="90"/>
        <v>216.00034090909094</v>
      </c>
      <c r="CD37" s="18">
        <f t="shared" si="90"/>
        <v>272.99434090909091</v>
      </c>
      <c r="CE37" s="18">
        <f t="shared" si="90"/>
        <v>-59.470659090909081</v>
      </c>
      <c r="CF37" s="18">
        <f t="shared" si="90"/>
        <v>-49.9716590909091</v>
      </c>
      <c r="CG37" s="18">
        <f t="shared" si="90"/>
        <v>510.46934090909104</v>
      </c>
      <c r="CH37" s="18">
        <f t="shared" si="90"/>
        <v>500.97034090909102</v>
      </c>
      <c r="CI37" s="18">
        <f t="shared" si="90"/>
        <v>178.0043409090909</v>
      </c>
      <c r="CJ37" s="18">
        <f t="shared" si="90"/>
        <v>178.0043409090909</v>
      </c>
      <c r="CK37" s="18"/>
      <c r="CL37" s="39"/>
      <c r="CN37" s="707"/>
      <c r="CO37" s="122" t="s">
        <v>44</v>
      </c>
      <c r="CP37" s="18">
        <f t="shared" ref="CP37:CP42" si="91">CP13*$CP$32+$CP$33</f>
        <v>4.6029285714285706</v>
      </c>
      <c r="CQ37" s="18">
        <f t="shared" ref="CQ37:CW37" si="92">CQ13*$CP$32+$CP$33</f>
        <v>-33.161071428571425</v>
      </c>
      <c r="CR37" s="18">
        <f t="shared" si="92"/>
        <v>558.47492857142856</v>
      </c>
      <c r="CS37" s="18">
        <f t="shared" si="92"/>
        <v>608.82692857142854</v>
      </c>
      <c r="CT37" s="18">
        <f t="shared" si="92"/>
        <v>357.06692857142855</v>
      </c>
      <c r="CU37" s="18">
        <f t="shared" si="92"/>
        <v>357.06692857142855</v>
      </c>
      <c r="CV37" s="18">
        <f t="shared" si="92"/>
        <v>268.95092857142856</v>
      </c>
      <c r="CW37" s="18">
        <f t="shared" si="92"/>
        <v>331.89092857142862</v>
      </c>
      <c r="CX37" s="18"/>
      <c r="CY37" s="18"/>
      <c r="CZ37" s="18"/>
      <c r="DA37" s="39"/>
      <c r="DC37" s="707"/>
      <c r="DD37" s="122" t="s">
        <v>44</v>
      </c>
      <c r="DE37" s="18">
        <f t="shared" ref="DE37:DE42" si="93">DE13*$DE$32+$DE$33</f>
        <v>-44.482340909090908</v>
      </c>
      <c r="DF37" s="18">
        <f t="shared" ref="DF37:DN37" si="94">DF13*$DE$32+$DE$33</f>
        <v>-31.180340909090908</v>
      </c>
      <c r="DG37" s="18">
        <f t="shared" si="94"/>
        <v>414.43665909090902</v>
      </c>
      <c r="DH37" s="18">
        <f t="shared" si="94"/>
        <v>427.73865909090904</v>
      </c>
      <c r="DI37" s="18">
        <f t="shared" si="94"/>
        <v>41.980659090909093</v>
      </c>
      <c r="DJ37" s="18">
        <f t="shared" si="94"/>
        <v>48.631659090909089</v>
      </c>
      <c r="DK37" s="18">
        <f t="shared" si="94"/>
        <v>8.7256590909090974</v>
      </c>
      <c r="DL37" s="18">
        <f t="shared" si="94"/>
        <v>8.7256590909090974</v>
      </c>
      <c r="DM37" s="18">
        <f t="shared" si="94"/>
        <v>55.2826590909091</v>
      </c>
      <c r="DN37" s="18">
        <f t="shared" si="94"/>
        <v>55.2826590909091</v>
      </c>
      <c r="DO37" s="18"/>
      <c r="DP37" s="39"/>
      <c r="DR37" s="707"/>
      <c r="DS37" s="122" t="s">
        <v>44</v>
      </c>
      <c r="DT37" s="18">
        <f>DT13*$DT$32+$DT$33</f>
        <v>-25.455874999999999</v>
      </c>
      <c r="DU37" s="18">
        <f t="shared" ref="DU37:EE37" si="95">DU13*$DT$32+$DT$33</f>
        <v>-36.993875000000003</v>
      </c>
      <c r="DV37" s="18">
        <f t="shared" si="95"/>
        <v>101.46212500000001</v>
      </c>
      <c r="DW37" s="18">
        <f t="shared" si="95"/>
        <v>101.46212500000001</v>
      </c>
      <c r="DX37" s="18">
        <f t="shared" si="95"/>
        <v>193.76612500000002</v>
      </c>
      <c r="DY37" s="18">
        <f t="shared" si="95"/>
        <v>170.69012500000002</v>
      </c>
      <c r="DZ37" s="18">
        <f t="shared" si="95"/>
        <v>136.07612500000002</v>
      </c>
      <c r="EA37" s="18">
        <f t="shared" si="95"/>
        <v>136.07612500000002</v>
      </c>
      <c r="EB37" s="18">
        <f t="shared" si="95"/>
        <v>309.14612499999998</v>
      </c>
      <c r="EC37" s="18">
        <f t="shared" si="95"/>
        <v>320.68412499999999</v>
      </c>
      <c r="ED37" s="18">
        <f t="shared" si="95"/>
        <v>124.53812500000001</v>
      </c>
      <c r="EE37" s="18">
        <f t="shared" si="95"/>
        <v>124.53812500000001</v>
      </c>
      <c r="EG37" s="707"/>
      <c r="EH37" s="122" t="s">
        <v>44</v>
      </c>
      <c r="EI37" s="18">
        <f t="shared" ref="EI37:EN41" si="96">EI13*$EI$32+$EI$33</f>
        <v>19.760804857142858</v>
      </c>
      <c r="EJ37" s="18">
        <f t="shared" si="96"/>
        <v>59.479304857142857</v>
      </c>
      <c r="EK37" s="18">
        <f t="shared" si="96"/>
        <v>313.67770485714283</v>
      </c>
      <c r="EL37" s="18">
        <f t="shared" si="96"/>
        <v>281.90290485714286</v>
      </c>
      <c r="EM37" s="18">
        <f t="shared" si="96"/>
        <v>321.62140485714281</v>
      </c>
      <c r="EN37" s="18">
        <f t="shared" si="96"/>
        <v>345.4525048571428</v>
      </c>
      <c r="EO37" s="18"/>
      <c r="EP37" s="18"/>
      <c r="EQ37" s="18"/>
      <c r="ER37" s="18"/>
      <c r="ES37" s="18"/>
      <c r="ET37" s="18"/>
      <c r="EV37" s="707"/>
      <c r="EW37" s="122" t="s">
        <v>44</v>
      </c>
      <c r="EX37" s="18">
        <f>EX13*$EX$32+$EX$33</f>
        <v>3.1845681818181815</v>
      </c>
      <c r="EY37" s="18">
        <f t="shared" ref="EY37:FG37" si="97">EY13*$EX$32+$EX$33</f>
        <v>-5.8444318181818176</v>
      </c>
      <c r="EZ37" s="18">
        <f t="shared" si="97"/>
        <v>391.43156818181819</v>
      </c>
      <c r="FA37" s="18">
        <f t="shared" si="97"/>
        <v>391.43156818181819</v>
      </c>
      <c r="FB37" s="18">
        <f t="shared" si="97"/>
        <v>472.69256818181816</v>
      </c>
      <c r="FC37" s="18">
        <f t="shared" si="97"/>
        <v>481.72156818181816</v>
      </c>
      <c r="FD37" s="18">
        <f t="shared" si="97"/>
        <v>165.70656818181817</v>
      </c>
      <c r="FE37" s="18">
        <f t="shared" si="97"/>
        <v>183.76456818181819</v>
      </c>
      <c r="FF37" s="18">
        <f t="shared" si="97"/>
        <v>346.28656818181821</v>
      </c>
      <c r="FG37" s="18">
        <f t="shared" si="97"/>
        <v>373.3735681818182</v>
      </c>
      <c r="FH37" s="18"/>
      <c r="FI37" s="18"/>
      <c r="FK37" s="707"/>
      <c r="FL37" s="122" t="s">
        <v>44</v>
      </c>
      <c r="FM37" s="18">
        <f t="shared" ref="FM37:FR37" si="98">FM13*$FM$32+$FM$33</f>
        <v>-27.182882812500004</v>
      </c>
      <c r="FN37" s="18">
        <f t="shared" si="98"/>
        <v>-45.205482812500001</v>
      </c>
      <c r="FO37" s="18">
        <f t="shared" si="98"/>
        <v>486.46121718750004</v>
      </c>
      <c r="FP37" s="18">
        <f t="shared" si="98"/>
        <v>477.44991718750003</v>
      </c>
      <c r="FQ37" s="18">
        <f t="shared" si="98"/>
        <v>675.69851718749999</v>
      </c>
      <c r="FR37" s="18">
        <f t="shared" si="98"/>
        <v>675.69851718749999</v>
      </c>
      <c r="FS37" s="18"/>
      <c r="FT37" s="18"/>
      <c r="FU37" s="18"/>
      <c r="FV37" s="18"/>
      <c r="FW37" s="18"/>
      <c r="FX37" s="18"/>
      <c r="FZ37" s="707"/>
      <c r="GA37" s="122" t="s">
        <v>44</v>
      </c>
      <c r="GB37" s="18">
        <f>GB13*$GB$32+$GB$33</f>
        <v>14.358157894736843</v>
      </c>
      <c r="GC37" s="18">
        <f t="shared" ref="GC37:GE37" si="99">GC13*$GB$32+$GB$33</f>
        <v>-5.8018421052631579</v>
      </c>
      <c r="GD37" s="18">
        <f t="shared" si="99"/>
        <v>266.35815789473685</v>
      </c>
      <c r="GE37" s="18">
        <f t="shared" si="99"/>
        <v>326.83815789473687</v>
      </c>
      <c r="GF37" s="18"/>
      <c r="GG37" s="18"/>
      <c r="GH37" s="18"/>
      <c r="GI37" s="18"/>
      <c r="GJ37" s="18"/>
      <c r="GK37" s="18"/>
      <c r="GL37" s="18"/>
      <c r="GM37" s="18"/>
    </row>
    <row r="38" spans="2:195" x14ac:dyDescent="0.25">
      <c r="B38" s="707"/>
      <c r="C38" s="45" t="s">
        <v>45</v>
      </c>
      <c r="D38" s="134">
        <f t="shared" ref="D38:K42" si="100">D14*$D$32+$D$33</f>
        <v>202.64327962962963</v>
      </c>
      <c r="E38" s="134">
        <f t="shared" si="100"/>
        <v>202.64327962962963</v>
      </c>
      <c r="F38" s="134">
        <f t="shared" si="100"/>
        <v>235.92277962962964</v>
      </c>
      <c r="G38" s="134">
        <f t="shared" si="100"/>
        <v>362.38487962962967</v>
      </c>
      <c r="H38" s="134">
        <f t="shared" si="100"/>
        <v>176.01967962962962</v>
      </c>
      <c r="I38" s="134">
        <f t="shared" si="100"/>
        <v>182.67557962962962</v>
      </c>
      <c r="J38" s="134">
        <f t="shared" si="100"/>
        <v>116.11657962962963</v>
      </c>
      <c r="K38" s="134">
        <f t="shared" si="100"/>
        <v>116.11657962962963</v>
      </c>
      <c r="L38" s="134"/>
      <c r="M38" s="134"/>
      <c r="N38" s="134"/>
      <c r="O38" s="135"/>
      <c r="Q38" s="707"/>
      <c r="R38" s="45" t="s">
        <v>45</v>
      </c>
      <c r="S38" s="134">
        <f t="shared" ref="S38:AB42" si="101">S14*$S$32+$S$33</f>
        <v>160.93229444444444</v>
      </c>
      <c r="T38" s="134">
        <f t="shared" si="101"/>
        <v>151.74399444444444</v>
      </c>
      <c r="U38" s="134">
        <f t="shared" si="101"/>
        <v>133.36739444444444</v>
      </c>
      <c r="V38" s="134">
        <f t="shared" si="101"/>
        <v>124.17909444444444</v>
      </c>
      <c r="W38" s="134">
        <f t="shared" si="101"/>
        <v>693.8536944444445</v>
      </c>
      <c r="X38" s="134">
        <f t="shared" si="101"/>
        <v>684.66539444444447</v>
      </c>
      <c r="Y38" s="134">
        <f t="shared" si="101"/>
        <v>822.48989444444453</v>
      </c>
      <c r="Z38" s="134">
        <f t="shared" si="101"/>
        <v>822.48989444444453</v>
      </c>
      <c r="AA38" s="134">
        <f t="shared" si="101"/>
        <v>353.88659444444448</v>
      </c>
      <c r="AB38" s="134">
        <f t="shared" si="101"/>
        <v>363.07489444444445</v>
      </c>
      <c r="AC38" s="134"/>
      <c r="AD38" s="134"/>
      <c r="AF38" s="707"/>
      <c r="AG38" s="45" t="s">
        <v>45</v>
      </c>
      <c r="AH38" s="134">
        <f t="shared" ref="AH38:AM42" si="102">AH14*$AH$32+$AH$33</f>
        <v>247.29676470588234</v>
      </c>
      <c r="AI38" s="134">
        <f t="shared" si="102"/>
        <v>234.83376470588234</v>
      </c>
      <c r="AJ38" s="134">
        <f t="shared" si="102"/>
        <v>35.425764705882351</v>
      </c>
      <c r="AK38" s="134">
        <f t="shared" si="102"/>
        <v>47.888764705882352</v>
      </c>
      <c r="AL38" s="134">
        <f t="shared" si="102"/>
        <v>509.01976470588232</v>
      </c>
      <c r="AM38" s="134">
        <f t="shared" si="102"/>
        <v>509.01976470588232</v>
      </c>
      <c r="AN38" s="134"/>
      <c r="AO38" s="134"/>
      <c r="AP38" s="134"/>
      <c r="AQ38" s="134"/>
      <c r="AR38" s="134"/>
      <c r="AS38" s="134"/>
      <c r="AU38" s="707"/>
      <c r="AV38" s="45" t="s">
        <v>45</v>
      </c>
      <c r="AW38" s="134">
        <f t="shared" ref="AW38:BB42" si="103">AW14*$AW$32+$AW$33</f>
        <v>220.17959000000002</v>
      </c>
      <c r="AX38" s="134">
        <f t="shared" si="103"/>
        <v>181.81399000000002</v>
      </c>
      <c r="AY38" s="134">
        <f t="shared" si="103"/>
        <v>910.76039000000003</v>
      </c>
      <c r="AZ38" s="134">
        <f t="shared" si="103"/>
        <v>910.76039000000003</v>
      </c>
      <c r="BA38" s="134">
        <f t="shared" si="103"/>
        <v>191.40539000000001</v>
      </c>
      <c r="BB38" s="134">
        <f t="shared" si="103"/>
        <v>181.81399000000002</v>
      </c>
      <c r="BC38" s="134">
        <f t="shared" ref="BC38:BD42" si="104">BC14*$AW$32+$AW$33</f>
        <v>383.23339000000004</v>
      </c>
      <c r="BD38" s="134">
        <f t="shared" si="104"/>
        <v>402.41619000000003</v>
      </c>
      <c r="BE38" s="134"/>
      <c r="BF38" s="134"/>
      <c r="BG38" s="134"/>
      <c r="BH38" s="134"/>
      <c r="BJ38" s="707"/>
      <c r="BK38" s="122" t="s">
        <v>45</v>
      </c>
      <c r="BL38" s="18">
        <f t="shared" ref="BL38:BQ44" si="105">BL14*$BL$32+$BL$33</f>
        <v>216.1810303030303</v>
      </c>
      <c r="BM38" s="18">
        <f t="shared" si="105"/>
        <v>216.1810303030303</v>
      </c>
      <c r="BN38" s="18">
        <f t="shared" si="105"/>
        <v>202.39403030303032</v>
      </c>
      <c r="BO38" s="18">
        <f t="shared" si="105"/>
        <v>202.39403030303032</v>
      </c>
      <c r="BP38" s="18">
        <f t="shared" si="105"/>
        <v>174.82003030303031</v>
      </c>
      <c r="BQ38" s="18">
        <f t="shared" si="105"/>
        <v>243.75503030303031</v>
      </c>
      <c r="BR38" s="18"/>
      <c r="BS38" s="18"/>
      <c r="BT38" s="18"/>
      <c r="BU38" s="18"/>
      <c r="BV38" s="18"/>
      <c r="BW38" s="39"/>
      <c r="BY38" s="707"/>
      <c r="BZ38" s="122" t="s">
        <v>45</v>
      </c>
      <c r="CA38" s="18">
        <f t="shared" si="89"/>
        <v>282.49334090909093</v>
      </c>
      <c r="CB38" s="18">
        <f t="shared" ref="CB38:CJ38" si="106">CB14*$CA$32+$CA$33</f>
        <v>310.99034090909089</v>
      </c>
      <c r="CC38" s="18">
        <f t="shared" si="106"/>
        <v>500.97034090909102</v>
      </c>
      <c r="CD38" s="18">
        <f t="shared" si="106"/>
        <v>462.97434090909104</v>
      </c>
      <c r="CE38" s="18">
        <f t="shared" si="106"/>
        <v>7.0223409090909001</v>
      </c>
      <c r="CF38" s="18">
        <f t="shared" si="106"/>
        <v>73.515340909090895</v>
      </c>
      <c r="CG38" s="18">
        <f t="shared" si="106"/>
        <v>510.46934090909104</v>
      </c>
      <c r="CH38" s="18">
        <f t="shared" si="106"/>
        <v>491.471340909091</v>
      </c>
      <c r="CI38" s="18">
        <f t="shared" si="106"/>
        <v>54.517340909090905</v>
      </c>
      <c r="CJ38" s="18">
        <f t="shared" si="106"/>
        <v>64.0163409090909</v>
      </c>
      <c r="CK38" s="18"/>
      <c r="CL38" s="39"/>
      <c r="CN38" s="707"/>
      <c r="CO38" s="122" t="s">
        <v>45</v>
      </c>
      <c r="CP38" s="18">
        <f t="shared" si="91"/>
        <v>206.01092857142856</v>
      </c>
      <c r="CQ38" s="18">
        <f t="shared" ref="CQ38:CW38" si="107">CQ14*$CP$32+$CP$33</f>
        <v>206.01092857142856</v>
      </c>
      <c r="CR38" s="18">
        <f t="shared" si="107"/>
        <v>797.64692857142848</v>
      </c>
      <c r="CS38" s="18">
        <f t="shared" si="107"/>
        <v>785.05892857142851</v>
      </c>
      <c r="CT38" s="18">
        <f t="shared" si="107"/>
        <v>432.59492857142857</v>
      </c>
      <c r="CU38" s="18">
        <f t="shared" si="107"/>
        <v>420.0069285714286</v>
      </c>
      <c r="CV38" s="18">
        <f t="shared" si="107"/>
        <v>155.65892857142856</v>
      </c>
      <c r="CW38" s="18">
        <f t="shared" si="107"/>
        <v>168.24692857142858</v>
      </c>
      <c r="CX38" s="18"/>
      <c r="CY38" s="18"/>
      <c r="CZ38" s="18"/>
      <c r="DA38" s="39"/>
      <c r="DC38" s="707"/>
      <c r="DD38" s="122" t="s">
        <v>45</v>
      </c>
      <c r="DE38" s="18">
        <f t="shared" si="93"/>
        <v>208.25565909090909</v>
      </c>
      <c r="DF38" s="18">
        <f t="shared" ref="DF38:DN38" si="108">DF14*$DE$32+$DE$33</f>
        <v>188.30265909090909</v>
      </c>
      <c r="DG38" s="18">
        <f t="shared" si="108"/>
        <v>520.85265909090901</v>
      </c>
      <c r="DH38" s="18">
        <f t="shared" si="108"/>
        <v>487.59765909090902</v>
      </c>
      <c r="DI38" s="18">
        <f t="shared" si="108"/>
        <v>115.14165909090909</v>
      </c>
      <c r="DJ38" s="18">
        <f t="shared" si="108"/>
        <v>101.83965909090909</v>
      </c>
      <c r="DK38" s="18">
        <f t="shared" si="108"/>
        <v>-17.878340909090909</v>
      </c>
      <c r="DL38" s="18">
        <f t="shared" si="108"/>
        <v>-11.227340909090906</v>
      </c>
      <c r="DM38" s="18">
        <f t="shared" si="108"/>
        <v>2.0746590909090941</v>
      </c>
      <c r="DN38" s="18">
        <f t="shared" si="108"/>
        <v>2.0746590909090941</v>
      </c>
      <c r="DO38" s="18"/>
      <c r="DP38" s="39"/>
      <c r="DR38" s="707"/>
      <c r="DS38" s="122" t="s">
        <v>45</v>
      </c>
      <c r="DT38" s="18">
        <f t="shared" ref="DT38:EE42" si="109">DT14*$DT$32+$DT$33</f>
        <v>297.60812499999997</v>
      </c>
      <c r="DU38" s="18">
        <f t="shared" si="109"/>
        <v>297.60812499999997</v>
      </c>
      <c r="DV38" s="18">
        <f t="shared" si="109"/>
        <v>320.68412499999999</v>
      </c>
      <c r="DW38" s="18">
        <f t="shared" si="109"/>
        <v>320.68412499999999</v>
      </c>
      <c r="DX38" s="18">
        <f t="shared" si="109"/>
        <v>597.59612500000003</v>
      </c>
      <c r="DY38" s="18">
        <f t="shared" si="109"/>
        <v>597.59612500000003</v>
      </c>
      <c r="DZ38" s="18">
        <f t="shared" si="109"/>
        <v>-48.531874999999999</v>
      </c>
      <c r="EA38" s="18">
        <f t="shared" si="109"/>
        <v>-25.455874999999999</v>
      </c>
      <c r="EB38" s="18">
        <f t="shared" si="109"/>
        <v>493.75412500000004</v>
      </c>
      <c r="EC38" s="18">
        <f t="shared" si="109"/>
        <v>482.21612499999998</v>
      </c>
      <c r="ED38" s="18">
        <f t="shared" si="109"/>
        <v>66.84812500000001</v>
      </c>
      <c r="EE38" s="18">
        <f t="shared" si="109"/>
        <v>78.386124999999993</v>
      </c>
      <c r="EG38" s="707"/>
      <c r="EH38" s="122" t="s">
        <v>45</v>
      </c>
      <c r="EI38" s="18">
        <f t="shared" si="96"/>
        <v>130.97260485714284</v>
      </c>
      <c r="EJ38" s="18">
        <f t="shared" si="96"/>
        <v>162.74740485714284</v>
      </c>
      <c r="EK38" s="18">
        <f t="shared" si="96"/>
        <v>297.79030485714281</v>
      </c>
      <c r="EL38" s="18">
        <f t="shared" si="96"/>
        <v>337.50880485714282</v>
      </c>
      <c r="EM38" s="18">
        <f t="shared" si="96"/>
        <v>297.79030485714281</v>
      </c>
      <c r="EN38" s="18">
        <f t="shared" si="96"/>
        <v>297.79030485714281</v>
      </c>
      <c r="EO38" s="18"/>
      <c r="EP38" s="18"/>
      <c r="EQ38" s="18"/>
      <c r="ER38" s="18"/>
      <c r="ES38" s="18"/>
      <c r="ET38" s="18"/>
      <c r="EV38" s="707"/>
      <c r="EW38" s="122" t="s">
        <v>45</v>
      </c>
      <c r="EX38" s="18">
        <f t="shared" ref="EX38:FG42" si="110">EX14*$EX$32+$EX$33</f>
        <v>201.82256818181818</v>
      </c>
      <c r="EY38" s="18">
        <f t="shared" si="110"/>
        <v>192.79356818181819</v>
      </c>
      <c r="EZ38" s="18">
        <f t="shared" si="110"/>
        <v>337.25756818181816</v>
      </c>
      <c r="FA38" s="18">
        <f t="shared" si="110"/>
        <v>319.19956818181817</v>
      </c>
      <c r="FB38" s="18">
        <f t="shared" si="110"/>
        <v>382.4025681818182</v>
      </c>
      <c r="FC38" s="18">
        <f t="shared" si="110"/>
        <v>382.4025681818182</v>
      </c>
      <c r="FD38" s="18">
        <f t="shared" si="110"/>
        <v>192.79356818181819</v>
      </c>
      <c r="FE38" s="18">
        <f t="shared" si="110"/>
        <v>183.76456818181819</v>
      </c>
      <c r="FF38" s="18">
        <f t="shared" si="110"/>
        <v>219.88056818181818</v>
      </c>
      <c r="FG38" s="18">
        <f t="shared" si="110"/>
        <v>237.93856818181817</v>
      </c>
      <c r="FH38" s="18"/>
      <c r="FI38" s="18"/>
      <c r="FK38" s="707"/>
      <c r="FL38" s="122" t="s">
        <v>45</v>
      </c>
      <c r="FM38" s="18">
        <f t="shared" ref="FM38:FR42" si="111">FM14*$FM$32+$FM$33</f>
        <v>216.12221718750001</v>
      </c>
      <c r="FN38" s="18">
        <f t="shared" si="111"/>
        <v>207.11091718750001</v>
      </c>
      <c r="FO38" s="18">
        <f t="shared" si="111"/>
        <v>405.35951718750005</v>
      </c>
      <c r="FP38" s="18">
        <f t="shared" si="111"/>
        <v>378.32561718750003</v>
      </c>
      <c r="FQ38" s="18">
        <f t="shared" si="111"/>
        <v>450.41601718750002</v>
      </c>
      <c r="FR38" s="18">
        <f t="shared" si="111"/>
        <v>441.40471718750001</v>
      </c>
      <c r="FS38" s="18"/>
      <c r="FT38" s="18"/>
      <c r="FU38" s="18"/>
      <c r="FV38" s="18"/>
      <c r="FW38" s="18"/>
      <c r="FX38" s="18"/>
      <c r="FZ38" s="707"/>
      <c r="GA38" s="122" t="s">
        <v>45</v>
      </c>
      <c r="GB38" s="18">
        <f t="shared" ref="GB38:GE42" si="112">GB14*$GB$32+$GB$33</f>
        <v>205.87815789473686</v>
      </c>
      <c r="GC38" s="18">
        <f t="shared" si="112"/>
        <v>205.87815789473686</v>
      </c>
      <c r="GD38" s="18">
        <f t="shared" si="112"/>
        <v>195.79815789473687</v>
      </c>
      <c r="GE38" s="18">
        <f t="shared" si="112"/>
        <v>155.47815789473685</v>
      </c>
      <c r="GF38" s="18"/>
      <c r="GG38" s="18"/>
      <c r="GH38" s="18"/>
      <c r="GI38" s="18"/>
      <c r="GJ38" s="18"/>
      <c r="GK38" s="18"/>
      <c r="GL38" s="18"/>
      <c r="GM38" s="18"/>
    </row>
    <row r="39" spans="2:195" x14ac:dyDescent="0.25">
      <c r="B39" s="707"/>
      <c r="C39" s="45" t="s">
        <v>46</v>
      </c>
      <c r="D39" s="134">
        <f t="shared" si="100"/>
        <v>389.00847962962962</v>
      </c>
      <c r="E39" s="134">
        <f t="shared" si="100"/>
        <v>402.32027962962962</v>
      </c>
      <c r="F39" s="134">
        <f t="shared" si="100"/>
        <v>275.85817962962966</v>
      </c>
      <c r="G39" s="134">
        <f t="shared" si="100"/>
        <v>302.48177962962961</v>
      </c>
      <c r="H39" s="134">
        <f t="shared" si="100"/>
        <v>136.08427962962963</v>
      </c>
      <c r="I39" s="134">
        <f t="shared" si="100"/>
        <v>129.4283796296296</v>
      </c>
      <c r="J39" s="134">
        <f t="shared" si="100"/>
        <v>76.181179629629639</v>
      </c>
      <c r="K39" s="134">
        <f t="shared" si="100"/>
        <v>102.80477962962964</v>
      </c>
      <c r="L39" s="134"/>
      <c r="M39" s="134"/>
      <c r="N39" s="134"/>
      <c r="O39" s="135"/>
      <c r="Q39" s="707"/>
      <c r="R39" s="45" t="s">
        <v>46</v>
      </c>
      <c r="S39" s="134">
        <f t="shared" si="101"/>
        <v>409.01639444444447</v>
      </c>
      <c r="T39" s="134">
        <f t="shared" si="101"/>
        <v>418.20469444444444</v>
      </c>
      <c r="U39" s="134">
        <f t="shared" si="101"/>
        <v>216.06209444444443</v>
      </c>
      <c r="V39" s="134">
        <f t="shared" si="101"/>
        <v>225.25039444444442</v>
      </c>
      <c r="W39" s="134">
        <f t="shared" si="101"/>
        <v>758.17179444444457</v>
      </c>
      <c r="X39" s="134">
        <f t="shared" si="101"/>
        <v>767.36009444444448</v>
      </c>
      <c r="Y39" s="134">
        <f t="shared" si="101"/>
        <v>684.66539444444447</v>
      </c>
      <c r="Z39" s="134">
        <f t="shared" si="101"/>
        <v>721.41859444444447</v>
      </c>
      <c r="AA39" s="134">
        <f t="shared" si="101"/>
        <v>546.84089444444442</v>
      </c>
      <c r="AB39" s="134">
        <f t="shared" si="101"/>
        <v>537.65259444444439</v>
      </c>
      <c r="AC39" s="134"/>
      <c r="AD39" s="134"/>
      <c r="AF39" s="707"/>
      <c r="AG39" s="45" t="s">
        <v>46</v>
      </c>
      <c r="AH39" s="134">
        <f t="shared" si="102"/>
        <v>322.07476470588233</v>
      </c>
      <c r="AI39" s="134">
        <f t="shared" si="102"/>
        <v>309.61176470588231</v>
      </c>
      <c r="AJ39" s="134">
        <f t="shared" si="102"/>
        <v>247.29676470588234</v>
      </c>
      <c r="AK39" s="134">
        <f t="shared" si="102"/>
        <v>272.22276470588235</v>
      </c>
      <c r="AL39" s="134">
        <f t="shared" si="102"/>
        <v>334.5377647058823</v>
      </c>
      <c r="AM39" s="134">
        <f t="shared" si="102"/>
        <v>359.46376470588228</v>
      </c>
      <c r="AN39" s="134"/>
      <c r="AO39" s="134"/>
      <c r="AP39" s="134"/>
      <c r="AQ39" s="134"/>
      <c r="AR39" s="134"/>
      <c r="AS39" s="134"/>
      <c r="AU39" s="707"/>
      <c r="AV39" s="45" t="s">
        <v>46</v>
      </c>
      <c r="AW39" s="134">
        <f t="shared" si="103"/>
        <v>383.23339000000004</v>
      </c>
      <c r="AX39" s="134">
        <f t="shared" si="103"/>
        <v>392.82479000000006</v>
      </c>
      <c r="AY39" s="134">
        <f t="shared" si="103"/>
        <v>584.6527900000001</v>
      </c>
      <c r="AZ39" s="134">
        <f t="shared" si="103"/>
        <v>594.24419</v>
      </c>
      <c r="BA39" s="134"/>
      <c r="BB39" s="134"/>
      <c r="BC39" s="134">
        <f t="shared" si="104"/>
        <v>239.36239</v>
      </c>
      <c r="BD39" s="134">
        <f t="shared" si="104"/>
        <v>248.95379</v>
      </c>
      <c r="BE39" s="134"/>
      <c r="BF39" s="134"/>
      <c r="BG39" s="134"/>
      <c r="BH39" s="134"/>
      <c r="BJ39" s="707"/>
      <c r="BK39" s="122" t="s">
        <v>46</v>
      </c>
      <c r="BL39" s="18">
        <f t="shared" si="105"/>
        <v>450.56003030303032</v>
      </c>
      <c r="BM39" s="18">
        <f t="shared" si="105"/>
        <v>450.56003030303032</v>
      </c>
      <c r="BN39" s="18">
        <f t="shared" si="105"/>
        <v>92.098030303030313</v>
      </c>
      <c r="BO39" s="18">
        <f t="shared" si="105"/>
        <v>119.6720303030303</v>
      </c>
      <c r="BP39" s="18">
        <f t="shared" si="105"/>
        <v>271.32903030303032</v>
      </c>
      <c r="BQ39" s="18">
        <f t="shared" si="105"/>
        <v>257.54203030303034</v>
      </c>
      <c r="BR39" s="18"/>
      <c r="BS39" s="18"/>
      <c r="BT39" s="18"/>
      <c r="BU39" s="18"/>
      <c r="BV39" s="18"/>
      <c r="BW39" s="39"/>
      <c r="BY39" s="707"/>
      <c r="BZ39" s="122" t="s">
        <v>46</v>
      </c>
      <c r="CA39" s="18">
        <f t="shared" si="89"/>
        <v>2514.7583409090912</v>
      </c>
      <c r="CB39" s="18">
        <f t="shared" ref="CB39:CJ39" si="113">CB15*$CA$32+$CA$33</f>
        <v>2514.7583409090912</v>
      </c>
      <c r="CC39" s="18">
        <f t="shared" si="113"/>
        <v>377.48334090909094</v>
      </c>
      <c r="CD39" s="18">
        <f t="shared" si="113"/>
        <v>329.98834090909094</v>
      </c>
      <c r="CE39" s="18">
        <f t="shared" si="113"/>
        <v>16.521340909090895</v>
      </c>
      <c r="CF39" s="18">
        <f t="shared" si="113"/>
        <v>54.517340909090905</v>
      </c>
      <c r="CG39" s="18">
        <f t="shared" si="113"/>
        <v>377.48334090909094</v>
      </c>
      <c r="CH39" s="18">
        <f t="shared" si="113"/>
        <v>358.48534090909089</v>
      </c>
      <c r="CI39" s="18">
        <f t="shared" si="113"/>
        <v>102.01234090909088</v>
      </c>
      <c r="CJ39" s="18">
        <f t="shared" si="113"/>
        <v>83.01434090909089</v>
      </c>
      <c r="CK39" s="18"/>
      <c r="CL39" s="39"/>
      <c r="CN39" s="707"/>
      <c r="CO39" s="122" t="s">
        <v>46</v>
      </c>
      <c r="CP39" s="18">
        <f t="shared" si="91"/>
        <v>407.41892857142852</v>
      </c>
      <c r="CQ39" s="18">
        <f t="shared" ref="CQ39:CW39" si="114">CQ15*$CP$32+$CP$33</f>
        <v>407.41892857142852</v>
      </c>
      <c r="CR39" s="18">
        <f t="shared" si="114"/>
        <v>684.35492857142856</v>
      </c>
      <c r="CS39" s="18">
        <f t="shared" si="114"/>
        <v>671.76692857142859</v>
      </c>
      <c r="CT39" s="18">
        <f t="shared" si="114"/>
        <v>470.35892857142858</v>
      </c>
      <c r="CU39" s="18">
        <f t="shared" si="114"/>
        <v>420.0069285714286</v>
      </c>
      <c r="CV39" s="18">
        <f t="shared" si="114"/>
        <v>243.77492857142855</v>
      </c>
      <c r="CW39" s="18">
        <f t="shared" si="114"/>
        <v>243.77492857142855</v>
      </c>
      <c r="CX39" s="18"/>
      <c r="CY39" s="18"/>
      <c r="CZ39" s="18"/>
      <c r="DA39" s="39"/>
      <c r="DC39" s="707"/>
      <c r="DD39" s="122" t="s">
        <v>46</v>
      </c>
      <c r="DE39" s="18">
        <f t="shared" si="93"/>
        <v>454.34265909090902</v>
      </c>
      <c r="DF39" s="18">
        <f t="shared" ref="DF39:DN39" si="115">DF15*$DE$32+$DE$33</f>
        <v>401.13465909090905</v>
      </c>
      <c r="DG39" s="18">
        <f t="shared" si="115"/>
        <v>374.53065909090907</v>
      </c>
      <c r="DH39" s="18">
        <f t="shared" si="115"/>
        <v>367.87965909090912</v>
      </c>
      <c r="DI39" s="18">
        <f t="shared" si="115"/>
        <v>61.933659090909096</v>
      </c>
      <c r="DJ39" s="18">
        <f t="shared" si="115"/>
        <v>61.933659090909096</v>
      </c>
      <c r="DK39" s="18">
        <f t="shared" si="115"/>
        <v>-4.5763409090909022</v>
      </c>
      <c r="DL39" s="18">
        <f t="shared" si="115"/>
        <v>2.0746590909090941</v>
      </c>
      <c r="DM39" s="18">
        <f t="shared" si="115"/>
        <v>8.7256590909090974</v>
      </c>
      <c r="DN39" s="18">
        <f t="shared" si="115"/>
        <v>2.0746590909090941</v>
      </c>
      <c r="DO39" s="18"/>
      <c r="DP39" s="39"/>
      <c r="DR39" s="707"/>
      <c r="DS39" s="122" t="s">
        <v>46</v>
      </c>
      <c r="DT39" s="18">
        <f t="shared" si="109"/>
        <v>378.37412499999999</v>
      </c>
      <c r="DU39" s="18">
        <f t="shared" si="109"/>
        <v>343.76012499999996</v>
      </c>
      <c r="DV39" s="18">
        <f t="shared" si="109"/>
        <v>320.68412499999999</v>
      </c>
      <c r="DW39" s="18">
        <f t="shared" si="109"/>
        <v>297.60812499999997</v>
      </c>
      <c r="DX39" s="18">
        <f t="shared" si="109"/>
        <v>436.06412499999999</v>
      </c>
      <c r="DY39" s="18">
        <f t="shared" si="109"/>
        <v>412.98812499999997</v>
      </c>
      <c r="DZ39" s="18">
        <f t="shared" si="109"/>
        <v>378.37412499999999</v>
      </c>
      <c r="EA39" s="18">
        <f t="shared" si="109"/>
        <v>378.37412499999999</v>
      </c>
      <c r="EB39" s="18">
        <f t="shared" si="109"/>
        <v>793.74212499999999</v>
      </c>
      <c r="EC39" s="18">
        <f t="shared" si="109"/>
        <v>782.20412499999998</v>
      </c>
      <c r="ED39" s="18">
        <f t="shared" si="109"/>
        <v>124.53812500000001</v>
      </c>
      <c r="EE39" s="18">
        <f t="shared" si="109"/>
        <v>136.07612500000002</v>
      </c>
      <c r="EG39" s="707"/>
      <c r="EH39" s="122" t="s">
        <v>46</v>
      </c>
      <c r="EI39" s="18">
        <f t="shared" si="96"/>
        <v>448.7206048571428</v>
      </c>
      <c r="EJ39" s="18">
        <f t="shared" si="96"/>
        <v>377.22730485714283</v>
      </c>
      <c r="EK39" s="18">
        <f t="shared" si="96"/>
        <v>337.50880485714282</v>
      </c>
      <c r="EL39" s="18">
        <f t="shared" si="96"/>
        <v>289.84660485714284</v>
      </c>
      <c r="EM39" s="18">
        <f t="shared" si="96"/>
        <v>313.67770485714283</v>
      </c>
      <c r="EN39" s="18">
        <f t="shared" si="96"/>
        <v>226.29700485714287</v>
      </c>
      <c r="EO39" s="18"/>
      <c r="EP39" s="18"/>
      <c r="EQ39" s="18"/>
      <c r="ER39" s="18"/>
      <c r="ES39" s="18"/>
      <c r="ET39" s="18"/>
      <c r="EV39" s="707"/>
      <c r="EW39" s="122" t="s">
        <v>46</v>
      </c>
      <c r="EX39" s="18">
        <f t="shared" si="110"/>
        <v>400.46056818181819</v>
      </c>
      <c r="EY39" s="18">
        <f t="shared" si="110"/>
        <v>400.46056818181819</v>
      </c>
      <c r="EZ39" s="18">
        <f t="shared" si="110"/>
        <v>535.89556818181813</v>
      </c>
      <c r="FA39" s="18">
        <f t="shared" si="110"/>
        <v>535.89556818181813</v>
      </c>
      <c r="FB39" s="18">
        <f t="shared" si="110"/>
        <v>328.22856818181816</v>
      </c>
      <c r="FC39" s="18">
        <f t="shared" si="110"/>
        <v>355.31556818181821</v>
      </c>
      <c r="FD39" s="18">
        <f t="shared" si="110"/>
        <v>138.61956818181818</v>
      </c>
      <c r="FE39" s="18">
        <f t="shared" si="110"/>
        <v>156.67756818181817</v>
      </c>
      <c r="FF39" s="18">
        <f t="shared" si="110"/>
        <v>391.43156818181819</v>
      </c>
      <c r="FG39" s="18">
        <f t="shared" si="110"/>
        <v>373.3735681818182</v>
      </c>
      <c r="FH39" s="18"/>
      <c r="FI39" s="18"/>
      <c r="FK39" s="707"/>
      <c r="FL39" s="122" t="s">
        <v>46</v>
      </c>
      <c r="FM39" s="18">
        <f t="shared" si="111"/>
        <v>387.33691718750003</v>
      </c>
      <c r="FN39" s="18">
        <f t="shared" si="111"/>
        <v>432.39341718750001</v>
      </c>
      <c r="FO39" s="18">
        <f t="shared" si="111"/>
        <v>558.55161718749991</v>
      </c>
      <c r="FP39" s="18">
        <f t="shared" si="111"/>
        <v>549.54031718750002</v>
      </c>
      <c r="FQ39" s="18">
        <f t="shared" si="111"/>
        <v>414.37081718749999</v>
      </c>
      <c r="FR39" s="18">
        <f t="shared" si="111"/>
        <v>414.37081718749999</v>
      </c>
      <c r="FS39" s="18"/>
      <c r="FT39" s="18"/>
      <c r="FU39" s="18"/>
      <c r="FV39" s="18"/>
      <c r="FW39" s="18"/>
      <c r="FX39" s="18"/>
      <c r="FZ39" s="707"/>
      <c r="GA39" s="122" t="s">
        <v>46</v>
      </c>
      <c r="GB39" s="18">
        <f t="shared" si="112"/>
        <v>407.47815789473685</v>
      </c>
      <c r="GC39" s="18">
        <f t="shared" si="112"/>
        <v>387.31815789473688</v>
      </c>
      <c r="GD39" s="18">
        <f t="shared" si="112"/>
        <v>286.51815789473687</v>
      </c>
      <c r="GE39" s="18">
        <f t="shared" si="112"/>
        <v>246.19815789473688</v>
      </c>
      <c r="GF39" s="18"/>
      <c r="GG39" s="18"/>
      <c r="GH39" s="18"/>
      <c r="GI39" s="18"/>
      <c r="GJ39" s="18"/>
      <c r="GK39" s="18"/>
      <c r="GL39" s="18"/>
      <c r="GM39" s="18"/>
    </row>
    <row r="40" spans="2:195" x14ac:dyDescent="0.25">
      <c r="B40" s="707"/>
      <c r="C40" s="45" t="s">
        <v>47</v>
      </c>
      <c r="D40" s="134">
        <f t="shared" si="100"/>
        <v>775.05067962962971</v>
      </c>
      <c r="E40" s="134">
        <f t="shared" si="100"/>
        <v>755.08297962962956</v>
      </c>
      <c r="F40" s="134">
        <f t="shared" si="100"/>
        <v>255.89047962962965</v>
      </c>
      <c r="G40" s="134">
        <f t="shared" si="100"/>
        <v>229.26687962962961</v>
      </c>
      <c r="H40" s="134">
        <f t="shared" si="100"/>
        <v>56.213479629629632</v>
      </c>
      <c r="I40" s="134">
        <f t="shared" si="100"/>
        <v>56.213479629629632</v>
      </c>
      <c r="J40" s="134">
        <f t="shared" si="100"/>
        <v>102.80477962962964</v>
      </c>
      <c r="K40" s="134">
        <f t="shared" si="100"/>
        <v>109.46067962962962</v>
      </c>
      <c r="L40" s="134"/>
      <c r="M40" s="134"/>
      <c r="N40" s="134"/>
      <c r="O40" s="135"/>
      <c r="Q40" s="707"/>
      <c r="R40" s="45" t="s">
        <v>47</v>
      </c>
      <c r="S40" s="134">
        <f t="shared" si="101"/>
        <v>730.60689444444449</v>
      </c>
      <c r="T40" s="134">
        <f t="shared" si="101"/>
        <v>721.41859444444447</v>
      </c>
      <c r="U40" s="134">
        <f t="shared" si="101"/>
        <v>289.56849444444447</v>
      </c>
      <c r="V40" s="134">
        <f t="shared" si="101"/>
        <v>151.74399444444444</v>
      </c>
      <c r="W40" s="134">
        <f t="shared" si="101"/>
        <v>601.97069444444446</v>
      </c>
      <c r="X40" s="134">
        <f t="shared" si="101"/>
        <v>601.97069444444446</v>
      </c>
      <c r="Y40" s="134">
        <f t="shared" si="101"/>
        <v>730.60689444444449</v>
      </c>
      <c r="Z40" s="134">
        <f t="shared" si="101"/>
        <v>721.41859444444447</v>
      </c>
      <c r="AA40" s="134">
        <f t="shared" si="101"/>
        <v>409.01639444444447</v>
      </c>
      <c r="AB40" s="134">
        <f t="shared" si="101"/>
        <v>427.39299444444447</v>
      </c>
      <c r="AC40" s="134"/>
      <c r="AD40" s="134"/>
      <c r="AF40" s="707"/>
      <c r="AG40" s="45" t="s">
        <v>47</v>
      </c>
      <c r="AH40" s="134">
        <f t="shared" si="102"/>
        <v>808.13176470588223</v>
      </c>
      <c r="AI40" s="134">
        <f t="shared" si="102"/>
        <v>808.13176470588223</v>
      </c>
      <c r="AJ40" s="134"/>
      <c r="AK40" s="134"/>
      <c r="AL40" s="134">
        <f t="shared" si="102"/>
        <v>471.63076470588231</v>
      </c>
      <c r="AM40" s="134">
        <f t="shared" si="102"/>
        <v>421.77876470588228</v>
      </c>
      <c r="AN40" s="134"/>
      <c r="AO40" s="134"/>
      <c r="AP40" s="134"/>
      <c r="AQ40" s="134"/>
      <c r="AR40" s="134"/>
      <c r="AS40" s="134"/>
      <c r="AU40" s="707"/>
      <c r="AV40" s="45" t="s">
        <v>47</v>
      </c>
      <c r="AW40" s="134">
        <f t="shared" si="103"/>
        <v>834.02918999999997</v>
      </c>
      <c r="AX40" s="134">
        <f t="shared" si="103"/>
        <v>843.62058999999999</v>
      </c>
      <c r="AY40" s="134">
        <f t="shared" si="103"/>
        <v>421.59899000000001</v>
      </c>
      <c r="AZ40" s="134">
        <f t="shared" si="103"/>
        <v>488.73879000000005</v>
      </c>
      <c r="BA40" s="134"/>
      <c r="BB40" s="134"/>
      <c r="BC40" s="134">
        <f t="shared" si="104"/>
        <v>239.36239</v>
      </c>
      <c r="BD40" s="134">
        <f t="shared" si="104"/>
        <v>239.36239</v>
      </c>
      <c r="BE40" s="134"/>
      <c r="BF40" s="134"/>
      <c r="BG40" s="134"/>
      <c r="BH40" s="134"/>
      <c r="BJ40" s="707"/>
      <c r="BK40" s="122" t="s">
        <v>47</v>
      </c>
      <c r="BL40" s="18">
        <f t="shared" si="105"/>
        <v>1112.3360303030304</v>
      </c>
      <c r="BM40" s="18">
        <f t="shared" si="105"/>
        <v>1153.6970303030305</v>
      </c>
      <c r="BN40" s="18">
        <f t="shared" si="105"/>
        <v>202.39403030303032</v>
      </c>
      <c r="BO40" s="18">
        <f t="shared" si="105"/>
        <v>188.60703030303034</v>
      </c>
      <c r="BP40" s="18">
        <f t="shared" si="105"/>
        <v>395.41203030303029</v>
      </c>
      <c r="BQ40" s="18">
        <f t="shared" si="105"/>
        <v>409.19903030303027</v>
      </c>
      <c r="BR40" s="18"/>
      <c r="BS40" s="18"/>
      <c r="BT40" s="18"/>
      <c r="BU40" s="18"/>
      <c r="BV40" s="18"/>
      <c r="BW40" s="39"/>
      <c r="BY40" s="707"/>
      <c r="BZ40" s="122" t="s">
        <v>47</v>
      </c>
      <c r="CA40" s="18">
        <f t="shared" si="89"/>
        <v>1013.9163409090911</v>
      </c>
      <c r="CB40" s="18">
        <f t="shared" ref="CB40:CJ40" si="116">CB16*$CA$32+$CA$33</f>
        <v>842.93434090909113</v>
      </c>
      <c r="CC40" s="18">
        <f t="shared" si="116"/>
        <v>301.49134090909092</v>
      </c>
      <c r="CD40" s="18">
        <f t="shared" si="116"/>
        <v>282.49334090909093</v>
      </c>
      <c r="CE40" s="18">
        <f t="shared" si="116"/>
        <v>7.0223409090909001</v>
      </c>
      <c r="CF40" s="18">
        <f t="shared" si="116"/>
        <v>7.0223409090909001</v>
      </c>
      <c r="CG40" s="18">
        <f t="shared" si="116"/>
        <v>320.48934090909091</v>
      </c>
      <c r="CH40" s="18">
        <f t="shared" si="116"/>
        <v>244.49734090909089</v>
      </c>
      <c r="CI40" s="18">
        <f t="shared" si="116"/>
        <v>263.49534090909094</v>
      </c>
      <c r="CJ40" s="18">
        <f t="shared" si="116"/>
        <v>234.99834090909093</v>
      </c>
      <c r="CK40" s="18"/>
      <c r="CL40" s="39"/>
      <c r="CN40" s="707"/>
      <c r="CO40" s="122" t="s">
        <v>47</v>
      </c>
      <c r="CP40" s="18">
        <f t="shared" si="91"/>
        <v>759.88292857142858</v>
      </c>
      <c r="CQ40" s="18">
        <f t="shared" ref="CQ40:CU41" si="117">CQ16*$CP$32+$CP$33</f>
        <v>847.99892857142845</v>
      </c>
      <c r="CR40" s="18">
        <f t="shared" si="117"/>
        <v>268.95092857142856</v>
      </c>
      <c r="CS40" s="18">
        <f t="shared" si="117"/>
        <v>268.95092857142856</v>
      </c>
      <c r="CT40" s="18">
        <f t="shared" si="117"/>
        <v>256.3629285714286</v>
      </c>
      <c r="CU40" s="18">
        <f t="shared" si="117"/>
        <v>281.53892857142853</v>
      </c>
      <c r="CV40" s="18"/>
      <c r="CW40" s="18"/>
      <c r="CX40" s="18"/>
      <c r="CY40" s="18"/>
      <c r="CZ40" s="18"/>
      <c r="DA40" s="39"/>
      <c r="DC40" s="707"/>
      <c r="DD40" s="122" t="s">
        <v>47</v>
      </c>
      <c r="DE40" s="18">
        <f t="shared" si="93"/>
        <v>846.75165909090913</v>
      </c>
      <c r="DF40" s="18">
        <f t="shared" ref="DF40:DN40" si="118">DF16*$DE$32+$DE$33</f>
        <v>840.10065909090918</v>
      </c>
      <c r="DG40" s="18">
        <f t="shared" si="118"/>
        <v>341.27565909090907</v>
      </c>
      <c r="DH40" s="18">
        <f t="shared" si="118"/>
        <v>321.3226590909091</v>
      </c>
      <c r="DI40" s="18">
        <f t="shared" si="118"/>
        <v>22.027659090909097</v>
      </c>
      <c r="DJ40" s="18">
        <f t="shared" si="118"/>
        <v>28.6786590909091</v>
      </c>
      <c r="DK40" s="18">
        <f t="shared" si="118"/>
        <v>2.0746590909090941</v>
      </c>
      <c r="DL40" s="18">
        <f t="shared" si="118"/>
        <v>-4.5763409090909022</v>
      </c>
      <c r="DM40" s="18">
        <f t="shared" si="118"/>
        <v>28.6786590909091</v>
      </c>
      <c r="DN40" s="18">
        <f t="shared" si="118"/>
        <v>22.027659090909097</v>
      </c>
      <c r="DO40" s="18"/>
      <c r="DP40" s="39"/>
      <c r="DR40" s="707"/>
      <c r="DS40" s="122" t="s">
        <v>47</v>
      </c>
      <c r="DT40" s="18">
        <f t="shared" si="109"/>
        <v>1001.4261250000001</v>
      </c>
      <c r="DU40" s="18">
        <f t="shared" si="109"/>
        <v>955.27412500000003</v>
      </c>
      <c r="DV40" s="18">
        <f t="shared" si="109"/>
        <v>193.76612500000002</v>
      </c>
      <c r="DW40" s="18">
        <f t="shared" si="109"/>
        <v>170.69012500000002</v>
      </c>
      <c r="DX40" s="18">
        <f t="shared" si="109"/>
        <v>401.45012500000001</v>
      </c>
      <c r="DY40" s="18">
        <f t="shared" si="109"/>
        <v>401.45012500000001</v>
      </c>
      <c r="DZ40" s="18">
        <f t="shared" si="109"/>
        <v>159.15212500000001</v>
      </c>
      <c r="EA40" s="18">
        <f t="shared" si="109"/>
        <v>159.15212500000001</v>
      </c>
      <c r="EB40" s="18">
        <f t="shared" si="109"/>
        <v>724.51412500000004</v>
      </c>
      <c r="EC40" s="18">
        <f t="shared" si="109"/>
        <v>689.900125</v>
      </c>
      <c r="ED40" s="18">
        <f t="shared" si="109"/>
        <v>-2.3798749999999984</v>
      </c>
      <c r="EE40" s="18">
        <f t="shared" si="109"/>
        <v>43.772124999999996</v>
      </c>
      <c r="EG40" s="707"/>
      <c r="EH40" s="122" t="s">
        <v>47</v>
      </c>
      <c r="EI40" s="18">
        <f t="shared" si="96"/>
        <v>583.76350485714283</v>
      </c>
      <c r="EJ40" s="18">
        <f t="shared" si="96"/>
        <v>671.14420485714277</v>
      </c>
      <c r="EK40" s="18">
        <f t="shared" si="96"/>
        <v>369.28360485714279</v>
      </c>
      <c r="EL40" s="18">
        <f t="shared" si="96"/>
        <v>361.33990485714281</v>
      </c>
      <c r="EM40" s="18">
        <f t="shared" si="96"/>
        <v>432.83320485714279</v>
      </c>
      <c r="EN40" s="18">
        <f t="shared" si="96"/>
        <v>424.88950485714281</v>
      </c>
      <c r="EO40" s="18"/>
      <c r="EP40" s="18"/>
      <c r="EQ40" s="18"/>
      <c r="ER40" s="18"/>
      <c r="ES40" s="18"/>
      <c r="ET40" s="18"/>
      <c r="EV40" s="707"/>
      <c r="EW40" s="122" t="s">
        <v>47</v>
      </c>
      <c r="EX40" s="18">
        <f t="shared" si="110"/>
        <v>797.73656818181814</v>
      </c>
      <c r="EY40" s="18">
        <f t="shared" si="110"/>
        <v>815.79456818181814</v>
      </c>
      <c r="EZ40" s="18">
        <f t="shared" si="110"/>
        <v>508.8085681818182</v>
      </c>
      <c r="FA40" s="18">
        <f t="shared" si="110"/>
        <v>490.75056818181821</v>
      </c>
      <c r="FB40" s="18">
        <f t="shared" si="110"/>
        <v>337.25756818181816</v>
      </c>
      <c r="FC40" s="18">
        <f t="shared" si="110"/>
        <v>364.3445681818182</v>
      </c>
      <c r="FD40" s="18">
        <f t="shared" si="110"/>
        <v>111.53256818181816</v>
      </c>
      <c r="FE40" s="18">
        <f t="shared" si="110"/>
        <v>120.56156818181817</v>
      </c>
      <c r="FF40" s="18">
        <f t="shared" si="110"/>
        <v>346.28656818181821</v>
      </c>
      <c r="FG40" s="18">
        <f t="shared" si="110"/>
        <v>346.28656818181821</v>
      </c>
      <c r="FH40" s="18"/>
      <c r="FI40" s="18"/>
      <c r="FK40" s="707"/>
      <c r="FL40" s="122" t="s">
        <v>47</v>
      </c>
      <c r="FM40" s="18">
        <f t="shared" si="111"/>
        <v>846.91321718749998</v>
      </c>
      <c r="FN40" s="18">
        <f t="shared" si="111"/>
        <v>837.90191718749998</v>
      </c>
      <c r="FO40" s="18">
        <f t="shared" si="111"/>
        <v>423.3821171875</v>
      </c>
      <c r="FP40" s="18">
        <f t="shared" si="111"/>
        <v>450.41601718750002</v>
      </c>
      <c r="FQ40" s="18">
        <f t="shared" si="111"/>
        <v>513.4951171875</v>
      </c>
      <c r="FR40" s="18">
        <f t="shared" si="111"/>
        <v>450.41601718750002</v>
      </c>
      <c r="FS40" s="18"/>
      <c r="FT40" s="18"/>
      <c r="FU40" s="18"/>
      <c r="FV40" s="18"/>
      <c r="FW40" s="18"/>
      <c r="FX40" s="18"/>
      <c r="FZ40" s="707"/>
      <c r="GA40" s="122" t="s">
        <v>47</v>
      </c>
      <c r="GB40" s="18">
        <f t="shared" si="112"/>
        <v>790.51815789473676</v>
      </c>
      <c r="GC40" s="18">
        <f t="shared" si="112"/>
        <v>780.43815789473683</v>
      </c>
      <c r="GD40" s="18">
        <f t="shared" si="112"/>
        <v>135.31815789473686</v>
      </c>
      <c r="GE40" s="18">
        <f t="shared" si="112"/>
        <v>205.87815789473686</v>
      </c>
      <c r="GF40" s="18"/>
      <c r="GG40" s="18"/>
      <c r="GH40" s="18"/>
      <c r="GI40" s="18"/>
      <c r="GJ40" s="18"/>
      <c r="GK40" s="18"/>
      <c r="GL40" s="18"/>
      <c r="GM40" s="18"/>
    </row>
    <row r="41" spans="2:195" x14ac:dyDescent="0.25">
      <c r="B41" s="707"/>
      <c r="C41" s="45" t="s">
        <v>48</v>
      </c>
      <c r="D41" s="134">
        <f t="shared" si="100"/>
        <v>1600.3822796296297</v>
      </c>
      <c r="E41" s="138">
        <f t="shared" si="100"/>
        <v>1633.6617796296298</v>
      </c>
      <c r="F41" s="134">
        <f t="shared" si="100"/>
        <v>102.80477962962964</v>
      </c>
      <c r="G41" s="134">
        <f t="shared" si="100"/>
        <v>102.80477962962964</v>
      </c>
      <c r="H41" s="134">
        <f t="shared" si="100"/>
        <v>156.05197962962961</v>
      </c>
      <c r="I41" s="134">
        <f t="shared" si="100"/>
        <v>182.67557962962962</v>
      </c>
      <c r="J41" s="134"/>
      <c r="K41" s="134"/>
      <c r="L41" s="134"/>
      <c r="M41" s="134"/>
      <c r="N41" s="134"/>
      <c r="O41" s="135"/>
      <c r="Q41" s="707"/>
      <c r="R41" s="45" t="s">
        <v>48</v>
      </c>
      <c r="S41" s="134">
        <f t="shared" si="101"/>
        <v>1658.6251944444443</v>
      </c>
      <c r="T41" s="138">
        <f t="shared" si="101"/>
        <v>1686.1900944444444</v>
      </c>
      <c r="U41" s="134">
        <f t="shared" si="101"/>
        <v>160.93229444444444</v>
      </c>
      <c r="V41" s="134">
        <f t="shared" si="101"/>
        <v>133.36739444444444</v>
      </c>
      <c r="W41" s="134">
        <f t="shared" si="101"/>
        <v>473.33449444444443</v>
      </c>
      <c r="X41" s="134">
        <f t="shared" si="101"/>
        <v>491.71109444444448</v>
      </c>
      <c r="Y41" s="134">
        <f t="shared" si="101"/>
        <v>528.46429444444448</v>
      </c>
      <c r="Z41" s="134">
        <f t="shared" si="101"/>
        <v>519.27599444444445</v>
      </c>
      <c r="AA41" s="134">
        <f t="shared" si="101"/>
        <v>436.58129444444444</v>
      </c>
      <c r="AB41" s="134">
        <f t="shared" si="101"/>
        <v>436.58129444444444</v>
      </c>
      <c r="AC41" s="134"/>
      <c r="AD41" s="134"/>
      <c r="AF41" s="707"/>
      <c r="AG41" s="45" t="s">
        <v>48</v>
      </c>
      <c r="AH41" s="134">
        <f t="shared" si="102"/>
        <v>1543.4487647058822</v>
      </c>
      <c r="AI41" s="138">
        <f t="shared" si="102"/>
        <v>1668.0787647058823</v>
      </c>
      <c r="AJ41" s="134"/>
      <c r="AK41" s="134"/>
      <c r="AL41" s="134">
        <f t="shared" si="102"/>
        <v>471.63076470588231</v>
      </c>
      <c r="AM41" s="134">
        <f t="shared" si="102"/>
        <v>509.01976470588232</v>
      </c>
      <c r="AN41" s="134"/>
      <c r="AO41" s="134"/>
      <c r="AP41" s="134"/>
      <c r="AQ41" s="134"/>
      <c r="AR41" s="134"/>
      <c r="AS41" s="134"/>
      <c r="AU41" s="707"/>
      <c r="AV41" s="45" t="s">
        <v>48</v>
      </c>
      <c r="AW41" s="138">
        <f t="shared" si="103"/>
        <v>1582.1583899999998</v>
      </c>
      <c r="AX41" s="138">
        <f t="shared" si="103"/>
        <v>1582.1583899999998</v>
      </c>
      <c r="AY41" s="134">
        <f t="shared" si="103"/>
        <v>565.46999000000005</v>
      </c>
      <c r="AZ41" s="134">
        <f t="shared" si="103"/>
        <v>594.24419</v>
      </c>
      <c r="BA41" s="134"/>
      <c r="BB41" s="134"/>
      <c r="BC41" s="134">
        <f t="shared" si="104"/>
        <v>268.13659000000001</v>
      </c>
      <c r="BD41" s="134">
        <f t="shared" si="104"/>
        <v>287.31939000000006</v>
      </c>
      <c r="BE41" s="134"/>
      <c r="BF41" s="134"/>
      <c r="BG41" s="134"/>
      <c r="BH41" s="134"/>
      <c r="BJ41" s="707"/>
      <c r="BK41" s="122" t="s">
        <v>48</v>
      </c>
      <c r="BL41" s="18">
        <f t="shared" si="105"/>
        <v>1443.2240303030305</v>
      </c>
      <c r="BM41" s="18">
        <f t="shared" si="105"/>
        <v>1829.2600303030306</v>
      </c>
      <c r="BN41" s="18"/>
      <c r="BO41" s="18"/>
      <c r="BP41" s="18">
        <f t="shared" si="105"/>
        <v>312.69003030303031</v>
      </c>
      <c r="BQ41" s="18">
        <f t="shared" si="105"/>
        <v>298.90303030303033</v>
      </c>
      <c r="BR41" s="18"/>
      <c r="BS41" s="18"/>
      <c r="BT41" s="18"/>
      <c r="BU41" s="18"/>
      <c r="BV41" s="18"/>
      <c r="BW41" s="39"/>
      <c r="BY41" s="707"/>
      <c r="BZ41" s="122" t="s">
        <v>48</v>
      </c>
      <c r="CA41" s="18">
        <f t="shared" si="89"/>
        <v>1222.8943409090912</v>
      </c>
      <c r="CB41" s="18">
        <f t="shared" ref="CB41:CJ41" si="119">CB17*$CA$32+$CA$33</f>
        <v>1146.902340909091</v>
      </c>
      <c r="CC41" s="18">
        <f t="shared" si="119"/>
        <v>358.48534090909089</v>
      </c>
      <c r="CD41" s="18">
        <f t="shared" si="119"/>
        <v>367.98434090909092</v>
      </c>
      <c r="CE41" s="18">
        <f t="shared" si="119"/>
        <v>26.020340909090891</v>
      </c>
      <c r="CF41" s="18">
        <f t="shared" si="119"/>
        <v>7.0223409090909001</v>
      </c>
      <c r="CG41" s="18">
        <f t="shared" si="119"/>
        <v>178.0043409090909</v>
      </c>
      <c r="CH41" s="18">
        <f t="shared" si="119"/>
        <v>149.50734090909089</v>
      </c>
      <c r="CI41" s="18">
        <f t="shared" si="119"/>
        <v>130.50934090909089</v>
      </c>
      <c r="CJ41" s="18">
        <f t="shared" si="119"/>
        <v>102.01234090909088</v>
      </c>
      <c r="CK41" s="18"/>
      <c r="CL41" s="39"/>
      <c r="CN41" s="707"/>
      <c r="CO41" s="122" t="s">
        <v>48</v>
      </c>
      <c r="CP41" s="18">
        <f t="shared" si="91"/>
        <v>1980.9189285714285</v>
      </c>
      <c r="CQ41" s="18">
        <f t="shared" si="117"/>
        <v>2018.6829285714286</v>
      </c>
      <c r="CR41" s="18">
        <f t="shared" si="117"/>
        <v>482.94692857142854</v>
      </c>
      <c r="CS41" s="18">
        <f t="shared" si="117"/>
        <v>407.41892857142852</v>
      </c>
      <c r="CT41" s="18">
        <f t="shared" si="117"/>
        <v>231.18692857142858</v>
      </c>
      <c r="CU41" s="18">
        <f t="shared" si="117"/>
        <v>218.59892857142856</v>
      </c>
      <c r="CV41" s="18"/>
      <c r="CW41" s="18"/>
      <c r="CX41" s="18"/>
      <c r="CY41" s="18"/>
      <c r="CZ41" s="18"/>
      <c r="DA41" s="39"/>
      <c r="DC41" s="707"/>
      <c r="DD41" s="122" t="s">
        <v>48</v>
      </c>
      <c r="DE41" s="18">
        <f t="shared" si="93"/>
        <v>1578.3616590909091</v>
      </c>
      <c r="DF41" s="18">
        <f t="shared" ref="DF41:DL41" si="120">DF17*$DE$32+$DE$33</f>
        <v>1558.4086590909092</v>
      </c>
      <c r="DG41" s="18">
        <f t="shared" si="120"/>
        <v>347.92665909090908</v>
      </c>
      <c r="DH41" s="18">
        <f t="shared" si="120"/>
        <v>301.36965909090907</v>
      </c>
      <c r="DI41" s="18">
        <f t="shared" si="120"/>
        <v>88.537659090909102</v>
      </c>
      <c r="DJ41" s="18">
        <f t="shared" si="120"/>
        <v>101.83965909090909</v>
      </c>
      <c r="DK41" s="18">
        <f t="shared" si="120"/>
        <v>61.933659090909096</v>
      </c>
      <c r="DL41" s="18">
        <f t="shared" si="120"/>
        <v>61.933659090909096</v>
      </c>
      <c r="DM41" s="18"/>
      <c r="DN41" s="18"/>
      <c r="DO41" s="18"/>
      <c r="DP41" s="39"/>
      <c r="DR41" s="707"/>
      <c r="DS41" s="122" t="s">
        <v>48</v>
      </c>
      <c r="DT41" s="18">
        <f t="shared" si="109"/>
        <v>1486.0221250000002</v>
      </c>
      <c r="DU41" s="18">
        <f t="shared" si="109"/>
        <v>1497.5601250000002</v>
      </c>
      <c r="DV41" s="18">
        <f t="shared" si="109"/>
        <v>193.76612500000002</v>
      </c>
      <c r="DW41" s="18">
        <f t="shared" si="109"/>
        <v>193.76612500000002</v>
      </c>
      <c r="DX41" s="18">
        <f t="shared" si="109"/>
        <v>366.83612499999998</v>
      </c>
      <c r="DY41" s="18">
        <f t="shared" si="109"/>
        <v>378.37412499999999</v>
      </c>
      <c r="DZ41" s="18">
        <f t="shared" si="109"/>
        <v>78.386124999999993</v>
      </c>
      <c r="EA41" s="18">
        <f t="shared" si="109"/>
        <v>78.386124999999993</v>
      </c>
      <c r="EB41" s="18">
        <f t="shared" si="109"/>
        <v>551.44412499999999</v>
      </c>
      <c r="EC41" s="18">
        <f t="shared" si="109"/>
        <v>747.59012499999994</v>
      </c>
      <c r="ED41" s="18">
        <f t="shared" si="109"/>
        <v>43.772124999999996</v>
      </c>
      <c r="EE41" s="18">
        <f t="shared" si="109"/>
        <v>9.1581249999999983</v>
      </c>
      <c r="EG41" s="707"/>
      <c r="EH41" s="122" t="s">
        <v>48</v>
      </c>
      <c r="EI41" s="18">
        <f t="shared" si="96"/>
        <v>1592.6134048571428</v>
      </c>
      <c r="EJ41" s="18">
        <f t="shared" si="96"/>
        <v>1608.5008048571428</v>
      </c>
      <c r="EK41" s="18">
        <f t="shared" si="96"/>
        <v>409.0021048571428</v>
      </c>
      <c r="EL41" s="18">
        <f t="shared" si="96"/>
        <v>464.60800485714282</v>
      </c>
      <c r="EM41" s="18">
        <f t="shared" si="96"/>
        <v>313.67770485714283</v>
      </c>
      <c r="EN41" s="18">
        <f t="shared" si="96"/>
        <v>337.50880485714282</v>
      </c>
      <c r="EO41" s="18"/>
      <c r="EP41" s="18"/>
      <c r="EQ41" s="18"/>
      <c r="ER41" s="18"/>
      <c r="ES41" s="18"/>
      <c r="ET41" s="18"/>
      <c r="EV41" s="707"/>
      <c r="EW41" s="122" t="s">
        <v>48</v>
      </c>
      <c r="EX41" s="18">
        <f t="shared" si="110"/>
        <v>1628.4045681818184</v>
      </c>
      <c r="EY41" s="18">
        <f t="shared" si="110"/>
        <v>1565.2015681818182</v>
      </c>
      <c r="EZ41" s="18">
        <f t="shared" si="110"/>
        <v>237.93856818181817</v>
      </c>
      <c r="FA41" s="18">
        <f t="shared" si="110"/>
        <v>274.05456818181813</v>
      </c>
      <c r="FB41" s="18">
        <f t="shared" si="110"/>
        <v>346.28656818181821</v>
      </c>
      <c r="FC41" s="18">
        <f t="shared" si="110"/>
        <v>355.31556818181821</v>
      </c>
      <c r="FD41" s="18">
        <f t="shared" si="110"/>
        <v>382.4025681818182</v>
      </c>
      <c r="FE41" s="18">
        <f t="shared" si="110"/>
        <v>373.3735681818182</v>
      </c>
      <c r="FF41" s="18">
        <f t="shared" si="110"/>
        <v>400.46056818181819</v>
      </c>
      <c r="FG41" s="18">
        <f t="shared" si="110"/>
        <v>364.3445681818182</v>
      </c>
      <c r="FH41" s="18"/>
      <c r="FI41" s="18"/>
      <c r="FK41" s="707"/>
      <c r="FL41" s="122" t="s">
        <v>48</v>
      </c>
      <c r="FM41" s="18">
        <f t="shared" si="111"/>
        <v>1567.8172171875001</v>
      </c>
      <c r="FN41" s="18">
        <f t="shared" si="111"/>
        <v>1576.8285171875002</v>
      </c>
      <c r="FO41" s="18">
        <f t="shared" si="111"/>
        <v>441.40471718750001</v>
      </c>
      <c r="FP41" s="18">
        <f t="shared" si="111"/>
        <v>432.39341718750001</v>
      </c>
      <c r="FQ41" s="18">
        <f t="shared" si="111"/>
        <v>396.34821718750004</v>
      </c>
      <c r="FR41" s="18">
        <f t="shared" si="111"/>
        <v>378.32561718750003</v>
      </c>
      <c r="FS41" s="18"/>
      <c r="FT41" s="18"/>
      <c r="FU41" s="18"/>
      <c r="FV41" s="18"/>
      <c r="FW41" s="18"/>
      <c r="FX41" s="18"/>
      <c r="FZ41" s="707"/>
      <c r="GA41" s="122" t="s">
        <v>48</v>
      </c>
      <c r="GB41" s="18">
        <f t="shared" si="112"/>
        <v>1606.9981578947368</v>
      </c>
      <c r="GC41" s="18">
        <f t="shared" si="112"/>
        <v>1606.9981578947368</v>
      </c>
      <c r="GD41" s="18"/>
      <c r="GE41" s="18"/>
      <c r="GF41" s="18"/>
      <c r="GG41" s="18"/>
      <c r="GH41" s="18"/>
      <c r="GI41" s="18"/>
      <c r="GJ41" s="18"/>
      <c r="GK41" s="18"/>
      <c r="GL41" s="18"/>
      <c r="GM41" s="18"/>
    </row>
    <row r="42" spans="2:195" x14ac:dyDescent="0.25">
      <c r="B42" s="707"/>
      <c r="C42" s="45" t="s">
        <v>49</v>
      </c>
      <c r="D42" s="134">
        <f t="shared" si="100"/>
        <v>1580.4145796296298</v>
      </c>
      <c r="E42" s="134">
        <f t="shared" si="100"/>
        <v>1780.0915796296297</v>
      </c>
      <c r="F42" s="134">
        <f t="shared" si="100"/>
        <v>189.33147962962963</v>
      </c>
      <c r="G42" s="134">
        <f t="shared" si="100"/>
        <v>156.05197962962961</v>
      </c>
      <c r="H42" s="134"/>
      <c r="I42" s="134"/>
      <c r="J42" s="134"/>
      <c r="K42" s="134"/>
      <c r="L42" s="134"/>
      <c r="M42" s="134"/>
      <c r="N42" s="134"/>
      <c r="O42" s="135"/>
      <c r="Q42" s="707"/>
      <c r="R42" s="45" t="s">
        <v>49</v>
      </c>
      <c r="S42" s="134">
        <f t="shared" si="101"/>
        <v>2494.7604944444442</v>
      </c>
      <c r="T42" s="138">
        <f t="shared" si="101"/>
        <v>2448.8189944444443</v>
      </c>
      <c r="U42" s="134">
        <f t="shared" si="101"/>
        <v>59.860994444444444</v>
      </c>
      <c r="V42" s="134">
        <f t="shared" si="101"/>
        <v>59.860994444444444</v>
      </c>
      <c r="W42" s="134">
        <f t="shared" si="101"/>
        <v>409.01639444444447</v>
      </c>
      <c r="X42" s="134">
        <f t="shared" si="101"/>
        <v>399.82809444444445</v>
      </c>
      <c r="Y42" s="134">
        <f t="shared" si="101"/>
        <v>528.46429444444448</v>
      </c>
      <c r="Z42" s="134">
        <f t="shared" si="101"/>
        <v>528.46429444444448</v>
      </c>
      <c r="AA42" s="134">
        <f t="shared" si="101"/>
        <v>335.50999444444443</v>
      </c>
      <c r="AB42" s="134">
        <f t="shared" si="101"/>
        <v>344.69829444444446</v>
      </c>
      <c r="AC42" s="134"/>
      <c r="AD42" s="134"/>
      <c r="AF42" s="707"/>
      <c r="AG42" s="45" t="s">
        <v>49</v>
      </c>
      <c r="AH42" s="134">
        <f t="shared" si="102"/>
        <v>1693.0047647058823</v>
      </c>
      <c r="AI42" s="138">
        <f t="shared" si="102"/>
        <v>1730.3937647058822</v>
      </c>
      <c r="AJ42" s="134"/>
      <c r="AK42" s="134"/>
      <c r="AL42" s="134"/>
      <c r="AM42" s="134"/>
      <c r="AN42" s="134"/>
      <c r="AO42" s="134"/>
      <c r="AP42" s="134"/>
      <c r="AQ42" s="134"/>
      <c r="AR42" s="134"/>
      <c r="AS42" s="134"/>
      <c r="AU42" s="707"/>
      <c r="AV42" s="45" t="s">
        <v>49</v>
      </c>
      <c r="AW42" s="138">
        <f t="shared" si="103"/>
        <v>1850.71759</v>
      </c>
      <c r="AX42" s="138">
        <f t="shared" si="103"/>
        <v>1917.8573899999999</v>
      </c>
      <c r="AY42" s="134">
        <f t="shared" si="103"/>
        <v>-19.605409999999999</v>
      </c>
      <c r="AZ42" s="134">
        <f t="shared" si="103"/>
        <v>-19.605409999999999</v>
      </c>
      <c r="BA42" s="134"/>
      <c r="BB42" s="134"/>
      <c r="BC42" s="134">
        <f t="shared" si="104"/>
        <v>-19.605409999999999</v>
      </c>
      <c r="BD42" s="134">
        <f t="shared" si="104"/>
        <v>-0.42260999999999882</v>
      </c>
      <c r="BE42" s="134"/>
      <c r="BF42" s="134"/>
      <c r="BG42" s="134"/>
      <c r="BH42" s="134"/>
      <c r="BJ42" s="707"/>
      <c r="BK42" s="122" t="s">
        <v>49</v>
      </c>
      <c r="BL42" s="18">
        <f t="shared" si="105"/>
        <v>2463.4620303030306</v>
      </c>
      <c r="BM42" s="18">
        <f t="shared" si="105"/>
        <v>2463.4620303030306</v>
      </c>
      <c r="BN42" s="18"/>
      <c r="BO42" s="18"/>
      <c r="BP42" s="18"/>
      <c r="BQ42" s="18"/>
      <c r="BR42" s="18"/>
      <c r="BS42" s="18"/>
      <c r="BT42" s="18"/>
      <c r="BU42" s="18"/>
      <c r="BV42" s="18"/>
      <c r="BW42" s="39"/>
      <c r="BY42" s="707"/>
      <c r="BZ42" s="122" t="s">
        <v>49</v>
      </c>
      <c r="CA42" s="18">
        <f t="shared" si="89"/>
        <v>2495.7603409090912</v>
      </c>
      <c r="CB42" s="18">
        <f>CB18*$CA$32+$CA$33</f>
        <v>2362.7743409090913</v>
      </c>
      <c r="CC42" s="18"/>
      <c r="CD42" s="18"/>
      <c r="CE42" s="18"/>
      <c r="CF42" s="18"/>
      <c r="CG42" s="18"/>
      <c r="CH42" s="18"/>
      <c r="CI42" s="18"/>
      <c r="CJ42" s="18"/>
      <c r="CK42" s="18"/>
      <c r="CL42" s="39"/>
      <c r="CN42" s="707"/>
      <c r="CO42" s="122" t="s">
        <v>49</v>
      </c>
      <c r="CP42" s="18">
        <f t="shared" si="91"/>
        <v>2484.4389285714287</v>
      </c>
      <c r="CQ42" s="18">
        <f>CQ18*$CP$32+$CP$33</f>
        <v>2509.6149285714287</v>
      </c>
      <c r="CR42" s="18"/>
      <c r="CS42" s="18"/>
      <c r="CT42" s="18">
        <f>CT18*$CP$32+$CP$33</f>
        <v>180.83492857142858</v>
      </c>
      <c r="CU42" s="18">
        <f>CU18*$CP$32+$CP$33</f>
        <v>155.65892857142856</v>
      </c>
      <c r="CV42" s="18"/>
      <c r="CW42" s="18"/>
      <c r="CX42" s="18"/>
      <c r="CY42" s="18"/>
      <c r="CZ42" s="18"/>
      <c r="DA42" s="39"/>
      <c r="DC42" s="707"/>
      <c r="DD42" s="122" t="s">
        <v>49</v>
      </c>
      <c r="DE42" s="18">
        <f t="shared" si="93"/>
        <v>1784.542659090909</v>
      </c>
      <c r="DF42" s="18">
        <f>DF18*$DE$32+$DE$33</f>
        <v>1711.3816590909089</v>
      </c>
      <c r="DG42" s="18"/>
      <c r="DH42" s="18"/>
      <c r="DI42" s="18"/>
      <c r="DJ42" s="18"/>
      <c r="DK42" s="18"/>
      <c r="DL42" s="18"/>
      <c r="DM42" s="18"/>
      <c r="DN42" s="18"/>
      <c r="DO42" s="18"/>
      <c r="DP42" s="39"/>
      <c r="DR42" s="707"/>
      <c r="DS42" s="122" t="s">
        <v>49</v>
      </c>
      <c r="DT42" s="18">
        <f t="shared" si="109"/>
        <v>4266.6801250000008</v>
      </c>
      <c r="DU42" s="18">
        <f t="shared" si="109"/>
        <v>4301.2941250000003</v>
      </c>
      <c r="DV42" s="18">
        <f t="shared" si="109"/>
        <v>147.614125</v>
      </c>
      <c r="DW42" s="18">
        <f t="shared" si="109"/>
        <v>193.76612500000002</v>
      </c>
      <c r="DX42" s="18"/>
      <c r="DY42" s="18"/>
      <c r="DZ42" s="18"/>
      <c r="EA42" s="18"/>
      <c r="EB42" s="18"/>
      <c r="EC42" s="18"/>
      <c r="ED42" s="18"/>
      <c r="EE42" s="18"/>
      <c r="EG42" s="707"/>
      <c r="EH42" s="122" t="s">
        <v>49</v>
      </c>
      <c r="EI42" s="18">
        <f>EI18*$EI$32+$EI$33</f>
        <v>1576.7260048571427</v>
      </c>
      <c r="EJ42" s="18">
        <f>EJ18*$EI$32+$EI$33</f>
        <v>1560.8386048571429</v>
      </c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V42" s="707"/>
      <c r="EW42" s="122" t="s">
        <v>49</v>
      </c>
      <c r="EX42" s="18">
        <f t="shared" si="110"/>
        <v>1836.0715681818183</v>
      </c>
      <c r="EY42" s="18">
        <f t="shared" si="110"/>
        <v>1718.6945681818183</v>
      </c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K42" s="707"/>
      <c r="FL42" s="122" t="s">
        <v>49</v>
      </c>
      <c r="FM42" s="18">
        <f t="shared" si="111"/>
        <v>1585.8398171875001</v>
      </c>
      <c r="FN42" s="18">
        <f t="shared" si="111"/>
        <v>1739.0319171875001</v>
      </c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Z42" s="707"/>
      <c r="GA42" s="122" t="s">
        <v>49</v>
      </c>
      <c r="GB42" s="18">
        <f t="shared" si="112"/>
        <v>1637.2381578947368</v>
      </c>
      <c r="GC42" s="18">
        <f t="shared" si="112"/>
        <v>1566.6781578947368</v>
      </c>
      <c r="GD42" s="18"/>
      <c r="GE42" s="18"/>
      <c r="GF42" s="18"/>
      <c r="GG42" s="18"/>
      <c r="GH42" s="18"/>
      <c r="GI42" s="18"/>
      <c r="GJ42" s="18"/>
      <c r="GK42" s="18"/>
      <c r="GL42" s="18"/>
      <c r="GM42" s="18"/>
    </row>
    <row r="43" spans="2:195" x14ac:dyDescent="0.25">
      <c r="B43" s="707"/>
      <c r="C43" s="45" t="s">
        <v>50</v>
      </c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5"/>
      <c r="Q43" s="707"/>
      <c r="R43" s="45" t="s">
        <v>50</v>
      </c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F43" s="707"/>
      <c r="AG43" s="45" t="s">
        <v>50</v>
      </c>
      <c r="AH43" s="134"/>
      <c r="AI43" s="134"/>
      <c r="AJ43" s="134"/>
      <c r="AK43" s="134"/>
      <c r="AL43" s="134"/>
      <c r="AM43" s="134"/>
      <c r="AN43" s="134"/>
      <c r="AO43" s="134"/>
      <c r="AP43" s="134"/>
      <c r="AQ43" s="134"/>
      <c r="AR43" s="134"/>
      <c r="AS43" s="134"/>
      <c r="AU43" s="707"/>
      <c r="AV43" s="45" t="s">
        <v>50</v>
      </c>
      <c r="AW43" s="134"/>
      <c r="AX43" s="134"/>
      <c r="AY43" s="134"/>
      <c r="AZ43" s="134"/>
      <c r="BA43" s="134"/>
      <c r="BB43" s="134"/>
      <c r="BC43" s="134"/>
      <c r="BD43" s="134"/>
      <c r="BE43" s="134"/>
      <c r="BF43" s="134"/>
      <c r="BG43" s="134"/>
      <c r="BH43" s="134"/>
      <c r="BJ43" s="707"/>
      <c r="BK43" s="122" t="s">
        <v>50</v>
      </c>
      <c r="BL43" s="18">
        <f t="shared" si="105"/>
        <v>-45.771969696969691</v>
      </c>
      <c r="BM43" s="18">
        <f t="shared" si="105"/>
        <v>-45.771969696969691</v>
      </c>
      <c r="BN43" s="18"/>
      <c r="BO43" s="18"/>
      <c r="BP43" s="18"/>
      <c r="BQ43" s="18"/>
      <c r="BR43" s="18"/>
      <c r="BS43" s="18"/>
      <c r="BT43" s="18"/>
      <c r="BU43" s="18"/>
      <c r="BV43" s="18"/>
      <c r="BW43" s="39"/>
      <c r="BY43" s="707"/>
      <c r="BZ43" s="122" t="s">
        <v>50</v>
      </c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39"/>
      <c r="CN43" s="707"/>
      <c r="CO43" s="122" t="s">
        <v>50</v>
      </c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39"/>
      <c r="DC43" s="707"/>
      <c r="DD43" s="122" t="s">
        <v>50</v>
      </c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39"/>
      <c r="DR43" s="707"/>
      <c r="DS43" s="122" t="s">
        <v>50</v>
      </c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G43" s="707"/>
      <c r="EH43" s="122" t="s">
        <v>50</v>
      </c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V43" s="707"/>
      <c r="EW43" s="122" t="s">
        <v>50</v>
      </c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K43" s="707"/>
      <c r="FL43" s="122" t="s">
        <v>50</v>
      </c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Z43" s="707"/>
      <c r="GA43" s="122" t="s">
        <v>50</v>
      </c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</row>
    <row r="44" spans="2:195" ht="15.75" thickBot="1" x14ac:dyDescent="0.3">
      <c r="B44" s="708"/>
      <c r="C44" s="46" t="s">
        <v>51</v>
      </c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7"/>
      <c r="Q44" s="708"/>
      <c r="R44" s="46" t="s">
        <v>51</v>
      </c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F44" s="708"/>
      <c r="AG44" s="46" t="s">
        <v>51</v>
      </c>
      <c r="AH44" s="134"/>
      <c r="AI44" s="134"/>
      <c r="AJ44" s="134"/>
      <c r="AK44" s="134"/>
      <c r="AL44" s="134"/>
      <c r="AM44" s="134"/>
      <c r="AN44" s="134"/>
      <c r="AO44" s="134"/>
      <c r="AP44" s="134"/>
      <c r="AQ44" s="134"/>
      <c r="AR44" s="134"/>
      <c r="AS44" s="134"/>
      <c r="AU44" s="708"/>
      <c r="AV44" s="46" t="s">
        <v>51</v>
      </c>
      <c r="AW44" s="134"/>
      <c r="AX44" s="134"/>
      <c r="AY44" s="134"/>
      <c r="AZ44" s="134"/>
      <c r="BA44" s="134"/>
      <c r="BB44" s="134"/>
      <c r="BC44" s="134"/>
      <c r="BD44" s="134"/>
      <c r="BE44" s="134"/>
      <c r="BF44" s="134"/>
      <c r="BG44" s="134"/>
      <c r="BH44" s="134"/>
      <c r="BJ44" s="708"/>
      <c r="BK44" s="123" t="s">
        <v>51</v>
      </c>
      <c r="BL44" s="40">
        <f t="shared" si="105"/>
        <v>-59.558969696969697</v>
      </c>
      <c r="BM44" s="40">
        <f t="shared" si="105"/>
        <v>-18.197969696969693</v>
      </c>
      <c r="BN44" s="40"/>
      <c r="BO44" s="40"/>
      <c r="BP44" s="40"/>
      <c r="BQ44" s="40"/>
      <c r="BR44" s="40"/>
      <c r="BS44" s="40"/>
      <c r="BT44" s="40"/>
      <c r="BU44" s="40"/>
      <c r="BV44" s="40"/>
      <c r="BW44" s="41"/>
      <c r="BY44" s="708"/>
      <c r="BZ44" s="123" t="s">
        <v>51</v>
      </c>
      <c r="CA44" s="18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1"/>
      <c r="CN44" s="708"/>
      <c r="CO44" s="123" t="s">
        <v>51</v>
      </c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1"/>
      <c r="DC44" s="708"/>
      <c r="DD44" s="123" t="s">
        <v>51</v>
      </c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1"/>
      <c r="DR44" s="708"/>
      <c r="DS44" s="123" t="s">
        <v>51</v>
      </c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G44" s="708"/>
      <c r="EH44" s="123" t="s">
        <v>51</v>
      </c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V44" s="708"/>
      <c r="EW44" s="123" t="s">
        <v>51</v>
      </c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K44" s="708"/>
      <c r="FL44" s="123" t="s">
        <v>51</v>
      </c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Z44" s="708"/>
      <c r="GA44" s="123" t="s">
        <v>51</v>
      </c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</row>
    <row r="45" spans="2:195" ht="25.5" customHeight="1" x14ac:dyDescent="0.25">
      <c r="B45" s="672" t="s">
        <v>122</v>
      </c>
      <c r="C45" s="140" t="s">
        <v>53</v>
      </c>
      <c r="D45" s="141" t="s">
        <v>8</v>
      </c>
      <c r="E45" s="141" t="s">
        <v>54</v>
      </c>
      <c r="F45" s="141" t="s">
        <v>121</v>
      </c>
      <c r="G45" s="145" t="s">
        <v>58</v>
      </c>
      <c r="Q45" s="672" t="s">
        <v>122</v>
      </c>
      <c r="R45" s="140" t="s">
        <v>53</v>
      </c>
      <c r="S45" s="141" t="s">
        <v>8</v>
      </c>
      <c r="T45" s="141" t="s">
        <v>54</v>
      </c>
      <c r="U45" s="141" t="s">
        <v>121</v>
      </c>
      <c r="V45" s="145" t="s">
        <v>58</v>
      </c>
      <c r="AF45" s="672" t="s">
        <v>122</v>
      </c>
      <c r="AG45" s="140" t="s">
        <v>53</v>
      </c>
      <c r="AH45" s="141" t="s">
        <v>8</v>
      </c>
      <c r="AI45" s="141" t="s">
        <v>54</v>
      </c>
      <c r="AJ45" s="141" t="s">
        <v>121</v>
      </c>
      <c r="AK45" s="145" t="s">
        <v>58</v>
      </c>
      <c r="AU45" s="667" t="s">
        <v>122</v>
      </c>
      <c r="AV45" s="309" t="s">
        <v>53</v>
      </c>
      <c r="AW45" s="310" t="s">
        <v>8</v>
      </c>
      <c r="AX45" s="310" t="s">
        <v>54</v>
      </c>
      <c r="AY45" s="308" t="s">
        <v>121</v>
      </c>
      <c r="AZ45" s="145" t="s">
        <v>58</v>
      </c>
      <c r="BJ45" s="667" t="s">
        <v>122</v>
      </c>
      <c r="BK45" s="309" t="s">
        <v>53</v>
      </c>
      <c r="BL45" s="310" t="s">
        <v>8</v>
      </c>
      <c r="BM45" s="310" t="s">
        <v>54</v>
      </c>
      <c r="BN45" s="308" t="s">
        <v>121</v>
      </c>
      <c r="BO45" s="145" t="s">
        <v>58</v>
      </c>
      <c r="BY45" s="649" t="s">
        <v>122</v>
      </c>
      <c r="BZ45" s="347" t="s">
        <v>53</v>
      </c>
      <c r="CA45" s="310" t="s">
        <v>8</v>
      </c>
      <c r="CB45" s="310" t="s">
        <v>54</v>
      </c>
      <c r="CC45" s="308" t="s">
        <v>121</v>
      </c>
      <c r="CD45" s="145" t="s">
        <v>58</v>
      </c>
      <c r="CN45" s="667" t="s">
        <v>122</v>
      </c>
      <c r="CO45" s="309" t="s">
        <v>53</v>
      </c>
      <c r="CP45" s="310" t="s">
        <v>8</v>
      </c>
      <c r="CQ45" s="310" t="s">
        <v>54</v>
      </c>
      <c r="CR45" s="308" t="s">
        <v>121</v>
      </c>
      <c r="CS45" s="145" t="s">
        <v>58</v>
      </c>
      <c r="DC45" s="649" t="s">
        <v>122</v>
      </c>
      <c r="DD45" s="347" t="s">
        <v>53</v>
      </c>
      <c r="DE45" s="310" t="s">
        <v>8</v>
      </c>
      <c r="DF45" s="310" t="s">
        <v>54</v>
      </c>
      <c r="DG45" s="308" t="s">
        <v>121</v>
      </c>
      <c r="DH45" s="145" t="s">
        <v>58</v>
      </c>
      <c r="DR45" s="649" t="s">
        <v>122</v>
      </c>
      <c r="DS45" s="347" t="s">
        <v>53</v>
      </c>
      <c r="DT45" s="339" t="s">
        <v>8</v>
      </c>
      <c r="DU45" s="339" t="s">
        <v>54</v>
      </c>
      <c r="DV45" s="141" t="s">
        <v>121</v>
      </c>
      <c r="DW45" s="145" t="s">
        <v>58</v>
      </c>
      <c r="EG45" s="649" t="s">
        <v>122</v>
      </c>
      <c r="EH45" s="347" t="s">
        <v>53</v>
      </c>
      <c r="EI45" s="339" t="s">
        <v>8</v>
      </c>
      <c r="EJ45" s="339" t="s">
        <v>54</v>
      </c>
      <c r="EK45" s="141" t="s">
        <v>121</v>
      </c>
      <c r="EL45" s="145" t="s">
        <v>58</v>
      </c>
      <c r="EV45" s="649" t="s">
        <v>122</v>
      </c>
      <c r="EW45" s="347" t="s">
        <v>53</v>
      </c>
      <c r="EX45" s="339" t="s">
        <v>8</v>
      </c>
      <c r="EY45" s="339" t="s">
        <v>54</v>
      </c>
      <c r="EZ45" s="141" t="s">
        <v>121</v>
      </c>
      <c r="FA45" s="145" t="s">
        <v>58</v>
      </c>
      <c r="FK45" s="649" t="s">
        <v>122</v>
      </c>
      <c r="FL45" s="347" t="s">
        <v>53</v>
      </c>
      <c r="FM45" s="339" t="s">
        <v>8</v>
      </c>
      <c r="FN45" s="339" t="s">
        <v>54</v>
      </c>
      <c r="FO45" s="141" t="s">
        <v>121</v>
      </c>
      <c r="FP45" s="145" t="s">
        <v>58</v>
      </c>
      <c r="FZ45" t="s">
        <v>122</v>
      </c>
      <c r="GA45" s="347" t="s">
        <v>53</v>
      </c>
      <c r="GB45" s="339" t="s">
        <v>8</v>
      </c>
      <c r="GC45" s="339" t="s">
        <v>54</v>
      </c>
      <c r="GD45" s="141" t="s">
        <v>121</v>
      </c>
      <c r="GE45" s="145" t="s">
        <v>58</v>
      </c>
    </row>
    <row r="46" spans="2:195" ht="15" customHeight="1" x14ac:dyDescent="0.25">
      <c r="B46" s="679"/>
      <c r="C46" s="139" t="s">
        <v>12</v>
      </c>
      <c r="D46" s="142" t="s">
        <v>91</v>
      </c>
      <c r="E46" s="142" t="s">
        <v>79</v>
      </c>
      <c r="F46" s="146">
        <f t="shared" ref="F46:F51" si="121">AVERAGE(F37:G37)/10</f>
        <v>12.277247962962964</v>
      </c>
      <c r="G46" s="148">
        <f>F46</f>
        <v>12.277247962962964</v>
      </c>
      <c r="Q46" s="679"/>
      <c r="R46" s="747" t="s">
        <v>169</v>
      </c>
      <c r="S46" s="685" t="s">
        <v>170</v>
      </c>
      <c r="T46" s="143" t="s">
        <v>80</v>
      </c>
      <c r="U46" s="143">
        <f>AVERAGE(U37:V37)/10</f>
        <v>20.227964444444446</v>
      </c>
      <c r="V46" s="727">
        <f>AVERAGE(U46:U50)</f>
        <v>18.390304444444446</v>
      </c>
      <c r="AF46" s="679"/>
      <c r="AG46" s="750" t="s">
        <v>181</v>
      </c>
      <c r="AH46" s="683" t="s">
        <v>93</v>
      </c>
      <c r="AI46" s="160" t="s">
        <v>80</v>
      </c>
      <c r="AJ46" s="160">
        <f>AVERAGE(AJ37:AK37)/10</f>
        <v>9.1509264705882352</v>
      </c>
      <c r="AK46" s="727">
        <f>AVERAGE(AJ46:AJ48)</f>
        <v>13.097543137254902</v>
      </c>
      <c r="AU46" s="665"/>
      <c r="AV46" s="757" t="s">
        <v>206</v>
      </c>
      <c r="AW46" s="685" t="s">
        <v>182</v>
      </c>
      <c r="AX46" s="126" t="s">
        <v>80</v>
      </c>
      <c r="AY46" s="126">
        <f>AVERAGE(AY37:AZ37)/10</f>
        <v>48.394309000000007</v>
      </c>
      <c r="AZ46" s="744">
        <f>AVERAGE(AY46:AY50)</f>
        <v>60.383559000000005</v>
      </c>
      <c r="BJ46" s="665"/>
      <c r="BK46" s="738" t="s">
        <v>208</v>
      </c>
      <c r="BL46" s="737" t="s">
        <v>91</v>
      </c>
      <c r="BM46" s="126" t="s">
        <v>94</v>
      </c>
      <c r="BN46" s="126">
        <f>AVERAGE(BN37:BO37)/10</f>
        <v>16.103303030303032</v>
      </c>
      <c r="BO46" s="727">
        <f>AVERAGE(BN46:BN49)</f>
        <v>16.620315530303031</v>
      </c>
      <c r="BY46" s="647"/>
      <c r="BZ46" s="723" t="s">
        <v>227</v>
      </c>
      <c r="CA46" s="683" t="s">
        <v>189</v>
      </c>
      <c r="CB46" s="143" t="s">
        <v>80</v>
      </c>
      <c r="CC46" s="143">
        <f>AVERAGE(CC37:CD37)/10</f>
        <v>24.449734090909093</v>
      </c>
      <c r="CD46" s="727">
        <f>AVERAGE(CC46:CC50)</f>
        <v>34.708654090909093</v>
      </c>
      <c r="CN46" s="665"/>
      <c r="CO46" s="715" t="s">
        <v>235</v>
      </c>
      <c r="CP46" s="715" t="s">
        <v>254</v>
      </c>
      <c r="CQ46" s="282" t="s">
        <v>80</v>
      </c>
      <c r="CR46">
        <f>AVERAGE(CR37:CS37)/10</f>
        <v>58.365092857142848</v>
      </c>
      <c r="CS46" s="741">
        <f>AVERAGE(CR46:CR50)</f>
        <v>55.343972857142852</v>
      </c>
      <c r="DC46" s="647"/>
      <c r="DD46" s="723" t="s">
        <v>260</v>
      </c>
      <c r="DE46" s="735" t="s">
        <v>286</v>
      </c>
      <c r="DF46" s="160" t="s">
        <v>80</v>
      </c>
      <c r="DG46" s="160">
        <f>AVERAGE(DG37:DH37)/10</f>
        <v>42.108765909090906</v>
      </c>
      <c r="DH46" s="727">
        <f>AVERAGE(DG46:DG50)</f>
        <v>39.049305909090904</v>
      </c>
      <c r="DR46" s="647"/>
      <c r="DS46" s="723" t="s">
        <v>289</v>
      </c>
      <c r="DT46" s="143" t="s">
        <v>80</v>
      </c>
      <c r="DU46" s="733" t="s">
        <v>93</v>
      </c>
      <c r="DV46" s="143">
        <f t="shared" ref="DV46:DV51" si="122">AVERAGE(DV37:DW37)/10</f>
        <v>10.146212500000001</v>
      </c>
      <c r="DW46" s="727">
        <f>AVERAGE(DV46:DV51)</f>
        <v>21.299612499999999</v>
      </c>
      <c r="EG46" s="647"/>
      <c r="EH46" s="723" t="s">
        <v>299</v>
      </c>
      <c r="EI46" s="683" t="s">
        <v>190</v>
      </c>
      <c r="EJ46" s="160" t="s">
        <v>80</v>
      </c>
      <c r="EK46" s="160">
        <f>AVERAGE(EK37:EL37)/10</f>
        <v>29.77903048571428</v>
      </c>
      <c r="EL46" s="727">
        <f>AVERAGE(EK46:EK50)</f>
        <v>34.624687485714276</v>
      </c>
      <c r="EV46" s="647"/>
      <c r="EW46" s="723" t="s">
        <v>324</v>
      </c>
      <c r="EX46" s="685" t="s">
        <v>330</v>
      </c>
      <c r="EY46" s="160" t="s">
        <v>80</v>
      </c>
      <c r="EZ46" s="160">
        <f>AVERAGE(EZ37:FA37)/10</f>
        <v>39.143156818181822</v>
      </c>
      <c r="FA46" s="727">
        <f>AVERAGE(EZ46:EZ55)</f>
        <v>39.143156818181822</v>
      </c>
      <c r="FK46" s="647"/>
      <c r="FL46" s="723" t="s">
        <v>333</v>
      </c>
      <c r="FM46" s="683" t="s">
        <v>335</v>
      </c>
      <c r="FN46" s="143" t="s">
        <v>80</v>
      </c>
      <c r="FO46" s="143">
        <f>AVERAGE(FO37:FP37)/10</f>
        <v>48.195556718750005</v>
      </c>
      <c r="FP46" s="727">
        <f>AVERAGE(FO46:FO55)</f>
        <v>47.069144218749997</v>
      </c>
      <c r="GA46" s="629" t="s">
        <v>559</v>
      </c>
      <c r="GB46" t="s">
        <v>561</v>
      </c>
      <c r="GC46" t="s">
        <v>80</v>
      </c>
      <c r="GD46">
        <f>AVERAGE(GD37:GE37)/10</f>
        <v>29.659815789473686</v>
      </c>
    </row>
    <row r="47" spans="2:195" x14ac:dyDescent="0.25">
      <c r="B47" s="679"/>
      <c r="C47" s="751" t="s">
        <v>13</v>
      </c>
      <c r="D47" s="681" t="s">
        <v>92</v>
      </c>
      <c r="E47" s="143" t="s">
        <v>80</v>
      </c>
      <c r="F47" s="143">
        <f t="shared" si="121"/>
        <v>29.915382962962962</v>
      </c>
      <c r="G47" s="727">
        <f>AVERAGE(F47:F51)</f>
        <v>22.127979962962961</v>
      </c>
      <c r="Q47" s="679"/>
      <c r="R47" s="748"/>
      <c r="S47" s="686"/>
      <c r="T47" s="143" t="s">
        <v>79</v>
      </c>
      <c r="U47" s="143">
        <f>AVERAGE(U38:V38)/10</f>
        <v>12.877324444444445</v>
      </c>
      <c r="V47" s="662"/>
      <c r="AF47" s="679"/>
      <c r="AG47" s="751"/>
      <c r="AH47" s="681"/>
      <c r="AI47" s="143" t="s">
        <v>79</v>
      </c>
      <c r="AJ47" s="143">
        <f>AVERAGE(AJ38:AK38)/10</f>
        <v>4.1657264705882353</v>
      </c>
      <c r="AK47" s="662"/>
      <c r="AU47" s="665"/>
      <c r="AV47" s="758"/>
      <c r="AW47" s="686"/>
      <c r="AX47" s="30" t="s">
        <v>79</v>
      </c>
      <c r="AY47" s="30">
        <f>AVERAGE(AY38:AZ38)/10</f>
        <v>91.076039000000009</v>
      </c>
      <c r="AZ47" s="741"/>
      <c r="BJ47" s="665"/>
      <c r="BK47" s="739"/>
      <c r="BL47" s="715"/>
      <c r="BM47" s="30" t="s">
        <v>209</v>
      </c>
      <c r="BN47" s="30">
        <f>AVERAGE(BN38:BO38)/10</f>
        <v>20.239403030303031</v>
      </c>
      <c r="BO47" s="662"/>
      <c r="BY47" s="647"/>
      <c r="BZ47" s="724"/>
      <c r="CA47" s="681"/>
      <c r="CB47" s="143" t="s">
        <v>79</v>
      </c>
      <c r="CC47" s="143">
        <f>AVERAGE(CC38:CD38)/10</f>
        <v>48.197234090909106</v>
      </c>
      <c r="CD47" s="662"/>
      <c r="CN47" s="665"/>
      <c r="CO47" s="715"/>
      <c r="CP47" s="715"/>
      <c r="CQ47" s="48" t="s">
        <v>79</v>
      </c>
      <c r="CR47">
        <f>AVERAGE(CR38:CS38)/10</f>
        <v>79.135292857142844</v>
      </c>
      <c r="CS47" s="741"/>
      <c r="DC47" s="647"/>
      <c r="DD47" s="724"/>
      <c r="DE47" s="702"/>
      <c r="DF47" s="143" t="s">
        <v>79</v>
      </c>
      <c r="DG47" s="143">
        <f>AVERAGE(DG38:DH38)/10</f>
        <v>50.422515909090905</v>
      </c>
      <c r="DH47" s="662"/>
      <c r="DR47" s="647"/>
      <c r="DS47" s="724"/>
      <c r="DT47" s="143" t="s">
        <v>79</v>
      </c>
      <c r="DU47" s="731"/>
      <c r="DV47" s="143">
        <f t="shared" si="122"/>
        <v>32.068412500000001</v>
      </c>
      <c r="DW47" s="662"/>
      <c r="EG47" s="647"/>
      <c r="EH47" s="724"/>
      <c r="EI47" s="681"/>
      <c r="EJ47" s="143" t="s">
        <v>79</v>
      </c>
      <c r="EK47" s="143">
        <f>AVERAGE(EK38:EL38)/10</f>
        <v>31.764955485714278</v>
      </c>
      <c r="EL47" s="662"/>
      <c r="EV47" s="647"/>
      <c r="EW47" s="724"/>
      <c r="EX47" s="686"/>
      <c r="EY47" s="143" t="s">
        <v>79</v>
      </c>
      <c r="EZ47" s="143">
        <f>AVERAGE(EZ38:FA38)/10</f>
        <v>32.822856818181819</v>
      </c>
      <c r="FA47" s="662"/>
      <c r="FK47" s="647"/>
      <c r="FL47" s="724"/>
      <c r="FM47" s="681"/>
      <c r="FN47" s="143" t="s">
        <v>79</v>
      </c>
      <c r="FO47" s="143">
        <f>AVERAGE(FO38:FP38)/10</f>
        <v>39.184256718750007</v>
      </c>
      <c r="FP47" s="662"/>
      <c r="GC47" t="s">
        <v>79</v>
      </c>
      <c r="GD47">
        <f t="shared" ref="GD47:GD49" si="123">AVERAGE(GD38:GE38)/10</f>
        <v>17.563815789473686</v>
      </c>
    </row>
    <row r="48" spans="2:195" x14ac:dyDescent="0.25">
      <c r="B48" s="679"/>
      <c r="C48" s="751"/>
      <c r="D48" s="681"/>
      <c r="E48" s="143" t="s">
        <v>79</v>
      </c>
      <c r="F48" s="143">
        <f t="shared" si="121"/>
        <v>28.916997962962967</v>
      </c>
      <c r="G48" s="662"/>
      <c r="Q48" s="679"/>
      <c r="R48" s="748"/>
      <c r="S48" s="686"/>
      <c r="T48" s="143" t="s">
        <v>81</v>
      </c>
      <c r="U48" s="143">
        <f>AVERAGE(U39:V39)/10</f>
        <v>22.065624444444445</v>
      </c>
      <c r="V48" s="662"/>
      <c r="AF48" s="679"/>
      <c r="AG48" s="752"/>
      <c r="AH48" s="682"/>
      <c r="AI48" s="142" t="s">
        <v>81</v>
      </c>
      <c r="AJ48" s="142">
        <f>AVERAGE(AJ39:AK39)/10</f>
        <v>25.975976470588233</v>
      </c>
      <c r="AK48" s="728"/>
      <c r="AU48" s="665"/>
      <c r="AV48" s="758"/>
      <c r="AW48" s="686"/>
      <c r="AX48" s="30" t="s">
        <v>81</v>
      </c>
      <c r="AY48" s="30">
        <f>AVERAGE(AY39:AZ39)/10</f>
        <v>58.944848999999998</v>
      </c>
      <c r="AZ48" s="741"/>
      <c r="BJ48" s="665"/>
      <c r="BK48" s="739"/>
      <c r="BL48" s="715"/>
      <c r="BM48" s="30" t="s">
        <v>210</v>
      </c>
      <c r="BN48" s="30">
        <f>AVERAGE(BN39:BO39)/10</f>
        <v>10.588503030303031</v>
      </c>
      <c r="BO48" s="662"/>
      <c r="BY48" s="647"/>
      <c r="BZ48" s="724"/>
      <c r="CA48" s="681"/>
      <c r="CB48" s="143" t="s">
        <v>81</v>
      </c>
      <c r="CC48" s="143">
        <f>AVERAGE(CC39:CD39)/10</f>
        <v>35.373584090909091</v>
      </c>
      <c r="CD48" s="662"/>
      <c r="CN48" s="665"/>
      <c r="CO48" s="715"/>
      <c r="CP48" s="715"/>
      <c r="CQ48" s="48" t="s">
        <v>81</v>
      </c>
      <c r="CR48">
        <f>AVERAGE(CR39:CS39)/10</f>
        <v>67.806092857142858</v>
      </c>
      <c r="CS48" s="741"/>
      <c r="DC48" s="647"/>
      <c r="DD48" s="724"/>
      <c r="DE48" s="702"/>
      <c r="DF48" s="143" t="s">
        <v>81</v>
      </c>
      <c r="DG48" s="143">
        <f>AVERAGE(DG39:DH39)/10</f>
        <v>37.120515909090912</v>
      </c>
      <c r="DH48" s="662"/>
      <c r="DR48" s="647"/>
      <c r="DS48" s="724"/>
      <c r="DT48" s="143" t="s">
        <v>81</v>
      </c>
      <c r="DU48" s="731"/>
      <c r="DV48" s="143">
        <f t="shared" si="122"/>
        <v>30.914612499999997</v>
      </c>
      <c r="DW48" s="662"/>
      <c r="EG48" s="647"/>
      <c r="EH48" s="724"/>
      <c r="EI48" s="681"/>
      <c r="EJ48" s="143" t="s">
        <v>81</v>
      </c>
      <c r="EK48" s="143">
        <f>AVERAGE(EK39:EL39)/10</f>
        <v>31.367770485714281</v>
      </c>
      <c r="EL48" s="662"/>
      <c r="EV48" s="647"/>
      <c r="EW48" s="724"/>
      <c r="EX48" s="686"/>
      <c r="EY48" s="143" t="s">
        <v>81</v>
      </c>
      <c r="EZ48" s="143">
        <f>AVERAGE(EZ39:FA39)/10</f>
        <v>53.589556818181812</v>
      </c>
      <c r="FA48" s="662"/>
      <c r="FK48" s="647"/>
      <c r="FL48" s="724"/>
      <c r="FM48" s="681"/>
      <c r="FN48" s="143" t="s">
        <v>81</v>
      </c>
      <c r="FO48" s="143">
        <f>AVERAGE(FO39:FP39)/10</f>
        <v>55.40459671875</v>
      </c>
      <c r="FP48" s="662"/>
      <c r="GC48" t="s">
        <v>81</v>
      </c>
      <c r="GD48">
        <f t="shared" si="123"/>
        <v>26.635815789473689</v>
      </c>
    </row>
    <row r="49" spans="2:186" x14ac:dyDescent="0.25">
      <c r="B49" s="679"/>
      <c r="C49" s="751"/>
      <c r="D49" s="681"/>
      <c r="E49" s="143" t="s">
        <v>81</v>
      </c>
      <c r="F49" s="143">
        <f t="shared" si="121"/>
        <v>24.257867962962962</v>
      </c>
      <c r="G49" s="662"/>
      <c r="Q49" s="679"/>
      <c r="R49" s="748"/>
      <c r="S49" s="686"/>
      <c r="T49" s="143" t="s">
        <v>82</v>
      </c>
      <c r="U49" s="143">
        <f>AVERAGE(U40:V40)/10</f>
        <v>22.065624444444445</v>
      </c>
      <c r="V49" s="662"/>
      <c r="AF49" s="679"/>
      <c r="AG49" s="647" t="s">
        <v>184</v>
      </c>
      <c r="AH49" s="681" t="s">
        <v>194</v>
      </c>
      <c r="AI49" s="143" t="s">
        <v>79</v>
      </c>
      <c r="AJ49" s="143">
        <f>AVERAGE(AL37:AM37)/10</f>
        <v>45.293626470588229</v>
      </c>
      <c r="AK49" s="727">
        <f>AVERAGE(AJ49:AJ53)</f>
        <v>44.919736470588234</v>
      </c>
      <c r="AU49" s="665"/>
      <c r="AV49" s="758"/>
      <c r="AW49" s="686"/>
      <c r="AX49" s="30" t="s">
        <v>82</v>
      </c>
      <c r="AY49" s="30">
        <f>AVERAGE(AY40:AZ40)/10</f>
        <v>45.516889000000006</v>
      </c>
      <c r="AZ49" s="741"/>
      <c r="BJ49" s="665"/>
      <c r="BK49" s="740"/>
      <c r="BL49" s="720"/>
      <c r="BM49" s="90" t="s">
        <v>211</v>
      </c>
      <c r="BN49" s="90">
        <f>AVERAGE(BN40:BO40)/10</f>
        <v>19.550053030303033</v>
      </c>
      <c r="BO49" s="728"/>
      <c r="BY49" s="647"/>
      <c r="BZ49" s="724"/>
      <c r="CA49" s="681"/>
      <c r="CB49" s="143" t="s">
        <v>82</v>
      </c>
      <c r="CC49" s="143">
        <f>AVERAGE(CC40:CD40)/10</f>
        <v>29.199234090909091</v>
      </c>
      <c r="CD49" s="662"/>
      <c r="CN49" s="665"/>
      <c r="CO49" s="715"/>
      <c r="CP49" s="715"/>
      <c r="CQ49" s="48" t="s">
        <v>82</v>
      </c>
      <c r="CR49">
        <f>AVERAGE(CR40:CS40)/10</f>
        <v>26.895092857142856</v>
      </c>
      <c r="CS49" s="741"/>
      <c r="DC49" s="647"/>
      <c r="DD49" s="724"/>
      <c r="DE49" s="702"/>
      <c r="DF49" s="143" t="s">
        <v>82</v>
      </c>
      <c r="DG49" s="143">
        <f>AVERAGE(DG40:DH40)/10</f>
        <v>33.129915909090911</v>
      </c>
      <c r="DH49" s="662"/>
      <c r="DR49" s="647"/>
      <c r="DS49" s="724"/>
      <c r="DT49" s="143" t="s">
        <v>82</v>
      </c>
      <c r="DU49" s="731"/>
      <c r="DV49" s="143">
        <f t="shared" si="122"/>
        <v>18.222812500000003</v>
      </c>
      <c r="DW49" s="662"/>
      <c r="EG49" s="647"/>
      <c r="EH49" s="724"/>
      <c r="EI49" s="681"/>
      <c r="EJ49" s="143" t="s">
        <v>82</v>
      </c>
      <c r="EK49" s="143">
        <f>AVERAGE(EK40:EL40)/10</f>
        <v>36.531175485714279</v>
      </c>
      <c r="EL49" s="662"/>
      <c r="EV49" s="647"/>
      <c r="EW49" s="724"/>
      <c r="EX49" s="686"/>
      <c r="EY49" s="143" t="s">
        <v>82</v>
      </c>
      <c r="EZ49" s="143">
        <f>AVERAGE(EZ40:FA40)/10</f>
        <v>49.977956818181823</v>
      </c>
      <c r="FA49" s="662"/>
      <c r="FK49" s="647"/>
      <c r="FL49" s="724"/>
      <c r="FM49" s="681"/>
      <c r="FN49" s="143" t="s">
        <v>82</v>
      </c>
      <c r="FO49" s="143">
        <f>AVERAGE(FO40:FP40)/10</f>
        <v>43.689906718750002</v>
      </c>
      <c r="FP49" s="662"/>
      <c r="GC49" t="s">
        <v>82</v>
      </c>
      <c r="GD49">
        <f t="shared" si="123"/>
        <v>17.059815789473685</v>
      </c>
    </row>
    <row r="50" spans="2:186" x14ac:dyDescent="0.25">
      <c r="B50" s="679"/>
      <c r="C50" s="751"/>
      <c r="D50" s="681"/>
      <c r="E50" s="143" t="s">
        <v>82</v>
      </c>
      <c r="F50" s="143">
        <f t="shared" si="121"/>
        <v>10.280477962962964</v>
      </c>
      <c r="G50" s="662"/>
      <c r="Q50" s="679"/>
      <c r="R50" s="749"/>
      <c r="S50" s="688"/>
      <c r="T50" s="142" t="s">
        <v>83</v>
      </c>
      <c r="U50" s="149">
        <f>AVERAGE(U41:V41)/10</f>
        <v>14.714984444444445</v>
      </c>
      <c r="V50" s="728"/>
      <c r="AF50" s="679"/>
      <c r="AG50" s="647"/>
      <c r="AH50" s="681"/>
      <c r="AI50" s="143" t="s">
        <v>81</v>
      </c>
      <c r="AJ50" s="143">
        <f>AVERAGE(AL38:AM38)/10</f>
        <v>50.901976470588231</v>
      </c>
      <c r="AK50" s="662"/>
      <c r="AU50" s="665"/>
      <c r="AV50" s="758"/>
      <c r="AW50" s="688"/>
      <c r="AX50" s="90" t="s">
        <v>83</v>
      </c>
      <c r="AY50" s="90">
        <f>AVERAGE(AY41:AZ41)/10</f>
        <v>57.985709</v>
      </c>
      <c r="AZ50" s="742"/>
      <c r="BJ50" s="665"/>
      <c r="BK50" s="715" t="s">
        <v>225</v>
      </c>
      <c r="BL50" s="715" t="s">
        <v>187</v>
      </c>
      <c r="BM50" s="30" t="s">
        <v>80</v>
      </c>
      <c r="BN50" s="30">
        <f>AVERAGE(BP37:BQ37)/10</f>
        <v>24.375503030303033</v>
      </c>
      <c r="BO50" s="727">
        <f>AVERAGE(BN50:BN54)</f>
        <v>28.511603030303029</v>
      </c>
      <c r="BY50" s="647"/>
      <c r="BZ50" s="724"/>
      <c r="CA50" s="681"/>
      <c r="CB50" s="143" t="s">
        <v>83</v>
      </c>
      <c r="CC50" s="143">
        <f>AVERAGE(CC41:CD41)/10</f>
        <v>36.323484090909091</v>
      </c>
      <c r="CD50" s="662"/>
      <c r="CN50" s="665"/>
      <c r="CO50" s="720"/>
      <c r="CP50" s="720"/>
      <c r="CQ50" s="149" t="s">
        <v>83</v>
      </c>
      <c r="CR50" s="60">
        <f>AVERAGE(CR41:CS41)/10</f>
        <v>44.518292857142853</v>
      </c>
      <c r="CS50" s="742"/>
      <c r="DC50" s="647"/>
      <c r="DD50" s="724"/>
      <c r="DE50" s="736"/>
      <c r="DF50" s="142" t="s">
        <v>83</v>
      </c>
      <c r="DG50" s="142">
        <f>AVERAGE(DG41:DH41)/10</f>
        <v>32.464815909090909</v>
      </c>
      <c r="DH50" s="728"/>
      <c r="DR50" s="647"/>
      <c r="DS50" s="724"/>
      <c r="DT50" s="143" t="s">
        <v>83</v>
      </c>
      <c r="DU50" s="731"/>
      <c r="DV50" s="143">
        <f t="shared" si="122"/>
        <v>19.3766125</v>
      </c>
      <c r="DW50" s="662"/>
      <c r="EG50" s="647"/>
      <c r="EH50" s="724"/>
      <c r="EI50" s="682"/>
      <c r="EJ50" s="142" t="s">
        <v>83</v>
      </c>
      <c r="EK50" s="142">
        <f>AVERAGE(EK41:EL41)/10</f>
        <v>43.680505485714278</v>
      </c>
      <c r="EL50" s="728"/>
      <c r="EV50" s="647"/>
      <c r="EW50" s="724"/>
      <c r="EX50" s="686"/>
      <c r="EY50" s="143" t="s">
        <v>83</v>
      </c>
      <c r="EZ50" s="143">
        <f>AVERAGE(EZ41:FA41)/10</f>
        <v>25.599656818181813</v>
      </c>
      <c r="FA50" s="662"/>
      <c r="FK50" s="647"/>
      <c r="FL50" s="724"/>
      <c r="FM50" s="681"/>
      <c r="FN50" s="143" t="s">
        <v>83</v>
      </c>
      <c r="FO50" s="143">
        <f>AVERAGE(FO41:FP41)/10</f>
        <v>43.689906718750002</v>
      </c>
      <c r="FP50" s="662"/>
    </row>
    <row r="51" spans="2:186" ht="15" customHeight="1" x14ac:dyDescent="0.25">
      <c r="B51" s="679"/>
      <c r="C51" s="752"/>
      <c r="D51" s="682"/>
      <c r="E51" s="142" t="s">
        <v>83</v>
      </c>
      <c r="F51" s="149">
        <f t="shared" si="121"/>
        <v>17.269172962962962</v>
      </c>
      <c r="G51" s="728"/>
      <c r="Q51" s="679"/>
      <c r="R51" s="745" t="s">
        <v>175</v>
      </c>
      <c r="S51" s="685" t="s">
        <v>176</v>
      </c>
      <c r="T51" s="143" t="s">
        <v>80</v>
      </c>
      <c r="U51" s="143">
        <f t="shared" ref="U51:U56" si="124">AVERAGE(W37:X37)/10</f>
        <v>65.710049444444451</v>
      </c>
      <c r="V51" s="727">
        <f>AVERAGE(U51:U56)</f>
        <v>59.967361944444441</v>
      </c>
      <c r="AF51" s="679"/>
      <c r="AG51" s="647"/>
      <c r="AH51" s="681"/>
      <c r="AI51" s="143" t="s">
        <v>82</v>
      </c>
      <c r="AJ51" s="143">
        <f>AVERAGE(AL39:AM39)/10</f>
        <v>34.700076470588229</v>
      </c>
      <c r="AK51" s="662"/>
      <c r="AU51" s="665"/>
      <c r="AV51" s="758"/>
      <c r="AW51" s="715" t="s">
        <v>92</v>
      </c>
      <c r="AX51" s="30" t="s">
        <v>82</v>
      </c>
      <c r="AY51" s="30">
        <f>AVERAGE(BA37:BB37)/10</f>
        <v>22.017959000000001</v>
      </c>
      <c r="AZ51" s="741">
        <f>AVERAGE(AY51:AY52)</f>
        <v>20.339464</v>
      </c>
      <c r="BJ51" s="665"/>
      <c r="BK51" s="715"/>
      <c r="BL51" s="715"/>
      <c r="BM51" s="30" t="s">
        <v>79</v>
      </c>
      <c r="BN51" s="30">
        <f>AVERAGE(BP38:BQ38)/10</f>
        <v>20.928753030303032</v>
      </c>
      <c r="BO51" s="662"/>
      <c r="BY51" s="647"/>
      <c r="BZ51" s="724"/>
      <c r="CA51" s="681" t="s">
        <v>190</v>
      </c>
      <c r="CB51" s="143" t="s">
        <v>94</v>
      </c>
      <c r="CC51" s="143"/>
      <c r="CD51" s="662">
        <f>AVERAGE(CC51:CC55)</f>
        <v>2.4832965909090903</v>
      </c>
      <c r="CN51" s="665"/>
      <c r="CO51" s="715" t="s">
        <v>246</v>
      </c>
      <c r="CP51" s="715" t="s">
        <v>255</v>
      </c>
      <c r="CQ51" s="48" t="s">
        <v>80</v>
      </c>
      <c r="CR51">
        <f t="shared" ref="CR51:CR56" si="125">AVERAGE(CT37:CU37)/10</f>
        <v>35.706692857142855</v>
      </c>
      <c r="CS51" s="741">
        <f>AVERAGE(CR51:CR59)</f>
        <v>28.853226190476189</v>
      </c>
      <c r="DC51" s="647"/>
      <c r="DD51" s="724"/>
      <c r="DE51" s="731" t="s">
        <v>287</v>
      </c>
      <c r="DF51" s="143" t="s">
        <v>94</v>
      </c>
      <c r="DG51" s="143">
        <f>AVERAGE(DI37:DJ37)/10</f>
        <v>4.5306159090909093</v>
      </c>
      <c r="DH51" s="727">
        <f>AVERAGE(DG51:DG55)</f>
        <v>6.7254459090909107</v>
      </c>
      <c r="DR51" s="647"/>
      <c r="DS51" s="725"/>
      <c r="DT51" s="142" t="s">
        <v>94</v>
      </c>
      <c r="DU51" s="734"/>
      <c r="DV51" s="142">
        <f t="shared" si="122"/>
        <v>17.069012500000003</v>
      </c>
      <c r="DW51" s="728"/>
      <c r="EG51" s="647"/>
      <c r="EH51" s="724"/>
      <c r="EI51" s="681" t="s">
        <v>167</v>
      </c>
      <c r="EJ51" s="143" t="s">
        <v>94</v>
      </c>
      <c r="EK51" s="143">
        <f>AVERAGE(EM37:EN37)/10</f>
        <v>33.353695485714283</v>
      </c>
      <c r="EL51" s="662">
        <f>AVERAGE(EK51:EK55)</f>
        <v>33.11538448571428</v>
      </c>
      <c r="EV51" s="647"/>
      <c r="EW51" s="724"/>
      <c r="EX51" s="686"/>
      <c r="EY51" s="143" t="s">
        <v>94</v>
      </c>
      <c r="EZ51" s="143">
        <f>AVERAGE(FB37:FC37)/10</f>
        <v>47.720706818181817</v>
      </c>
      <c r="FA51" s="662"/>
      <c r="FK51" s="647"/>
      <c r="FL51" s="724"/>
      <c r="FM51" s="681"/>
      <c r="FN51" s="143" t="s">
        <v>94</v>
      </c>
      <c r="FO51" s="143">
        <f>AVERAGE(FQ37:FR37)/10</f>
        <v>67.569851718750002</v>
      </c>
      <c r="FP51" s="662"/>
    </row>
    <row r="52" spans="2:186" x14ac:dyDescent="0.25">
      <c r="B52" s="679"/>
      <c r="C52" s="647" t="s">
        <v>70</v>
      </c>
      <c r="D52" s="681" t="s">
        <v>91</v>
      </c>
      <c r="E52" s="143" t="s">
        <v>80</v>
      </c>
      <c r="F52" s="147">
        <f>AVERAGE(H37:I37)/10</f>
        <v>17.269172962962962</v>
      </c>
      <c r="G52" s="753">
        <f>AVERAGE(F52:F56)</f>
        <v>14.207458962962964</v>
      </c>
      <c r="Q52" s="679"/>
      <c r="R52" s="665"/>
      <c r="S52" s="686"/>
      <c r="T52" s="143" t="s">
        <v>79</v>
      </c>
      <c r="U52" s="143">
        <f t="shared" si="124"/>
        <v>68.925954444444443</v>
      </c>
      <c r="V52" s="662"/>
      <c r="AF52" s="679"/>
      <c r="AG52" s="647"/>
      <c r="AH52" s="681"/>
      <c r="AI52" s="143" t="s">
        <v>83</v>
      </c>
      <c r="AJ52" s="143">
        <f>AVERAGE(AL40:AM40)/10</f>
        <v>44.670476470588234</v>
      </c>
      <c r="AK52" s="662"/>
      <c r="AU52" s="665"/>
      <c r="AV52" s="759"/>
      <c r="AW52" s="720"/>
      <c r="AX52" s="90" t="s">
        <v>83</v>
      </c>
      <c r="AY52" s="90">
        <f>AVERAGE(BA38:BB38)/10</f>
        <v>18.660969000000001</v>
      </c>
      <c r="AZ52" s="742"/>
      <c r="BJ52" s="665"/>
      <c r="BK52" s="715"/>
      <c r="BL52" s="715"/>
      <c r="BM52" s="30" t="s">
        <v>81</v>
      </c>
      <c r="BN52" s="30">
        <f>AVERAGE(BP39:BQ39)/10</f>
        <v>26.443553030303029</v>
      </c>
      <c r="BO52" s="662"/>
      <c r="BY52" s="647"/>
      <c r="BZ52" s="724"/>
      <c r="CA52" s="681"/>
      <c r="CB52" s="143" t="s">
        <v>209</v>
      </c>
      <c r="CC52" s="143">
        <f>AVERAGE(CE38:CF38)/10</f>
        <v>4.0268840909090899</v>
      </c>
      <c r="CD52" s="662"/>
      <c r="CN52" s="665"/>
      <c r="CO52" s="715"/>
      <c r="CP52" s="715"/>
      <c r="CQ52" s="48" t="s">
        <v>79</v>
      </c>
      <c r="CR52">
        <f t="shared" si="125"/>
        <v>42.630092857142856</v>
      </c>
      <c r="CS52" s="741"/>
      <c r="DC52" s="647"/>
      <c r="DD52" s="724"/>
      <c r="DE52" s="731"/>
      <c r="DF52" s="143" t="s">
        <v>209</v>
      </c>
      <c r="DG52" s="143">
        <f>AVERAGE(DI38:DJ38)/10</f>
        <v>10.849065909090909</v>
      </c>
      <c r="DH52" s="662"/>
      <c r="DR52" s="647"/>
      <c r="DS52" s="681" t="s">
        <v>293</v>
      </c>
      <c r="DT52" s="160" t="s">
        <v>80</v>
      </c>
      <c r="DU52" s="733" t="s">
        <v>304</v>
      </c>
      <c r="DV52" s="160">
        <f>AVERAGE(DX37:DY37)/10</f>
        <v>18.222812500000003</v>
      </c>
      <c r="DW52" s="727">
        <f>AVERAGE(DV52:DV56)</f>
        <v>39.568112499999998</v>
      </c>
      <c r="EG52" s="647"/>
      <c r="EH52" s="724"/>
      <c r="EI52" s="681"/>
      <c r="EJ52" s="143" t="s">
        <v>209</v>
      </c>
      <c r="EK52" s="143">
        <f>AVERAGE(EM38:EN38)/10</f>
        <v>29.77903048571428</v>
      </c>
      <c r="EL52" s="662"/>
      <c r="EV52" s="647"/>
      <c r="EW52" s="724"/>
      <c r="EX52" s="686"/>
      <c r="EY52" s="143" t="s">
        <v>209</v>
      </c>
      <c r="EZ52" s="143">
        <f>AVERAGE(FB38:FC38)/10</f>
        <v>38.24025681818182</v>
      </c>
      <c r="FA52" s="662"/>
      <c r="FK52" s="647"/>
      <c r="FL52" s="724"/>
      <c r="FM52" s="681"/>
      <c r="FN52" s="143" t="s">
        <v>209</v>
      </c>
      <c r="FO52" s="143">
        <f>AVERAGE(FQ38:FR38)/10</f>
        <v>44.591036718750004</v>
      </c>
      <c r="FP52" s="662"/>
    </row>
    <row r="53" spans="2:186" ht="15.75" thickBot="1" x14ac:dyDescent="0.3">
      <c r="B53" s="679"/>
      <c r="C53" s="647"/>
      <c r="D53" s="681"/>
      <c r="E53" s="143" t="s">
        <v>79</v>
      </c>
      <c r="F53" s="143">
        <f>AVERAGE(H38:I38)/10</f>
        <v>17.934762962962964</v>
      </c>
      <c r="G53" s="754"/>
      <c r="Q53" s="679"/>
      <c r="R53" s="665"/>
      <c r="S53" s="686"/>
      <c r="T53" s="143" t="s">
        <v>81</v>
      </c>
      <c r="U53" s="143">
        <f t="shared" si="124"/>
        <v>76.276594444444456</v>
      </c>
      <c r="V53" s="662"/>
      <c r="AF53" s="673"/>
      <c r="AG53" s="648"/>
      <c r="AH53" s="684"/>
      <c r="AI53" s="144" t="s">
        <v>94</v>
      </c>
      <c r="AJ53" s="144">
        <f>AVERAGE(AL41:AM41)/10</f>
        <v>49.03252647058823</v>
      </c>
      <c r="AK53" s="663"/>
      <c r="AU53" s="665"/>
      <c r="AV53" s="715" t="s">
        <v>208</v>
      </c>
      <c r="AW53" s="715" t="s">
        <v>194</v>
      </c>
      <c r="AX53" s="30" t="s">
        <v>80</v>
      </c>
      <c r="AY53" s="30">
        <f>AVERAGE(BC37:BD37)/10</f>
        <v>24.895378999999998</v>
      </c>
      <c r="AZ53" s="741">
        <f>AVERAGE(AY53:AY57)</f>
        <v>28.060541000000001</v>
      </c>
      <c r="BJ53" s="665"/>
      <c r="BK53" s="715"/>
      <c r="BL53" s="715"/>
      <c r="BM53" s="30" t="s">
        <v>82</v>
      </c>
      <c r="BN53" s="30">
        <f>AVERAGE(BP40:BQ40)/10</f>
        <v>40.230553030303028</v>
      </c>
      <c r="BO53" s="662"/>
      <c r="BY53" s="647"/>
      <c r="BZ53" s="724"/>
      <c r="CA53" s="681"/>
      <c r="CB53" s="143" t="s">
        <v>210</v>
      </c>
      <c r="CC53" s="143">
        <f>AVERAGE(CE39:CF39)/10</f>
        <v>3.5519340909090902</v>
      </c>
      <c r="CD53" s="662"/>
      <c r="CN53" s="665"/>
      <c r="CO53" s="715"/>
      <c r="CP53" s="715"/>
      <c r="CQ53" s="48" t="s">
        <v>81</v>
      </c>
      <c r="CR53">
        <f t="shared" si="125"/>
        <v>44.51829285714286</v>
      </c>
      <c r="CS53" s="741"/>
      <c r="DC53" s="647"/>
      <c r="DD53" s="724"/>
      <c r="DE53" s="731"/>
      <c r="DF53" s="143" t="s">
        <v>210</v>
      </c>
      <c r="DG53" s="143">
        <f>AVERAGE(DI39:DJ39)/10</f>
        <v>6.1933659090909092</v>
      </c>
      <c r="DH53" s="662"/>
      <c r="DR53" s="647"/>
      <c r="DS53" s="681"/>
      <c r="DT53" s="143" t="s">
        <v>79</v>
      </c>
      <c r="DU53" s="731"/>
      <c r="DV53" s="143">
        <f>AVERAGE(DX38:DY38)/10</f>
        <v>59.759612500000003</v>
      </c>
      <c r="DW53" s="662"/>
      <c r="EG53" s="647"/>
      <c r="EH53" s="724"/>
      <c r="EI53" s="681"/>
      <c r="EJ53" s="143" t="s">
        <v>210</v>
      </c>
      <c r="EK53" s="143">
        <f>AVERAGE(EM39:EN39)/10</f>
        <v>26.998735485714285</v>
      </c>
      <c r="EL53" s="662"/>
      <c r="EV53" s="647"/>
      <c r="EW53" s="724"/>
      <c r="EX53" s="686"/>
      <c r="EY53" s="143" t="s">
        <v>210</v>
      </c>
      <c r="EZ53" s="143">
        <f>AVERAGE(FB39:FC39)/10</f>
        <v>34.177206818181823</v>
      </c>
      <c r="FA53" s="662"/>
      <c r="FK53" s="647"/>
      <c r="FL53" s="724"/>
      <c r="FM53" s="681"/>
      <c r="FN53" s="143" t="s">
        <v>210</v>
      </c>
      <c r="FO53" s="143">
        <f>AVERAGE(FQ39:FR39)/10</f>
        <v>41.437081718750001</v>
      </c>
      <c r="FP53" s="662"/>
    </row>
    <row r="54" spans="2:186" ht="15.75" thickBot="1" x14ac:dyDescent="0.3">
      <c r="B54" s="679"/>
      <c r="C54" s="647"/>
      <c r="D54" s="681"/>
      <c r="E54" s="143" t="s">
        <v>81</v>
      </c>
      <c r="F54" s="143">
        <f>AVERAGE(H39:I39)/10</f>
        <v>13.275632962962963</v>
      </c>
      <c r="G54" s="754"/>
      <c r="Q54" s="679"/>
      <c r="R54" s="665"/>
      <c r="S54" s="686"/>
      <c r="T54" s="143" t="s">
        <v>82</v>
      </c>
      <c r="U54" s="143">
        <f t="shared" si="124"/>
        <v>60.197069444444445</v>
      </c>
      <c r="V54" s="662"/>
      <c r="AF54" s="248"/>
      <c r="AU54" s="665"/>
      <c r="AV54" s="715"/>
      <c r="AW54" s="715"/>
      <c r="AX54" s="30" t="s">
        <v>79</v>
      </c>
      <c r="AY54" s="30">
        <f>AVERAGE(BC38:BD38)/10</f>
        <v>39.282479000000002</v>
      </c>
      <c r="AZ54" s="741"/>
      <c r="BJ54" s="666"/>
      <c r="BK54" s="661"/>
      <c r="BL54" s="661"/>
      <c r="BM54" s="9" t="s">
        <v>83</v>
      </c>
      <c r="BN54" s="9">
        <f>AVERAGE(BP41:BQ41)/10</f>
        <v>30.579653030303028</v>
      </c>
      <c r="BO54" s="663"/>
      <c r="BY54" s="647"/>
      <c r="BZ54" s="724"/>
      <c r="CA54" s="681"/>
      <c r="CB54" s="143" t="s">
        <v>211</v>
      </c>
      <c r="CC54" s="143">
        <f>AVERAGE(CE40:CF40)/10</f>
        <v>0.70223409090909006</v>
      </c>
      <c r="CD54" s="662"/>
      <c r="CN54" s="665"/>
      <c r="CO54" s="715"/>
      <c r="CP54" s="715"/>
      <c r="CQ54" s="48" t="s">
        <v>82</v>
      </c>
      <c r="CR54">
        <f t="shared" si="125"/>
        <v>26.895092857142856</v>
      </c>
      <c r="CS54" s="741"/>
      <c r="DC54" s="647"/>
      <c r="DD54" s="724"/>
      <c r="DE54" s="731"/>
      <c r="DF54" s="143" t="s">
        <v>211</v>
      </c>
      <c r="DG54" s="143">
        <f>AVERAGE(DI40:DJ40)/10</f>
        <v>2.5353159090909099</v>
      </c>
      <c r="DH54" s="662"/>
      <c r="DR54" s="647"/>
      <c r="DS54" s="681"/>
      <c r="DT54" s="143" t="s">
        <v>81</v>
      </c>
      <c r="DU54" s="731"/>
      <c r="DV54" s="143">
        <f>AVERAGE(DX39:DY39)/10</f>
        <v>42.452612500000001</v>
      </c>
      <c r="DW54" s="662"/>
      <c r="EG54" s="647"/>
      <c r="EH54" s="724"/>
      <c r="EI54" s="681"/>
      <c r="EJ54" s="143" t="s">
        <v>211</v>
      </c>
      <c r="EK54" s="143">
        <f>AVERAGE(EM40:EN40)/10</f>
        <v>42.886135485714284</v>
      </c>
      <c r="EL54" s="662"/>
      <c r="EV54" s="647"/>
      <c r="EW54" s="724"/>
      <c r="EX54" s="686"/>
      <c r="EY54" s="143" t="s">
        <v>211</v>
      </c>
      <c r="EZ54" s="143">
        <f>AVERAGE(FB40:FC40)/10</f>
        <v>35.080106818181818</v>
      </c>
      <c r="FA54" s="662"/>
      <c r="FK54" s="647"/>
      <c r="FL54" s="724"/>
      <c r="FM54" s="681"/>
      <c r="FN54" s="143" t="s">
        <v>211</v>
      </c>
      <c r="FO54" s="143">
        <f>AVERAGE(FQ40:FR40)/10</f>
        <v>48.195556718750005</v>
      </c>
      <c r="FP54" s="662"/>
    </row>
    <row r="55" spans="2:186" ht="15.75" thickBot="1" x14ac:dyDescent="0.3">
      <c r="B55" s="679"/>
      <c r="C55" s="647"/>
      <c r="D55" s="681"/>
      <c r="E55" s="143" t="s">
        <v>82</v>
      </c>
      <c r="F55" s="143">
        <f>AVERAGE(H40:I40)/10</f>
        <v>5.6213479629629628</v>
      </c>
      <c r="G55" s="754"/>
      <c r="Q55" s="679"/>
      <c r="R55" s="665"/>
      <c r="S55" s="686"/>
      <c r="T55" s="143" t="s">
        <v>83</v>
      </c>
      <c r="U55" s="143">
        <f t="shared" si="124"/>
        <v>48.252279444444447</v>
      </c>
      <c r="V55" s="662"/>
      <c r="AF55" s="248"/>
      <c r="AU55" s="665"/>
      <c r="AV55" s="715"/>
      <c r="AW55" s="715"/>
      <c r="AX55" s="30" t="s">
        <v>81</v>
      </c>
      <c r="AY55" s="30">
        <f>AVERAGE(BC39:BD39)/10</f>
        <v>24.415809000000003</v>
      </c>
      <c r="AZ55" s="741"/>
      <c r="BY55" s="647"/>
      <c r="BZ55" s="724"/>
      <c r="CA55" s="681"/>
      <c r="CB55" s="143" t="s">
        <v>212</v>
      </c>
      <c r="CC55" s="143">
        <f>AVERAGE(CE41:CF41)/10</f>
        <v>1.6521340909090896</v>
      </c>
      <c r="CD55" s="662">
        <f>AVERAGE(CC56:CC60)</f>
        <v>36.4184740909091</v>
      </c>
      <c r="CN55" s="665"/>
      <c r="CO55" s="715"/>
      <c r="CP55" s="715"/>
      <c r="CQ55" s="48" t="s">
        <v>83</v>
      </c>
      <c r="CR55">
        <f t="shared" si="125"/>
        <v>22.489292857142857</v>
      </c>
      <c r="CS55" s="741"/>
      <c r="DC55" s="647"/>
      <c r="DD55" s="725"/>
      <c r="DE55" s="734"/>
      <c r="DF55" s="142" t="s">
        <v>212</v>
      </c>
      <c r="DG55" s="142">
        <f>AVERAGE(DI41:DJ41)/10</f>
        <v>9.5188659090909091</v>
      </c>
      <c r="DH55" s="728"/>
      <c r="DR55" s="647"/>
      <c r="DS55" s="681"/>
      <c r="DT55" s="143" t="s">
        <v>82</v>
      </c>
      <c r="DU55" s="731"/>
      <c r="DV55" s="143">
        <f>AVERAGE(DX40:DY40)/10</f>
        <v>40.1450125</v>
      </c>
      <c r="DW55" s="662"/>
      <c r="EG55" s="648"/>
      <c r="EH55" s="726"/>
      <c r="EI55" s="684"/>
      <c r="EJ55" s="144" t="s">
        <v>212</v>
      </c>
      <c r="EK55" s="144">
        <f>AVERAGE(EM41:EN41)/10</f>
        <v>32.559325485714282</v>
      </c>
      <c r="EL55" s="663"/>
      <c r="EV55" s="647"/>
      <c r="EW55" s="725"/>
      <c r="EX55" s="688"/>
      <c r="EY55" s="142" t="s">
        <v>212</v>
      </c>
      <c r="EZ55" s="142">
        <f>AVERAGE(FB41:FC41)/10</f>
        <v>35.080106818181818</v>
      </c>
      <c r="FA55" s="728"/>
      <c r="FK55" s="648"/>
      <c r="FL55" s="726"/>
      <c r="FM55" s="684"/>
      <c r="FN55" s="144" t="s">
        <v>212</v>
      </c>
      <c r="FO55" s="144">
        <f>AVERAGE(FQ41:FR41)/10</f>
        <v>38.733691718750002</v>
      </c>
      <c r="FP55" s="663"/>
    </row>
    <row r="56" spans="2:186" x14ac:dyDescent="0.25">
      <c r="B56" s="679"/>
      <c r="C56" s="650"/>
      <c r="D56" s="682"/>
      <c r="E56" s="142" t="s">
        <v>83</v>
      </c>
      <c r="F56" s="142">
        <f>AVERAGE(H41:I41)/10</f>
        <v>16.936377962962961</v>
      </c>
      <c r="G56" s="756"/>
      <c r="Q56" s="679"/>
      <c r="R56" s="746"/>
      <c r="S56" s="688"/>
      <c r="T56" s="142" t="s">
        <v>94</v>
      </c>
      <c r="U56" s="149">
        <f t="shared" si="124"/>
        <v>40.442224444444449</v>
      </c>
      <c r="V56" s="728"/>
      <c r="AF56" s="248"/>
      <c r="AU56" s="665"/>
      <c r="AV56" s="715"/>
      <c r="AW56" s="715"/>
      <c r="AX56" s="30" t="s">
        <v>82</v>
      </c>
      <c r="AY56" s="30">
        <f>AVERAGE(BC40:BD40)/10</f>
        <v>23.936239</v>
      </c>
      <c r="AZ56" s="741"/>
      <c r="BY56" s="647"/>
      <c r="BZ56" s="681" t="s">
        <v>218</v>
      </c>
      <c r="CA56" s="681" t="s">
        <v>237</v>
      </c>
      <c r="CB56" s="143" t="s">
        <v>80</v>
      </c>
      <c r="CC56" s="143">
        <f>AVERAGE(CG37:CH37)/10</f>
        <v>50.571984090909105</v>
      </c>
      <c r="CD56" s="662"/>
      <c r="CN56" s="665"/>
      <c r="CO56" s="715"/>
      <c r="CP56" s="715"/>
      <c r="CQ56" s="48" t="s">
        <v>94</v>
      </c>
      <c r="CR56">
        <f t="shared" si="125"/>
        <v>16.824692857142857</v>
      </c>
      <c r="CS56" s="741"/>
      <c r="DC56" s="647"/>
      <c r="DD56" s="724" t="s">
        <v>284</v>
      </c>
      <c r="DE56" s="685" t="s">
        <v>285</v>
      </c>
      <c r="DF56" s="160" t="s">
        <v>80</v>
      </c>
      <c r="DG56" s="160">
        <f>AVERAGE(DK37:DL37)/10</f>
        <v>0.8725659090909097</v>
      </c>
      <c r="DH56" s="727">
        <f>AVERAGE(DG56:DG60)</f>
        <v>1.0720959090909095</v>
      </c>
      <c r="DR56" s="647"/>
      <c r="DS56" s="681"/>
      <c r="DT56" s="142" t="s">
        <v>83</v>
      </c>
      <c r="DU56" s="734"/>
      <c r="DV56" s="142">
        <f>AVERAGE(DX41:DY41)/10</f>
        <v>37.260512499999997</v>
      </c>
      <c r="DW56" s="728"/>
      <c r="EV56" s="647"/>
      <c r="EW56" s="724" t="s">
        <v>328</v>
      </c>
      <c r="EX56" s="686" t="s">
        <v>292</v>
      </c>
      <c r="EY56" s="143" t="s">
        <v>80</v>
      </c>
      <c r="EZ56" s="143">
        <f>AVERAGE(FD37:FE37)/10</f>
        <v>17.473556818181816</v>
      </c>
      <c r="FA56" s="662">
        <f>AVERAGE(EZ56:EZ65)</f>
        <v>27.044296818181817</v>
      </c>
    </row>
    <row r="57" spans="2:186" ht="15.75" thickBot="1" x14ac:dyDescent="0.3">
      <c r="B57" s="679"/>
      <c r="C57" s="647" t="s">
        <v>78</v>
      </c>
      <c r="D57" s="681" t="s">
        <v>93</v>
      </c>
      <c r="E57" s="143" t="s">
        <v>80</v>
      </c>
      <c r="F57" s="147">
        <f>AVERAGE(J37:K37)/10</f>
        <v>13.608427962962963</v>
      </c>
      <c r="G57" s="753">
        <f>AVERAGE(F57:F60)</f>
        <v>11.195664212962964</v>
      </c>
      <c r="Q57" s="679"/>
      <c r="R57" s="745" t="s">
        <v>179</v>
      </c>
      <c r="S57" s="685" t="s">
        <v>182</v>
      </c>
      <c r="T57" s="143" t="s">
        <v>80</v>
      </c>
      <c r="U57" s="143">
        <f t="shared" ref="U57:U62" si="126">AVERAGE(Y37:Z37)/10</f>
        <v>63.872389444444444</v>
      </c>
      <c r="V57" s="727">
        <f>AVERAGE(U57:U62)</f>
        <v>65.710049444444437</v>
      </c>
      <c r="AF57" s="248"/>
      <c r="AU57" s="666"/>
      <c r="AV57" s="661"/>
      <c r="AW57" s="661"/>
      <c r="AX57" s="9" t="s">
        <v>83</v>
      </c>
      <c r="AY57" s="9">
        <f>AVERAGE(BC41:BD41)/10</f>
        <v>27.772799000000003</v>
      </c>
      <c r="AZ57" s="693"/>
      <c r="BY57" s="647"/>
      <c r="BZ57" s="681"/>
      <c r="CA57" s="681"/>
      <c r="CB57" s="143" t="s">
        <v>79</v>
      </c>
      <c r="CC57" s="143">
        <f>AVERAGE(CG38:CH38)/10</f>
        <v>50.097034090909105</v>
      </c>
      <c r="CD57" s="662"/>
      <c r="CN57" s="665"/>
      <c r="CO57" s="715"/>
      <c r="CP57" s="715"/>
      <c r="CQ57" s="48" t="s">
        <v>209</v>
      </c>
      <c r="CR57">
        <f>AVERAGE(CV37:CW37)/10</f>
        <v>30.042092857142858</v>
      </c>
      <c r="CS57" s="741"/>
      <c r="DC57" s="647"/>
      <c r="DD57" s="724"/>
      <c r="DE57" s="686"/>
      <c r="DF57" s="143" t="s">
        <v>79</v>
      </c>
      <c r="DG57" s="143">
        <f>AVERAGE(DK38:DL38)/10</f>
        <v>-1.4552840909090907</v>
      </c>
      <c r="DH57" s="662"/>
      <c r="DR57" s="647"/>
      <c r="DS57" s="681"/>
      <c r="DT57" s="143" t="s">
        <v>94</v>
      </c>
      <c r="DU57" s="731" t="s">
        <v>300</v>
      </c>
      <c r="DV57" s="143">
        <f>AVERAGE(DZ37:EA37)/10</f>
        <v>13.607612500000002</v>
      </c>
      <c r="DW57" s="662">
        <f>AVERAGE(DV57:DV61)</f>
        <v>18.799712499999998</v>
      </c>
      <c r="EV57" s="647"/>
      <c r="EW57" s="724"/>
      <c r="EX57" s="686"/>
      <c r="EY57" s="143" t="s">
        <v>79</v>
      </c>
      <c r="EZ57" s="143">
        <f>AVERAGE(FD38:FE38)/10</f>
        <v>18.82790681818182</v>
      </c>
      <c r="FA57" s="662"/>
    </row>
    <row r="58" spans="2:186" x14ac:dyDescent="0.25">
      <c r="B58" s="679"/>
      <c r="C58" s="647"/>
      <c r="D58" s="681"/>
      <c r="E58" s="143" t="s">
        <v>79</v>
      </c>
      <c r="F58" s="143">
        <f>AVERAGE(J38:K38)/10</f>
        <v>11.611657962962962</v>
      </c>
      <c r="G58" s="754"/>
      <c r="Q58" s="679"/>
      <c r="R58" s="665"/>
      <c r="S58" s="686"/>
      <c r="T58" s="143" t="s">
        <v>79</v>
      </c>
      <c r="U58" s="143">
        <f t="shared" si="126"/>
        <v>82.248989444444447</v>
      </c>
      <c r="V58" s="662"/>
      <c r="AF58" s="248"/>
      <c r="BY58" s="647"/>
      <c r="BZ58" s="681"/>
      <c r="CA58" s="681"/>
      <c r="CB58" s="143" t="s">
        <v>81</v>
      </c>
      <c r="CC58" s="143">
        <f>AVERAGE(CG39:CH39)/10</f>
        <v>36.79843409090909</v>
      </c>
      <c r="CD58" s="662"/>
      <c r="CN58" s="665"/>
      <c r="CO58" s="715"/>
      <c r="CP58" s="715"/>
      <c r="CQ58" s="48" t="s">
        <v>210</v>
      </c>
      <c r="CR58">
        <f>AVERAGE(CV38:CW38)/10</f>
        <v>16.195292857142856</v>
      </c>
      <c r="CS58" s="741"/>
      <c r="DC58" s="647"/>
      <c r="DD58" s="724"/>
      <c r="DE58" s="686"/>
      <c r="DF58" s="143" t="s">
        <v>81</v>
      </c>
      <c r="DG58" s="143">
        <f>AVERAGE(DK39:DL39)/10</f>
        <v>-0.1250840909090904</v>
      </c>
      <c r="DH58" s="662"/>
      <c r="DR58" s="647"/>
      <c r="DS58" s="681"/>
      <c r="DT58" s="143" t="s">
        <v>209</v>
      </c>
      <c r="DU58" s="731"/>
      <c r="DV58" s="143"/>
      <c r="DW58" s="662"/>
      <c r="EV58" s="647"/>
      <c r="EW58" s="724"/>
      <c r="EX58" s="686"/>
      <c r="EY58" s="143" t="s">
        <v>81</v>
      </c>
      <c r="EZ58" s="143">
        <f>AVERAGE(FD39:FE39)/10</f>
        <v>14.764856818181817</v>
      </c>
      <c r="FA58" s="662"/>
    </row>
    <row r="59" spans="2:186" x14ac:dyDescent="0.25">
      <c r="B59" s="679"/>
      <c r="C59" s="647"/>
      <c r="D59" s="681"/>
      <c r="E59" s="143" t="s">
        <v>83</v>
      </c>
      <c r="F59" s="143">
        <f>AVERAGE(J39:K39)/10</f>
        <v>8.9492979629629641</v>
      </c>
      <c r="G59" s="754"/>
      <c r="Q59" s="679"/>
      <c r="R59" s="665"/>
      <c r="S59" s="686"/>
      <c r="T59" s="143" t="s">
        <v>81</v>
      </c>
      <c r="U59" s="143">
        <f t="shared" si="126"/>
        <v>70.30419944444445</v>
      </c>
      <c r="V59" s="662"/>
      <c r="AF59" s="248"/>
      <c r="BY59" s="647"/>
      <c r="BZ59" s="681"/>
      <c r="CA59" s="681"/>
      <c r="CB59" s="143" t="s">
        <v>82</v>
      </c>
      <c r="CC59" s="143">
        <f>AVERAGE(CG40:CH40)/10</f>
        <v>28.249334090909088</v>
      </c>
      <c r="CD59" s="662"/>
      <c r="CN59" s="665"/>
      <c r="CO59" s="715"/>
      <c r="CP59" s="715"/>
      <c r="CQ59" s="48" t="s">
        <v>211</v>
      </c>
      <c r="CR59">
        <f>AVERAGE(CV39:CW39)/10</f>
        <v>24.377492857142855</v>
      </c>
      <c r="CS59" s="741"/>
      <c r="DC59" s="647"/>
      <c r="DD59" s="724"/>
      <c r="DE59" s="686"/>
      <c r="DF59" s="143" t="s">
        <v>82</v>
      </c>
      <c r="DG59" s="143">
        <f>AVERAGE(DK40:DL40)/10</f>
        <v>-0.1250840909090904</v>
      </c>
      <c r="DH59" s="662"/>
      <c r="DR59" s="647"/>
      <c r="DS59" s="681"/>
      <c r="DT59" s="143" t="s">
        <v>210</v>
      </c>
      <c r="DU59" s="731"/>
      <c r="DV59" s="143">
        <f>AVERAGE(DZ39:EA39)/10</f>
        <v>37.837412499999999</v>
      </c>
      <c r="DW59" s="662"/>
      <c r="EV59" s="647"/>
      <c r="EW59" s="724"/>
      <c r="EX59" s="686"/>
      <c r="EY59" s="143" t="s">
        <v>82</v>
      </c>
      <c r="EZ59" s="143">
        <f>AVERAGE(FD40:FE40)/10</f>
        <v>11.604706818181816</v>
      </c>
      <c r="FA59" s="662"/>
    </row>
    <row r="60" spans="2:186" ht="15.75" thickBot="1" x14ac:dyDescent="0.3">
      <c r="B60" s="673"/>
      <c r="C60" s="648"/>
      <c r="D60" s="684"/>
      <c r="E60" s="144" t="s">
        <v>94</v>
      </c>
      <c r="F60" s="144">
        <f>AVERAGE(J40:K40)/10</f>
        <v>10.613272962962963</v>
      </c>
      <c r="G60" s="755"/>
      <c r="Q60" s="679"/>
      <c r="R60" s="665"/>
      <c r="S60" s="686"/>
      <c r="T60" s="143" t="s">
        <v>82</v>
      </c>
      <c r="U60" s="143">
        <f t="shared" si="126"/>
        <v>72.601274444444442</v>
      </c>
      <c r="V60" s="662"/>
      <c r="AF60" s="248"/>
      <c r="BY60" s="647"/>
      <c r="BZ60" s="681"/>
      <c r="CA60" s="681"/>
      <c r="CB60" s="143" t="s">
        <v>83</v>
      </c>
      <c r="CC60" s="143">
        <f>AVERAGE(CG41:CH41)/10</f>
        <v>16.37558409090909</v>
      </c>
      <c r="CD60" s="662"/>
      <c r="CN60" s="666"/>
      <c r="CO60" s="661"/>
      <c r="CP60" s="661"/>
      <c r="CQ60" s="49" t="s">
        <v>212</v>
      </c>
      <c r="CR60" s="2"/>
      <c r="CS60" s="693"/>
      <c r="DC60" s="647"/>
      <c r="DD60" s="724"/>
      <c r="DE60" s="688"/>
      <c r="DF60" s="142" t="s">
        <v>83</v>
      </c>
      <c r="DG60" s="142">
        <f>AVERAGE(DK41:DL41)/10</f>
        <v>6.1933659090909092</v>
      </c>
      <c r="DH60" s="728"/>
      <c r="DR60" s="647"/>
      <c r="DS60" s="681"/>
      <c r="DT60" s="143" t="s">
        <v>211</v>
      </c>
      <c r="DU60" s="731"/>
      <c r="DV60" s="143">
        <f>AVERAGE(DZ40:EA40)/10</f>
        <v>15.915212500000001</v>
      </c>
      <c r="DW60" s="662"/>
      <c r="EV60" s="647"/>
      <c r="EW60" s="724"/>
      <c r="EX60" s="686"/>
      <c r="EY60" s="143" t="s">
        <v>83</v>
      </c>
      <c r="EZ60" s="143">
        <f>AVERAGE(FD41:FE41)/10</f>
        <v>37.788806818181818</v>
      </c>
      <c r="FA60" s="662"/>
    </row>
    <row r="61" spans="2:186" x14ac:dyDescent="0.25">
      <c r="Q61" s="679"/>
      <c r="R61" s="665"/>
      <c r="S61" s="686"/>
      <c r="T61" s="143" t="s">
        <v>83</v>
      </c>
      <c r="U61" s="143">
        <f t="shared" si="126"/>
        <v>52.387014444444446</v>
      </c>
      <c r="V61" s="662"/>
      <c r="AF61" s="248"/>
      <c r="BY61" s="647"/>
      <c r="BZ61" s="681"/>
      <c r="CA61" s="681" t="s">
        <v>238</v>
      </c>
      <c r="CB61" s="143" t="s">
        <v>94</v>
      </c>
      <c r="CC61" s="143">
        <f>AVERAGE(CI37:CJ37)/10</f>
        <v>17.800434090909089</v>
      </c>
      <c r="CD61" s="662">
        <f>AVERAGE(CC61:CC65)</f>
        <v>13.90584409090909</v>
      </c>
      <c r="DC61" s="647"/>
      <c r="DD61" s="724"/>
      <c r="DE61" s="686" t="s">
        <v>86</v>
      </c>
      <c r="DF61" s="143" t="s">
        <v>80</v>
      </c>
      <c r="DG61" s="143">
        <f>AVERAGE(DM37:DN37)/10</f>
        <v>5.5282659090909103</v>
      </c>
      <c r="DH61" s="727">
        <f>AVERAGE(DG61:DG64)</f>
        <v>2.2027659090909095</v>
      </c>
      <c r="DR61" s="647"/>
      <c r="DS61" s="682"/>
      <c r="DT61" s="142" t="s">
        <v>212</v>
      </c>
      <c r="DU61" s="734"/>
      <c r="DV61" s="142">
        <f>AVERAGE(DZ41:EA41)/10</f>
        <v>7.8386124999999991</v>
      </c>
      <c r="DW61" s="728"/>
      <c r="EV61" s="647"/>
      <c r="EW61" s="724"/>
      <c r="EX61" s="686"/>
      <c r="EY61" s="143" t="s">
        <v>94</v>
      </c>
      <c r="EZ61" s="143">
        <f>AVERAGE(FF37:FG37)/10</f>
        <v>35.983006818181821</v>
      </c>
      <c r="FA61" s="662"/>
    </row>
    <row r="62" spans="2:186" ht="15" customHeight="1" x14ac:dyDescent="0.25">
      <c r="Q62" s="679"/>
      <c r="R62" s="746"/>
      <c r="S62" s="688"/>
      <c r="T62" s="142" t="s">
        <v>94</v>
      </c>
      <c r="U62" s="142">
        <f t="shared" si="126"/>
        <v>52.846429444444446</v>
      </c>
      <c r="V62" s="728"/>
      <c r="AF62" s="248"/>
      <c r="BY62" s="647"/>
      <c r="BZ62" s="681"/>
      <c r="CA62" s="681"/>
      <c r="CB62" s="143" t="s">
        <v>209</v>
      </c>
      <c r="CC62" s="143">
        <f>AVERAGE(CI38:CJ38)/10</f>
        <v>5.9266840909090899</v>
      </c>
      <c r="CD62" s="662"/>
      <c r="DC62" s="647"/>
      <c r="DD62" s="724"/>
      <c r="DE62" s="686"/>
      <c r="DF62" s="143" t="s">
        <v>79</v>
      </c>
      <c r="DG62" s="143">
        <f>AVERAGE(DM38:DN38)/10</f>
        <v>0.2074659090909094</v>
      </c>
      <c r="DH62" s="662"/>
      <c r="DR62" s="647"/>
      <c r="DS62" s="681" t="s">
        <v>298</v>
      </c>
      <c r="DT62" s="160" t="s">
        <v>80</v>
      </c>
      <c r="DU62" s="733" t="s">
        <v>301</v>
      </c>
      <c r="DV62" s="160">
        <f>AVERAGE(EB37:EC37)/10</f>
        <v>31.491512499999999</v>
      </c>
      <c r="DW62" s="727">
        <f>AVERAGE(DV62:DV66)</f>
        <v>58.95195249999999</v>
      </c>
      <c r="EV62" s="647"/>
      <c r="EW62" s="724"/>
      <c r="EX62" s="686"/>
      <c r="EY62" s="143" t="s">
        <v>209</v>
      </c>
      <c r="EZ62" s="143">
        <f>AVERAGE(FF38:FG38)/10</f>
        <v>22.890956818181817</v>
      </c>
      <c r="FA62" s="662"/>
    </row>
    <row r="63" spans="2:186" x14ac:dyDescent="0.25">
      <c r="Q63" s="679"/>
      <c r="R63" s="745" t="s">
        <v>186</v>
      </c>
      <c r="S63" s="685" t="s">
        <v>187</v>
      </c>
      <c r="T63" s="143" t="s">
        <v>80</v>
      </c>
      <c r="U63" s="143">
        <f t="shared" ref="U63:U68" si="127">AVERAGE(AA37:AB37)/10</f>
        <v>61.115899444444452</v>
      </c>
      <c r="V63" s="727">
        <f>AVERAGE(U63:U68)</f>
        <v>45.112943611111113</v>
      </c>
      <c r="AF63" s="248"/>
      <c r="BY63" s="647"/>
      <c r="BZ63" s="681"/>
      <c r="CA63" s="681"/>
      <c r="CB63" s="143" t="s">
        <v>210</v>
      </c>
      <c r="CC63" s="143">
        <f>AVERAGE(CI39:CJ39)/10</f>
        <v>9.2513340909090882</v>
      </c>
      <c r="CD63" s="662"/>
      <c r="DC63" s="647"/>
      <c r="DD63" s="724"/>
      <c r="DE63" s="686"/>
      <c r="DF63" s="143" t="s">
        <v>81</v>
      </c>
      <c r="DG63" s="143">
        <f>AVERAGE(DM39:DN39)/10</f>
        <v>0.54001590909090957</v>
      </c>
      <c r="DH63" s="662"/>
      <c r="DR63" s="647"/>
      <c r="DS63" s="681"/>
      <c r="DT63" s="143" t="s">
        <v>79</v>
      </c>
      <c r="DU63" s="731"/>
      <c r="DV63" s="143">
        <f>AVERAGE(EB38:EC38)/10</f>
        <v>48.798512500000001</v>
      </c>
      <c r="DW63" s="662"/>
      <c r="EV63" s="647"/>
      <c r="EW63" s="724"/>
      <c r="EX63" s="686"/>
      <c r="EY63" s="143" t="s">
        <v>210</v>
      </c>
      <c r="EZ63" s="143">
        <f>AVERAGE(FF39:FG39)/10</f>
        <v>38.24025681818182</v>
      </c>
      <c r="FA63" s="662"/>
    </row>
    <row r="64" spans="2:186" ht="15.75" thickBot="1" x14ac:dyDescent="0.3">
      <c r="Q64" s="679"/>
      <c r="R64" s="665"/>
      <c r="S64" s="686"/>
      <c r="T64" s="143" t="s">
        <v>79</v>
      </c>
      <c r="U64" s="143">
        <f t="shared" si="127"/>
        <v>35.848074444444443</v>
      </c>
      <c r="V64" s="662"/>
      <c r="AF64" s="248"/>
      <c r="BY64" s="647"/>
      <c r="BZ64" s="681"/>
      <c r="CA64" s="681"/>
      <c r="CB64" s="143" t="s">
        <v>211</v>
      </c>
      <c r="CC64" s="143">
        <f>AVERAGE(CI40:CJ40)/10</f>
        <v>24.924684090909093</v>
      </c>
      <c r="CD64" s="662"/>
      <c r="DC64" s="648"/>
      <c r="DD64" s="726"/>
      <c r="DE64" s="687"/>
      <c r="DF64" s="144" t="s">
        <v>82</v>
      </c>
      <c r="DG64" s="144">
        <f>AVERAGE(DM40:DN40)/10</f>
        <v>2.5353159090909099</v>
      </c>
      <c r="DH64" s="663"/>
      <c r="DR64" s="647"/>
      <c r="DS64" s="681"/>
      <c r="DT64" s="143" t="s">
        <v>81</v>
      </c>
      <c r="DU64" s="731"/>
      <c r="DV64" s="143">
        <f>AVERAGE(EB39:EC39)/10</f>
        <v>78.797312500000004</v>
      </c>
      <c r="DW64" s="662"/>
      <c r="EV64" s="647"/>
      <c r="EW64" s="724"/>
      <c r="EX64" s="686"/>
      <c r="EY64" s="143" t="s">
        <v>211</v>
      </c>
      <c r="EZ64" s="143">
        <f>AVERAGE(FF40:FG40)/10</f>
        <v>34.628656818181824</v>
      </c>
      <c r="FA64" s="662"/>
    </row>
    <row r="65" spans="17:157" ht="15.75" thickBot="1" x14ac:dyDescent="0.3">
      <c r="Q65" s="679"/>
      <c r="R65" s="665"/>
      <c r="S65" s="686"/>
      <c r="T65" s="143" t="s">
        <v>81</v>
      </c>
      <c r="U65" s="143">
        <f t="shared" si="127"/>
        <v>54.224674444444439</v>
      </c>
      <c r="V65" s="662"/>
      <c r="AF65" s="248"/>
      <c r="BY65" s="648"/>
      <c r="BZ65" s="684"/>
      <c r="CA65" s="684"/>
      <c r="CB65" s="144" t="s">
        <v>212</v>
      </c>
      <c r="CC65" s="144">
        <f>AVERAGE(CI41:CJ41)/10</f>
        <v>11.626084090909089</v>
      </c>
      <c r="CD65" s="663"/>
      <c r="DR65" s="647"/>
      <c r="DS65" s="681"/>
      <c r="DT65" s="143" t="s">
        <v>82</v>
      </c>
      <c r="DU65" s="731"/>
      <c r="DV65" s="143">
        <f>AVERAGE(EB40:EC40)/10</f>
        <v>70.720712500000005</v>
      </c>
      <c r="DW65" s="662"/>
      <c r="EV65" s="648"/>
      <c r="EW65" s="726"/>
      <c r="EX65" s="687"/>
      <c r="EY65" s="144" t="s">
        <v>212</v>
      </c>
      <c r="EZ65" s="144">
        <f>AVERAGE(FF41:FG41)/10</f>
        <v>38.24025681818182</v>
      </c>
      <c r="FA65" s="663"/>
    </row>
    <row r="66" spans="17:157" x14ac:dyDescent="0.25">
      <c r="Q66" s="679"/>
      <c r="R66" s="665"/>
      <c r="S66" s="686"/>
      <c r="T66" s="143" t="s">
        <v>82</v>
      </c>
      <c r="U66" s="143">
        <f t="shared" si="127"/>
        <v>41.820469444444448</v>
      </c>
      <c r="V66" s="662"/>
      <c r="AF66" s="248"/>
      <c r="DR66" s="647"/>
      <c r="DS66" s="681"/>
      <c r="DT66" s="142" t="s">
        <v>83</v>
      </c>
      <c r="DU66" s="734"/>
      <c r="DV66" s="142">
        <f>AVERAGE(EB41:EC41)/10</f>
        <v>64.951712499999999</v>
      </c>
      <c r="DW66" s="728"/>
    </row>
    <row r="67" spans="17:157" ht="15" customHeight="1" x14ac:dyDescent="0.25">
      <c r="Q67" s="679"/>
      <c r="R67" s="665"/>
      <c r="S67" s="686"/>
      <c r="T67" s="143" t="s">
        <v>83</v>
      </c>
      <c r="U67" s="143">
        <f t="shared" si="127"/>
        <v>43.658129444444441</v>
      </c>
      <c r="V67" s="662"/>
      <c r="AF67" s="248"/>
      <c r="DR67" s="647"/>
      <c r="DS67" s="681"/>
      <c r="DT67" s="143" t="s">
        <v>94</v>
      </c>
      <c r="DU67" s="731" t="s">
        <v>302</v>
      </c>
      <c r="DV67" s="422">
        <f>AVERAGE(ED37:EE37)/10</f>
        <v>12.453812500000002</v>
      </c>
      <c r="DW67" s="729">
        <f>AVERAGE(DV67:DV71)</f>
        <v>7.4924724999999999</v>
      </c>
    </row>
    <row r="68" spans="17:157" ht="15.75" thickBot="1" x14ac:dyDescent="0.3">
      <c r="Q68" s="673"/>
      <c r="R68" s="666"/>
      <c r="S68" s="687"/>
      <c r="T68" s="144" t="s">
        <v>94</v>
      </c>
      <c r="U68" s="144">
        <f t="shared" si="127"/>
        <v>34.010414444444443</v>
      </c>
      <c r="V68" s="663"/>
      <c r="AF68" s="248"/>
      <c r="DR68" s="647"/>
      <c r="DS68" s="681"/>
      <c r="DT68" s="143" t="s">
        <v>209</v>
      </c>
      <c r="DU68" s="731"/>
      <c r="DV68" s="422">
        <f>AVERAGE(ED38:EE38)/10</f>
        <v>7.2617124999999998</v>
      </c>
      <c r="DW68" s="729"/>
    </row>
    <row r="69" spans="17:157" x14ac:dyDescent="0.25">
      <c r="DR69" s="647"/>
      <c r="DS69" s="681"/>
      <c r="DT69" s="143" t="s">
        <v>210</v>
      </c>
      <c r="DU69" s="731"/>
      <c r="DV69" s="422">
        <f>AVERAGE(ED39:EE39)/10</f>
        <v>13.030712500000002</v>
      </c>
      <c r="DW69" s="729"/>
    </row>
    <row r="70" spans="17:157" x14ac:dyDescent="0.25">
      <c r="DR70" s="647"/>
      <c r="DS70" s="681"/>
      <c r="DT70" s="143" t="s">
        <v>211</v>
      </c>
      <c r="DU70" s="731"/>
      <c r="DV70" s="422">
        <f>AVERAGE(ED40:EE40)/10</f>
        <v>2.0696124999999999</v>
      </c>
      <c r="DW70" s="729"/>
    </row>
    <row r="71" spans="17:157" ht="15.75" thickBot="1" x14ac:dyDescent="0.3">
      <c r="DR71" s="648"/>
      <c r="DS71" s="684"/>
      <c r="DT71" s="144" t="s">
        <v>212</v>
      </c>
      <c r="DU71" s="732"/>
      <c r="DV71" s="423">
        <f>AVERAGE(ED41:EE41)/10</f>
        <v>2.6465124999999996</v>
      </c>
      <c r="DW71" s="730"/>
    </row>
  </sheetData>
  <mergeCells count="188">
    <mergeCell ref="FM46:FM55"/>
    <mergeCell ref="FL46:FL55"/>
    <mergeCell ref="FK45:FK55"/>
    <mergeCell ref="FP46:FP55"/>
    <mergeCell ref="CN2:CN10"/>
    <mergeCell ref="CN11:CT11"/>
    <mergeCell ref="CU11:DA11"/>
    <mergeCell ref="CN12:CN20"/>
    <mergeCell ref="CN21:CN35"/>
    <mergeCell ref="DJ11:DP11"/>
    <mergeCell ref="DR2:DR10"/>
    <mergeCell ref="DR11:DX11"/>
    <mergeCell ref="DR12:DR20"/>
    <mergeCell ref="DR21:DR35"/>
    <mergeCell ref="DR36:DR44"/>
    <mergeCell ref="CN36:CN44"/>
    <mergeCell ref="CO46:CO50"/>
    <mergeCell ref="CP46:CP50"/>
    <mergeCell ref="DC2:DC10"/>
    <mergeCell ref="DC11:DI11"/>
    <mergeCell ref="DC12:DC20"/>
    <mergeCell ref="DC21:DC35"/>
    <mergeCell ref="DC36:DC44"/>
    <mergeCell ref="DR45:DR71"/>
    <mergeCell ref="AU36:AU44"/>
    <mergeCell ref="BB11:BH11"/>
    <mergeCell ref="AU45:AU57"/>
    <mergeCell ref="AV46:AV52"/>
    <mergeCell ref="AV53:AV57"/>
    <mergeCell ref="AW46:AW50"/>
    <mergeCell ref="AW53:AW57"/>
    <mergeCell ref="BZ56:BZ65"/>
    <mergeCell ref="BZ46:BZ55"/>
    <mergeCell ref="CF11:CL11"/>
    <mergeCell ref="CD46:CD50"/>
    <mergeCell ref="CD51:CD54"/>
    <mergeCell ref="CD55:CD60"/>
    <mergeCell ref="CD61:CD65"/>
    <mergeCell ref="CA61:CA65"/>
    <mergeCell ref="CA56:CA60"/>
    <mergeCell ref="CA51:CA55"/>
    <mergeCell ref="CA46:CA50"/>
    <mergeCell ref="CO51:CO60"/>
    <mergeCell ref="CP51:CP60"/>
    <mergeCell ref="CN45:CN60"/>
    <mergeCell ref="DE61:DE64"/>
    <mergeCell ref="DE56:DE60"/>
    <mergeCell ref="DC45:DC64"/>
    <mergeCell ref="DH46:DH50"/>
    <mergeCell ref="DH51:DH55"/>
    <mergeCell ref="DH56:DH60"/>
    <mergeCell ref="DH61:DH64"/>
    <mergeCell ref="D57:D60"/>
    <mergeCell ref="D52:D56"/>
    <mergeCell ref="D47:D51"/>
    <mergeCell ref="G57:G60"/>
    <mergeCell ref="G52:G56"/>
    <mergeCell ref="G47:G51"/>
    <mergeCell ref="B36:B44"/>
    <mergeCell ref="B45:B60"/>
    <mergeCell ref="C47:C51"/>
    <mergeCell ref="C52:C56"/>
    <mergeCell ref="C57:C60"/>
    <mergeCell ref="B1:O1"/>
    <mergeCell ref="B2:B10"/>
    <mergeCell ref="B11:H11"/>
    <mergeCell ref="I11:O11"/>
    <mergeCell ref="B12:B20"/>
    <mergeCell ref="B21:B35"/>
    <mergeCell ref="Q1:AD1"/>
    <mergeCell ref="Q2:Q10"/>
    <mergeCell ref="AW51:AW52"/>
    <mergeCell ref="AF1:AS1"/>
    <mergeCell ref="AM11:AS11"/>
    <mergeCell ref="AG46:AG48"/>
    <mergeCell ref="AG49:AG53"/>
    <mergeCell ref="AH49:AH53"/>
    <mergeCell ref="AH46:AH48"/>
    <mergeCell ref="AF45:AF53"/>
    <mergeCell ref="AK49:AK53"/>
    <mergeCell ref="AK46:AK48"/>
    <mergeCell ref="AF2:AF10"/>
    <mergeCell ref="AF11:AL11"/>
    <mergeCell ref="AF12:AF20"/>
    <mergeCell ref="AF21:AF35"/>
    <mergeCell ref="AF36:AF44"/>
    <mergeCell ref="AU1:BH1"/>
    <mergeCell ref="S63:S68"/>
    <mergeCell ref="S57:S62"/>
    <mergeCell ref="S51:S56"/>
    <mergeCell ref="S46:S50"/>
    <mergeCell ref="Q36:Q44"/>
    <mergeCell ref="Q45:Q68"/>
    <mergeCell ref="R63:R68"/>
    <mergeCell ref="R57:R62"/>
    <mergeCell ref="R51:R56"/>
    <mergeCell ref="R46:R50"/>
    <mergeCell ref="BY2:BY10"/>
    <mergeCell ref="BY11:CE11"/>
    <mergeCell ref="BY12:BY20"/>
    <mergeCell ref="BY21:BY35"/>
    <mergeCell ref="BY36:BY44"/>
    <mergeCell ref="CS51:CS60"/>
    <mergeCell ref="CS46:CS50"/>
    <mergeCell ref="DD56:DD64"/>
    <mergeCell ref="V63:V68"/>
    <mergeCell ref="V57:V62"/>
    <mergeCell ref="V51:V56"/>
    <mergeCell ref="V46:V50"/>
    <mergeCell ref="Q11:W11"/>
    <mergeCell ref="X11:AD11"/>
    <mergeCell ref="Q12:Q20"/>
    <mergeCell ref="Q21:Q35"/>
    <mergeCell ref="AZ46:AZ50"/>
    <mergeCell ref="AZ51:AZ52"/>
    <mergeCell ref="AZ53:AZ57"/>
    <mergeCell ref="AU2:AU10"/>
    <mergeCell ref="AU11:BA11"/>
    <mergeCell ref="AU12:AU20"/>
    <mergeCell ref="AU21:AU35"/>
    <mergeCell ref="BY45:BY65"/>
    <mergeCell ref="BJ2:BJ10"/>
    <mergeCell ref="BJ11:BP11"/>
    <mergeCell ref="BJ12:BJ20"/>
    <mergeCell ref="BJ21:BJ35"/>
    <mergeCell ref="BJ36:BJ44"/>
    <mergeCell ref="BQ11:BW11"/>
    <mergeCell ref="BJ45:BJ54"/>
    <mergeCell ref="BL46:BL49"/>
    <mergeCell ref="BL50:BL54"/>
    <mergeCell ref="BK50:BK54"/>
    <mergeCell ref="BK46:BK49"/>
    <mergeCell ref="BO46:BO49"/>
    <mergeCell ref="BO50:BO54"/>
    <mergeCell ref="DU67:DU71"/>
    <mergeCell ref="DU62:DU66"/>
    <mergeCell ref="DU57:DU61"/>
    <mergeCell ref="DU52:DU56"/>
    <mergeCell ref="DU46:DU51"/>
    <mergeCell ref="DS62:DS71"/>
    <mergeCell ref="DS52:DS61"/>
    <mergeCell ref="DS46:DS51"/>
    <mergeCell ref="DD46:DD55"/>
    <mergeCell ref="DE51:DE55"/>
    <mergeCell ref="DE46:DE50"/>
    <mergeCell ref="DW67:DW71"/>
    <mergeCell ref="EG2:EG10"/>
    <mergeCell ref="EG11:EM11"/>
    <mergeCell ref="EN11:ET11"/>
    <mergeCell ref="EG12:EG20"/>
    <mergeCell ref="EG21:EG35"/>
    <mergeCell ref="EG36:EG44"/>
    <mergeCell ref="EH46:EH55"/>
    <mergeCell ref="EI51:EI55"/>
    <mergeCell ref="EI46:EI50"/>
    <mergeCell ref="EG45:EG55"/>
    <mergeCell ref="EL46:EL50"/>
    <mergeCell ref="EL51:EL55"/>
    <mergeCell ref="DY11:EE11"/>
    <mergeCell ref="EW46:EW55"/>
    <mergeCell ref="EW56:EW65"/>
    <mergeCell ref="FA46:FA55"/>
    <mergeCell ref="FA56:FA65"/>
    <mergeCell ref="EV45:EV65"/>
    <mergeCell ref="EX46:EX55"/>
    <mergeCell ref="EX56:EX65"/>
    <mergeCell ref="DW46:DW51"/>
    <mergeCell ref="DW52:DW56"/>
    <mergeCell ref="DW57:DW61"/>
    <mergeCell ref="DW62:DW66"/>
    <mergeCell ref="FZ2:FZ10"/>
    <mergeCell ref="FZ11:GF11"/>
    <mergeCell ref="GG11:GM11"/>
    <mergeCell ref="FZ12:FZ20"/>
    <mergeCell ref="FZ21:FZ35"/>
    <mergeCell ref="FZ36:FZ44"/>
    <mergeCell ref="EV2:EV10"/>
    <mergeCell ref="EV11:FB11"/>
    <mergeCell ref="EV12:EV20"/>
    <mergeCell ref="EV21:EV35"/>
    <mergeCell ref="EV36:EV44"/>
    <mergeCell ref="FC11:FI11"/>
    <mergeCell ref="FK11:FQ11"/>
    <mergeCell ref="FR11:FX11"/>
    <mergeCell ref="FK12:FK20"/>
    <mergeCell ref="FK21:FK35"/>
    <mergeCell ref="FK36:FK44"/>
    <mergeCell ref="FK2:FK10"/>
  </mergeCells>
  <phoneticPr fontId="7" type="noConversion"/>
  <hyperlinks>
    <hyperlink ref="BX1" location="'Table of Contents'!A1" display="Table of Contents" xr:uid="{254A331D-2065-471B-B7F2-F27ABE12F74D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BAA1-6CC3-4F2C-B8FD-76B77C2C8F87}">
  <dimension ref="A1:FX79"/>
  <sheetViews>
    <sheetView topLeftCell="EO17" workbookViewId="0">
      <selection activeCell="EW31" sqref="EW31:EX40"/>
    </sheetView>
  </sheetViews>
  <sheetFormatPr defaultRowHeight="15" x14ac:dyDescent="0.25"/>
  <cols>
    <col min="2" max="2" width="12.140625" customWidth="1"/>
    <col min="3" max="3" width="10.42578125" customWidth="1"/>
    <col min="4" max="4" width="11.140625" customWidth="1"/>
    <col min="17" max="17" width="11.85546875" customWidth="1"/>
    <col min="18" max="18" width="10.42578125" customWidth="1"/>
    <col min="19" max="19" width="10.7109375" customWidth="1"/>
    <col min="32" max="32" width="13.28515625" customWidth="1"/>
    <col min="33" max="33" width="11.7109375" customWidth="1"/>
    <col min="34" max="34" width="14.140625" customWidth="1"/>
    <col min="47" max="47" width="11.28515625" customWidth="1"/>
    <col min="48" max="48" width="11.5703125" customWidth="1"/>
    <col min="49" max="49" width="10.42578125" customWidth="1"/>
    <col min="62" max="62" width="11.7109375" customWidth="1"/>
    <col min="63" max="63" width="11.140625" customWidth="1"/>
    <col min="64" max="64" width="11" customWidth="1"/>
    <col min="78" max="78" width="12" customWidth="1"/>
    <col min="92" max="92" width="12.28515625" customWidth="1"/>
    <col min="93" max="93" width="11.5703125" customWidth="1"/>
    <col min="94" max="94" width="11.140625" customWidth="1"/>
    <col min="107" max="107" width="12.140625" customWidth="1"/>
    <col min="108" max="108" width="10.85546875" customWidth="1"/>
    <col min="122" max="122" width="11.5703125" customWidth="1"/>
    <col min="123" max="123" width="12.28515625" customWidth="1"/>
    <col min="137" max="137" width="11.28515625" customWidth="1"/>
    <col min="138" max="138" width="10.85546875" customWidth="1"/>
    <col min="153" max="154" width="12.140625" customWidth="1"/>
    <col min="167" max="167" width="12.140625" customWidth="1"/>
    <col min="168" max="168" width="11" customWidth="1"/>
    <col min="169" max="169" width="12.5703125" customWidth="1"/>
  </cols>
  <sheetData>
    <row r="1" spans="1:180" ht="15.75" thickBot="1" x14ac:dyDescent="0.3">
      <c r="A1" s="356" t="s">
        <v>262</v>
      </c>
      <c r="B1" s="644" t="s">
        <v>113</v>
      </c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  <c r="Q1" s="644" t="s">
        <v>192</v>
      </c>
      <c r="R1" s="645"/>
      <c r="S1" s="645"/>
      <c r="T1" s="645"/>
      <c r="U1" s="645"/>
      <c r="V1" s="645"/>
      <c r="W1" s="645"/>
      <c r="X1" s="645"/>
      <c r="Y1" s="645"/>
      <c r="Z1" s="645"/>
      <c r="AA1" s="645"/>
      <c r="AB1" s="645"/>
      <c r="AC1" s="645"/>
      <c r="AD1" s="646"/>
      <c r="AF1" s="644" t="s">
        <v>193</v>
      </c>
      <c r="AG1" s="760"/>
      <c r="AH1" s="760"/>
      <c r="AI1" s="760"/>
      <c r="AJ1" s="760"/>
      <c r="AK1" s="760"/>
      <c r="AL1" s="760"/>
      <c r="AM1" s="760"/>
      <c r="AN1" s="760"/>
      <c r="AO1" s="760"/>
      <c r="AP1" s="760"/>
      <c r="AQ1" s="760"/>
      <c r="AR1" s="760"/>
      <c r="AS1" s="761"/>
      <c r="AU1" s="644" t="s">
        <v>214</v>
      </c>
      <c r="AV1" s="645"/>
      <c r="AW1" s="645"/>
      <c r="AX1" s="645"/>
      <c r="AY1" s="645"/>
      <c r="AZ1" s="645"/>
      <c r="BA1" s="645"/>
      <c r="BB1" s="645"/>
      <c r="BC1" s="645"/>
      <c r="BD1" s="645"/>
      <c r="BE1" s="645"/>
      <c r="BF1" s="645"/>
      <c r="BG1" s="645"/>
      <c r="BH1" s="646"/>
      <c r="BJ1" s="644" t="s">
        <v>226</v>
      </c>
      <c r="BK1" s="645"/>
      <c r="BL1" s="645"/>
      <c r="BM1" s="645"/>
      <c r="BN1" s="645"/>
      <c r="BO1" s="645"/>
      <c r="BP1" s="645"/>
      <c r="BQ1" s="645"/>
      <c r="BR1" s="645"/>
      <c r="BS1" s="645"/>
      <c r="BT1" s="645"/>
      <c r="BU1" s="645"/>
      <c r="BV1" s="645"/>
      <c r="BW1" s="646"/>
    </row>
    <row r="2" spans="1:180" x14ac:dyDescent="0.25">
      <c r="B2" s="649" t="s">
        <v>123</v>
      </c>
      <c r="C2" s="150"/>
      <c r="D2" s="132">
        <v>1</v>
      </c>
      <c r="E2" s="132">
        <v>2</v>
      </c>
      <c r="F2" s="132">
        <v>3</v>
      </c>
      <c r="G2" s="132">
        <v>4</v>
      </c>
      <c r="H2" s="132">
        <v>5</v>
      </c>
      <c r="I2" s="132">
        <v>6</v>
      </c>
      <c r="J2" s="132">
        <v>7</v>
      </c>
      <c r="K2" s="132">
        <v>8</v>
      </c>
      <c r="L2" s="132">
        <v>9</v>
      </c>
      <c r="M2" s="132">
        <v>10</v>
      </c>
      <c r="N2" s="132">
        <v>11</v>
      </c>
      <c r="O2" s="133">
        <v>12</v>
      </c>
      <c r="Q2" s="647" t="s">
        <v>123</v>
      </c>
      <c r="R2" s="245"/>
      <c r="S2" s="42">
        <v>1</v>
      </c>
      <c r="T2" s="42">
        <v>2</v>
      </c>
      <c r="U2" s="42">
        <v>3</v>
      </c>
      <c r="V2" s="42">
        <v>4</v>
      </c>
      <c r="W2" s="42">
        <v>5</v>
      </c>
      <c r="X2" s="42">
        <v>6</v>
      </c>
      <c r="Y2" s="42">
        <v>7</v>
      </c>
      <c r="Z2" s="42">
        <v>8</v>
      </c>
      <c r="AA2" s="42">
        <v>9</v>
      </c>
      <c r="AB2" s="42">
        <v>10</v>
      </c>
      <c r="AC2" s="42">
        <v>11</v>
      </c>
      <c r="AD2" s="42">
        <v>12</v>
      </c>
      <c r="AF2" s="672" t="s">
        <v>123</v>
      </c>
      <c r="AG2" s="150"/>
      <c r="AH2" s="132">
        <v>1</v>
      </c>
      <c r="AI2" s="132">
        <v>2</v>
      </c>
      <c r="AJ2" s="132">
        <v>3</v>
      </c>
      <c r="AK2" s="132">
        <v>4</v>
      </c>
      <c r="AL2" s="132">
        <v>5</v>
      </c>
      <c r="AM2" s="132">
        <v>6</v>
      </c>
      <c r="AN2" s="132">
        <v>7</v>
      </c>
      <c r="AO2" s="132">
        <v>8</v>
      </c>
      <c r="AP2" s="132">
        <v>9</v>
      </c>
      <c r="AQ2" s="132">
        <v>10</v>
      </c>
      <c r="AR2" s="132">
        <v>11</v>
      </c>
      <c r="AS2" s="133">
        <v>12</v>
      </c>
      <c r="AU2" s="679" t="s">
        <v>123</v>
      </c>
      <c r="AV2" s="150"/>
      <c r="AW2" s="132">
        <v>1</v>
      </c>
      <c r="AX2" s="132">
        <v>2</v>
      </c>
      <c r="AY2" s="132">
        <v>3</v>
      </c>
      <c r="AZ2" s="132">
        <v>4</v>
      </c>
      <c r="BA2" s="132">
        <v>5</v>
      </c>
      <c r="BB2" s="132">
        <v>6</v>
      </c>
      <c r="BC2" s="132">
        <v>7</v>
      </c>
      <c r="BD2" s="132">
        <v>8</v>
      </c>
      <c r="BE2" s="132">
        <v>9</v>
      </c>
      <c r="BF2" s="132">
        <v>10</v>
      </c>
      <c r="BG2" s="132">
        <v>11</v>
      </c>
      <c r="BH2" s="133">
        <v>12</v>
      </c>
      <c r="BJ2" s="679" t="s">
        <v>123</v>
      </c>
      <c r="BK2" s="150"/>
      <c r="BL2" s="132">
        <v>1</v>
      </c>
      <c r="BM2" s="132">
        <v>2</v>
      </c>
      <c r="BN2" s="132">
        <v>3</v>
      </c>
      <c r="BO2" s="132">
        <v>4</v>
      </c>
      <c r="BP2" s="132">
        <v>5</v>
      </c>
      <c r="BQ2" s="132">
        <v>6</v>
      </c>
      <c r="BR2" s="132">
        <v>7</v>
      </c>
      <c r="BS2" s="132">
        <v>8</v>
      </c>
      <c r="BT2" s="132">
        <v>9</v>
      </c>
      <c r="BU2" s="132">
        <v>10</v>
      </c>
      <c r="BV2" s="132">
        <v>11</v>
      </c>
      <c r="BW2" s="133">
        <v>12</v>
      </c>
      <c r="BY2" s="679" t="s">
        <v>123</v>
      </c>
      <c r="BZ2" s="211"/>
      <c r="CA2" s="81">
        <v>1</v>
      </c>
      <c r="CB2" s="81">
        <v>2</v>
      </c>
      <c r="CC2" s="81">
        <v>3</v>
      </c>
      <c r="CD2" s="81">
        <v>4</v>
      </c>
      <c r="CE2" s="81">
        <v>5</v>
      </c>
      <c r="CF2" s="81">
        <v>6</v>
      </c>
      <c r="CG2" s="81">
        <v>7</v>
      </c>
      <c r="CH2" s="81">
        <v>8</v>
      </c>
      <c r="CI2" s="81">
        <v>9</v>
      </c>
      <c r="CJ2" s="81">
        <v>10</v>
      </c>
      <c r="CK2" s="81">
        <v>11</v>
      </c>
      <c r="CL2" s="81">
        <v>12</v>
      </c>
      <c r="CN2" s="672" t="s">
        <v>123</v>
      </c>
      <c r="CO2" s="200"/>
      <c r="CP2" s="132">
        <v>1</v>
      </c>
      <c r="CQ2" s="132">
        <v>2</v>
      </c>
      <c r="CR2" s="132">
        <v>3</v>
      </c>
      <c r="CS2" s="132">
        <v>4</v>
      </c>
      <c r="CT2" s="132">
        <v>5</v>
      </c>
      <c r="CU2" s="132">
        <v>6</v>
      </c>
      <c r="CV2" s="132">
        <v>7</v>
      </c>
      <c r="CW2" s="132">
        <v>8</v>
      </c>
      <c r="CX2" s="132">
        <v>9</v>
      </c>
      <c r="CY2" s="132">
        <v>10</v>
      </c>
      <c r="CZ2" s="132">
        <v>11</v>
      </c>
      <c r="DA2" s="133">
        <v>12</v>
      </c>
      <c r="DC2" s="672" t="s">
        <v>123</v>
      </c>
      <c r="DD2" s="150"/>
      <c r="DE2" s="132">
        <v>1</v>
      </c>
      <c r="DF2" s="132">
        <v>2</v>
      </c>
      <c r="DG2" s="132">
        <v>3</v>
      </c>
      <c r="DH2" s="132">
        <v>4</v>
      </c>
      <c r="DI2" s="132">
        <v>5</v>
      </c>
      <c r="DJ2" s="132">
        <v>6</v>
      </c>
      <c r="DK2" s="132">
        <v>7</v>
      </c>
      <c r="DL2" s="132">
        <v>8</v>
      </c>
      <c r="DM2" s="132">
        <v>9</v>
      </c>
      <c r="DN2" s="132">
        <v>10</v>
      </c>
      <c r="DO2" s="132">
        <v>11</v>
      </c>
      <c r="DP2" s="133">
        <v>12</v>
      </c>
      <c r="DR2" s="672" t="s">
        <v>123</v>
      </c>
      <c r="DS2" s="211"/>
      <c r="DT2" s="81">
        <v>1</v>
      </c>
      <c r="DU2" s="81">
        <v>2</v>
      </c>
      <c r="DV2" s="81">
        <v>3</v>
      </c>
      <c r="DW2" s="81">
        <v>4</v>
      </c>
      <c r="DX2" s="81">
        <v>5</v>
      </c>
      <c r="DY2" s="81">
        <v>6</v>
      </c>
      <c r="DZ2" s="81">
        <v>7</v>
      </c>
      <c r="EA2" s="81">
        <v>8</v>
      </c>
      <c r="EB2" s="81">
        <v>9</v>
      </c>
      <c r="EC2" s="81">
        <v>10</v>
      </c>
      <c r="ED2" s="81">
        <v>11</v>
      </c>
      <c r="EE2" s="81">
        <v>12</v>
      </c>
      <c r="EG2" s="672" t="s">
        <v>123</v>
      </c>
      <c r="EH2" s="150"/>
      <c r="EI2" s="132">
        <v>1</v>
      </c>
      <c r="EJ2" s="132">
        <v>2</v>
      </c>
      <c r="EK2" s="132">
        <v>3</v>
      </c>
      <c r="EL2" s="132">
        <v>4</v>
      </c>
      <c r="EM2" s="132">
        <v>5</v>
      </c>
      <c r="EN2" s="132">
        <v>6</v>
      </c>
      <c r="EO2" s="132">
        <v>7</v>
      </c>
      <c r="EP2" s="132">
        <v>8</v>
      </c>
      <c r="EQ2" s="132">
        <v>9</v>
      </c>
      <c r="ER2" s="132">
        <v>10</v>
      </c>
      <c r="ES2" s="132">
        <v>11</v>
      </c>
      <c r="ET2" s="133">
        <v>12</v>
      </c>
      <c r="EV2" s="672" t="s">
        <v>123</v>
      </c>
      <c r="EW2" s="211"/>
      <c r="EX2" s="81">
        <v>1</v>
      </c>
      <c r="EY2" s="81">
        <v>2</v>
      </c>
      <c r="EZ2" s="81">
        <v>3</v>
      </c>
      <c r="FA2" s="81">
        <v>4</v>
      </c>
      <c r="FB2" s="81">
        <v>5</v>
      </c>
      <c r="FC2" s="81">
        <v>6</v>
      </c>
      <c r="FD2" s="81">
        <v>7</v>
      </c>
      <c r="FE2" s="81">
        <v>8</v>
      </c>
      <c r="FF2" s="81">
        <v>9</v>
      </c>
      <c r="FG2" s="81">
        <v>10</v>
      </c>
      <c r="FH2" s="81">
        <v>11</v>
      </c>
      <c r="FI2" s="81">
        <v>12</v>
      </c>
      <c r="FK2" s="672" t="s">
        <v>123</v>
      </c>
      <c r="FL2" s="150"/>
      <c r="FM2" s="132">
        <v>1</v>
      </c>
      <c r="FN2" s="132">
        <v>2</v>
      </c>
      <c r="FO2" s="132">
        <v>3</v>
      </c>
      <c r="FP2" s="132">
        <v>4</v>
      </c>
      <c r="FQ2" s="132">
        <v>5</v>
      </c>
      <c r="FR2" s="132">
        <v>6</v>
      </c>
      <c r="FS2" s="132">
        <v>7</v>
      </c>
      <c r="FT2" s="132">
        <v>8</v>
      </c>
      <c r="FU2" s="132">
        <v>9</v>
      </c>
      <c r="FV2" s="132">
        <v>10</v>
      </c>
      <c r="FW2" s="132">
        <v>11</v>
      </c>
      <c r="FX2" s="133">
        <v>12</v>
      </c>
    </row>
    <row r="3" spans="1:180" x14ac:dyDescent="0.25">
      <c r="B3" s="647"/>
      <c r="C3" s="122" t="s">
        <v>44</v>
      </c>
      <c r="D3" s="38">
        <v>0.32300000000000001</v>
      </c>
      <c r="E3" s="38">
        <v>0.32</v>
      </c>
      <c r="F3" s="38">
        <v>0.32600000000000001</v>
      </c>
      <c r="G3" s="38">
        <v>0.32700000000000001</v>
      </c>
      <c r="H3" s="38">
        <v>0.33200000000000002</v>
      </c>
      <c r="I3" s="38">
        <v>0.33300000000000002</v>
      </c>
      <c r="J3" s="38">
        <v>0.33500000000000002</v>
      </c>
      <c r="K3" s="37">
        <v>0.34100000000000003</v>
      </c>
      <c r="L3" s="37">
        <v>0.34300000000000003</v>
      </c>
      <c r="M3" s="37">
        <v>0.34799999999999998</v>
      </c>
      <c r="N3" s="18">
        <v>4.8000000000000001E-2</v>
      </c>
      <c r="O3" s="39">
        <v>4.8000000000000001E-2</v>
      </c>
      <c r="Q3" s="647"/>
      <c r="R3" s="81" t="s">
        <v>44</v>
      </c>
      <c r="S3" s="20">
        <v>0.34300000000000003</v>
      </c>
      <c r="T3" s="20">
        <v>0.34399999999999997</v>
      </c>
      <c r="U3" s="37">
        <v>0.30399999999999999</v>
      </c>
      <c r="V3" s="20">
        <v>0.34899999999999998</v>
      </c>
      <c r="W3" s="20">
        <v>0.36</v>
      </c>
      <c r="X3" s="20">
        <v>0.35899999999999999</v>
      </c>
      <c r="Y3" s="20">
        <v>0.35299999999999998</v>
      </c>
      <c r="Z3" s="20">
        <v>0.35699999999999998</v>
      </c>
      <c r="AA3" s="20">
        <v>0.36099999999999999</v>
      </c>
      <c r="AB3" s="20">
        <v>0.36499999999999999</v>
      </c>
      <c r="AC3" s="18">
        <v>0.06</v>
      </c>
      <c r="AD3" s="18">
        <v>5.0999999999999997E-2</v>
      </c>
      <c r="AF3" s="679"/>
      <c r="AG3" s="122" t="s">
        <v>44</v>
      </c>
      <c r="AH3" s="36">
        <v>0.33500000000000002</v>
      </c>
      <c r="AI3" s="20">
        <v>0.35499999999999998</v>
      </c>
      <c r="AJ3" s="36">
        <v>0.34699999999999998</v>
      </c>
      <c r="AK3" s="20">
        <v>0.35699999999999998</v>
      </c>
      <c r="AL3" s="20">
        <v>0.35699999999999998</v>
      </c>
      <c r="AM3" s="20">
        <v>0.35799999999999998</v>
      </c>
      <c r="AN3" s="20">
        <v>0.36199999999999999</v>
      </c>
      <c r="AO3" s="20">
        <v>0.36299999999999999</v>
      </c>
      <c r="AP3" s="20">
        <v>0.374</v>
      </c>
      <c r="AQ3" s="20">
        <v>0.36699999999999999</v>
      </c>
      <c r="AR3" s="18">
        <v>4.9000000000000002E-2</v>
      </c>
      <c r="AS3" s="39">
        <v>4.9000000000000002E-2</v>
      </c>
      <c r="AU3" s="679"/>
      <c r="AV3" s="122" t="s">
        <v>44</v>
      </c>
      <c r="AW3" s="36">
        <v>0.33700000000000002</v>
      </c>
      <c r="AX3" s="20">
        <v>0.34300000000000003</v>
      </c>
      <c r="AY3" s="36">
        <v>0.33100000000000002</v>
      </c>
      <c r="AZ3" s="20">
        <v>0.34399999999999997</v>
      </c>
      <c r="BA3" s="20">
        <v>0.34599999999999997</v>
      </c>
      <c r="BB3" s="20">
        <v>0.34899999999999998</v>
      </c>
      <c r="BC3" s="20">
        <v>0.35</v>
      </c>
      <c r="BD3" s="20">
        <v>0.35499999999999998</v>
      </c>
      <c r="BE3" s="20">
        <v>0.36499999999999999</v>
      </c>
      <c r="BF3" s="20">
        <v>0.36099999999999999</v>
      </c>
      <c r="BG3" s="18">
        <v>4.9000000000000002E-2</v>
      </c>
      <c r="BH3" s="39">
        <v>4.8000000000000001E-2</v>
      </c>
      <c r="BJ3" s="679"/>
      <c r="BK3" s="122" t="s">
        <v>44</v>
      </c>
      <c r="BL3" s="34">
        <v>0.33800000000000002</v>
      </c>
      <c r="BM3" s="34">
        <v>0.33800000000000002</v>
      </c>
      <c r="BN3" s="34">
        <v>0.33600000000000002</v>
      </c>
      <c r="BO3" s="34">
        <v>0.33900000000000002</v>
      </c>
      <c r="BP3" s="38">
        <v>0.34499999999999997</v>
      </c>
      <c r="BQ3" s="38">
        <v>0.35399999999999998</v>
      </c>
      <c r="BR3" s="20">
        <v>0.45600000000000002</v>
      </c>
      <c r="BS3" s="38">
        <v>0.35899999999999999</v>
      </c>
      <c r="BT3" s="38">
        <v>0.35599999999999998</v>
      </c>
      <c r="BU3" s="38">
        <v>0.35799999999999998</v>
      </c>
      <c r="BV3" s="18">
        <v>4.9000000000000002E-2</v>
      </c>
      <c r="BW3" s="39">
        <v>0.05</v>
      </c>
      <c r="BY3" s="679"/>
      <c r="BZ3" s="81" t="s">
        <v>44</v>
      </c>
      <c r="CA3" s="36">
        <v>0.33100000000000002</v>
      </c>
      <c r="CB3" s="36">
        <v>0.33400000000000002</v>
      </c>
      <c r="CC3" s="20">
        <v>0.33700000000000002</v>
      </c>
      <c r="CD3" s="20">
        <v>0.33700000000000002</v>
      </c>
      <c r="CE3" s="20">
        <v>0.33800000000000002</v>
      </c>
      <c r="CF3" s="20">
        <v>0.34100000000000003</v>
      </c>
      <c r="CG3" s="20">
        <v>0.34</v>
      </c>
      <c r="CH3" s="20">
        <v>0.34399999999999997</v>
      </c>
      <c r="CI3" s="20">
        <v>0.35299999999999998</v>
      </c>
      <c r="CJ3" s="20">
        <v>0.35299999999999998</v>
      </c>
      <c r="CK3" s="18">
        <v>4.8000000000000001E-2</v>
      </c>
      <c r="CL3" s="18">
        <v>4.7E-2</v>
      </c>
      <c r="CN3" s="679"/>
      <c r="CO3" s="81" t="s">
        <v>44</v>
      </c>
      <c r="CP3" s="121">
        <v>0.34399999999999997</v>
      </c>
      <c r="CQ3" s="121">
        <v>0.34399999999999997</v>
      </c>
      <c r="CR3" s="121">
        <v>0.34100000000000003</v>
      </c>
      <c r="CS3" s="121">
        <v>0.34499999999999997</v>
      </c>
      <c r="CT3" s="121">
        <v>0.35799999999999998</v>
      </c>
      <c r="CU3" s="121">
        <v>0.35299999999999998</v>
      </c>
      <c r="CV3" s="121">
        <v>0.35299999999999998</v>
      </c>
      <c r="CW3" s="121">
        <v>0.35699999999999998</v>
      </c>
      <c r="CX3" s="19">
        <v>0.36199999999999999</v>
      </c>
      <c r="CY3" s="19">
        <v>0.36799999999999999</v>
      </c>
      <c r="CZ3" s="18">
        <v>4.7E-2</v>
      </c>
      <c r="DA3" s="39">
        <v>4.7E-2</v>
      </c>
      <c r="DC3" s="679"/>
      <c r="DD3" s="122" t="s">
        <v>44</v>
      </c>
      <c r="DE3" s="37">
        <v>0.184</v>
      </c>
      <c r="DF3" s="36">
        <v>0.19</v>
      </c>
      <c r="DG3" s="36">
        <v>0.193</v>
      </c>
      <c r="DH3" s="36">
        <v>0.191</v>
      </c>
      <c r="DI3" s="20">
        <v>0.20200000000000001</v>
      </c>
      <c r="DJ3" s="36">
        <v>0.19600000000000001</v>
      </c>
      <c r="DK3" s="36">
        <v>0.19500000000000001</v>
      </c>
      <c r="DL3" s="20">
        <v>0.20200000000000001</v>
      </c>
      <c r="DM3" s="20">
        <v>0.20699999999999999</v>
      </c>
      <c r="DN3" s="20">
        <v>0.20799999999999999</v>
      </c>
      <c r="DO3" s="18">
        <v>4.7E-2</v>
      </c>
      <c r="DP3" s="39">
        <v>4.7E-2</v>
      </c>
      <c r="DR3" s="679"/>
      <c r="DS3" s="81" t="s">
        <v>44</v>
      </c>
      <c r="DT3" s="36">
        <v>0.33400000000000002</v>
      </c>
      <c r="DU3" s="36">
        <v>0.33400000000000002</v>
      </c>
      <c r="DV3" s="20">
        <v>0.33700000000000002</v>
      </c>
      <c r="DW3" s="36">
        <v>0.33600000000000002</v>
      </c>
      <c r="DX3" s="20">
        <v>0.34</v>
      </c>
      <c r="DY3" s="20">
        <v>0.34200000000000003</v>
      </c>
      <c r="DZ3" s="20">
        <v>0.34399999999999997</v>
      </c>
      <c r="EA3" s="20">
        <v>0.35</v>
      </c>
      <c r="EB3" s="20">
        <v>0.35499999999999998</v>
      </c>
      <c r="EC3" s="20">
        <v>0.35699999999999998</v>
      </c>
      <c r="ED3" s="18">
        <v>4.8000000000000001E-2</v>
      </c>
      <c r="EE3" s="18">
        <v>4.8000000000000001E-2</v>
      </c>
      <c r="EG3" s="679"/>
      <c r="EH3" s="122" t="s">
        <v>44</v>
      </c>
      <c r="EI3" s="36">
        <v>0.33200000000000002</v>
      </c>
      <c r="EJ3" s="36">
        <v>0.33300000000000002</v>
      </c>
      <c r="EK3" s="36">
        <v>0.33200000000000002</v>
      </c>
      <c r="EL3" s="20">
        <v>0.33800000000000002</v>
      </c>
      <c r="EM3" s="20">
        <v>0.33800000000000002</v>
      </c>
      <c r="EN3" s="20">
        <v>0.34300000000000003</v>
      </c>
      <c r="EO3" s="20">
        <v>0.34100000000000003</v>
      </c>
      <c r="EP3" s="20">
        <v>0.34599999999999997</v>
      </c>
      <c r="EQ3" s="20">
        <v>0.34899999999999998</v>
      </c>
      <c r="ER3" s="20">
        <v>0.35299999999999998</v>
      </c>
      <c r="ES3" s="18">
        <v>5.0999999999999997E-2</v>
      </c>
      <c r="ET3" s="39">
        <v>4.9000000000000002E-2</v>
      </c>
      <c r="EV3" s="679"/>
      <c r="EW3" s="81" t="s">
        <v>44</v>
      </c>
      <c r="EX3" s="20">
        <v>0.33300000000000002</v>
      </c>
      <c r="EY3" s="20">
        <v>0.33700000000000002</v>
      </c>
      <c r="EZ3" s="20">
        <v>0.34200000000000003</v>
      </c>
      <c r="FA3" s="20">
        <v>0.34100000000000003</v>
      </c>
      <c r="FB3" s="20">
        <v>0.33700000000000002</v>
      </c>
      <c r="FC3" s="20">
        <v>0.34200000000000003</v>
      </c>
      <c r="FD3" s="20">
        <v>0.34300000000000003</v>
      </c>
      <c r="FE3" s="20">
        <v>0.34100000000000003</v>
      </c>
      <c r="FF3" s="20">
        <v>0.34599999999999997</v>
      </c>
      <c r="FG3" s="20">
        <v>0.35399999999999998</v>
      </c>
      <c r="FH3" s="18">
        <v>4.9000000000000002E-2</v>
      </c>
      <c r="FI3" s="18">
        <v>4.8000000000000001E-2</v>
      </c>
      <c r="FK3" s="679"/>
      <c r="FL3" s="122" t="s">
        <v>44</v>
      </c>
      <c r="FM3" s="36">
        <v>0.33500000000000002</v>
      </c>
      <c r="FN3" s="20">
        <v>0.33800000000000002</v>
      </c>
      <c r="FO3" s="36">
        <v>0.33500000000000002</v>
      </c>
      <c r="FP3" s="20">
        <v>0.33700000000000002</v>
      </c>
      <c r="FQ3" s="20">
        <v>0.34200000000000003</v>
      </c>
      <c r="FR3" s="20">
        <v>0.34300000000000003</v>
      </c>
      <c r="FS3" s="20">
        <v>0.34499999999999997</v>
      </c>
      <c r="FT3" s="20">
        <v>0.35099999999999998</v>
      </c>
      <c r="FU3" s="20">
        <v>0.35299999999999998</v>
      </c>
      <c r="FV3" s="20">
        <v>0.35799999999999998</v>
      </c>
      <c r="FW3" s="18">
        <v>4.8000000000000001E-2</v>
      </c>
      <c r="FX3" s="39">
        <v>5.3999999999999999E-2</v>
      </c>
    </row>
    <row r="4" spans="1:180" x14ac:dyDescent="0.25">
      <c r="B4" s="647"/>
      <c r="C4" s="122" t="s">
        <v>45</v>
      </c>
      <c r="D4" s="38">
        <v>0.317</v>
      </c>
      <c r="E4" s="38">
        <v>0.32600000000000001</v>
      </c>
      <c r="F4" s="38">
        <v>0.32600000000000001</v>
      </c>
      <c r="G4" s="38">
        <v>0.32600000000000001</v>
      </c>
      <c r="H4" s="38">
        <v>0.33200000000000002</v>
      </c>
      <c r="I4" s="38">
        <v>0.33700000000000002</v>
      </c>
      <c r="J4" s="38">
        <v>0.33100000000000002</v>
      </c>
      <c r="K4" s="37">
        <v>0.34399999999999997</v>
      </c>
      <c r="L4" s="37">
        <v>0.34300000000000003</v>
      </c>
      <c r="M4" s="37">
        <v>0.35299999999999998</v>
      </c>
      <c r="N4" s="18">
        <v>4.8000000000000001E-2</v>
      </c>
      <c r="O4" s="39">
        <v>4.8000000000000001E-2</v>
      </c>
      <c r="Q4" s="647"/>
      <c r="R4" s="81" t="s">
        <v>45</v>
      </c>
      <c r="S4" s="36">
        <v>0.34200000000000003</v>
      </c>
      <c r="T4" s="20">
        <v>0.34399999999999997</v>
      </c>
      <c r="U4" s="38">
        <v>0.29599999999999999</v>
      </c>
      <c r="V4" s="20">
        <v>0.35299999999999998</v>
      </c>
      <c r="W4" s="20">
        <v>0.34599999999999997</v>
      </c>
      <c r="X4" s="20">
        <v>0.34799999999999998</v>
      </c>
      <c r="Y4" s="20">
        <v>0.34699999999999998</v>
      </c>
      <c r="Z4" s="20">
        <v>0.35299999999999998</v>
      </c>
      <c r="AA4" s="20">
        <v>0.35599999999999998</v>
      </c>
      <c r="AB4" s="20">
        <v>0.35699999999999998</v>
      </c>
      <c r="AC4" s="18">
        <v>4.9000000000000002E-2</v>
      </c>
      <c r="AD4" s="18">
        <v>4.9000000000000002E-2</v>
      </c>
      <c r="AF4" s="679"/>
      <c r="AG4" s="122" t="s">
        <v>45</v>
      </c>
      <c r="AH4" s="36">
        <v>0.34899999999999998</v>
      </c>
      <c r="AI4" s="20">
        <v>0.35099999999999998</v>
      </c>
      <c r="AJ4" s="36">
        <v>0.35</v>
      </c>
      <c r="AK4" s="20">
        <v>0.36299999999999999</v>
      </c>
      <c r="AL4" s="20">
        <v>0.35499999999999998</v>
      </c>
      <c r="AM4" s="20">
        <v>0.35699999999999998</v>
      </c>
      <c r="AN4" s="20">
        <v>0.35899999999999999</v>
      </c>
      <c r="AO4" s="20">
        <v>0.36</v>
      </c>
      <c r="AP4" s="20">
        <v>0.36399999999999999</v>
      </c>
      <c r="AQ4" s="20">
        <v>0.36599999999999999</v>
      </c>
      <c r="AR4" s="18">
        <v>0.05</v>
      </c>
      <c r="AS4" s="39">
        <v>4.9000000000000002E-2</v>
      </c>
      <c r="AU4" s="679"/>
      <c r="AV4" s="122" t="s">
        <v>45</v>
      </c>
      <c r="AW4" s="36">
        <v>0.33600000000000002</v>
      </c>
      <c r="AX4" s="36">
        <v>0.33900000000000002</v>
      </c>
      <c r="AY4" s="36">
        <v>0.34</v>
      </c>
      <c r="AZ4" s="36">
        <v>0.34</v>
      </c>
      <c r="BA4" s="20">
        <v>0.34699999999999998</v>
      </c>
      <c r="BB4" s="20">
        <v>0.34799999999999998</v>
      </c>
      <c r="BC4" s="20">
        <v>0.35</v>
      </c>
      <c r="BD4" s="20">
        <v>0.35299999999999998</v>
      </c>
      <c r="BE4" s="20">
        <v>0.35699999999999998</v>
      </c>
      <c r="BF4" s="20">
        <v>0.35899999999999999</v>
      </c>
      <c r="BG4" s="18">
        <v>4.9000000000000002E-2</v>
      </c>
      <c r="BH4" s="39">
        <v>4.8000000000000001E-2</v>
      </c>
      <c r="BJ4" s="679"/>
      <c r="BK4" s="122" t="s">
        <v>45</v>
      </c>
      <c r="BL4" s="35">
        <v>0.29799999999999999</v>
      </c>
      <c r="BM4" s="35">
        <v>0.29899999999999999</v>
      </c>
      <c r="BN4" s="35">
        <v>0.30099999999999999</v>
      </c>
      <c r="BO4" s="35">
        <v>0.30199999999999999</v>
      </c>
      <c r="BP4" s="35">
        <v>0.30599999999999999</v>
      </c>
      <c r="BQ4" s="34">
        <v>0.314</v>
      </c>
      <c r="BR4" s="35">
        <v>0.309</v>
      </c>
      <c r="BS4" s="34">
        <v>0.314</v>
      </c>
      <c r="BT4" s="34">
        <v>0.317</v>
      </c>
      <c r="BU4" s="34">
        <v>0.317</v>
      </c>
      <c r="BV4" s="18">
        <v>4.9000000000000002E-2</v>
      </c>
      <c r="BW4" s="39">
        <v>4.9000000000000002E-2</v>
      </c>
      <c r="BY4" s="679"/>
      <c r="BZ4" s="81" t="s">
        <v>45</v>
      </c>
      <c r="CA4" s="20">
        <v>0.34699999999999998</v>
      </c>
      <c r="CB4" s="20">
        <v>0.35599999999999998</v>
      </c>
      <c r="CC4" s="20">
        <v>0.33900000000000002</v>
      </c>
      <c r="CD4" s="36">
        <v>0.33500000000000002</v>
      </c>
      <c r="CE4" s="20">
        <v>0.34200000000000003</v>
      </c>
      <c r="CF4" s="20">
        <v>0.34399999999999997</v>
      </c>
      <c r="CG4" s="20">
        <v>0.34399999999999997</v>
      </c>
      <c r="CH4" s="20">
        <v>0.34799999999999998</v>
      </c>
      <c r="CI4" s="20">
        <v>0.35299999999999998</v>
      </c>
      <c r="CJ4" s="20">
        <v>0.35799999999999998</v>
      </c>
      <c r="CK4" s="18">
        <v>0.05</v>
      </c>
      <c r="CL4" s="18">
        <v>4.8000000000000001E-2</v>
      </c>
      <c r="CN4" s="679"/>
      <c r="CO4" s="81" t="s">
        <v>45</v>
      </c>
      <c r="CP4" s="121">
        <v>0.34599999999999997</v>
      </c>
      <c r="CQ4" s="121">
        <v>0.35199999999999998</v>
      </c>
      <c r="CR4" s="121">
        <v>0.32</v>
      </c>
      <c r="CS4" s="121">
        <v>0.34799999999999998</v>
      </c>
      <c r="CT4" s="121">
        <v>0.34799999999999998</v>
      </c>
      <c r="CU4" s="121">
        <v>0.35299999999999998</v>
      </c>
      <c r="CV4" s="121">
        <v>0.35499999999999998</v>
      </c>
      <c r="CW4" s="121">
        <v>0.35799999999999998</v>
      </c>
      <c r="CX4" s="19">
        <v>0.36199999999999999</v>
      </c>
      <c r="CY4" s="19">
        <v>0.36699999999999999</v>
      </c>
      <c r="CZ4" s="18">
        <v>4.8000000000000001E-2</v>
      </c>
      <c r="DA4" s="39">
        <v>4.8000000000000001E-2</v>
      </c>
      <c r="DC4" s="679"/>
      <c r="DD4" s="122" t="s">
        <v>45</v>
      </c>
      <c r="DE4" s="36">
        <v>0.191</v>
      </c>
      <c r="DF4" s="36">
        <v>0.193</v>
      </c>
      <c r="DG4" s="36">
        <v>0.19600000000000001</v>
      </c>
      <c r="DH4" s="36">
        <v>0.19600000000000001</v>
      </c>
      <c r="DI4" s="36">
        <v>0.19900000000000001</v>
      </c>
      <c r="DJ4" s="20">
        <v>0.20300000000000001</v>
      </c>
      <c r="DK4" s="20">
        <v>0.20200000000000001</v>
      </c>
      <c r="DL4" s="20">
        <v>0.20599999999999999</v>
      </c>
      <c r="DM4" s="20">
        <v>0.21</v>
      </c>
      <c r="DN4" s="20">
        <v>0.21299999999999999</v>
      </c>
      <c r="DO4" s="18">
        <v>4.8000000000000001E-2</v>
      </c>
      <c r="DP4" s="39">
        <v>4.8000000000000001E-2</v>
      </c>
      <c r="DR4" s="679"/>
      <c r="DS4" s="81" t="s">
        <v>45</v>
      </c>
      <c r="DT4" s="36">
        <v>0.33500000000000002</v>
      </c>
      <c r="DU4" s="20">
        <v>0.33800000000000002</v>
      </c>
      <c r="DV4" s="20">
        <v>0.33900000000000002</v>
      </c>
      <c r="DW4" s="20">
        <v>0.34</v>
      </c>
      <c r="DX4" s="20">
        <v>0.34399999999999997</v>
      </c>
      <c r="DY4" s="20">
        <v>0.34499999999999997</v>
      </c>
      <c r="DZ4" s="20">
        <v>0.34799999999999998</v>
      </c>
      <c r="EA4" s="20">
        <v>0.35099999999999998</v>
      </c>
      <c r="EB4" s="20">
        <v>0.35699999999999998</v>
      </c>
      <c r="EC4" s="20">
        <v>0.35899999999999999</v>
      </c>
      <c r="ED4" s="18">
        <v>4.9000000000000002E-2</v>
      </c>
      <c r="EE4" s="18">
        <v>4.9000000000000002E-2</v>
      </c>
      <c r="EG4" s="679"/>
      <c r="EH4" s="122" t="s">
        <v>45</v>
      </c>
      <c r="EI4" s="36">
        <v>0.33200000000000002</v>
      </c>
      <c r="EJ4" s="20">
        <v>0.33800000000000002</v>
      </c>
      <c r="EK4" s="20">
        <v>0.34300000000000003</v>
      </c>
      <c r="EL4" s="36">
        <v>0.33300000000000002</v>
      </c>
      <c r="EM4" s="20">
        <v>0.33700000000000002</v>
      </c>
      <c r="EN4" s="20">
        <v>0.34</v>
      </c>
      <c r="EO4" s="20">
        <v>0.34699999999999998</v>
      </c>
      <c r="EP4" s="20">
        <v>0.34599999999999997</v>
      </c>
      <c r="EQ4" s="20">
        <v>0.35099999999999998</v>
      </c>
      <c r="ER4" s="20">
        <v>0.35699999999999998</v>
      </c>
      <c r="ES4" s="18">
        <v>4.8000000000000001E-2</v>
      </c>
      <c r="ET4" s="39">
        <v>4.9000000000000002E-2</v>
      </c>
      <c r="EV4" s="679"/>
      <c r="EW4" s="81" t="s">
        <v>45</v>
      </c>
      <c r="EX4" s="36">
        <v>0.33200000000000002</v>
      </c>
      <c r="EY4" s="20">
        <v>0.33300000000000002</v>
      </c>
      <c r="EZ4" s="20">
        <v>0.33600000000000002</v>
      </c>
      <c r="FA4" s="20">
        <v>0.33800000000000002</v>
      </c>
      <c r="FB4" s="20">
        <v>0.33900000000000002</v>
      </c>
      <c r="FC4" s="20">
        <v>0.33900000000000002</v>
      </c>
      <c r="FD4" s="20">
        <v>0.33900000000000002</v>
      </c>
      <c r="FE4" s="20">
        <v>0.33900000000000002</v>
      </c>
      <c r="FF4" s="36">
        <v>0.32700000000000001</v>
      </c>
      <c r="FG4" s="20">
        <v>0.35199999999999998</v>
      </c>
      <c r="FH4" s="18">
        <v>4.8000000000000001E-2</v>
      </c>
      <c r="FI4" s="18">
        <v>4.8000000000000001E-2</v>
      </c>
      <c r="FK4" s="679"/>
      <c r="FL4" s="122" t="s">
        <v>45</v>
      </c>
      <c r="FM4" s="36">
        <v>0.33300000000000002</v>
      </c>
      <c r="FN4" s="20">
        <v>0.33700000000000002</v>
      </c>
      <c r="FO4" s="20">
        <v>0.33600000000000002</v>
      </c>
      <c r="FP4" s="20">
        <v>0.34300000000000003</v>
      </c>
      <c r="FQ4" s="20">
        <v>0.34399999999999997</v>
      </c>
      <c r="FR4" s="20">
        <v>0.34499999999999997</v>
      </c>
      <c r="FS4" s="20">
        <v>0.34599999999999997</v>
      </c>
      <c r="FT4" s="20">
        <v>0.35099999999999998</v>
      </c>
      <c r="FU4" s="20">
        <v>0.35499999999999998</v>
      </c>
      <c r="FV4" s="20">
        <v>0.35799999999999998</v>
      </c>
      <c r="FW4" s="18">
        <v>4.9000000000000002E-2</v>
      </c>
      <c r="FX4" s="39">
        <v>4.9000000000000002E-2</v>
      </c>
    </row>
    <row r="5" spans="1:180" x14ac:dyDescent="0.25">
      <c r="B5" s="647"/>
      <c r="C5" s="122" t="s">
        <v>46</v>
      </c>
      <c r="D5" s="38">
        <v>0.316</v>
      </c>
      <c r="E5" s="38">
        <v>0.312</v>
      </c>
      <c r="F5" s="38">
        <v>0.316</v>
      </c>
      <c r="G5" s="38">
        <v>0.313</v>
      </c>
      <c r="H5" s="34">
        <v>0.31</v>
      </c>
      <c r="I5" s="34">
        <v>0.31</v>
      </c>
      <c r="J5" s="18">
        <v>4.8000000000000001E-2</v>
      </c>
      <c r="K5" s="18">
        <v>4.8000000000000001E-2</v>
      </c>
      <c r="L5" s="18">
        <v>4.8000000000000001E-2</v>
      </c>
      <c r="M5" s="18">
        <v>4.8000000000000001E-2</v>
      </c>
      <c r="N5" s="18">
        <v>4.8000000000000001E-2</v>
      </c>
      <c r="O5" s="39">
        <v>4.8000000000000001E-2</v>
      </c>
      <c r="Q5" s="647"/>
      <c r="R5" s="81" t="s">
        <v>46</v>
      </c>
      <c r="S5" s="36">
        <v>0.33800000000000002</v>
      </c>
      <c r="T5" s="36">
        <v>0.34</v>
      </c>
      <c r="U5" s="20">
        <v>0.34399999999999997</v>
      </c>
      <c r="V5" s="36">
        <v>0.34300000000000003</v>
      </c>
      <c r="W5" s="36">
        <v>0.34200000000000003</v>
      </c>
      <c r="X5" s="20">
        <v>0.34599999999999997</v>
      </c>
      <c r="Y5" s="36">
        <v>0.34100000000000003</v>
      </c>
      <c r="Z5" s="20">
        <v>0.34799999999999998</v>
      </c>
      <c r="AA5" s="18">
        <v>4.9000000000000002E-2</v>
      </c>
      <c r="AB5" s="18">
        <v>4.9000000000000002E-2</v>
      </c>
      <c r="AC5" s="18">
        <v>0.05</v>
      </c>
      <c r="AD5" s="18">
        <v>5.0999999999999997E-2</v>
      </c>
      <c r="AF5" s="679"/>
      <c r="AG5" s="122" t="s">
        <v>46</v>
      </c>
      <c r="AH5" s="36">
        <v>0.33500000000000002</v>
      </c>
      <c r="AI5" s="36">
        <v>0.33600000000000002</v>
      </c>
      <c r="AJ5" s="36">
        <v>0.34599999999999997</v>
      </c>
      <c r="AK5" s="36">
        <v>0.34699999999999998</v>
      </c>
      <c r="AL5" s="18">
        <v>4.8000000000000001E-2</v>
      </c>
      <c r="AM5" s="18">
        <v>0.05</v>
      </c>
      <c r="AN5" s="18">
        <v>4.9000000000000002E-2</v>
      </c>
      <c r="AO5" s="18">
        <v>4.9000000000000002E-2</v>
      </c>
      <c r="AP5" s="18">
        <v>4.9000000000000002E-2</v>
      </c>
      <c r="AQ5" s="18">
        <v>5.0999999999999997E-2</v>
      </c>
      <c r="AR5" s="18">
        <v>4.9000000000000002E-2</v>
      </c>
      <c r="AS5" s="39">
        <v>4.9000000000000002E-2</v>
      </c>
      <c r="AU5" s="679"/>
      <c r="AV5" s="122" t="s">
        <v>46</v>
      </c>
      <c r="AW5" s="36">
        <v>0.33400000000000002</v>
      </c>
      <c r="AX5" s="36">
        <v>0.33500000000000002</v>
      </c>
      <c r="AY5" s="36">
        <v>0.33700000000000002</v>
      </c>
      <c r="AZ5" s="36">
        <v>0.33900000000000002</v>
      </c>
      <c r="BA5" s="36">
        <v>0.33700000000000002</v>
      </c>
      <c r="BB5" s="36">
        <v>0.34</v>
      </c>
      <c r="BC5" s="18">
        <v>4.9000000000000002E-2</v>
      </c>
      <c r="BD5" s="18">
        <v>4.9000000000000002E-2</v>
      </c>
      <c r="BE5" s="18">
        <v>4.9000000000000002E-2</v>
      </c>
      <c r="BF5" s="18">
        <v>4.9000000000000002E-2</v>
      </c>
      <c r="BG5" s="18">
        <v>4.8000000000000001E-2</v>
      </c>
      <c r="BH5" s="39">
        <v>4.9000000000000002E-2</v>
      </c>
      <c r="BJ5" s="679"/>
      <c r="BK5" s="122" t="s">
        <v>46</v>
      </c>
      <c r="BL5" s="34">
        <v>0.33100000000000002</v>
      </c>
      <c r="BM5" s="34">
        <v>0.33300000000000002</v>
      </c>
      <c r="BN5" s="38">
        <v>0.34300000000000003</v>
      </c>
      <c r="BO5" s="38">
        <v>0.36099999999999999</v>
      </c>
      <c r="BP5" s="18">
        <v>5.6000000000000001E-2</v>
      </c>
      <c r="BQ5" s="18">
        <v>5.3999999999999999E-2</v>
      </c>
      <c r="BR5" s="18">
        <v>4.9000000000000002E-2</v>
      </c>
      <c r="BS5" s="18">
        <v>4.9000000000000002E-2</v>
      </c>
      <c r="BT5" s="18">
        <v>4.9000000000000002E-2</v>
      </c>
      <c r="BU5" s="18">
        <v>4.9000000000000002E-2</v>
      </c>
      <c r="BV5" s="18">
        <v>4.9000000000000002E-2</v>
      </c>
      <c r="BW5" s="39">
        <v>4.9000000000000002E-2</v>
      </c>
      <c r="BY5" s="679"/>
      <c r="BZ5" s="81" t="s">
        <v>46</v>
      </c>
      <c r="CA5" s="20">
        <v>0.33800000000000002</v>
      </c>
      <c r="CB5" s="20">
        <v>0.33700000000000002</v>
      </c>
      <c r="CC5" s="20">
        <v>0.33800000000000002</v>
      </c>
      <c r="CD5" s="20">
        <v>0.33600000000000002</v>
      </c>
      <c r="CE5" s="20">
        <v>0.33800000000000002</v>
      </c>
      <c r="CF5" s="20">
        <v>0.34100000000000003</v>
      </c>
      <c r="CG5" s="20">
        <v>0.33800000000000002</v>
      </c>
      <c r="CH5" s="20">
        <v>0.33800000000000002</v>
      </c>
      <c r="CI5" s="18">
        <v>4.8000000000000001E-2</v>
      </c>
      <c r="CJ5" s="18">
        <v>4.8000000000000001E-2</v>
      </c>
      <c r="CK5" s="18">
        <v>5.2999999999999999E-2</v>
      </c>
      <c r="CL5" s="18">
        <v>0.05</v>
      </c>
      <c r="CN5" s="679"/>
      <c r="CO5" s="81" t="s">
        <v>46</v>
      </c>
      <c r="CP5" s="121">
        <v>0.34699999999999998</v>
      </c>
      <c r="CQ5" s="121">
        <v>0.34599999999999997</v>
      </c>
      <c r="CR5" s="121">
        <v>0.35</v>
      </c>
      <c r="CS5" s="121">
        <v>0.35</v>
      </c>
      <c r="CT5" s="121">
        <v>0.35099999999999998</v>
      </c>
      <c r="CU5" s="121">
        <v>0.35099999999999998</v>
      </c>
      <c r="CV5" s="18">
        <v>4.9000000000000002E-2</v>
      </c>
      <c r="CW5" s="18">
        <v>4.9000000000000002E-2</v>
      </c>
      <c r="CX5" s="18">
        <v>4.9000000000000002E-2</v>
      </c>
      <c r="CY5" s="18">
        <v>4.8000000000000001E-2</v>
      </c>
      <c r="CZ5" s="18">
        <v>4.8000000000000001E-2</v>
      </c>
      <c r="DA5" s="39">
        <v>4.9000000000000002E-2</v>
      </c>
      <c r="DC5" s="679"/>
      <c r="DD5" s="122" t="s">
        <v>46</v>
      </c>
      <c r="DE5" s="37">
        <v>0.185</v>
      </c>
      <c r="DF5" s="37">
        <v>0.188</v>
      </c>
      <c r="DG5" s="37">
        <v>0.184</v>
      </c>
      <c r="DH5" s="37">
        <v>0.182</v>
      </c>
      <c r="DI5" s="38">
        <v>0.17599999999999999</v>
      </c>
      <c r="DJ5" s="38">
        <v>0.17499999999999999</v>
      </c>
      <c r="DK5" s="38">
        <v>0.17399999999999999</v>
      </c>
      <c r="DL5" s="38">
        <v>0.17599999999999999</v>
      </c>
      <c r="DM5" s="18">
        <v>4.8000000000000001E-2</v>
      </c>
      <c r="DN5" s="18">
        <v>4.8000000000000001E-2</v>
      </c>
      <c r="DO5" s="18">
        <v>4.8000000000000001E-2</v>
      </c>
      <c r="DP5" s="39">
        <v>4.8000000000000001E-2</v>
      </c>
      <c r="DR5" s="679"/>
      <c r="DS5" s="81" t="s">
        <v>46</v>
      </c>
      <c r="DT5" s="36">
        <v>0.33300000000000002</v>
      </c>
      <c r="DU5" s="36">
        <v>0.33400000000000002</v>
      </c>
      <c r="DV5" s="20">
        <v>0.33800000000000002</v>
      </c>
      <c r="DW5" s="20">
        <v>0.33800000000000002</v>
      </c>
      <c r="DX5" s="20">
        <v>0.35099999999999998</v>
      </c>
      <c r="DY5" s="36">
        <v>0.33400000000000002</v>
      </c>
      <c r="DZ5" s="20">
        <v>0.33900000000000002</v>
      </c>
      <c r="EA5" s="36">
        <v>0.33600000000000002</v>
      </c>
      <c r="EB5" s="36">
        <v>0.33500000000000002</v>
      </c>
      <c r="EC5" s="20">
        <v>0.33900000000000002</v>
      </c>
      <c r="ED5" s="18">
        <v>4.8000000000000001E-2</v>
      </c>
      <c r="EE5" s="18">
        <v>4.9000000000000002E-2</v>
      </c>
      <c r="EG5" s="679"/>
      <c r="EH5" s="122" t="s">
        <v>46</v>
      </c>
      <c r="EI5" s="20">
        <v>0.34399999999999997</v>
      </c>
      <c r="EJ5" s="20">
        <v>0.33600000000000002</v>
      </c>
      <c r="EK5" s="36">
        <v>0.33400000000000002</v>
      </c>
      <c r="EL5" s="20">
        <v>0.33500000000000002</v>
      </c>
      <c r="EM5" s="18">
        <v>5.0999999999999997E-2</v>
      </c>
      <c r="EN5" s="18">
        <v>4.9000000000000002E-2</v>
      </c>
      <c r="EO5" s="18">
        <v>4.9000000000000002E-2</v>
      </c>
      <c r="EP5" s="18">
        <v>4.8000000000000001E-2</v>
      </c>
      <c r="EQ5" s="18">
        <v>4.8000000000000001E-2</v>
      </c>
      <c r="ER5" s="18">
        <v>4.8000000000000001E-2</v>
      </c>
      <c r="ES5" s="18">
        <v>4.9000000000000002E-2</v>
      </c>
      <c r="ET5" s="39">
        <v>4.9000000000000002E-2</v>
      </c>
      <c r="EV5" s="679"/>
      <c r="EW5" s="81" t="s">
        <v>46</v>
      </c>
      <c r="EX5" s="37">
        <v>0.31</v>
      </c>
      <c r="EY5" s="37">
        <v>0.29599999999999999</v>
      </c>
      <c r="EZ5" s="36">
        <v>0.32200000000000001</v>
      </c>
      <c r="FA5" s="36">
        <v>0.32200000000000001</v>
      </c>
      <c r="FB5" s="36">
        <v>0.32100000000000001</v>
      </c>
      <c r="FC5" s="36">
        <v>0.32200000000000001</v>
      </c>
      <c r="FD5" s="36">
        <v>0.32200000000000001</v>
      </c>
      <c r="FE5" s="36">
        <v>0.317</v>
      </c>
      <c r="FF5" s="18">
        <v>4.9000000000000002E-2</v>
      </c>
      <c r="FG5" s="18">
        <v>4.9000000000000002E-2</v>
      </c>
      <c r="FH5" s="18">
        <v>4.9000000000000002E-2</v>
      </c>
      <c r="FI5" s="18">
        <v>4.8000000000000001E-2</v>
      </c>
      <c r="FK5" s="679"/>
      <c r="FL5" s="122" t="s">
        <v>46</v>
      </c>
      <c r="FM5" s="36">
        <v>0.32800000000000001</v>
      </c>
      <c r="FN5" s="20">
        <v>0.33900000000000002</v>
      </c>
      <c r="FO5" s="36">
        <v>0.33500000000000002</v>
      </c>
      <c r="FP5" s="36">
        <v>0.33300000000000002</v>
      </c>
      <c r="FQ5" s="18">
        <v>4.9000000000000002E-2</v>
      </c>
      <c r="FR5" s="18">
        <v>4.9000000000000002E-2</v>
      </c>
      <c r="FS5" s="18">
        <v>4.9000000000000002E-2</v>
      </c>
      <c r="FT5" s="18">
        <v>4.9000000000000002E-2</v>
      </c>
      <c r="FU5" s="18">
        <v>4.9000000000000002E-2</v>
      </c>
      <c r="FV5" s="18">
        <v>4.8000000000000001E-2</v>
      </c>
      <c r="FW5" s="18">
        <v>0.05</v>
      </c>
      <c r="FX5" s="39">
        <v>4.9000000000000002E-2</v>
      </c>
    </row>
    <row r="6" spans="1:180" x14ac:dyDescent="0.25">
      <c r="B6" s="647"/>
      <c r="C6" s="122" t="s">
        <v>47</v>
      </c>
      <c r="D6" s="38">
        <v>0.32100000000000001</v>
      </c>
      <c r="E6" s="38">
        <v>0.315</v>
      </c>
      <c r="F6" s="38">
        <v>0.315</v>
      </c>
      <c r="G6" s="38">
        <v>0.31900000000000001</v>
      </c>
      <c r="H6" s="38">
        <v>0.318</v>
      </c>
      <c r="I6" s="38">
        <v>0.316</v>
      </c>
      <c r="J6" s="18">
        <v>4.8000000000000001E-2</v>
      </c>
      <c r="K6" s="18">
        <v>4.8000000000000001E-2</v>
      </c>
      <c r="L6" s="18">
        <v>4.8000000000000001E-2</v>
      </c>
      <c r="M6" s="18">
        <v>4.8000000000000001E-2</v>
      </c>
      <c r="N6" s="18">
        <v>4.8000000000000001E-2</v>
      </c>
      <c r="O6" s="39">
        <v>4.9000000000000002E-2</v>
      </c>
      <c r="Q6" s="647"/>
      <c r="R6" s="81" t="s">
        <v>47</v>
      </c>
      <c r="S6" s="37">
        <v>0.318</v>
      </c>
      <c r="T6" s="36">
        <v>0.33700000000000002</v>
      </c>
      <c r="U6" s="36">
        <v>0.33900000000000002</v>
      </c>
      <c r="V6" s="36">
        <v>0.34200000000000003</v>
      </c>
      <c r="W6" s="20">
        <v>0.34599999999999997</v>
      </c>
      <c r="X6" s="20">
        <v>0.34499999999999997</v>
      </c>
      <c r="Y6" s="20">
        <v>0.34499999999999997</v>
      </c>
      <c r="Z6" s="36">
        <v>0.33700000000000002</v>
      </c>
      <c r="AA6" s="18">
        <v>4.9000000000000002E-2</v>
      </c>
      <c r="AB6" s="18">
        <v>5.6000000000000001E-2</v>
      </c>
      <c r="AC6" s="18">
        <v>4.9000000000000002E-2</v>
      </c>
      <c r="AD6" s="18">
        <v>4.9000000000000002E-2</v>
      </c>
      <c r="AF6" s="679"/>
      <c r="AG6" s="122" t="s">
        <v>47</v>
      </c>
      <c r="AH6" s="36">
        <v>0.32800000000000001</v>
      </c>
      <c r="AI6" s="36">
        <v>0.33500000000000002</v>
      </c>
      <c r="AJ6" s="36">
        <v>0.34599999999999997</v>
      </c>
      <c r="AK6" s="36">
        <v>0.34799999999999998</v>
      </c>
      <c r="AL6" s="18">
        <v>4.9000000000000002E-2</v>
      </c>
      <c r="AM6" s="18">
        <v>5.0999999999999997E-2</v>
      </c>
      <c r="AN6" s="18">
        <v>4.9000000000000002E-2</v>
      </c>
      <c r="AO6" s="18">
        <v>4.9000000000000002E-2</v>
      </c>
      <c r="AP6" s="18">
        <v>4.9000000000000002E-2</v>
      </c>
      <c r="AQ6" s="18">
        <v>4.9000000000000002E-2</v>
      </c>
      <c r="AR6" s="18">
        <v>4.9000000000000002E-2</v>
      </c>
      <c r="AS6" s="39">
        <v>0.05</v>
      </c>
      <c r="AU6" s="679"/>
      <c r="AV6" s="122" t="s">
        <v>47</v>
      </c>
      <c r="AW6" s="36">
        <v>0.33800000000000002</v>
      </c>
      <c r="AX6" s="20">
        <v>0.34300000000000003</v>
      </c>
      <c r="AY6" s="36">
        <v>0.34100000000000003</v>
      </c>
      <c r="AZ6" s="20">
        <v>0.34499999999999997</v>
      </c>
      <c r="BA6" s="20">
        <v>0.34499999999999997</v>
      </c>
      <c r="BB6" s="36">
        <v>0.34</v>
      </c>
      <c r="BC6" s="18">
        <v>4.9000000000000002E-2</v>
      </c>
      <c r="BD6" s="18">
        <v>0.05</v>
      </c>
      <c r="BE6" s="18">
        <v>4.9000000000000002E-2</v>
      </c>
      <c r="BF6" s="18">
        <v>4.9000000000000002E-2</v>
      </c>
      <c r="BG6" s="18">
        <v>4.8000000000000001E-2</v>
      </c>
      <c r="BH6" s="39">
        <v>4.9000000000000002E-2</v>
      </c>
      <c r="BJ6" s="679"/>
      <c r="BK6" s="122" t="s">
        <v>47</v>
      </c>
      <c r="BL6" s="34">
        <v>0.33600000000000002</v>
      </c>
      <c r="BM6" s="34">
        <v>0.33900000000000002</v>
      </c>
      <c r="BN6" s="38">
        <v>0.34399999999999997</v>
      </c>
      <c r="BO6" s="38">
        <v>0.34</v>
      </c>
      <c r="BP6" s="18">
        <v>5.0999999999999997E-2</v>
      </c>
      <c r="BQ6" s="18">
        <v>0.05</v>
      </c>
      <c r="BR6" s="18">
        <v>4.9000000000000002E-2</v>
      </c>
      <c r="BS6" s="18">
        <v>4.9000000000000002E-2</v>
      </c>
      <c r="BT6" s="18">
        <v>4.9000000000000002E-2</v>
      </c>
      <c r="BU6" s="18">
        <v>4.8000000000000001E-2</v>
      </c>
      <c r="BV6" s="18">
        <v>4.8000000000000001E-2</v>
      </c>
      <c r="BW6" s="39">
        <v>5.0999999999999997E-2</v>
      </c>
      <c r="BY6" s="679"/>
      <c r="BZ6" s="81" t="s">
        <v>47</v>
      </c>
      <c r="CA6" s="36">
        <v>0.33600000000000002</v>
      </c>
      <c r="CB6" s="20">
        <v>0.34699999999999998</v>
      </c>
      <c r="CC6" s="20">
        <v>0.33600000000000002</v>
      </c>
      <c r="CD6" s="36">
        <v>0.33500000000000002</v>
      </c>
      <c r="CE6" s="20">
        <v>0.33900000000000002</v>
      </c>
      <c r="CF6" s="20">
        <v>0.33900000000000002</v>
      </c>
      <c r="CG6" s="20">
        <v>0.33600000000000002</v>
      </c>
      <c r="CH6" s="36">
        <v>0.33600000000000002</v>
      </c>
      <c r="CI6" s="18">
        <v>4.8000000000000001E-2</v>
      </c>
      <c r="CJ6" s="18">
        <v>4.8000000000000001E-2</v>
      </c>
      <c r="CK6" s="18">
        <v>4.8000000000000001E-2</v>
      </c>
      <c r="CL6" s="18">
        <v>4.8000000000000001E-2</v>
      </c>
      <c r="CN6" s="679"/>
      <c r="CO6" s="81" t="s">
        <v>47</v>
      </c>
      <c r="CP6" s="121">
        <v>0.34699999999999998</v>
      </c>
      <c r="CQ6" s="121">
        <v>0.34699999999999998</v>
      </c>
      <c r="CR6" s="121">
        <v>0.34499999999999997</v>
      </c>
      <c r="CS6" s="121">
        <v>0.34699999999999998</v>
      </c>
      <c r="CT6" s="121">
        <v>0.34499999999999997</v>
      </c>
      <c r="CU6" s="121">
        <v>0.34799999999999998</v>
      </c>
      <c r="CV6" s="18">
        <v>4.8000000000000001E-2</v>
      </c>
      <c r="CW6" s="18">
        <v>4.8000000000000001E-2</v>
      </c>
      <c r="CX6" s="18">
        <v>4.9000000000000002E-2</v>
      </c>
      <c r="CY6" s="18">
        <v>5.7000000000000002E-2</v>
      </c>
      <c r="CZ6" s="18">
        <v>5.0999999999999997E-2</v>
      </c>
      <c r="DA6" s="39">
        <v>4.8000000000000001E-2</v>
      </c>
      <c r="DC6" s="679"/>
      <c r="DD6" s="122" t="s">
        <v>47</v>
      </c>
      <c r="DE6" s="37">
        <v>0.187</v>
      </c>
      <c r="DF6" s="37">
        <v>0.189</v>
      </c>
      <c r="DG6" s="37">
        <v>0.185</v>
      </c>
      <c r="DH6" s="37">
        <v>0.186</v>
      </c>
      <c r="DI6" s="37">
        <v>0.17899999999999999</v>
      </c>
      <c r="DJ6" s="38">
        <v>0.17599999999999999</v>
      </c>
      <c r="DK6" s="38">
        <v>0.17100000000000001</v>
      </c>
      <c r="DL6" s="38">
        <v>0.17499999999999999</v>
      </c>
      <c r="DM6" s="18">
        <v>4.8000000000000001E-2</v>
      </c>
      <c r="DN6" s="18">
        <v>4.8000000000000001E-2</v>
      </c>
      <c r="DO6" s="18">
        <v>4.8000000000000001E-2</v>
      </c>
      <c r="DP6" s="39">
        <v>4.8000000000000001E-2</v>
      </c>
      <c r="DR6" s="679"/>
      <c r="DS6" s="81" t="s">
        <v>47</v>
      </c>
      <c r="DT6" s="20">
        <v>0.33900000000000002</v>
      </c>
      <c r="DU6" s="36">
        <v>0.33700000000000002</v>
      </c>
      <c r="DV6" s="20">
        <v>0.34</v>
      </c>
      <c r="DW6" s="20">
        <v>0.34</v>
      </c>
      <c r="DX6" s="20">
        <v>0.33900000000000002</v>
      </c>
      <c r="DY6" s="36">
        <v>0.33600000000000002</v>
      </c>
      <c r="DZ6" s="20">
        <v>0.33800000000000002</v>
      </c>
      <c r="EA6" s="20">
        <v>0.34100000000000003</v>
      </c>
      <c r="EB6" s="36">
        <v>0.33300000000000002</v>
      </c>
      <c r="EC6" s="20">
        <v>0.33800000000000002</v>
      </c>
      <c r="ED6" s="18">
        <v>4.8000000000000001E-2</v>
      </c>
      <c r="EE6" s="18">
        <v>4.9000000000000002E-2</v>
      </c>
      <c r="EG6" s="679"/>
      <c r="EH6" s="122" t="s">
        <v>47</v>
      </c>
      <c r="EI6" s="20">
        <v>0.34200000000000003</v>
      </c>
      <c r="EJ6" s="20">
        <v>0.33900000000000002</v>
      </c>
      <c r="EK6" s="20">
        <v>0.33900000000000002</v>
      </c>
      <c r="EL6" s="20">
        <v>0.33900000000000002</v>
      </c>
      <c r="EM6" s="18">
        <v>4.8000000000000001E-2</v>
      </c>
      <c r="EN6" s="18">
        <v>4.8000000000000001E-2</v>
      </c>
      <c r="EO6" s="18">
        <v>4.8000000000000001E-2</v>
      </c>
      <c r="EP6" s="18">
        <v>4.8000000000000001E-2</v>
      </c>
      <c r="EQ6" s="18">
        <v>4.8000000000000001E-2</v>
      </c>
      <c r="ER6" s="18">
        <v>5.2999999999999999E-2</v>
      </c>
      <c r="ES6" s="18">
        <v>4.9000000000000002E-2</v>
      </c>
      <c r="ET6" s="39">
        <v>0.05</v>
      </c>
      <c r="EV6" s="679"/>
      <c r="EW6" s="81" t="s">
        <v>47</v>
      </c>
      <c r="EX6" s="36">
        <v>0.316</v>
      </c>
      <c r="EY6" s="36">
        <v>0.32500000000000001</v>
      </c>
      <c r="EZ6" s="36">
        <v>0.311</v>
      </c>
      <c r="FA6" s="36">
        <v>0.32400000000000001</v>
      </c>
      <c r="FB6" s="36">
        <v>0.318</v>
      </c>
      <c r="FC6" s="36">
        <v>0.317</v>
      </c>
      <c r="FD6" s="36">
        <v>0.31900000000000001</v>
      </c>
      <c r="FE6" s="36">
        <v>0.317</v>
      </c>
      <c r="FF6" s="18">
        <v>5.5E-2</v>
      </c>
      <c r="FG6" s="18">
        <v>4.8000000000000001E-2</v>
      </c>
      <c r="FH6" s="18">
        <v>4.8000000000000001E-2</v>
      </c>
      <c r="FI6" s="18">
        <v>4.9000000000000002E-2</v>
      </c>
      <c r="FK6" s="679"/>
      <c r="FL6" s="122" t="s">
        <v>47</v>
      </c>
      <c r="FM6" s="36">
        <v>0.32900000000000001</v>
      </c>
      <c r="FN6" s="36">
        <v>0.32600000000000001</v>
      </c>
      <c r="FO6" s="36">
        <v>0.32500000000000001</v>
      </c>
      <c r="FP6" s="36">
        <v>0.33500000000000002</v>
      </c>
      <c r="FQ6" s="18">
        <v>4.8000000000000001E-2</v>
      </c>
      <c r="FR6" s="18">
        <v>5.7000000000000002E-2</v>
      </c>
      <c r="FS6" s="18">
        <v>0.05</v>
      </c>
      <c r="FT6" s="18">
        <v>4.8000000000000001E-2</v>
      </c>
      <c r="FU6" s="18">
        <v>4.8000000000000001E-2</v>
      </c>
      <c r="FV6" s="18">
        <v>5.1999999999999998E-2</v>
      </c>
      <c r="FW6" s="18">
        <v>4.8000000000000001E-2</v>
      </c>
      <c r="FX6" s="39">
        <v>4.9000000000000002E-2</v>
      </c>
    </row>
    <row r="7" spans="1:180" x14ac:dyDescent="0.25">
      <c r="B7" s="647"/>
      <c r="C7" s="122" t="s">
        <v>48</v>
      </c>
      <c r="D7" s="38">
        <v>0.32</v>
      </c>
      <c r="E7" s="38">
        <v>0.32300000000000001</v>
      </c>
      <c r="F7" s="38">
        <v>0.31900000000000001</v>
      </c>
      <c r="G7" s="38">
        <v>0.32</v>
      </c>
      <c r="H7" s="20">
        <v>0.41599999999999998</v>
      </c>
      <c r="I7" s="38">
        <v>0.31900000000000001</v>
      </c>
      <c r="J7" s="18">
        <v>4.9000000000000002E-2</v>
      </c>
      <c r="K7" s="18">
        <v>4.8000000000000001E-2</v>
      </c>
      <c r="L7" s="18">
        <v>4.9000000000000002E-2</v>
      </c>
      <c r="M7" s="18">
        <v>4.8000000000000001E-2</v>
      </c>
      <c r="N7" s="18">
        <v>4.8000000000000001E-2</v>
      </c>
      <c r="O7" s="39">
        <v>4.8000000000000001E-2</v>
      </c>
      <c r="Q7" s="647"/>
      <c r="R7" s="81" t="s">
        <v>48</v>
      </c>
      <c r="S7" s="36">
        <v>0.33900000000000002</v>
      </c>
      <c r="T7" s="36">
        <v>0.33300000000000002</v>
      </c>
      <c r="U7" s="20">
        <v>0.34599999999999997</v>
      </c>
      <c r="V7" s="20">
        <v>0.34799999999999998</v>
      </c>
      <c r="W7" s="20">
        <v>0.34499999999999997</v>
      </c>
      <c r="X7" s="20">
        <v>0.34899999999999998</v>
      </c>
      <c r="Y7" s="20">
        <v>0.34699999999999998</v>
      </c>
      <c r="Z7" s="20">
        <v>0.34399999999999997</v>
      </c>
      <c r="AA7" s="18">
        <v>4.8000000000000001E-2</v>
      </c>
      <c r="AB7" s="18">
        <v>4.9000000000000002E-2</v>
      </c>
      <c r="AC7" s="18">
        <v>4.9000000000000002E-2</v>
      </c>
      <c r="AD7" s="18">
        <v>0.05</v>
      </c>
      <c r="AF7" s="679"/>
      <c r="AG7" s="122" t="s">
        <v>48</v>
      </c>
      <c r="AH7" s="36">
        <v>0.34499999999999997</v>
      </c>
      <c r="AI7" s="36">
        <v>0.34399999999999997</v>
      </c>
      <c r="AJ7" s="36">
        <v>0.34399999999999997</v>
      </c>
      <c r="AK7" s="36">
        <v>0.34300000000000003</v>
      </c>
      <c r="AL7" s="18">
        <v>4.9000000000000002E-2</v>
      </c>
      <c r="AM7" s="18">
        <v>5.8999999999999997E-2</v>
      </c>
      <c r="AN7" s="18">
        <v>4.9000000000000002E-2</v>
      </c>
      <c r="AO7" s="18">
        <v>4.9000000000000002E-2</v>
      </c>
      <c r="AP7" s="18">
        <v>4.9000000000000002E-2</v>
      </c>
      <c r="AQ7" s="18">
        <v>4.9000000000000002E-2</v>
      </c>
      <c r="AR7" s="18">
        <v>4.9000000000000002E-2</v>
      </c>
      <c r="AS7" s="39">
        <v>4.9000000000000002E-2</v>
      </c>
      <c r="AU7" s="679"/>
      <c r="AV7" s="122" t="s">
        <v>48</v>
      </c>
      <c r="AW7" s="36">
        <v>0.33900000000000002</v>
      </c>
      <c r="AX7" s="36">
        <v>0.34200000000000003</v>
      </c>
      <c r="AY7" s="18">
        <v>4.8000000000000001E-2</v>
      </c>
      <c r="AZ7" s="18">
        <v>4.8000000000000001E-2</v>
      </c>
      <c r="BA7" s="36">
        <v>0.34</v>
      </c>
      <c r="BB7" s="36">
        <v>0.33700000000000002</v>
      </c>
      <c r="BC7" s="18">
        <v>4.9000000000000002E-2</v>
      </c>
      <c r="BD7" s="18">
        <v>4.8000000000000001E-2</v>
      </c>
      <c r="BE7" s="18">
        <v>4.8000000000000001E-2</v>
      </c>
      <c r="BF7" s="18">
        <v>4.8000000000000001E-2</v>
      </c>
      <c r="BG7" s="18">
        <v>4.9000000000000002E-2</v>
      </c>
      <c r="BH7" s="39">
        <v>4.9000000000000002E-2</v>
      </c>
      <c r="BJ7" s="679"/>
      <c r="BK7" s="122" t="s">
        <v>48</v>
      </c>
      <c r="BL7" s="38">
        <v>0.34100000000000003</v>
      </c>
      <c r="BM7" s="34">
        <v>0.33700000000000002</v>
      </c>
      <c r="BN7" s="34">
        <v>0.33800000000000002</v>
      </c>
      <c r="BO7" s="38">
        <v>0.34899999999999998</v>
      </c>
      <c r="BP7" s="18">
        <v>4.9000000000000002E-2</v>
      </c>
      <c r="BQ7" s="18">
        <v>4.8000000000000001E-2</v>
      </c>
      <c r="BR7" s="18">
        <v>4.9000000000000002E-2</v>
      </c>
      <c r="BS7" s="18">
        <v>4.9000000000000002E-2</v>
      </c>
      <c r="BT7" s="18">
        <v>4.9000000000000002E-2</v>
      </c>
      <c r="BU7" s="18">
        <v>4.9000000000000002E-2</v>
      </c>
      <c r="BV7" s="18">
        <v>0.05</v>
      </c>
      <c r="BW7" s="39">
        <v>4.9000000000000002E-2</v>
      </c>
      <c r="BY7" s="679"/>
      <c r="BZ7" s="81" t="s">
        <v>48</v>
      </c>
      <c r="CA7" s="20">
        <v>0.33900000000000002</v>
      </c>
      <c r="CB7" s="20">
        <v>0.34</v>
      </c>
      <c r="CC7" s="20">
        <v>0.34200000000000003</v>
      </c>
      <c r="CD7" s="36">
        <v>0.33400000000000002</v>
      </c>
      <c r="CE7" s="20">
        <v>0.33800000000000002</v>
      </c>
      <c r="CF7" s="20">
        <v>0.34</v>
      </c>
      <c r="CG7" s="20">
        <v>0.33900000000000002</v>
      </c>
      <c r="CH7" s="36">
        <v>0.33500000000000002</v>
      </c>
      <c r="CI7" s="18">
        <v>4.8000000000000001E-2</v>
      </c>
      <c r="CJ7" s="18">
        <v>4.8000000000000001E-2</v>
      </c>
      <c r="CK7" s="18">
        <v>4.8000000000000001E-2</v>
      </c>
      <c r="CL7" s="18">
        <v>0.05</v>
      </c>
      <c r="CN7" s="679"/>
      <c r="CO7" s="81" t="s">
        <v>48</v>
      </c>
      <c r="CP7" s="121">
        <v>0.34899999999999998</v>
      </c>
      <c r="CQ7" s="121">
        <v>0.35</v>
      </c>
      <c r="CR7" s="121">
        <v>0.34899999999999998</v>
      </c>
      <c r="CS7" s="121">
        <v>0.35099999999999998</v>
      </c>
      <c r="CT7" s="121">
        <v>0.33900000000000002</v>
      </c>
      <c r="CU7" s="121">
        <v>0.34499999999999997</v>
      </c>
      <c r="CV7" s="18">
        <v>4.9000000000000002E-2</v>
      </c>
      <c r="CW7" s="18">
        <v>4.8000000000000001E-2</v>
      </c>
      <c r="CX7" s="18">
        <v>4.8000000000000001E-2</v>
      </c>
      <c r="CY7" s="18">
        <v>4.9000000000000002E-2</v>
      </c>
      <c r="CZ7" s="18">
        <v>4.8000000000000001E-2</v>
      </c>
      <c r="DA7" s="39">
        <v>4.8000000000000001E-2</v>
      </c>
      <c r="DC7" s="679"/>
      <c r="DD7" s="122" t="s">
        <v>48</v>
      </c>
      <c r="DE7" s="37">
        <v>0.188</v>
      </c>
      <c r="DF7" s="37">
        <v>0.186</v>
      </c>
      <c r="DG7" s="37">
        <v>0.187</v>
      </c>
      <c r="DH7" s="37">
        <v>0.189</v>
      </c>
      <c r="DI7" s="38">
        <v>0.17599999999999999</v>
      </c>
      <c r="DJ7" s="38">
        <v>0.17699999999999999</v>
      </c>
      <c r="DK7" s="37">
        <v>0.17799999999999999</v>
      </c>
      <c r="DL7" s="38">
        <v>0.17599999999999999</v>
      </c>
      <c r="DM7" s="18">
        <v>4.8000000000000001E-2</v>
      </c>
      <c r="DN7" s="18">
        <v>4.9000000000000002E-2</v>
      </c>
      <c r="DO7" s="18">
        <v>4.8000000000000001E-2</v>
      </c>
      <c r="DP7" s="39">
        <v>4.8000000000000001E-2</v>
      </c>
      <c r="DR7" s="679"/>
      <c r="DS7" s="81" t="s">
        <v>48</v>
      </c>
      <c r="DT7" s="20">
        <v>0.33800000000000002</v>
      </c>
      <c r="DU7" s="20">
        <v>0.33900000000000002</v>
      </c>
      <c r="DV7" s="36">
        <v>0.33600000000000002</v>
      </c>
      <c r="DW7" s="20">
        <v>0.33900000000000002</v>
      </c>
      <c r="DX7" s="20">
        <v>0.33900000000000002</v>
      </c>
      <c r="DY7" s="20">
        <v>0.33800000000000002</v>
      </c>
      <c r="DZ7" s="20">
        <v>0.34200000000000003</v>
      </c>
      <c r="EA7" s="36">
        <v>0.33600000000000002</v>
      </c>
      <c r="EB7" s="36">
        <v>0.33300000000000002</v>
      </c>
      <c r="EC7" s="36">
        <v>0.33500000000000002</v>
      </c>
      <c r="ED7" s="18">
        <v>4.8000000000000001E-2</v>
      </c>
      <c r="EE7" s="18">
        <v>4.9000000000000002E-2</v>
      </c>
      <c r="EG7" s="679"/>
      <c r="EH7" s="122" t="s">
        <v>48</v>
      </c>
      <c r="EI7" s="20">
        <v>0.33600000000000002</v>
      </c>
      <c r="EJ7" s="20">
        <v>0.33700000000000002</v>
      </c>
      <c r="EK7" s="20">
        <v>0.33600000000000002</v>
      </c>
      <c r="EL7" s="20">
        <v>0.33500000000000002</v>
      </c>
      <c r="EM7" s="18">
        <v>4.9000000000000002E-2</v>
      </c>
      <c r="EN7" s="18">
        <v>4.8000000000000001E-2</v>
      </c>
      <c r="EO7" s="18">
        <v>4.9000000000000002E-2</v>
      </c>
      <c r="EP7" s="18">
        <v>4.8000000000000001E-2</v>
      </c>
      <c r="EQ7" s="18">
        <v>0.05</v>
      </c>
      <c r="ER7" s="18">
        <v>4.8000000000000001E-2</v>
      </c>
      <c r="ES7" s="18">
        <v>4.8000000000000001E-2</v>
      </c>
      <c r="ET7" s="39">
        <v>5.0999999999999997E-2</v>
      </c>
      <c r="EV7" s="679"/>
      <c r="EW7" s="81" t="s">
        <v>48</v>
      </c>
      <c r="EX7" s="36">
        <v>0.32400000000000001</v>
      </c>
      <c r="EY7" s="36">
        <v>0.32600000000000001</v>
      </c>
      <c r="EZ7" s="36">
        <v>0.32200000000000001</v>
      </c>
      <c r="FA7" s="36">
        <v>0.32200000000000001</v>
      </c>
      <c r="FB7" s="36">
        <v>0.31900000000000001</v>
      </c>
      <c r="FC7" s="36">
        <v>0.32300000000000001</v>
      </c>
      <c r="FD7" s="36">
        <v>0.32600000000000001</v>
      </c>
      <c r="FE7" s="36">
        <v>0.31900000000000001</v>
      </c>
      <c r="FF7" s="18">
        <v>4.8000000000000001E-2</v>
      </c>
      <c r="FG7" s="18">
        <v>4.8000000000000001E-2</v>
      </c>
      <c r="FH7" s="18">
        <v>4.8000000000000001E-2</v>
      </c>
      <c r="FI7" s="18">
        <v>5.8000000000000003E-2</v>
      </c>
      <c r="FK7" s="679"/>
      <c r="FL7" s="122" t="s">
        <v>48</v>
      </c>
      <c r="FM7" s="36">
        <v>0.32700000000000001</v>
      </c>
      <c r="FN7" s="36">
        <v>0.33</v>
      </c>
      <c r="FO7" s="36">
        <v>0.33100000000000002</v>
      </c>
      <c r="FP7" s="36">
        <v>0.32700000000000001</v>
      </c>
      <c r="FQ7" s="18">
        <v>4.8000000000000001E-2</v>
      </c>
      <c r="FR7" s="18">
        <v>4.8000000000000001E-2</v>
      </c>
      <c r="FS7" s="18">
        <v>4.9000000000000002E-2</v>
      </c>
      <c r="FT7" s="18">
        <v>4.8000000000000001E-2</v>
      </c>
      <c r="FU7" s="18">
        <v>4.8000000000000001E-2</v>
      </c>
      <c r="FV7" s="18">
        <v>4.8000000000000001E-2</v>
      </c>
      <c r="FW7" s="18">
        <v>4.8000000000000001E-2</v>
      </c>
      <c r="FX7" s="39">
        <v>5.3999999999999999E-2</v>
      </c>
    </row>
    <row r="8" spans="1:180" x14ac:dyDescent="0.25">
      <c r="B8" s="647"/>
      <c r="C8" s="122" t="s">
        <v>49</v>
      </c>
      <c r="D8" s="38">
        <v>0.32200000000000001</v>
      </c>
      <c r="E8" s="38">
        <v>0.32200000000000001</v>
      </c>
      <c r="F8" s="38">
        <v>0.316</v>
      </c>
      <c r="G8" s="34">
        <v>0.30499999999999999</v>
      </c>
      <c r="H8" s="38">
        <v>0.32100000000000001</v>
      </c>
      <c r="I8" s="38">
        <v>0.318</v>
      </c>
      <c r="J8" s="18">
        <v>4.9000000000000002E-2</v>
      </c>
      <c r="K8" s="18">
        <v>4.8000000000000001E-2</v>
      </c>
      <c r="L8" s="18">
        <v>4.8000000000000001E-2</v>
      </c>
      <c r="M8" s="18">
        <v>4.8000000000000001E-2</v>
      </c>
      <c r="N8" s="18">
        <v>4.8000000000000001E-2</v>
      </c>
      <c r="O8" s="39">
        <v>4.8000000000000001E-2</v>
      </c>
      <c r="Q8" s="647"/>
      <c r="R8" s="81" t="s">
        <v>49</v>
      </c>
      <c r="S8" s="36">
        <v>0.33600000000000002</v>
      </c>
      <c r="T8" s="36">
        <v>0.34</v>
      </c>
      <c r="U8" s="20">
        <v>0.34300000000000003</v>
      </c>
      <c r="V8" s="20">
        <v>0.34399999999999997</v>
      </c>
      <c r="W8" s="20">
        <v>0.34699999999999998</v>
      </c>
      <c r="X8" s="20">
        <v>0.34499999999999997</v>
      </c>
      <c r="Y8" s="36">
        <v>0.34100000000000003</v>
      </c>
      <c r="Z8" s="36">
        <v>0.34</v>
      </c>
      <c r="AA8" s="18">
        <v>4.8000000000000001E-2</v>
      </c>
      <c r="AB8" s="18">
        <v>4.9000000000000002E-2</v>
      </c>
      <c r="AC8" s="18">
        <v>4.9000000000000002E-2</v>
      </c>
      <c r="AD8" s="18">
        <v>4.9000000000000002E-2</v>
      </c>
      <c r="AF8" s="679"/>
      <c r="AG8" s="122" t="s">
        <v>49</v>
      </c>
      <c r="AH8" s="18">
        <v>4.9000000000000002E-2</v>
      </c>
      <c r="AI8" s="18">
        <v>0.05</v>
      </c>
      <c r="AJ8" s="36">
        <v>0.35</v>
      </c>
      <c r="AK8" s="20">
        <v>0.35599999999999998</v>
      </c>
      <c r="AL8" s="18">
        <v>5.0999999999999997E-2</v>
      </c>
      <c r="AM8" s="18">
        <v>4.9000000000000002E-2</v>
      </c>
      <c r="AN8" s="18">
        <v>4.9000000000000002E-2</v>
      </c>
      <c r="AO8" s="18">
        <v>4.9000000000000002E-2</v>
      </c>
      <c r="AP8" s="18">
        <v>4.9000000000000002E-2</v>
      </c>
      <c r="AQ8" s="18">
        <v>4.9000000000000002E-2</v>
      </c>
      <c r="AR8" s="18">
        <v>0.05</v>
      </c>
      <c r="AS8" s="39">
        <v>0.05</v>
      </c>
      <c r="AU8" s="679"/>
      <c r="AV8" s="122" t="s">
        <v>49</v>
      </c>
      <c r="AW8" s="20">
        <v>0.34300000000000003</v>
      </c>
      <c r="AX8" s="36">
        <v>0.34</v>
      </c>
      <c r="AY8" s="18">
        <v>5.1999999999999998E-2</v>
      </c>
      <c r="AZ8" s="18">
        <v>4.8000000000000001E-2</v>
      </c>
      <c r="BA8" s="36">
        <v>0.33900000000000002</v>
      </c>
      <c r="BB8" s="36">
        <v>0.34</v>
      </c>
      <c r="BC8" s="18">
        <v>0.05</v>
      </c>
      <c r="BD8" s="18">
        <v>5.0999999999999997E-2</v>
      </c>
      <c r="BE8" s="18">
        <v>4.9000000000000002E-2</v>
      </c>
      <c r="BF8" s="18">
        <v>4.8000000000000001E-2</v>
      </c>
      <c r="BG8" s="18">
        <v>4.8000000000000001E-2</v>
      </c>
      <c r="BH8" s="39">
        <v>4.9000000000000002E-2</v>
      </c>
      <c r="BJ8" s="679"/>
      <c r="BK8" s="122" t="s">
        <v>49</v>
      </c>
      <c r="BL8" s="38">
        <v>0.34100000000000003</v>
      </c>
      <c r="BM8" s="38">
        <v>0.34200000000000003</v>
      </c>
      <c r="BN8" s="38">
        <v>0.34399999999999997</v>
      </c>
      <c r="BO8" s="38">
        <v>0.34200000000000003</v>
      </c>
      <c r="BP8" s="18">
        <v>4.8000000000000001E-2</v>
      </c>
      <c r="BQ8" s="18">
        <v>0.05</v>
      </c>
      <c r="BR8" s="18">
        <v>0.05</v>
      </c>
      <c r="BS8" s="18">
        <v>5.0999999999999997E-2</v>
      </c>
      <c r="BT8" s="18">
        <v>4.8000000000000001E-2</v>
      </c>
      <c r="BU8" s="18">
        <v>4.8000000000000001E-2</v>
      </c>
      <c r="BV8" s="18">
        <v>4.8000000000000001E-2</v>
      </c>
      <c r="BW8" s="39">
        <v>4.9000000000000002E-2</v>
      </c>
      <c r="BY8" s="679"/>
      <c r="BZ8" s="81" t="s">
        <v>49</v>
      </c>
      <c r="CA8" s="20">
        <v>0.34</v>
      </c>
      <c r="CB8" s="20">
        <v>0.33600000000000002</v>
      </c>
      <c r="CC8" s="20">
        <v>0.33700000000000002</v>
      </c>
      <c r="CD8" s="20">
        <v>0.33700000000000002</v>
      </c>
      <c r="CE8" s="20">
        <v>0.33900000000000002</v>
      </c>
      <c r="CF8" s="20">
        <v>0.34</v>
      </c>
      <c r="CG8" s="20">
        <v>0.33900000000000002</v>
      </c>
      <c r="CH8" s="20">
        <v>0.33900000000000002</v>
      </c>
      <c r="CI8" s="18">
        <v>4.9000000000000002E-2</v>
      </c>
      <c r="CJ8" s="18">
        <v>4.8000000000000001E-2</v>
      </c>
      <c r="CK8" s="18">
        <v>4.9000000000000002E-2</v>
      </c>
      <c r="CL8" s="18">
        <v>4.8000000000000001E-2</v>
      </c>
      <c r="CN8" s="679"/>
      <c r="CO8" s="81" t="s">
        <v>49</v>
      </c>
      <c r="CP8" s="121">
        <v>0.34100000000000003</v>
      </c>
      <c r="CQ8" s="121">
        <v>0.34699999999999998</v>
      </c>
      <c r="CR8" s="121">
        <v>0.34899999999999998</v>
      </c>
      <c r="CS8" s="121">
        <v>0.34599999999999997</v>
      </c>
      <c r="CT8" s="121">
        <v>0.35099999999999998</v>
      </c>
      <c r="CU8" s="20">
        <v>0.67400000000000004</v>
      </c>
      <c r="CV8" s="18">
        <v>4.7E-2</v>
      </c>
      <c r="CW8" s="18">
        <v>4.9000000000000002E-2</v>
      </c>
      <c r="CX8" s="18">
        <v>4.9000000000000002E-2</v>
      </c>
      <c r="CY8" s="18">
        <v>4.8000000000000001E-2</v>
      </c>
      <c r="CZ8" s="18">
        <v>4.9000000000000002E-2</v>
      </c>
      <c r="DA8" s="39">
        <v>4.9000000000000002E-2</v>
      </c>
      <c r="DC8" s="679"/>
      <c r="DD8" s="122" t="s">
        <v>49</v>
      </c>
      <c r="DE8" s="37">
        <v>0.187</v>
      </c>
      <c r="DF8" s="37">
        <v>0.189</v>
      </c>
      <c r="DG8" s="37">
        <v>0.187</v>
      </c>
      <c r="DH8" s="37">
        <v>0.188</v>
      </c>
      <c r="DI8" s="38">
        <v>0.17699999999999999</v>
      </c>
      <c r="DJ8" s="37">
        <v>0.17799999999999999</v>
      </c>
      <c r="DK8" s="37">
        <v>0.184</v>
      </c>
      <c r="DL8" s="37">
        <v>0.18099999999999999</v>
      </c>
      <c r="DM8" s="18">
        <v>4.9000000000000002E-2</v>
      </c>
      <c r="DN8" s="18">
        <v>4.8000000000000001E-2</v>
      </c>
      <c r="DO8" s="18">
        <v>4.8000000000000001E-2</v>
      </c>
      <c r="DP8" s="39">
        <v>4.8000000000000001E-2</v>
      </c>
      <c r="DR8" s="679"/>
      <c r="DS8" s="81" t="s">
        <v>49</v>
      </c>
      <c r="DT8" s="36">
        <v>0.33600000000000002</v>
      </c>
      <c r="DU8" s="20">
        <v>0.34</v>
      </c>
      <c r="DV8" s="20">
        <v>0.34</v>
      </c>
      <c r="DW8" s="20">
        <v>0.33700000000000002</v>
      </c>
      <c r="DX8" s="20">
        <v>0.33800000000000002</v>
      </c>
      <c r="DY8" s="20">
        <v>0.33800000000000002</v>
      </c>
      <c r="DZ8" s="20">
        <v>0.34</v>
      </c>
      <c r="EA8" s="20">
        <v>0.34</v>
      </c>
      <c r="EB8" s="36">
        <v>0.33300000000000002</v>
      </c>
      <c r="EC8" s="36">
        <v>0.33100000000000002</v>
      </c>
      <c r="ED8" s="18">
        <v>4.8000000000000001E-2</v>
      </c>
      <c r="EE8" s="18">
        <v>4.9000000000000002E-2</v>
      </c>
      <c r="EG8" s="679"/>
      <c r="EH8" s="122" t="s">
        <v>49</v>
      </c>
      <c r="EI8" s="36">
        <v>0.33500000000000002</v>
      </c>
      <c r="EJ8" s="20">
        <v>0.34399999999999997</v>
      </c>
      <c r="EK8" s="36">
        <v>0.33300000000000002</v>
      </c>
      <c r="EL8" s="36">
        <v>0.32900000000000001</v>
      </c>
      <c r="EM8" s="18">
        <v>4.9000000000000002E-2</v>
      </c>
      <c r="EN8" s="18">
        <v>4.8000000000000001E-2</v>
      </c>
      <c r="EO8" s="18">
        <v>0.05</v>
      </c>
      <c r="EP8" s="18">
        <v>0.05</v>
      </c>
      <c r="EQ8" s="18">
        <v>4.9000000000000002E-2</v>
      </c>
      <c r="ER8" s="18">
        <v>5.5E-2</v>
      </c>
      <c r="ES8" s="18">
        <v>5.3999999999999999E-2</v>
      </c>
      <c r="ET8" s="39">
        <v>5.3999999999999999E-2</v>
      </c>
      <c r="EV8" s="679"/>
      <c r="EW8" s="81" t="s">
        <v>49</v>
      </c>
      <c r="EX8" s="36">
        <v>0.32300000000000001</v>
      </c>
      <c r="EY8" s="20">
        <v>0.33300000000000002</v>
      </c>
      <c r="EZ8" s="36">
        <v>0.32600000000000001</v>
      </c>
      <c r="FA8" s="36">
        <v>0.32700000000000001</v>
      </c>
      <c r="FB8" s="36">
        <v>0.32300000000000001</v>
      </c>
      <c r="FC8" s="36">
        <v>0.32500000000000001</v>
      </c>
      <c r="FD8" s="36">
        <v>0.32600000000000001</v>
      </c>
      <c r="FE8" s="36">
        <v>0.32400000000000001</v>
      </c>
      <c r="FF8" s="18">
        <v>4.9000000000000002E-2</v>
      </c>
      <c r="FG8" s="18">
        <v>4.8000000000000001E-2</v>
      </c>
      <c r="FH8" s="18">
        <v>4.8000000000000001E-2</v>
      </c>
      <c r="FI8" s="18">
        <v>4.8000000000000001E-2</v>
      </c>
      <c r="FK8" s="679"/>
      <c r="FL8" s="122" t="s">
        <v>49</v>
      </c>
      <c r="FM8" s="36">
        <v>0.33400000000000002</v>
      </c>
      <c r="FN8" s="20">
        <v>0.33600000000000002</v>
      </c>
      <c r="FO8" s="20">
        <v>0.33700000000000002</v>
      </c>
      <c r="FP8" s="36">
        <v>0.33500000000000002</v>
      </c>
      <c r="FQ8" s="18">
        <v>4.9000000000000002E-2</v>
      </c>
      <c r="FR8" s="18">
        <v>4.9000000000000002E-2</v>
      </c>
      <c r="FS8" s="18">
        <v>4.9000000000000002E-2</v>
      </c>
      <c r="FT8" s="18">
        <v>5.0999999999999997E-2</v>
      </c>
      <c r="FU8" s="18">
        <v>4.8000000000000001E-2</v>
      </c>
      <c r="FV8" s="18">
        <v>4.8000000000000001E-2</v>
      </c>
      <c r="FW8" s="18">
        <v>4.8000000000000001E-2</v>
      </c>
      <c r="FX8" s="39">
        <v>4.9000000000000002E-2</v>
      </c>
    </row>
    <row r="9" spans="1:180" x14ac:dyDescent="0.25">
      <c r="B9" s="647"/>
      <c r="C9" s="122" t="s">
        <v>50</v>
      </c>
      <c r="D9" s="38">
        <v>0.311</v>
      </c>
      <c r="E9" s="38">
        <v>0.312</v>
      </c>
      <c r="F9" s="38">
        <v>0.313</v>
      </c>
      <c r="G9" s="38">
        <v>0.312</v>
      </c>
      <c r="H9" s="18">
        <v>0.05</v>
      </c>
      <c r="I9" s="18">
        <v>4.8000000000000001E-2</v>
      </c>
      <c r="J9" s="18">
        <v>4.8000000000000001E-2</v>
      </c>
      <c r="K9" s="18">
        <v>4.8000000000000001E-2</v>
      </c>
      <c r="L9" s="18">
        <v>4.8000000000000001E-2</v>
      </c>
      <c r="M9" s="18">
        <v>4.8000000000000001E-2</v>
      </c>
      <c r="N9" s="18">
        <v>5.6000000000000001E-2</v>
      </c>
      <c r="O9" s="39">
        <v>4.8000000000000001E-2</v>
      </c>
      <c r="Q9" s="647"/>
      <c r="R9" s="81" t="s">
        <v>50</v>
      </c>
      <c r="S9" s="36">
        <v>0.32900000000000001</v>
      </c>
      <c r="T9" s="36">
        <v>0.32600000000000001</v>
      </c>
      <c r="U9" s="36">
        <v>0.34100000000000003</v>
      </c>
      <c r="V9" s="36">
        <v>0.34100000000000003</v>
      </c>
      <c r="W9" s="20">
        <v>0.34399999999999997</v>
      </c>
      <c r="X9" s="20">
        <v>0.34399999999999997</v>
      </c>
      <c r="Y9" s="20">
        <v>0.34300000000000003</v>
      </c>
      <c r="Z9" s="20">
        <v>0.34300000000000003</v>
      </c>
      <c r="AA9" s="18">
        <v>0.05</v>
      </c>
      <c r="AB9" s="18">
        <v>5.2999999999999999E-2</v>
      </c>
      <c r="AC9" s="18">
        <v>4.9000000000000002E-2</v>
      </c>
      <c r="AD9" s="18">
        <v>4.9000000000000002E-2</v>
      </c>
      <c r="AF9" s="679"/>
      <c r="AG9" s="122" t="s">
        <v>50</v>
      </c>
      <c r="AH9" s="18">
        <v>5.1999999999999998E-2</v>
      </c>
      <c r="AI9" s="18">
        <v>4.9000000000000002E-2</v>
      </c>
      <c r="AJ9" s="36">
        <v>0.34300000000000003</v>
      </c>
      <c r="AK9" s="36">
        <v>0.33800000000000002</v>
      </c>
      <c r="AL9" s="18">
        <v>5.1999999999999998E-2</v>
      </c>
      <c r="AM9" s="18">
        <v>4.9000000000000002E-2</v>
      </c>
      <c r="AN9" s="18">
        <v>5.0999999999999997E-2</v>
      </c>
      <c r="AO9" s="18">
        <v>5.5E-2</v>
      </c>
      <c r="AP9" s="18">
        <v>0.05</v>
      </c>
      <c r="AQ9" s="18">
        <v>4.9000000000000002E-2</v>
      </c>
      <c r="AR9" s="18">
        <v>5.0999999999999997E-2</v>
      </c>
      <c r="AS9" s="39">
        <v>5.0999999999999997E-2</v>
      </c>
      <c r="AU9" s="679"/>
      <c r="AV9" s="122" t="s">
        <v>50</v>
      </c>
      <c r="AW9" s="20">
        <v>0.34899999999999998</v>
      </c>
      <c r="AX9" s="20">
        <v>0.34300000000000003</v>
      </c>
      <c r="AY9" s="18">
        <v>4.9000000000000002E-2</v>
      </c>
      <c r="AZ9" s="18">
        <v>4.9000000000000002E-2</v>
      </c>
      <c r="BA9" s="36">
        <v>0.34200000000000003</v>
      </c>
      <c r="BB9" s="36">
        <v>0.33700000000000002</v>
      </c>
      <c r="BC9" s="18">
        <v>4.8000000000000001E-2</v>
      </c>
      <c r="BD9" s="18">
        <v>4.8000000000000001E-2</v>
      </c>
      <c r="BE9" s="18">
        <v>4.8000000000000001E-2</v>
      </c>
      <c r="BF9" s="18">
        <v>4.9000000000000002E-2</v>
      </c>
      <c r="BG9" s="18">
        <v>4.9000000000000002E-2</v>
      </c>
      <c r="BH9" s="39">
        <v>4.9000000000000002E-2</v>
      </c>
      <c r="BJ9" s="679"/>
      <c r="BK9" s="122" t="s">
        <v>50</v>
      </c>
      <c r="BL9" s="18">
        <v>4.9000000000000002E-2</v>
      </c>
      <c r="BM9" s="18">
        <v>4.8000000000000001E-2</v>
      </c>
      <c r="BN9" s="34">
        <v>0.33700000000000002</v>
      </c>
      <c r="BO9" s="38">
        <v>0.34200000000000003</v>
      </c>
      <c r="BP9" s="18">
        <v>4.9000000000000002E-2</v>
      </c>
      <c r="BQ9" s="18">
        <v>4.9000000000000002E-2</v>
      </c>
      <c r="BR9" s="18">
        <v>4.9000000000000002E-2</v>
      </c>
      <c r="BS9" s="18">
        <v>4.9000000000000002E-2</v>
      </c>
      <c r="BT9" s="18">
        <v>4.8000000000000001E-2</v>
      </c>
      <c r="BU9" s="18">
        <v>4.8000000000000001E-2</v>
      </c>
      <c r="BV9" s="18">
        <v>4.9000000000000002E-2</v>
      </c>
      <c r="BW9" s="39">
        <v>4.9000000000000002E-2</v>
      </c>
      <c r="BY9" s="679"/>
      <c r="BZ9" s="81" t="s">
        <v>50</v>
      </c>
      <c r="CA9" s="36">
        <v>0.33500000000000002</v>
      </c>
      <c r="CB9" s="36">
        <v>0.33500000000000002</v>
      </c>
      <c r="CC9" s="20">
        <v>0.34100000000000003</v>
      </c>
      <c r="CD9" s="20">
        <v>0.35499999999999998</v>
      </c>
      <c r="CE9" s="36">
        <v>0.33600000000000002</v>
      </c>
      <c r="CF9" s="36">
        <v>0.33300000000000002</v>
      </c>
      <c r="CG9" s="20">
        <v>0.33700000000000002</v>
      </c>
      <c r="CH9" s="20">
        <v>0.33800000000000002</v>
      </c>
      <c r="CI9" s="18">
        <v>4.8000000000000001E-2</v>
      </c>
      <c r="CJ9" s="18">
        <v>4.8000000000000001E-2</v>
      </c>
      <c r="CK9" s="18">
        <v>0.05</v>
      </c>
      <c r="CL9" s="18">
        <v>4.8000000000000001E-2</v>
      </c>
      <c r="CN9" s="679"/>
      <c r="CO9" s="81" t="s">
        <v>50</v>
      </c>
      <c r="CP9" s="121">
        <v>0.34599999999999997</v>
      </c>
      <c r="CQ9" s="121">
        <v>0.34699999999999998</v>
      </c>
      <c r="CR9" s="121">
        <v>0.35099999999999998</v>
      </c>
      <c r="CS9" s="121">
        <v>0.34699999999999998</v>
      </c>
      <c r="CT9" s="18">
        <v>0.05</v>
      </c>
      <c r="CU9" s="18">
        <v>4.8000000000000001E-2</v>
      </c>
      <c r="CV9" s="18">
        <v>4.9000000000000002E-2</v>
      </c>
      <c r="CW9" s="18">
        <v>4.8000000000000001E-2</v>
      </c>
      <c r="CX9" s="18">
        <v>4.8000000000000001E-2</v>
      </c>
      <c r="CY9" s="18">
        <v>4.8000000000000001E-2</v>
      </c>
      <c r="CZ9" s="18">
        <v>4.8000000000000001E-2</v>
      </c>
      <c r="DA9" s="39">
        <v>4.8000000000000001E-2</v>
      </c>
      <c r="DC9" s="679"/>
      <c r="DD9" s="122" t="s">
        <v>50</v>
      </c>
      <c r="DE9" s="36">
        <v>0.19</v>
      </c>
      <c r="DF9" s="37">
        <v>0.187</v>
      </c>
      <c r="DG9" s="36">
        <v>0.19700000000000001</v>
      </c>
      <c r="DH9" s="37">
        <v>0.186</v>
      </c>
      <c r="DI9" s="37">
        <v>0.184</v>
      </c>
      <c r="DJ9" s="37">
        <v>0.182</v>
      </c>
      <c r="DK9" s="18">
        <v>4.9000000000000002E-2</v>
      </c>
      <c r="DL9" s="18">
        <v>4.8000000000000001E-2</v>
      </c>
      <c r="DM9" s="18">
        <v>4.8000000000000001E-2</v>
      </c>
      <c r="DN9" s="18">
        <v>4.8000000000000001E-2</v>
      </c>
      <c r="DO9" s="18">
        <v>4.8000000000000001E-2</v>
      </c>
      <c r="DP9" s="39">
        <v>4.8000000000000001E-2</v>
      </c>
      <c r="DR9" s="679"/>
      <c r="DS9" s="81" t="s">
        <v>50</v>
      </c>
      <c r="DT9" s="36">
        <v>0.33500000000000002</v>
      </c>
      <c r="DU9" s="36">
        <v>0.33500000000000002</v>
      </c>
      <c r="DV9" s="36">
        <v>0.33500000000000002</v>
      </c>
      <c r="DW9" s="36">
        <v>0.33700000000000002</v>
      </c>
      <c r="DX9" s="36">
        <v>0.33700000000000002</v>
      </c>
      <c r="DY9" s="36">
        <v>0.33600000000000002</v>
      </c>
      <c r="DZ9" s="20">
        <v>0.34200000000000003</v>
      </c>
      <c r="EA9" s="20">
        <v>0.34200000000000003</v>
      </c>
      <c r="EB9" s="36">
        <v>0.33300000000000002</v>
      </c>
      <c r="EC9" s="36">
        <v>0.33400000000000002</v>
      </c>
      <c r="ED9" s="18">
        <v>4.8000000000000001E-2</v>
      </c>
      <c r="EE9" s="18">
        <v>4.9000000000000002E-2</v>
      </c>
      <c r="EG9" s="679"/>
      <c r="EH9" s="122" t="s">
        <v>50</v>
      </c>
      <c r="EI9" s="20">
        <v>0.33700000000000002</v>
      </c>
      <c r="EJ9" s="20">
        <v>0.34499999999999997</v>
      </c>
      <c r="EK9" s="20">
        <v>0.33600000000000002</v>
      </c>
      <c r="EL9" s="20">
        <v>0.34300000000000003</v>
      </c>
      <c r="EM9" s="18">
        <v>4.8000000000000001E-2</v>
      </c>
      <c r="EN9" s="18">
        <v>5.0999999999999997E-2</v>
      </c>
      <c r="EO9" s="18">
        <v>5.0999999999999997E-2</v>
      </c>
      <c r="EP9" s="18">
        <v>0.05</v>
      </c>
      <c r="EQ9" s="18">
        <v>4.8000000000000001E-2</v>
      </c>
      <c r="ER9" s="18">
        <v>4.8000000000000001E-2</v>
      </c>
      <c r="ES9" s="18">
        <v>4.8000000000000001E-2</v>
      </c>
      <c r="ET9" s="39">
        <v>6.0999999999999999E-2</v>
      </c>
      <c r="EV9" s="679"/>
      <c r="EW9" s="81" t="s">
        <v>50</v>
      </c>
      <c r="EX9" s="36">
        <v>0.32800000000000001</v>
      </c>
      <c r="EY9" s="36">
        <v>0.33100000000000002</v>
      </c>
      <c r="EZ9" s="36">
        <v>0.32800000000000001</v>
      </c>
      <c r="FA9" s="36">
        <v>0.32800000000000001</v>
      </c>
      <c r="FB9" s="36">
        <v>0.32700000000000001</v>
      </c>
      <c r="FC9" s="36">
        <v>0.32700000000000001</v>
      </c>
      <c r="FD9" s="36">
        <v>0.33</v>
      </c>
      <c r="FE9" s="36">
        <v>0.32200000000000001</v>
      </c>
      <c r="FF9" s="18">
        <v>4.9000000000000002E-2</v>
      </c>
      <c r="FG9" s="18">
        <v>4.8000000000000001E-2</v>
      </c>
      <c r="FH9" s="18">
        <v>4.8000000000000001E-2</v>
      </c>
      <c r="FI9" s="18">
        <v>4.9000000000000002E-2</v>
      </c>
      <c r="FK9" s="679"/>
      <c r="FL9" s="122" t="s">
        <v>50</v>
      </c>
      <c r="FM9" s="36">
        <v>0.33300000000000002</v>
      </c>
      <c r="FN9" s="36">
        <v>0.33200000000000002</v>
      </c>
      <c r="FO9" s="20">
        <v>0.33800000000000002</v>
      </c>
      <c r="FP9" s="20">
        <v>0.33800000000000002</v>
      </c>
      <c r="FQ9" s="18">
        <v>0.05</v>
      </c>
      <c r="FR9" s="18">
        <v>4.9000000000000002E-2</v>
      </c>
      <c r="FS9" s="18">
        <v>4.9000000000000002E-2</v>
      </c>
      <c r="FT9" s="18">
        <v>4.9000000000000002E-2</v>
      </c>
      <c r="FU9" s="18">
        <v>0.06</v>
      </c>
      <c r="FV9" s="18">
        <v>4.9000000000000002E-2</v>
      </c>
      <c r="FW9" s="18">
        <v>4.8000000000000001E-2</v>
      </c>
      <c r="FX9" s="39">
        <v>5.8000000000000003E-2</v>
      </c>
    </row>
    <row r="10" spans="1:180" ht="15.75" thickBot="1" x14ac:dyDescent="0.3">
      <c r="B10" s="648"/>
      <c r="C10" s="123" t="s">
        <v>51</v>
      </c>
      <c r="D10" s="151">
        <v>0.32400000000000001</v>
      </c>
      <c r="E10" s="151">
        <v>0.315</v>
      </c>
      <c r="F10" s="40">
        <v>0.05</v>
      </c>
      <c r="G10" s="40">
        <v>4.8000000000000001E-2</v>
      </c>
      <c r="H10" s="40">
        <v>4.8000000000000001E-2</v>
      </c>
      <c r="I10" s="40">
        <v>4.8000000000000001E-2</v>
      </c>
      <c r="J10" s="40">
        <v>4.8000000000000001E-2</v>
      </c>
      <c r="K10" s="40">
        <v>4.9000000000000002E-2</v>
      </c>
      <c r="L10" s="40">
        <v>0.05</v>
      </c>
      <c r="M10" s="40">
        <v>4.8000000000000001E-2</v>
      </c>
      <c r="N10" s="40">
        <v>4.8000000000000001E-2</v>
      </c>
      <c r="O10" s="41">
        <v>4.8000000000000001E-2</v>
      </c>
      <c r="Q10" s="648"/>
      <c r="R10" s="81" t="s">
        <v>51</v>
      </c>
      <c r="S10" s="18">
        <v>5.0999999999999997E-2</v>
      </c>
      <c r="T10" s="18">
        <v>4.9000000000000002E-2</v>
      </c>
      <c r="U10" s="36">
        <v>0.33700000000000002</v>
      </c>
      <c r="V10" s="20">
        <v>0.34300000000000003</v>
      </c>
      <c r="W10" s="36">
        <v>0.33800000000000002</v>
      </c>
      <c r="X10" s="36">
        <v>0.34100000000000003</v>
      </c>
      <c r="Y10" s="36">
        <v>0.33500000000000002</v>
      </c>
      <c r="Z10" s="36">
        <v>0.33500000000000002</v>
      </c>
      <c r="AA10" s="18">
        <v>5.0999999999999997E-2</v>
      </c>
      <c r="AB10" s="18">
        <v>4.9000000000000002E-2</v>
      </c>
      <c r="AC10" s="18">
        <v>0.05</v>
      </c>
      <c r="AD10" s="18">
        <v>4.9000000000000002E-2</v>
      </c>
      <c r="AF10" s="673"/>
      <c r="AG10" s="123" t="s">
        <v>51</v>
      </c>
      <c r="AH10" s="40">
        <v>4.8000000000000001E-2</v>
      </c>
      <c r="AI10" s="40">
        <v>5.2999999999999999E-2</v>
      </c>
      <c r="AJ10" s="40">
        <v>4.9000000000000002E-2</v>
      </c>
      <c r="AK10" s="40">
        <v>4.9000000000000002E-2</v>
      </c>
      <c r="AL10" s="40">
        <v>4.9000000000000002E-2</v>
      </c>
      <c r="AM10" s="40">
        <v>0.05</v>
      </c>
      <c r="AN10" s="40">
        <v>0.05</v>
      </c>
      <c r="AO10" s="40">
        <v>5.0999999999999997E-2</v>
      </c>
      <c r="AP10" s="40">
        <v>5.3999999999999999E-2</v>
      </c>
      <c r="AQ10" s="40">
        <v>4.9000000000000002E-2</v>
      </c>
      <c r="AR10" s="40">
        <v>0.05</v>
      </c>
      <c r="AS10" s="41">
        <v>5.7000000000000002E-2</v>
      </c>
      <c r="AU10" s="673"/>
      <c r="AV10" s="123" t="s">
        <v>51</v>
      </c>
      <c r="AW10" s="40">
        <v>4.9000000000000002E-2</v>
      </c>
      <c r="AX10" s="40">
        <v>4.9000000000000002E-2</v>
      </c>
      <c r="AY10" s="40">
        <v>4.8000000000000001E-2</v>
      </c>
      <c r="AZ10" s="40">
        <v>4.8000000000000001E-2</v>
      </c>
      <c r="BA10" s="40">
        <v>4.8000000000000001E-2</v>
      </c>
      <c r="BB10" s="40">
        <v>4.8000000000000001E-2</v>
      </c>
      <c r="BC10" s="40">
        <v>4.9000000000000002E-2</v>
      </c>
      <c r="BD10" s="40">
        <v>4.8000000000000001E-2</v>
      </c>
      <c r="BE10" s="40">
        <v>4.8000000000000001E-2</v>
      </c>
      <c r="BF10" s="40">
        <v>4.9000000000000002E-2</v>
      </c>
      <c r="BG10" s="40">
        <v>4.9000000000000002E-2</v>
      </c>
      <c r="BH10" s="41">
        <v>4.8000000000000001E-2</v>
      </c>
      <c r="BJ10" s="673"/>
      <c r="BK10" s="123" t="s">
        <v>51</v>
      </c>
      <c r="BL10" s="40">
        <v>4.9000000000000002E-2</v>
      </c>
      <c r="BM10" s="40">
        <v>0.05</v>
      </c>
      <c r="BN10" s="40">
        <v>6.7000000000000004E-2</v>
      </c>
      <c r="BO10" s="40">
        <v>4.8000000000000001E-2</v>
      </c>
      <c r="BP10" s="40">
        <v>4.8000000000000001E-2</v>
      </c>
      <c r="BQ10" s="40">
        <v>4.9000000000000002E-2</v>
      </c>
      <c r="BR10" s="40">
        <v>4.9000000000000002E-2</v>
      </c>
      <c r="BS10" s="40">
        <v>4.8000000000000001E-2</v>
      </c>
      <c r="BT10" s="40">
        <v>4.9000000000000002E-2</v>
      </c>
      <c r="BU10" s="40">
        <v>0.05</v>
      </c>
      <c r="BV10" s="40">
        <v>4.9000000000000002E-2</v>
      </c>
      <c r="BW10" s="41">
        <v>4.9000000000000002E-2</v>
      </c>
      <c r="BY10" s="673"/>
      <c r="BZ10" s="81" t="s">
        <v>51</v>
      </c>
      <c r="CA10" s="18">
        <v>4.9000000000000002E-2</v>
      </c>
      <c r="CB10" s="18">
        <v>4.9000000000000002E-2</v>
      </c>
      <c r="CC10" s="18">
        <v>4.8000000000000001E-2</v>
      </c>
      <c r="CD10" s="18">
        <v>4.9000000000000002E-2</v>
      </c>
      <c r="CE10" s="18">
        <v>5.3999999999999999E-2</v>
      </c>
      <c r="CF10" s="18">
        <v>4.9000000000000002E-2</v>
      </c>
      <c r="CG10" s="18">
        <v>5.0999999999999997E-2</v>
      </c>
      <c r="CH10" s="18">
        <v>5.1999999999999998E-2</v>
      </c>
      <c r="CI10" s="18">
        <v>4.8000000000000001E-2</v>
      </c>
      <c r="CJ10" s="18">
        <v>5.0999999999999997E-2</v>
      </c>
      <c r="CK10" s="18">
        <v>4.8000000000000001E-2</v>
      </c>
      <c r="CL10" s="18">
        <v>5.0999999999999997E-2</v>
      </c>
      <c r="CN10" s="673"/>
      <c r="CO10" s="201" t="s">
        <v>51</v>
      </c>
      <c r="CP10" s="40">
        <v>4.9000000000000002E-2</v>
      </c>
      <c r="CQ10" s="40">
        <v>4.9000000000000002E-2</v>
      </c>
      <c r="CR10" s="351">
        <v>0.34100000000000003</v>
      </c>
      <c r="CS10" s="351">
        <v>0.34599999999999997</v>
      </c>
      <c r="CT10" s="40">
        <v>4.8000000000000001E-2</v>
      </c>
      <c r="CU10" s="40">
        <v>4.9000000000000002E-2</v>
      </c>
      <c r="CV10" s="40">
        <v>4.9000000000000002E-2</v>
      </c>
      <c r="CW10" s="40">
        <v>4.8000000000000001E-2</v>
      </c>
      <c r="CX10" s="40">
        <v>4.9000000000000002E-2</v>
      </c>
      <c r="CY10" s="40">
        <v>4.8000000000000001E-2</v>
      </c>
      <c r="CZ10" s="40">
        <v>4.8000000000000001E-2</v>
      </c>
      <c r="DA10" s="41">
        <v>4.8000000000000001E-2</v>
      </c>
      <c r="DC10" s="673"/>
      <c r="DD10" s="123" t="s">
        <v>51</v>
      </c>
      <c r="DE10" s="40">
        <v>5.0999999999999997E-2</v>
      </c>
      <c r="DF10" s="40">
        <v>4.9000000000000002E-2</v>
      </c>
      <c r="DG10" s="40">
        <v>4.8000000000000001E-2</v>
      </c>
      <c r="DH10" s="40">
        <v>4.8000000000000001E-2</v>
      </c>
      <c r="DI10" s="40">
        <v>4.8000000000000001E-2</v>
      </c>
      <c r="DJ10" s="40">
        <v>4.9000000000000002E-2</v>
      </c>
      <c r="DK10" s="40">
        <v>4.8000000000000001E-2</v>
      </c>
      <c r="DL10" s="40">
        <v>4.8000000000000001E-2</v>
      </c>
      <c r="DM10" s="40">
        <v>5.3999999999999999E-2</v>
      </c>
      <c r="DN10" s="40">
        <v>4.8000000000000001E-2</v>
      </c>
      <c r="DO10" s="40">
        <v>5.3999999999999999E-2</v>
      </c>
      <c r="DP10" s="41">
        <v>4.8000000000000001E-2</v>
      </c>
      <c r="DR10" s="673"/>
      <c r="DS10" s="81" t="s">
        <v>51</v>
      </c>
      <c r="DT10" s="20">
        <v>0.34300000000000003</v>
      </c>
      <c r="DU10" s="20">
        <v>0.34</v>
      </c>
      <c r="DV10" s="18">
        <v>4.8000000000000001E-2</v>
      </c>
      <c r="DW10" s="18">
        <v>4.8000000000000001E-2</v>
      </c>
      <c r="DX10" s="18">
        <v>4.9000000000000002E-2</v>
      </c>
      <c r="DY10" s="18">
        <v>0.05</v>
      </c>
      <c r="DZ10" s="18">
        <v>4.9000000000000002E-2</v>
      </c>
      <c r="EA10" s="18">
        <v>4.8000000000000001E-2</v>
      </c>
      <c r="EB10" s="18">
        <v>4.8000000000000001E-2</v>
      </c>
      <c r="EC10" s="18">
        <v>0.05</v>
      </c>
      <c r="ED10" s="18">
        <v>0.05</v>
      </c>
      <c r="EE10" s="18">
        <v>4.9000000000000002E-2</v>
      </c>
      <c r="EG10" s="673"/>
      <c r="EH10" s="123" t="s">
        <v>51</v>
      </c>
      <c r="EI10" s="40">
        <v>5.7000000000000002E-2</v>
      </c>
      <c r="EJ10" s="40">
        <v>5.0999999999999997E-2</v>
      </c>
      <c r="EK10" s="40">
        <v>5.5E-2</v>
      </c>
      <c r="EL10" s="40">
        <v>4.9000000000000002E-2</v>
      </c>
      <c r="EM10" s="40">
        <v>4.9000000000000002E-2</v>
      </c>
      <c r="EN10" s="40">
        <v>4.9000000000000002E-2</v>
      </c>
      <c r="EO10" s="40">
        <v>4.9000000000000002E-2</v>
      </c>
      <c r="EP10" s="40">
        <v>5.0999999999999997E-2</v>
      </c>
      <c r="EQ10" s="40">
        <v>5.0999999999999997E-2</v>
      </c>
      <c r="ER10" s="40">
        <v>4.8000000000000001E-2</v>
      </c>
      <c r="ES10" s="40">
        <v>5.5E-2</v>
      </c>
      <c r="ET10" s="41">
        <v>5.1999999999999998E-2</v>
      </c>
      <c r="EV10" s="673"/>
      <c r="EW10" s="81" t="s">
        <v>51</v>
      </c>
      <c r="EX10" s="18">
        <v>5.0999999999999997E-2</v>
      </c>
      <c r="EY10" s="18">
        <v>4.9000000000000002E-2</v>
      </c>
      <c r="EZ10" s="18">
        <v>4.9000000000000002E-2</v>
      </c>
      <c r="FA10" s="18">
        <v>5.2999999999999999E-2</v>
      </c>
      <c r="FB10" s="18">
        <v>4.8000000000000001E-2</v>
      </c>
      <c r="FC10" s="18">
        <v>5.3999999999999999E-2</v>
      </c>
      <c r="FD10" s="18">
        <v>0.05</v>
      </c>
      <c r="FE10" s="18">
        <v>4.9000000000000002E-2</v>
      </c>
      <c r="FF10" s="18">
        <v>4.9000000000000002E-2</v>
      </c>
      <c r="FG10" s="18">
        <v>4.9000000000000002E-2</v>
      </c>
      <c r="FH10" s="18">
        <v>0.05</v>
      </c>
      <c r="FI10" s="18">
        <v>4.9000000000000002E-2</v>
      </c>
      <c r="FK10" s="673"/>
      <c r="FL10" s="123" t="s">
        <v>51</v>
      </c>
      <c r="FM10" s="40">
        <v>5.0999999999999997E-2</v>
      </c>
      <c r="FN10" s="40">
        <v>4.9000000000000002E-2</v>
      </c>
      <c r="FO10" s="40">
        <v>4.8000000000000001E-2</v>
      </c>
      <c r="FP10" s="40">
        <v>4.8000000000000001E-2</v>
      </c>
      <c r="FQ10" s="40">
        <v>5.0999999999999997E-2</v>
      </c>
      <c r="FR10" s="40">
        <v>4.9000000000000002E-2</v>
      </c>
      <c r="FS10" s="40">
        <v>6.5000000000000002E-2</v>
      </c>
      <c r="FT10" s="40">
        <v>5.8000000000000003E-2</v>
      </c>
      <c r="FU10" s="40">
        <v>4.9000000000000002E-2</v>
      </c>
      <c r="FV10" s="40">
        <v>5.0999999999999997E-2</v>
      </c>
      <c r="FW10" s="40">
        <v>5.3999999999999999E-2</v>
      </c>
      <c r="FX10" s="41">
        <v>4.8000000000000001E-2</v>
      </c>
    </row>
    <row r="11" spans="1:180" x14ac:dyDescent="0.25">
      <c r="B11" s="649" t="s">
        <v>124</v>
      </c>
      <c r="C11" s="150"/>
      <c r="D11" s="132">
        <v>1</v>
      </c>
      <c r="E11" s="132">
        <v>2</v>
      </c>
      <c r="F11" s="132">
        <v>3</v>
      </c>
      <c r="G11" s="132">
        <v>4</v>
      </c>
      <c r="H11" s="132">
        <v>5</v>
      </c>
      <c r="I11" s="132">
        <v>6</v>
      </c>
      <c r="J11" s="132">
        <v>7</v>
      </c>
      <c r="K11" s="132">
        <v>8</v>
      </c>
      <c r="L11" s="132">
        <v>9</v>
      </c>
      <c r="M11" s="132">
        <v>10</v>
      </c>
      <c r="N11" s="132">
        <v>11</v>
      </c>
      <c r="O11" s="133">
        <v>12</v>
      </c>
      <c r="Q11" s="649" t="s">
        <v>124</v>
      </c>
      <c r="R11" s="211"/>
      <c r="S11" s="81">
        <v>1</v>
      </c>
      <c r="T11" s="81">
        <v>2</v>
      </c>
      <c r="U11" s="81">
        <v>3</v>
      </c>
      <c r="V11" s="81">
        <v>4</v>
      </c>
      <c r="W11" s="81">
        <v>5</v>
      </c>
      <c r="X11" s="81">
        <v>6</v>
      </c>
      <c r="Y11" s="81">
        <v>7</v>
      </c>
      <c r="Z11" s="81">
        <v>8</v>
      </c>
      <c r="AA11" s="81">
        <v>9</v>
      </c>
      <c r="AB11" s="81">
        <v>10</v>
      </c>
      <c r="AC11" s="81">
        <v>11</v>
      </c>
      <c r="AD11" s="81">
        <v>12</v>
      </c>
      <c r="AF11" s="672" t="s">
        <v>124</v>
      </c>
      <c r="AG11" s="150"/>
      <c r="AH11" s="132">
        <v>1</v>
      </c>
      <c r="AI11" s="132">
        <v>2</v>
      </c>
      <c r="AJ11" s="132">
        <v>3</v>
      </c>
      <c r="AK11" s="132">
        <v>4</v>
      </c>
      <c r="AL11" s="132">
        <v>5</v>
      </c>
      <c r="AM11" s="132">
        <v>6</v>
      </c>
      <c r="AN11" s="132">
        <v>7</v>
      </c>
      <c r="AO11" s="132">
        <v>8</v>
      </c>
      <c r="AP11" s="132">
        <v>9</v>
      </c>
      <c r="AQ11" s="132">
        <v>10</v>
      </c>
      <c r="AR11" s="132">
        <v>11</v>
      </c>
      <c r="AS11" s="133">
        <v>12</v>
      </c>
      <c r="AU11" s="672" t="s">
        <v>124</v>
      </c>
      <c r="AV11" s="150"/>
      <c r="AW11" s="132">
        <v>1</v>
      </c>
      <c r="AX11" s="132">
        <v>2</v>
      </c>
      <c r="AY11" s="132">
        <v>3</v>
      </c>
      <c r="AZ11" s="132">
        <v>4</v>
      </c>
      <c r="BA11" s="132">
        <v>5</v>
      </c>
      <c r="BB11" s="132">
        <v>6</v>
      </c>
      <c r="BC11" s="132">
        <v>7</v>
      </c>
      <c r="BD11" s="132">
        <v>8</v>
      </c>
      <c r="BE11" s="132">
        <v>9</v>
      </c>
      <c r="BF11" s="132">
        <v>10</v>
      </c>
      <c r="BG11" s="132">
        <v>11</v>
      </c>
      <c r="BH11" s="133">
        <v>12</v>
      </c>
      <c r="BJ11" s="672" t="s">
        <v>124</v>
      </c>
      <c r="BK11" s="150"/>
      <c r="BL11" s="132">
        <v>1</v>
      </c>
      <c r="BM11" s="132">
        <v>2</v>
      </c>
      <c r="BN11" s="132">
        <v>3</v>
      </c>
      <c r="BO11" s="132">
        <v>4</v>
      </c>
      <c r="BP11" s="132">
        <v>5</v>
      </c>
      <c r="BQ11" s="132">
        <v>6</v>
      </c>
      <c r="BR11" s="132">
        <v>7</v>
      </c>
      <c r="BS11" s="132">
        <v>8</v>
      </c>
      <c r="BT11" s="132">
        <v>9</v>
      </c>
      <c r="BU11" s="132">
        <v>10</v>
      </c>
      <c r="BV11" s="132">
        <v>11</v>
      </c>
      <c r="BW11" s="133">
        <v>12</v>
      </c>
      <c r="BY11" s="672" t="s">
        <v>124</v>
      </c>
      <c r="BZ11" s="211"/>
      <c r="CA11" s="81">
        <v>1</v>
      </c>
      <c r="CB11" s="81">
        <v>2</v>
      </c>
      <c r="CC11" s="81">
        <v>3</v>
      </c>
      <c r="CD11" s="81">
        <v>4</v>
      </c>
      <c r="CE11" s="81">
        <v>5</v>
      </c>
      <c r="CF11" s="81">
        <v>6</v>
      </c>
      <c r="CG11" s="81">
        <v>7</v>
      </c>
      <c r="CH11" s="81">
        <v>8</v>
      </c>
      <c r="CI11" s="81">
        <v>9</v>
      </c>
      <c r="CJ11" s="81">
        <v>10</v>
      </c>
      <c r="CK11" s="81">
        <v>11</v>
      </c>
      <c r="CL11" s="81">
        <v>12</v>
      </c>
      <c r="CN11" s="672" t="s">
        <v>124</v>
      </c>
      <c r="CO11" s="200"/>
      <c r="CP11" s="132">
        <v>1</v>
      </c>
      <c r="CQ11" s="132">
        <v>2</v>
      </c>
      <c r="CR11" s="132">
        <v>3</v>
      </c>
      <c r="CS11" s="132">
        <v>4</v>
      </c>
      <c r="CT11" s="132">
        <v>5</v>
      </c>
      <c r="CU11" s="132">
        <v>6</v>
      </c>
      <c r="CV11" s="132">
        <v>7</v>
      </c>
      <c r="CW11" s="132">
        <v>8</v>
      </c>
      <c r="CX11" s="132">
        <v>9</v>
      </c>
      <c r="CY11" s="132">
        <v>10</v>
      </c>
      <c r="CZ11" s="132">
        <v>11</v>
      </c>
      <c r="DA11" s="133">
        <v>12</v>
      </c>
      <c r="DC11" s="672" t="s">
        <v>124</v>
      </c>
      <c r="DD11" s="150"/>
      <c r="DE11" s="132">
        <v>1</v>
      </c>
      <c r="DF11" s="132">
        <v>2</v>
      </c>
      <c r="DG11" s="132">
        <v>3</v>
      </c>
      <c r="DH11" s="132">
        <v>4</v>
      </c>
      <c r="DI11" s="132">
        <v>5</v>
      </c>
      <c r="DJ11" s="132">
        <v>6</v>
      </c>
      <c r="DK11" s="132">
        <v>7</v>
      </c>
      <c r="DL11" s="132">
        <v>8</v>
      </c>
      <c r="DM11" s="132">
        <v>9</v>
      </c>
      <c r="DN11" s="132">
        <v>10</v>
      </c>
      <c r="DO11" s="132">
        <v>11</v>
      </c>
      <c r="DP11" s="133">
        <v>12</v>
      </c>
      <c r="DR11" s="672" t="s">
        <v>124</v>
      </c>
      <c r="DS11" s="211"/>
      <c r="DT11" s="81">
        <v>1</v>
      </c>
      <c r="DU11" s="81">
        <v>2</v>
      </c>
      <c r="DV11" s="81">
        <v>3</v>
      </c>
      <c r="DW11" s="81">
        <v>4</v>
      </c>
      <c r="DX11" s="81">
        <v>5</v>
      </c>
      <c r="DY11" s="81">
        <v>6</v>
      </c>
      <c r="DZ11" s="81">
        <v>7</v>
      </c>
      <c r="EA11" s="81">
        <v>8</v>
      </c>
      <c r="EB11" s="81">
        <v>9</v>
      </c>
      <c r="EC11" s="81">
        <v>10</v>
      </c>
      <c r="ED11" s="81">
        <v>11</v>
      </c>
      <c r="EE11" s="81">
        <v>12</v>
      </c>
      <c r="EG11" s="672" t="s">
        <v>124</v>
      </c>
      <c r="EH11" s="150"/>
      <c r="EI11" s="132">
        <v>1</v>
      </c>
      <c r="EJ11" s="132">
        <v>2</v>
      </c>
      <c r="EK11" s="132">
        <v>3</v>
      </c>
      <c r="EL11" s="132">
        <v>4</v>
      </c>
      <c r="EM11" s="132">
        <v>5</v>
      </c>
      <c r="EN11" s="132">
        <v>6</v>
      </c>
      <c r="EO11" s="132">
        <v>7</v>
      </c>
      <c r="EP11" s="132">
        <v>8</v>
      </c>
      <c r="EQ11" s="132">
        <v>9</v>
      </c>
      <c r="ER11" s="132">
        <v>10</v>
      </c>
      <c r="ES11" s="132">
        <v>11</v>
      </c>
      <c r="ET11" s="133">
        <v>12</v>
      </c>
      <c r="EV11" s="672" t="s">
        <v>124</v>
      </c>
      <c r="EW11" s="211"/>
      <c r="EX11" s="81">
        <v>1</v>
      </c>
      <c r="EY11" s="81">
        <v>2</v>
      </c>
      <c r="EZ11" s="81">
        <v>3</v>
      </c>
      <c r="FA11" s="81">
        <v>4</v>
      </c>
      <c r="FB11" s="81">
        <v>5</v>
      </c>
      <c r="FC11" s="81">
        <v>6</v>
      </c>
      <c r="FD11" s="81">
        <v>7</v>
      </c>
      <c r="FE11" s="81">
        <v>8</v>
      </c>
      <c r="FF11" s="81">
        <v>9</v>
      </c>
      <c r="FG11" s="81">
        <v>10</v>
      </c>
      <c r="FH11" s="81">
        <v>11</v>
      </c>
      <c r="FI11" s="81">
        <v>12</v>
      </c>
      <c r="FK11" s="672" t="s">
        <v>124</v>
      </c>
      <c r="FL11" s="150"/>
      <c r="FM11" s="132">
        <v>1</v>
      </c>
      <c r="FN11" s="132">
        <v>2</v>
      </c>
      <c r="FO11" s="132">
        <v>3</v>
      </c>
      <c r="FP11" s="132">
        <v>4</v>
      </c>
      <c r="FQ11" s="132">
        <v>5</v>
      </c>
      <c r="FR11" s="132">
        <v>6</v>
      </c>
      <c r="FS11" s="132">
        <v>7</v>
      </c>
      <c r="FT11" s="132">
        <v>8</v>
      </c>
      <c r="FU11" s="132">
        <v>9</v>
      </c>
      <c r="FV11" s="132">
        <v>10</v>
      </c>
      <c r="FW11" s="132">
        <v>11</v>
      </c>
      <c r="FX11" s="133">
        <v>12</v>
      </c>
    </row>
    <row r="12" spans="1:180" x14ac:dyDescent="0.25">
      <c r="B12" s="647"/>
      <c r="C12" s="122" t="s">
        <v>44</v>
      </c>
      <c r="D12" s="20">
        <v>0.92100000000000004</v>
      </c>
      <c r="E12" s="20">
        <v>0.90600000000000003</v>
      </c>
      <c r="F12" s="20">
        <v>0.90900000000000003</v>
      </c>
      <c r="G12" s="20">
        <v>0.89900000000000002</v>
      </c>
      <c r="H12" s="20">
        <v>0.88900000000000001</v>
      </c>
      <c r="I12" s="20">
        <v>0.876</v>
      </c>
      <c r="J12" s="20">
        <v>0.86699999999999999</v>
      </c>
      <c r="K12" s="20">
        <v>0.86099999999999999</v>
      </c>
      <c r="L12" s="36">
        <v>0.83599999999999997</v>
      </c>
      <c r="M12" s="36">
        <v>0.81799999999999995</v>
      </c>
      <c r="N12" s="18">
        <v>4.8000000000000001E-2</v>
      </c>
      <c r="O12" s="39">
        <v>4.7E-2</v>
      </c>
      <c r="Q12" s="647"/>
      <c r="R12" s="81" t="s">
        <v>44</v>
      </c>
      <c r="S12" s="20">
        <v>0.96499999999999997</v>
      </c>
      <c r="T12" s="20">
        <v>0.97199999999999998</v>
      </c>
      <c r="U12" s="37">
        <v>0.84499999999999997</v>
      </c>
      <c r="V12" s="20">
        <v>0.96399999999999997</v>
      </c>
      <c r="W12" s="20">
        <v>0.97699999999999998</v>
      </c>
      <c r="X12" s="20">
        <v>0.95</v>
      </c>
      <c r="Y12" s="20">
        <v>0.93300000000000005</v>
      </c>
      <c r="Z12" s="20">
        <v>0.92300000000000004</v>
      </c>
      <c r="AA12" s="36">
        <v>0.91100000000000003</v>
      </c>
      <c r="AB12" s="36">
        <v>0.89400000000000002</v>
      </c>
      <c r="AC12" s="18">
        <v>5.8999999999999997E-2</v>
      </c>
      <c r="AD12" s="18">
        <v>0.05</v>
      </c>
      <c r="AF12" s="679"/>
      <c r="AG12" s="122" t="s">
        <v>44</v>
      </c>
      <c r="AH12" s="20">
        <v>0.91900000000000004</v>
      </c>
      <c r="AI12" s="20">
        <v>0.96899999999999997</v>
      </c>
      <c r="AJ12" s="20">
        <v>0.95499999999999996</v>
      </c>
      <c r="AK12" s="20">
        <v>0.97199999999999998</v>
      </c>
      <c r="AL12" s="20">
        <v>0.95199999999999996</v>
      </c>
      <c r="AM12" s="20">
        <v>0.93400000000000005</v>
      </c>
      <c r="AN12" s="20">
        <v>0.93100000000000005</v>
      </c>
      <c r="AO12" s="20">
        <v>0.93100000000000005</v>
      </c>
      <c r="AP12" s="20">
        <v>0.91300000000000003</v>
      </c>
      <c r="AQ12" s="36">
        <v>0.88300000000000001</v>
      </c>
      <c r="AR12" s="18">
        <v>4.8000000000000001E-2</v>
      </c>
      <c r="AS12" s="39">
        <v>4.8000000000000001E-2</v>
      </c>
      <c r="AU12" s="679"/>
      <c r="AV12" s="122" t="s">
        <v>44</v>
      </c>
      <c r="AW12" s="20">
        <v>0.95799999999999996</v>
      </c>
      <c r="AX12" s="20">
        <v>0.96199999999999997</v>
      </c>
      <c r="AY12" s="20">
        <v>0.92500000000000004</v>
      </c>
      <c r="AZ12" s="20">
        <v>0.95</v>
      </c>
      <c r="BA12" s="20">
        <v>0.93400000000000005</v>
      </c>
      <c r="BB12" s="20">
        <v>0.93100000000000005</v>
      </c>
      <c r="BC12" s="20">
        <v>0.92600000000000005</v>
      </c>
      <c r="BD12" s="20">
        <v>0.91800000000000004</v>
      </c>
      <c r="BE12" s="20">
        <v>0.91100000000000003</v>
      </c>
      <c r="BF12" s="36">
        <v>0.88900000000000001</v>
      </c>
      <c r="BG12" s="18">
        <v>4.8000000000000001E-2</v>
      </c>
      <c r="BH12" s="39">
        <v>4.8000000000000001E-2</v>
      </c>
      <c r="BJ12" s="679"/>
      <c r="BK12" s="122" t="s">
        <v>44</v>
      </c>
      <c r="BL12" s="20">
        <v>0.95199999999999996</v>
      </c>
      <c r="BM12" s="36">
        <v>0.94499999999999995</v>
      </c>
      <c r="BN12" s="36">
        <v>0.93700000000000006</v>
      </c>
      <c r="BO12" s="36">
        <v>0.93</v>
      </c>
      <c r="BP12" s="36">
        <v>0.92600000000000005</v>
      </c>
      <c r="BQ12" s="36">
        <v>0.92500000000000004</v>
      </c>
      <c r="BR12" s="20">
        <v>1.018</v>
      </c>
      <c r="BS12" s="36">
        <v>0.90700000000000003</v>
      </c>
      <c r="BT12" s="36">
        <v>0.88200000000000001</v>
      </c>
      <c r="BU12" s="37">
        <v>0.87</v>
      </c>
      <c r="BV12" s="18">
        <v>4.8000000000000001E-2</v>
      </c>
      <c r="BW12" s="39">
        <v>4.9000000000000002E-2</v>
      </c>
      <c r="BY12" s="679"/>
      <c r="BZ12" s="81" t="s">
        <v>44</v>
      </c>
      <c r="CA12" s="20">
        <v>0.97699999999999998</v>
      </c>
      <c r="CB12" s="20">
        <v>0.97099999999999997</v>
      </c>
      <c r="CC12" s="20">
        <v>0.97599999999999998</v>
      </c>
      <c r="CD12" s="20">
        <v>0.96599999999999997</v>
      </c>
      <c r="CE12" s="20">
        <v>0.95</v>
      </c>
      <c r="CF12" s="20">
        <v>0.94099999999999995</v>
      </c>
      <c r="CG12" s="36">
        <v>0.93</v>
      </c>
      <c r="CH12" s="36">
        <v>0.91600000000000004</v>
      </c>
      <c r="CI12" s="36">
        <v>0.90500000000000003</v>
      </c>
      <c r="CJ12" s="36">
        <v>0.89300000000000002</v>
      </c>
      <c r="CK12" s="18">
        <v>4.7E-2</v>
      </c>
      <c r="CL12" s="18">
        <v>4.5999999999999999E-2</v>
      </c>
      <c r="CN12" s="679"/>
      <c r="CO12" s="81" t="s">
        <v>44</v>
      </c>
      <c r="CP12" s="37">
        <v>0.97199999999999998</v>
      </c>
      <c r="CQ12" s="37">
        <v>0.96499999999999997</v>
      </c>
      <c r="CR12" s="37">
        <v>0.95299999999999996</v>
      </c>
      <c r="CS12" s="37">
        <v>0.95299999999999996</v>
      </c>
      <c r="CT12" s="37">
        <v>0.95099999999999996</v>
      </c>
      <c r="CU12" s="37">
        <v>0.94199999999999995</v>
      </c>
      <c r="CV12" s="37">
        <v>0.92400000000000004</v>
      </c>
      <c r="CW12" s="37">
        <v>0.91700000000000004</v>
      </c>
      <c r="CX12" s="38">
        <v>0.90600000000000003</v>
      </c>
      <c r="CY12" s="38">
        <v>0.89</v>
      </c>
      <c r="CZ12" s="18">
        <v>4.5999999999999999E-2</v>
      </c>
      <c r="DA12" s="39">
        <v>4.5999999999999999E-2</v>
      </c>
      <c r="DC12" s="679"/>
      <c r="DD12" s="122" t="s">
        <v>44</v>
      </c>
      <c r="DE12" s="20">
        <v>0.502</v>
      </c>
      <c r="DF12" s="20">
        <v>0.51100000000000001</v>
      </c>
      <c r="DG12" s="20">
        <v>0.51300000000000001</v>
      </c>
      <c r="DH12" s="20">
        <v>0.49099999999999999</v>
      </c>
      <c r="DI12" s="20">
        <v>0.49099999999999999</v>
      </c>
      <c r="DJ12" s="36">
        <v>0.47399999999999998</v>
      </c>
      <c r="DK12" s="36">
        <v>0.46100000000000002</v>
      </c>
      <c r="DL12" s="37">
        <v>0.45200000000000001</v>
      </c>
      <c r="DM12" s="37">
        <v>0.435</v>
      </c>
      <c r="DN12" s="38">
        <v>0.42</v>
      </c>
      <c r="DO12" s="18">
        <v>4.7E-2</v>
      </c>
      <c r="DP12" s="39">
        <v>4.5999999999999999E-2</v>
      </c>
      <c r="DR12" s="679"/>
      <c r="DS12" s="81" t="s">
        <v>44</v>
      </c>
      <c r="DT12" s="36">
        <v>0.94599999999999995</v>
      </c>
      <c r="DU12" s="36">
        <v>0.94</v>
      </c>
      <c r="DV12" s="20">
        <v>0.94099999999999995</v>
      </c>
      <c r="DW12" s="36">
        <v>0.92900000000000005</v>
      </c>
      <c r="DX12" s="20">
        <v>0.91800000000000004</v>
      </c>
      <c r="DY12" s="20">
        <v>0.90800000000000003</v>
      </c>
      <c r="DZ12" s="20">
        <v>0.90100000000000002</v>
      </c>
      <c r="EA12" s="20">
        <v>0.89700000000000002</v>
      </c>
      <c r="EB12" s="20">
        <v>0.879</v>
      </c>
      <c r="EC12" s="20">
        <v>0.86199999999999999</v>
      </c>
      <c r="ED12" s="18">
        <v>4.8000000000000001E-2</v>
      </c>
      <c r="EE12" s="18">
        <v>4.8000000000000001E-2</v>
      </c>
      <c r="EG12" s="679"/>
      <c r="EH12" s="122" t="s">
        <v>44</v>
      </c>
      <c r="EI12" s="20">
        <v>0.94799999999999995</v>
      </c>
      <c r="EJ12" s="20">
        <v>0.94</v>
      </c>
      <c r="EK12" s="20">
        <v>0.93200000000000005</v>
      </c>
      <c r="EL12" s="20">
        <v>0.93200000000000005</v>
      </c>
      <c r="EM12" s="20">
        <v>0.91500000000000004</v>
      </c>
      <c r="EN12" s="20">
        <v>0.90900000000000003</v>
      </c>
      <c r="EO12" s="20">
        <v>0.89900000000000002</v>
      </c>
      <c r="EP12" s="20">
        <v>0.88500000000000001</v>
      </c>
      <c r="EQ12" s="36">
        <v>0.86899999999999999</v>
      </c>
      <c r="ER12" s="36">
        <v>0.85699999999999998</v>
      </c>
      <c r="ES12" s="18">
        <v>5.0999999999999997E-2</v>
      </c>
      <c r="ET12" s="39">
        <v>4.9000000000000002E-2</v>
      </c>
      <c r="EV12" s="679"/>
      <c r="EW12" s="81" t="s">
        <v>44</v>
      </c>
      <c r="EX12" s="20">
        <v>0.94199999999999995</v>
      </c>
      <c r="EY12" s="20">
        <v>0.95299999999999996</v>
      </c>
      <c r="EZ12" s="20">
        <v>0.94099999999999995</v>
      </c>
      <c r="FA12" s="20">
        <v>0.93899999999999995</v>
      </c>
      <c r="FB12" s="20">
        <v>0.91200000000000003</v>
      </c>
      <c r="FC12" s="20">
        <v>0.90700000000000003</v>
      </c>
      <c r="FD12" s="20">
        <v>0.90200000000000002</v>
      </c>
      <c r="FE12" s="36">
        <v>0.871</v>
      </c>
      <c r="FF12" s="36">
        <v>0.86299999999999999</v>
      </c>
      <c r="FG12" s="36">
        <v>0.84899999999999998</v>
      </c>
      <c r="FH12" s="18">
        <v>4.8000000000000001E-2</v>
      </c>
      <c r="FI12" s="18">
        <v>4.8000000000000001E-2</v>
      </c>
      <c r="FK12" s="679"/>
      <c r="FL12" s="122" t="s">
        <v>44</v>
      </c>
      <c r="FM12" s="20">
        <v>0.95699999999999996</v>
      </c>
      <c r="FN12" s="20">
        <v>0.95299999999999996</v>
      </c>
      <c r="FO12" s="20">
        <v>0.95</v>
      </c>
      <c r="FP12" s="20">
        <v>0.93899999999999995</v>
      </c>
      <c r="FQ12" s="20">
        <v>0.92800000000000005</v>
      </c>
      <c r="FR12" s="20">
        <v>0.92</v>
      </c>
      <c r="FS12" s="20">
        <v>0.91300000000000003</v>
      </c>
      <c r="FT12" s="20">
        <v>0.90500000000000003</v>
      </c>
      <c r="FU12" s="36">
        <v>0.88800000000000001</v>
      </c>
      <c r="FV12" s="36">
        <v>0.86599999999999999</v>
      </c>
      <c r="FW12" s="18">
        <v>4.7E-2</v>
      </c>
      <c r="FX12" s="39">
        <v>5.2999999999999999E-2</v>
      </c>
    </row>
    <row r="13" spans="1:180" x14ac:dyDescent="0.25">
      <c r="B13" s="647"/>
      <c r="C13" s="122" t="s">
        <v>45</v>
      </c>
      <c r="D13" s="20">
        <v>0.89</v>
      </c>
      <c r="E13" s="20">
        <v>0.91500000000000004</v>
      </c>
      <c r="F13" s="20">
        <v>0.90600000000000003</v>
      </c>
      <c r="G13" s="20">
        <v>0.89200000000000002</v>
      </c>
      <c r="H13" s="20">
        <v>0.877</v>
      </c>
      <c r="I13" s="20">
        <v>0.88100000000000001</v>
      </c>
      <c r="J13" s="20">
        <v>0.86099999999999999</v>
      </c>
      <c r="K13" s="20">
        <v>0.87</v>
      </c>
      <c r="L13" s="36">
        <v>0.83599999999999997</v>
      </c>
      <c r="M13" s="36">
        <v>0.82199999999999995</v>
      </c>
      <c r="N13" s="18">
        <v>4.7E-2</v>
      </c>
      <c r="O13" s="39">
        <v>4.8000000000000001E-2</v>
      </c>
      <c r="Q13" s="647"/>
      <c r="R13" s="81" t="s">
        <v>45</v>
      </c>
      <c r="S13" s="20">
        <v>0.96399999999999997</v>
      </c>
      <c r="T13" s="20">
        <v>0.96899999999999997</v>
      </c>
      <c r="U13" s="37">
        <v>0.82099999999999995</v>
      </c>
      <c r="V13" s="20">
        <v>0.98399999999999999</v>
      </c>
      <c r="W13" s="20">
        <v>0.93700000000000006</v>
      </c>
      <c r="X13" s="20">
        <v>0.93300000000000005</v>
      </c>
      <c r="Y13" s="20">
        <v>0.91900000000000004</v>
      </c>
      <c r="Z13" s="36">
        <v>0.91600000000000004</v>
      </c>
      <c r="AA13" s="36">
        <v>0.89900000000000002</v>
      </c>
      <c r="AB13" s="36">
        <v>0.879</v>
      </c>
      <c r="AC13" s="18">
        <v>4.8000000000000001E-2</v>
      </c>
      <c r="AD13" s="18">
        <v>4.8000000000000001E-2</v>
      </c>
      <c r="AF13" s="679"/>
      <c r="AG13" s="122" t="s">
        <v>45</v>
      </c>
      <c r="AH13" s="20">
        <v>0.96199999999999997</v>
      </c>
      <c r="AI13" s="20">
        <v>0.95899999999999996</v>
      </c>
      <c r="AJ13" s="20">
        <v>0.95799999999999996</v>
      </c>
      <c r="AK13" s="20">
        <v>0.96699999999999997</v>
      </c>
      <c r="AL13" s="20">
        <v>0.94299999999999995</v>
      </c>
      <c r="AM13" s="20">
        <v>0.93300000000000005</v>
      </c>
      <c r="AN13" s="20">
        <v>0.92400000000000004</v>
      </c>
      <c r="AO13" s="20">
        <v>0.91700000000000004</v>
      </c>
      <c r="AP13" s="36">
        <v>0.9</v>
      </c>
      <c r="AQ13" s="36">
        <v>0.88100000000000001</v>
      </c>
      <c r="AR13" s="18">
        <v>4.9000000000000002E-2</v>
      </c>
      <c r="AS13" s="39">
        <v>4.8000000000000001E-2</v>
      </c>
      <c r="AU13" s="679"/>
      <c r="AV13" s="122" t="s">
        <v>45</v>
      </c>
      <c r="AW13" s="20">
        <v>0.95299999999999996</v>
      </c>
      <c r="AX13" s="20">
        <v>0.95499999999999996</v>
      </c>
      <c r="AY13" s="20">
        <v>0.94699999999999995</v>
      </c>
      <c r="AZ13" s="20">
        <v>0.94099999999999995</v>
      </c>
      <c r="BA13" s="20">
        <v>0.93899999999999995</v>
      </c>
      <c r="BB13" s="20">
        <v>0.92900000000000005</v>
      </c>
      <c r="BC13" s="20">
        <v>0.92400000000000004</v>
      </c>
      <c r="BD13" s="20">
        <v>0.91200000000000003</v>
      </c>
      <c r="BE13" s="20">
        <v>0.90400000000000003</v>
      </c>
      <c r="BF13" s="36">
        <v>0.88300000000000001</v>
      </c>
      <c r="BG13" s="18">
        <v>4.9000000000000002E-2</v>
      </c>
      <c r="BH13" s="39">
        <v>4.8000000000000001E-2</v>
      </c>
      <c r="BJ13" s="679"/>
      <c r="BK13" s="122" t="s">
        <v>45</v>
      </c>
      <c r="BL13" s="37">
        <v>0.83299999999999996</v>
      </c>
      <c r="BM13" s="37">
        <v>0.83</v>
      </c>
      <c r="BN13" s="37">
        <v>0.83099999999999996</v>
      </c>
      <c r="BO13" s="37">
        <v>0.82</v>
      </c>
      <c r="BP13" s="38">
        <v>0.80800000000000005</v>
      </c>
      <c r="BQ13" s="38">
        <v>0.80700000000000005</v>
      </c>
      <c r="BR13" s="38">
        <v>0.79300000000000004</v>
      </c>
      <c r="BS13" s="38">
        <v>0.78600000000000003</v>
      </c>
      <c r="BT13" s="38">
        <v>0.76800000000000002</v>
      </c>
      <c r="BU13" s="38">
        <v>0.75</v>
      </c>
      <c r="BV13" s="18">
        <v>4.8000000000000001E-2</v>
      </c>
      <c r="BW13" s="39">
        <v>4.8000000000000001E-2</v>
      </c>
      <c r="BY13" s="679"/>
      <c r="BZ13" s="81" t="s">
        <v>45</v>
      </c>
      <c r="CA13" s="20">
        <v>0.996</v>
      </c>
      <c r="CB13" s="20">
        <v>1</v>
      </c>
      <c r="CC13" s="20">
        <v>0.97699999999999998</v>
      </c>
      <c r="CD13" s="20">
        <v>0.96</v>
      </c>
      <c r="CE13" s="20">
        <v>0.95</v>
      </c>
      <c r="CF13" s="20">
        <v>0.94199999999999995</v>
      </c>
      <c r="CG13" s="20">
        <v>0.93600000000000005</v>
      </c>
      <c r="CH13" s="36">
        <v>0.91900000000000004</v>
      </c>
      <c r="CI13" s="36">
        <v>0.90700000000000003</v>
      </c>
      <c r="CJ13" s="36">
        <v>0.89400000000000002</v>
      </c>
      <c r="CK13" s="18">
        <v>4.9000000000000002E-2</v>
      </c>
      <c r="CL13" s="18">
        <v>4.7E-2</v>
      </c>
      <c r="CN13" s="679"/>
      <c r="CO13" s="81" t="s">
        <v>45</v>
      </c>
      <c r="CP13" s="37">
        <v>0.97199999999999998</v>
      </c>
      <c r="CQ13" s="37">
        <v>0.98</v>
      </c>
      <c r="CR13" s="38">
        <v>0.89100000000000001</v>
      </c>
      <c r="CS13" s="37">
        <v>0.95399999999999996</v>
      </c>
      <c r="CT13" s="37">
        <v>0.94099999999999995</v>
      </c>
      <c r="CU13" s="37">
        <v>0.94</v>
      </c>
      <c r="CV13" s="37">
        <v>0.93400000000000005</v>
      </c>
      <c r="CW13" s="37">
        <v>0.91700000000000004</v>
      </c>
      <c r="CX13" s="38">
        <v>0.90300000000000002</v>
      </c>
      <c r="CY13" s="38">
        <v>0.89300000000000002</v>
      </c>
      <c r="CZ13" s="18">
        <v>4.8000000000000001E-2</v>
      </c>
      <c r="DA13" s="39">
        <v>4.7E-2</v>
      </c>
      <c r="DC13" s="679"/>
      <c r="DD13" s="122" t="s">
        <v>45</v>
      </c>
      <c r="DE13" s="20">
        <v>0.52</v>
      </c>
      <c r="DF13" s="20">
        <v>0.52300000000000002</v>
      </c>
      <c r="DG13" s="20">
        <v>0.52</v>
      </c>
      <c r="DH13" s="20">
        <v>0.50700000000000001</v>
      </c>
      <c r="DI13" s="20">
        <v>0.49199999999999999</v>
      </c>
      <c r="DJ13" s="36">
        <v>0.48899999999999999</v>
      </c>
      <c r="DK13" s="36">
        <v>0.47199999999999998</v>
      </c>
      <c r="DL13" s="36">
        <v>0.45600000000000002</v>
      </c>
      <c r="DM13" s="37">
        <v>0.44800000000000001</v>
      </c>
      <c r="DN13" s="37">
        <v>0.42899999999999999</v>
      </c>
      <c r="DO13" s="18">
        <v>4.7E-2</v>
      </c>
      <c r="DP13" s="39">
        <v>4.7E-2</v>
      </c>
      <c r="DR13" s="679"/>
      <c r="DS13" s="81" t="s">
        <v>45</v>
      </c>
      <c r="DT13" s="36">
        <v>0.94599999999999995</v>
      </c>
      <c r="DU13" s="20">
        <v>0.95</v>
      </c>
      <c r="DV13" s="20">
        <v>0.94399999999999995</v>
      </c>
      <c r="DW13" s="20">
        <v>0.93500000000000005</v>
      </c>
      <c r="DX13" s="20">
        <v>0.92100000000000004</v>
      </c>
      <c r="DY13" s="20">
        <v>0.91500000000000004</v>
      </c>
      <c r="DZ13" s="20">
        <v>0.90700000000000003</v>
      </c>
      <c r="EA13" s="20">
        <v>0.89100000000000001</v>
      </c>
      <c r="EB13" s="20">
        <v>0.88600000000000001</v>
      </c>
      <c r="EC13" s="20">
        <v>0.86299999999999999</v>
      </c>
      <c r="ED13" s="18">
        <v>4.8000000000000001E-2</v>
      </c>
      <c r="EE13" s="18">
        <v>4.8000000000000001E-2</v>
      </c>
      <c r="EG13" s="679"/>
      <c r="EH13" s="122" t="s">
        <v>45</v>
      </c>
      <c r="EI13" s="20">
        <v>0.94299999999999995</v>
      </c>
      <c r="EJ13" s="20">
        <v>0.94599999999999995</v>
      </c>
      <c r="EK13" s="20">
        <v>0.94599999999999995</v>
      </c>
      <c r="EL13" s="20">
        <v>0.92200000000000004</v>
      </c>
      <c r="EM13" s="20">
        <v>0.91300000000000003</v>
      </c>
      <c r="EN13" s="20">
        <v>0.90900000000000003</v>
      </c>
      <c r="EO13" s="20">
        <v>0.90600000000000003</v>
      </c>
      <c r="EP13" s="20">
        <v>0.88800000000000001</v>
      </c>
      <c r="EQ13" s="36">
        <v>0.877</v>
      </c>
      <c r="ER13" s="36">
        <v>0.86</v>
      </c>
      <c r="ES13" s="18">
        <v>4.8000000000000001E-2</v>
      </c>
      <c r="ET13" s="39">
        <v>4.9000000000000002E-2</v>
      </c>
      <c r="EV13" s="679"/>
      <c r="EW13" s="81" t="s">
        <v>45</v>
      </c>
      <c r="EX13" s="20">
        <v>0.94099999999999995</v>
      </c>
      <c r="EY13" s="20">
        <v>0.93200000000000005</v>
      </c>
      <c r="EZ13" s="20">
        <v>0.93500000000000005</v>
      </c>
      <c r="FA13" s="20">
        <v>0.92600000000000005</v>
      </c>
      <c r="FB13" s="20">
        <v>0.91500000000000004</v>
      </c>
      <c r="FC13" s="20">
        <v>0.9</v>
      </c>
      <c r="FD13" s="36">
        <v>0.88500000000000001</v>
      </c>
      <c r="FE13" s="36">
        <v>0.86299999999999999</v>
      </c>
      <c r="FF13" s="37">
        <v>0.80300000000000005</v>
      </c>
      <c r="FG13" s="36">
        <v>0.84599999999999997</v>
      </c>
      <c r="FH13" s="18">
        <v>4.8000000000000001E-2</v>
      </c>
      <c r="FI13" s="18">
        <v>4.8000000000000001E-2</v>
      </c>
      <c r="FK13" s="679"/>
      <c r="FL13" s="122" t="s">
        <v>45</v>
      </c>
      <c r="FM13" s="20">
        <v>0.95399999999999996</v>
      </c>
      <c r="FN13" s="20">
        <v>0.95499999999999996</v>
      </c>
      <c r="FO13" s="20">
        <v>0.94899999999999995</v>
      </c>
      <c r="FP13" s="20">
        <v>0.94799999999999995</v>
      </c>
      <c r="FQ13" s="20">
        <v>0.93300000000000005</v>
      </c>
      <c r="FR13" s="20">
        <v>0.92600000000000005</v>
      </c>
      <c r="FS13" s="20">
        <v>0.91500000000000004</v>
      </c>
      <c r="FT13" s="20">
        <v>0.90100000000000002</v>
      </c>
      <c r="FU13" s="36">
        <v>0.89100000000000001</v>
      </c>
      <c r="FV13" s="36">
        <v>0.86399999999999999</v>
      </c>
      <c r="FW13" s="18">
        <v>4.8000000000000001E-2</v>
      </c>
      <c r="FX13" s="39">
        <v>4.8000000000000001E-2</v>
      </c>
    </row>
    <row r="14" spans="1:180" x14ac:dyDescent="0.25">
      <c r="B14" s="647"/>
      <c r="C14" s="122" t="s">
        <v>46</v>
      </c>
      <c r="D14" s="36">
        <v>0.85699999999999998</v>
      </c>
      <c r="E14" s="36">
        <v>0.84499999999999997</v>
      </c>
      <c r="F14" s="36">
        <v>0.85599999999999998</v>
      </c>
      <c r="G14" s="36">
        <v>0.84599999999999997</v>
      </c>
      <c r="H14" s="36">
        <v>0.84299999999999997</v>
      </c>
      <c r="I14" s="36">
        <v>0.84499999999999997</v>
      </c>
      <c r="J14" s="18">
        <v>4.7E-2</v>
      </c>
      <c r="K14" s="18">
        <v>4.7E-2</v>
      </c>
      <c r="L14" s="18">
        <v>4.7E-2</v>
      </c>
      <c r="M14" s="18">
        <v>4.8000000000000001E-2</v>
      </c>
      <c r="N14" s="18">
        <v>4.7E-2</v>
      </c>
      <c r="O14" s="39">
        <v>4.7E-2</v>
      </c>
      <c r="Q14" s="647"/>
      <c r="R14" s="81" t="s">
        <v>46</v>
      </c>
      <c r="S14" s="20">
        <v>0.92500000000000004</v>
      </c>
      <c r="T14" s="20">
        <v>0.92900000000000005</v>
      </c>
      <c r="U14" s="20">
        <v>0.92200000000000004</v>
      </c>
      <c r="V14" s="20">
        <v>0.91900000000000004</v>
      </c>
      <c r="W14" s="36">
        <v>0.91100000000000003</v>
      </c>
      <c r="X14" s="36">
        <v>0.91600000000000004</v>
      </c>
      <c r="Y14" s="36">
        <v>0.91200000000000003</v>
      </c>
      <c r="Z14" s="20">
        <v>0.93400000000000005</v>
      </c>
      <c r="AA14" s="18">
        <v>4.8000000000000001E-2</v>
      </c>
      <c r="AB14" s="18">
        <v>4.8000000000000001E-2</v>
      </c>
      <c r="AC14" s="18">
        <v>4.9000000000000002E-2</v>
      </c>
      <c r="AD14" s="18">
        <v>0.05</v>
      </c>
      <c r="AF14" s="679"/>
      <c r="AG14" s="122" t="s">
        <v>46</v>
      </c>
      <c r="AH14" s="20">
        <v>0.90900000000000003</v>
      </c>
      <c r="AI14" s="20">
        <v>0.90900000000000003</v>
      </c>
      <c r="AJ14" s="20">
        <v>0.91600000000000004</v>
      </c>
      <c r="AK14" s="20">
        <v>0.92100000000000004</v>
      </c>
      <c r="AL14" s="18">
        <v>4.8000000000000001E-2</v>
      </c>
      <c r="AM14" s="18">
        <v>4.9000000000000002E-2</v>
      </c>
      <c r="AN14" s="18">
        <v>4.8000000000000001E-2</v>
      </c>
      <c r="AO14" s="18">
        <v>4.8000000000000001E-2</v>
      </c>
      <c r="AP14" s="18">
        <v>4.8000000000000001E-2</v>
      </c>
      <c r="AQ14" s="18">
        <v>0.05</v>
      </c>
      <c r="AR14" s="18">
        <v>4.8000000000000001E-2</v>
      </c>
      <c r="AS14" s="39">
        <v>4.8000000000000001E-2</v>
      </c>
      <c r="AU14" s="679"/>
      <c r="AV14" s="122" t="s">
        <v>46</v>
      </c>
      <c r="AW14" s="36">
        <v>0.89600000000000002</v>
      </c>
      <c r="AX14" s="20">
        <v>0.9</v>
      </c>
      <c r="AY14" s="20">
        <v>0.91700000000000004</v>
      </c>
      <c r="AZ14" s="20">
        <v>0.92300000000000004</v>
      </c>
      <c r="BA14" s="20">
        <v>0.91500000000000004</v>
      </c>
      <c r="BB14" s="20">
        <v>0.92300000000000004</v>
      </c>
      <c r="BC14" s="18">
        <v>4.8000000000000001E-2</v>
      </c>
      <c r="BD14" s="18">
        <v>4.9000000000000002E-2</v>
      </c>
      <c r="BE14" s="18">
        <v>4.8000000000000001E-2</v>
      </c>
      <c r="BF14" s="18">
        <v>4.8000000000000001E-2</v>
      </c>
      <c r="BG14" s="18">
        <v>4.8000000000000001E-2</v>
      </c>
      <c r="BH14" s="39">
        <v>4.8000000000000001E-2</v>
      </c>
      <c r="BJ14" s="679"/>
      <c r="BK14" s="122" t="s">
        <v>46</v>
      </c>
      <c r="BL14" s="36">
        <v>0.88900000000000001</v>
      </c>
      <c r="BM14" s="36">
        <v>0.89800000000000002</v>
      </c>
      <c r="BN14" s="36">
        <v>0.92200000000000004</v>
      </c>
      <c r="BO14" s="36">
        <v>0.93300000000000005</v>
      </c>
      <c r="BP14" s="18">
        <v>5.3999999999999999E-2</v>
      </c>
      <c r="BQ14" s="18">
        <v>5.2999999999999999E-2</v>
      </c>
      <c r="BR14" s="18">
        <v>4.8000000000000001E-2</v>
      </c>
      <c r="BS14" s="18">
        <v>4.8000000000000001E-2</v>
      </c>
      <c r="BT14" s="18">
        <v>4.8000000000000001E-2</v>
      </c>
      <c r="BU14" s="18">
        <v>4.8000000000000001E-2</v>
      </c>
      <c r="BV14" s="18">
        <v>4.8000000000000001E-2</v>
      </c>
      <c r="BW14" s="39">
        <v>4.8000000000000001E-2</v>
      </c>
      <c r="BY14" s="679"/>
      <c r="BZ14" s="81" t="s">
        <v>46</v>
      </c>
      <c r="CA14" s="20">
        <v>0.93200000000000005</v>
      </c>
      <c r="CB14" s="36">
        <v>0.93</v>
      </c>
      <c r="CC14" s="20">
        <v>0.94799999999999995</v>
      </c>
      <c r="CD14" s="20">
        <v>0.94599999999999995</v>
      </c>
      <c r="CE14" s="20">
        <v>0.93200000000000005</v>
      </c>
      <c r="CF14" s="36">
        <v>0.92900000000000005</v>
      </c>
      <c r="CG14" s="20">
        <v>0.93600000000000005</v>
      </c>
      <c r="CH14" s="20">
        <v>0.94099999999999995</v>
      </c>
      <c r="CI14" s="18">
        <v>4.7E-2</v>
      </c>
      <c r="CJ14" s="18">
        <v>4.8000000000000001E-2</v>
      </c>
      <c r="CK14" s="18">
        <v>5.2999999999999999E-2</v>
      </c>
      <c r="CL14" s="18">
        <v>0.05</v>
      </c>
      <c r="CN14" s="679"/>
      <c r="CO14" s="81" t="s">
        <v>46</v>
      </c>
      <c r="CP14" s="37">
        <v>0.92600000000000005</v>
      </c>
      <c r="CQ14" s="37">
        <v>0.92400000000000004</v>
      </c>
      <c r="CR14" s="37">
        <v>0.94</v>
      </c>
      <c r="CS14" s="37">
        <v>0.94099999999999995</v>
      </c>
      <c r="CT14" s="37">
        <v>0.94499999999999995</v>
      </c>
      <c r="CU14" s="37">
        <v>0.94799999999999995</v>
      </c>
      <c r="CV14" s="18">
        <v>4.8000000000000001E-2</v>
      </c>
      <c r="CW14" s="18">
        <v>4.8000000000000001E-2</v>
      </c>
      <c r="CX14" s="18">
        <v>4.8000000000000001E-2</v>
      </c>
      <c r="CY14" s="18">
        <v>4.8000000000000001E-2</v>
      </c>
      <c r="CZ14" s="18">
        <v>4.7E-2</v>
      </c>
      <c r="DA14" s="39">
        <v>4.8000000000000001E-2</v>
      </c>
      <c r="DC14" s="679"/>
      <c r="DD14" s="122" t="s">
        <v>46</v>
      </c>
      <c r="DE14" s="36">
        <v>0.45800000000000002</v>
      </c>
      <c r="DF14" s="36">
        <v>0.45700000000000002</v>
      </c>
      <c r="DG14" s="36">
        <v>0.47099999999999997</v>
      </c>
      <c r="DH14" s="36">
        <v>0.46899999999999997</v>
      </c>
      <c r="DI14" s="36">
        <v>0.46500000000000002</v>
      </c>
      <c r="DJ14" s="36">
        <v>0.46300000000000002</v>
      </c>
      <c r="DK14" s="36">
        <v>0.45800000000000002</v>
      </c>
      <c r="DL14" s="36">
        <v>0.46300000000000002</v>
      </c>
      <c r="DM14" s="18">
        <v>4.8000000000000001E-2</v>
      </c>
      <c r="DN14" s="18">
        <v>4.8000000000000001E-2</v>
      </c>
      <c r="DO14" s="18">
        <v>4.7E-2</v>
      </c>
      <c r="DP14" s="39">
        <v>4.7E-2</v>
      </c>
      <c r="DR14" s="679"/>
      <c r="DS14" s="81" t="s">
        <v>46</v>
      </c>
      <c r="DT14" s="36">
        <v>0.90400000000000003</v>
      </c>
      <c r="DU14" s="36">
        <v>0.90700000000000003</v>
      </c>
      <c r="DV14" s="20">
        <v>0.91300000000000003</v>
      </c>
      <c r="DW14" s="20">
        <v>0.91300000000000003</v>
      </c>
      <c r="DX14" s="20">
        <v>0.90700000000000003</v>
      </c>
      <c r="DY14" s="36">
        <v>0.9</v>
      </c>
      <c r="DZ14" s="20">
        <v>0.90700000000000003</v>
      </c>
      <c r="EA14" s="36">
        <v>0.90200000000000002</v>
      </c>
      <c r="EB14" s="36">
        <v>0.90400000000000003</v>
      </c>
      <c r="EC14" s="20">
        <v>0.91900000000000004</v>
      </c>
      <c r="ED14" s="18">
        <v>4.8000000000000001E-2</v>
      </c>
      <c r="EE14" s="18">
        <v>4.8000000000000001E-2</v>
      </c>
      <c r="EG14" s="679"/>
      <c r="EH14" s="122" t="s">
        <v>46</v>
      </c>
      <c r="EI14" s="20">
        <v>0.91300000000000003</v>
      </c>
      <c r="EJ14" s="20">
        <v>0.90700000000000003</v>
      </c>
      <c r="EK14" s="20">
        <v>0.89900000000000002</v>
      </c>
      <c r="EL14" s="20">
        <v>0.90500000000000003</v>
      </c>
      <c r="EM14" s="18">
        <v>4.9000000000000002E-2</v>
      </c>
      <c r="EN14" s="18">
        <v>4.9000000000000002E-2</v>
      </c>
      <c r="EO14" s="18">
        <v>4.8000000000000001E-2</v>
      </c>
      <c r="EP14" s="18">
        <v>4.8000000000000001E-2</v>
      </c>
      <c r="EQ14" s="18">
        <v>4.8000000000000001E-2</v>
      </c>
      <c r="ER14" s="18">
        <v>4.8000000000000001E-2</v>
      </c>
      <c r="ES14" s="18">
        <v>4.8000000000000001E-2</v>
      </c>
      <c r="ET14" s="39">
        <v>4.8000000000000001E-2</v>
      </c>
      <c r="EV14" s="679"/>
      <c r="EW14" s="81" t="s">
        <v>46</v>
      </c>
      <c r="EX14" s="36">
        <v>0.83</v>
      </c>
      <c r="EY14" s="37">
        <v>0.78400000000000003</v>
      </c>
      <c r="EZ14" s="36">
        <v>0.85299999999999998</v>
      </c>
      <c r="FA14" s="36">
        <v>0.85299999999999998</v>
      </c>
      <c r="FB14" s="36">
        <v>0.86299999999999999</v>
      </c>
      <c r="FC14" s="36">
        <v>0.86799999999999999</v>
      </c>
      <c r="FD14" s="36">
        <v>0.85799999999999998</v>
      </c>
      <c r="FE14" s="36">
        <v>0.84899999999999998</v>
      </c>
      <c r="FF14" s="18">
        <v>4.9000000000000002E-2</v>
      </c>
      <c r="FG14" s="18">
        <v>4.8000000000000001E-2</v>
      </c>
      <c r="FH14" s="18">
        <v>4.8000000000000001E-2</v>
      </c>
      <c r="FI14" s="18">
        <v>4.7E-2</v>
      </c>
      <c r="FK14" s="679"/>
      <c r="FL14" s="122" t="s">
        <v>46</v>
      </c>
      <c r="FM14" s="36">
        <v>0.88600000000000001</v>
      </c>
      <c r="FN14" s="20">
        <v>0.90100000000000002</v>
      </c>
      <c r="FO14" s="20">
        <v>0.89600000000000002</v>
      </c>
      <c r="FP14" s="36">
        <v>0.89100000000000001</v>
      </c>
      <c r="FQ14" s="18">
        <v>4.8000000000000001E-2</v>
      </c>
      <c r="FR14" s="18">
        <v>4.8000000000000001E-2</v>
      </c>
      <c r="FS14" s="18">
        <v>4.8000000000000001E-2</v>
      </c>
      <c r="FT14" s="18">
        <v>4.8000000000000001E-2</v>
      </c>
      <c r="FU14" s="18">
        <v>4.8000000000000001E-2</v>
      </c>
      <c r="FV14" s="18">
        <v>4.8000000000000001E-2</v>
      </c>
      <c r="FW14" s="18">
        <v>4.9000000000000002E-2</v>
      </c>
      <c r="FX14" s="39">
        <v>4.8000000000000001E-2</v>
      </c>
    </row>
    <row r="15" spans="1:180" x14ac:dyDescent="0.25">
      <c r="B15" s="647"/>
      <c r="C15" s="122" t="s">
        <v>47</v>
      </c>
      <c r="D15" s="20">
        <v>0.85899999999999999</v>
      </c>
      <c r="E15" s="36">
        <v>0.84199999999999997</v>
      </c>
      <c r="F15" s="36">
        <v>0.85499999999999998</v>
      </c>
      <c r="G15" s="20">
        <v>0.86499999999999999</v>
      </c>
      <c r="H15" s="20">
        <v>0.86</v>
      </c>
      <c r="I15" s="36">
        <v>0.85499999999999998</v>
      </c>
      <c r="J15" s="18">
        <v>4.7E-2</v>
      </c>
      <c r="K15" s="18">
        <v>4.8000000000000001E-2</v>
      </c>
      <c r="L15" s="18">
        <v>4.8000000000000001E-2</v>
      </c>
      <c r="M15" s="18">
        <v>4.8000000000000001E-2</v>
      </c>
      <c r="N15" s="18">
        <v>4.7E-2</v>
      </c>
      <c r="O15" s="39">
        <v>4.8000000000000001E-2</v>
      </c>
      <c r="Q15" s="647"/>
      <c r="R15" s="81" t="s">
        <v>47</v>
      </c>
      <c r="S15" s="36">
        <v>0.86799999999999999</v>
      </c>
      <c r="T15" s="36">
        <v>0.91300000000000003</v>
      </c>
      <c r="U15" s="36">
        <v>0.90100000000000002</v>
      </c>
      <c r="V15" s="36">
        <v>0.91200000000000003</v>
      </c>
      <c r="W15" s="20">
        <v>0.91900000000000004</v>
      </c>
      <c r="X15" s="20">
        <v>0.91900000000000004</v>
      </c>
      <c r="Y15" s="20">
        <v>0.93200000000000005</v>
      </c>
      <c r="Z15" s="36">
        <v>0.91400000000000003</v>
      </c>
      <c r="AA15" s="18">
        <v>4.8000000000000001E-2</v>
      </c>
      <c r="AB15" s="18">
        <v>5.5E-2</v>
      </c>
      <c r="AC15" s="18">
        <v>4.8000000000000001E-2</v>
      </c>
      <c r="AD15" s="18">
        <v>4.8000000000000001E-2</v>
      </c>
      <c r="AF15" s="679"/>
      <c r="AG15" s="122" t="s">
        <v>47</v>
      </c>
      <c r="AH15" s="36">
        <v>0.89</v>
      </c>
      <c r="AI15" s="20">
        <v>0.90700000000000003</v>
      </c>
      <c r="AJ15" s="20">
        <v>0.91400000000000003</v>
      </c>
      <c r="AK15" s="20">
        <v>0.91900000000000004</v>
      </c>
      <c r="AL15" s="18">
        <v>4.8000000000000001E-2</v>
      </c>
      <c r="AM15" s="18">
        <v>5.0999999999999997E-2</v>
      </c>
      <c r="AN15" s="18">
        <v>4.8000000000000001E-2</v>
      </c>
      <c r="AO15" s="18">
        <v>4.8000000000000001E-2</v>
      </c>
      <c r="AP15" s="18">
        <v>4.8000000000000001E-2</v>
      </c>
      <c r="AQ15" s="18">
        <v>4.9000000000000002E-2</v>
      </c>
      <c r="AR15" s="18">
        <v>4.8000000000000001E-2</v>
      </c>
      <c r="AS15" s="39">
        <v>4.9000000000000002E-2</v>
      </c>
      <c r="AU15" s="679"/>
      <c r="AV15" s="122" t="s">
        <v>47</v>
      </c>
      <c r="AW15" s="36">
        <v>0.88800000000000001</v>
      </c>
      <c r="AX15" s="20">
        <v>0.9</v>
      </c>
      <c r="AY15" s="20">
        <v>0.93100000000000005</v>
      </c>
      <c r="AZ15" s="20">
        <v>0.94</v>
      </c>
      <c r="BA15" s="20">
        <v>0.93600000000000005</v>
      </c>
      <c r="BB15" s="20">
        <v>0.92100000000000004</v>
      </c>
      <c r="BC15" s="18">
        <v>4.8000000000000001E-2</v>
      </c>
      <c r="BD15" s="18">
        <v>4.9000000000000002E-2</v>
      </c>
      <c r="BE15" s="18">
        <v>4.8000000000000001E-2</v>
      </c>
      <c r="BF15" s="18">
        <v>4.8000000000000001E-2</v>
      </c>
      <c r="BG15" s="18">
        <v>4.8000000000000001E-2</v>
      </c>
      <c r="BH15" s="39">
        <v>4.8000000000000001E-2</v>
      </c>
      <c r="BJ15" s="679"/>
      <c r="BK15" s="122" t="s">
        <v>47</v>
      </c>
      <c r="BL15" s="36">
        <v>0.90300000000000002</v>
      </c>
      <c r="BM15" s="36">
        <v>0.91300000000000003</v>
      </c>
      <c r="BN15" s="36">
        <v>0.92400000000000004</v>
      </c>
      <c r="BO15" s="36">
        <v>0.92300000000000004</v>
      </c>
      <c r="BP15" s="18">
        <v>0.05</v>
      </c>
      <c r="BQ15" s="18">
        <v>4.9000000000000002E-2</v>
      </c>
      <c r="BR15" s="18">
        <v>4.8000000000000001E-2</v>
      </c>
      <c r="BS15" s="18">
        <v>4.8000000000000001E-2</v>
      </c>
      <c r="BT15" s="18">
        <v>4.8000000000000001E-2</v>
      </c>
      <c r="BU15" s="18">
        <v>4.8000000000000001E-2</v>
      </c>
      <c r="BV15" s="18">
        <v>4.8000000000000001E-2</v>
      </c>
      <c r="BW15" s="39">
        <v>0.05</v>
      </c>
      <c r="BY15" s="679"/>
      <c r="BZ15" s="81" t="s">
        <v>47</v>
      </c>
      <c r="CA15" s="36">
        <v>0.92400000000000004</v>
      </c>
      <c r="CB15" s="36">
        <v>0.93</v>
      </c>
      <c r="CC15" s="20">
        <v>0.94199999999999995</v>
      </c>
      <c r="CD15" s="20">
        <v>0.93300000000000005</v>
      </c>
      <c r="CE15" s="36">
        <v>0.92900000000000005</v>
      </c>
      <c r="CF15" s="36">
        <v>0.92800000000000005</v>
      </c>
      <c r="CG15" s="20">
        <v>0.93799999999999994</v>
      </c>
      <c r="CH15" s="20">
        <v>0.93700000000000006</v>
      </c>
      <c r="CI15" s="18">
        <v>4.7E-2</v>
      </c>
      <c r="CJ15" s="18">
        <v>4.7E-2</v>
      </c>
      <c r="CK15" s="18">
        <v>4.7E-2</v>
      </c>
      <c r="CL15" s="18">
        <v>4.7E-2</v>
      </c>
      <c r="CN15" s="679"/>
      <c r="CO15" s="81" t="s">
        <v>47</v>
      </c>
      <c r="CP15" s="37">
        <v>0.92600000000000005</v>
      </c>
      <c r="CQ15" s="37">
        <v>0.92500000000000004</v>
      </c>
      <c r="CR15" s="37">
        <v>0.92600000000000005</v>
      </c>
      <c r="CS15" s="37">
        <v>0.92800000000000005</v>
      </c>
      <c r="CT15" s="37">
        <v>0.94</v>
      </c>
      <c r="CU15" s="37">
        <v>0.94499999999999995</v>
      </c>
      <c r="CV15" s="18">
        <v>4.7E-2</v>
      </c>
      <c r="CW15" s="18">
        <v>4.8000000000000001E-2</v>
      </c>
      <c r="CX15" s="18">
        <v>4.8000000000000001E-2</v>
      </c>
      <c r="CY15" s="18">
        <v>5.5E-2</v>
      </c>
      <c r="CZ15" s="18">
        <v>0.05</v>
      </c>
      <c r="DA15" s="39">
        <v>4.8000000000000001E-2</v>
      </c>
      <c r="DC15" s="679"/>
      <c r="DD15" s="122" t="s">
        <v>47</v>
      </c>
      <c r="DE15" s="36">
        <v>0.45500000000000002</v>
      </c>
      <c r="DF15" s="36">
        <v>0.45700000000000002</v>
      </c>
      <c r="DG15" s="36">
        <v>0.46700000000000003</v>
      </c>
      <c r="DH15" s="36">
        <v>0.46800000000000003</v>
      </c>
      <c r="DI15" s="36">
        <v>0.47</v>
      </c>
      <c r="DJ15" s="36">
        <v>0.46500000000000002</v>
      </c>
      <c r="DK15" s="37">
        <v>0.44900000000000001</v>
      </c>
      <c r="DL15" s="36">
        <v>0.45900000000000002</v>
      </c>
      <c r="DM15" s="18">
        <v>4.7E-2</v>
      </c>
      <c r="DN15" s="18">
        <v>4.7E-2</v>
      </c>
      <c r="DO15" s="18">
        <v>4.7E-2</v>
      </c>
      <c r="DP15" s="39">
        <v>4.7E-2</v>
      </c>
      <c r="DR15" s="679"/>
      <c r="DS15" s="81" t="s">
        <v>47</v>
      </c>
      <c r="DT15" s="20">
        <v>0.91300000000000003</v>
      </c>
      <c r="DU15" s="36">
        <v>0.90600000000000003</v>
      </c>
      <c r="DV15" s="20">
        <v>0.91300000000000003</v>
      </c>
      <c r="DW15" s="20">
        <v>0.91100000000000003</v>
      </c>
      <c r="DX15" s="20">
        <v>0.94599999999999995</v>
      </c>
      <c r="DY15" s="36">
        <v>0.92500000000000004</v>
      </c>
      <c r="DZ15" s="20">
        <v>0.9</v>
      </c>
      <c r="EA15" s="20">
        <v>0.90700000000000003</v>
      </c>
      <c r="EB15" s="36">
        <v>0.90600000000000003</v>
      </c>
      <c r="EC15" s="20">
        <v>0.91800000000000004</v>
      </c>
      <c r="ED15" s="18">
        <v>4.8000000000000001E-2</v>
      </c>
      <c r="EE15" s="18">
        <v>4.8000000000000001E-2</v>
      </c>
      <c r="EG15" s="679"/>
      <c r="EH15" s="122" t="s">
        <v>47</v>
      </c>
      <c r="EI15" s="20">
        <v>0.91200000000000003</v>
      </c>
      <c r="EJ15" s="20">
        <v>0.91200000000000003</v>
      </c>
      <c r="EK15" s="20">
        <v>0.91300000000000003</v>
      </c>
      <c r="EL15" s="20">
        <v>0.91600000000000004</v>
      </c>
      <c r="EM15" s="18">
        <v>4.8000000000000001E-2</v>
      </c>
      <c r="EN15" s="18">
        <v>4.8000000000000001E-2</v>
      </c>
      <c r="EO15" s="18">
        <v>4.8000000000000001E-2</v>
      </c>
      <c r="EP15" s="18">
        <v>4.8000000000000001E-2</v>
      </c>
      <c r="EQ15" s="18">
        <v>4.8000000000000001E-2</v>
      </c>
      <c r="ER15" s="18">
        <v>5.1999999999999998E-2</v>
      </c>
      <c r="ES15" s="18">
        <v>4.8000000000000001E-2</v>
      </c>
      <c r="ET15" s="39">
        <v>0.05</v>
      </c>
      <c r="EV15" s="679"/>
      <c r="EW15" s="81" t="s">
        <v>47</v>
      </c>
      <c r="EX15" s="36">
        <v>0.84899999999999998</v>
      </c>
      <c r="EY15" s="36">
        <v>0.86099999999999999</v>
      </c>
      <c r="EZ15" s="36">
        <v>0.82399999999999995</v>
      </c>
      <c r="FA15" s="36">
        <v>0.86099999999999999</v>
      </c>
      <c r="FB15" s="36">
        <v>0.85599999999999998</v>
      </c>
      <c r="FC15" s="36">
        <v>0.85599999999999998</v>
      </c>
      <c r="FD15" s="36">
        <v>0.86299999999999999</v>
      </c>
      <c r="FE15" s="36">
        <v>0.85699999999999998</v>
      </c>
      <c r="FF15" s="18">
        <v>5.3999999999999999E-2</v>
      </c>
      <c r="FG15" s="18">
        <v>4.8000000000000001E-2</v>
      </c>
      <c r="FH15" s="18">
        <v>4.8000000000000001E-2</v>
      </c>
      <c r="FI15" s="18">
        <v>4.8000000000000001E-2</v>
      </c>
      <c r="FK15" s="679"/>
      <c r="FL15" s="122" t="s">
        <v>47</v>
      </c>
      <c r="FM15" s="36">
        <v>0.88500000000000001</v>
      </c>
      <c r="FN15" s="36">
        <v>0.88200000000000001</v>
      </c>
      <c r="FO15" s="36">
        <v>0.88100000000000001</v>
      </c>
      <c r="FP15" s="20">
        <v>0.91300000000000003</v>
      </c>
      <c r="FQ15" s="18">
        <v>4.7E-2</v>
      </c>
      <c r="FR15" s="18">
        <v>5.6000000000000001E-2</v>
      </c>
      <c r="FS15" s="18">
        <v>4.9000000000000002E-2</v>
      </c>
      <c r="FT15" s="18">
        <v>4.8000000000000001E-2</v>
      </c>
      <c r="FU15" s="18">
        <v>4.8000000000000001E-2</v>
      </c>
      <c r="FV15" s="18">
        <v>5.0999999999999997E-2</v>
      </c>
      <c r="FW15" s="18">
        <v>4.7E-2</v>
      </c>
      <c r="FX15" s="39">
        <v>4.8000000000000001E-2</v>
      </c>
    </row>
    <row r="16" spans="1:180" x14ac:dyDescent="0.25">
      <c r="B16" s="647"/>
      <c r="C16" s="122" t="s">
        <v>48</v>
      </c>
      <c r="D16" s="36">
        <v>0.85599999999999998</v>
      </c>
      <c r="E16" s="20">
        <v>0.86099999999999999</v>
      </c>
      <c r="F16" s="20">
        <v>0.86799999999999999</v>
      </c>
      <c r="G16" s="20">
        <v>0.86599999999999999</v>
      </c>
      <c r="H16" s="20">
        <v>0.92</v>
      </c>
      <c r="I16" s="36">
        <v>0.85699999999999998</v>
      </c>
      <c r="J16" s="18">
        <v>4.8000000000000001E-2</v>
      </c>
      <c r="K16" s="18">
        <v>4.8000000000000001E-2</v>
      </c>
      <c r="L16" s="18">
        <v>4.8000000000000001E-2</v>
      </c>
      <c r="M16" s="18">
        <v>4.7E-2</v>
      </c>
      <c r="N16" s="18">
        <v>4.7E-2</v>
      </c>
      <c r="O16" s="39">
        <v>4.7E-2</v>
      </c>
      <c r="Q16" s="647"/>
      <c r="R16" s="81" t="s">
        <v>48</v>
      </c>
      <c r="S16" s="36">
        <v>0.90600000000000003</v>
      </c>
      <c r="T16" s="36">
        <v>0.90700000000000003</v>
      </c>
      <c r="U16" s="20">
        <v>0.92200000000000004</v>
      </c>
      <c r="V16" s="20">
        <v>0.91800000000000004</v>
      </c>
      <c r="W16" s="20">
        <v>0.92100000000000004</v>
      </c>
      <c r="X16" s="20">
        <v>0.92500000000000004</v>
      </c>
      <c r="Y16" s="20">
        <v>0.93100000000000005</v>
      </c>
      <c r="Z16" s="20">
        <v>0.92400000000000004</v>
      </c>
      <c r="AA16" s="18">
        <v>4.8000000000000001E-2</v>
      </c>
      <c r="AB16" s="18">
        <v>4.8000000000000001E-2</v>
      </c>
      <c r="AC16" s="18">
        <v>4.8000000000000001E-2</v>
      </c>
      <c r="AD16" s="18">
        <v>4.9000000000000002E-2</v>
      </c>
      <c r="AF16" s="679"/>
      <c r="AG16" s="122" t="s">
        <v>48</v>
      </c>
      <c r="AH16" s="20">
        <v>0.92700000000000005</v>
      </c>
      <c r="AI16" s="20">
        <v>0.92100000000000004</v>
      </c>
      <c r="AJ16" s="20">
        <v>0.91600000000000004</v>
      </c>
      <c r="AK16" s="20">
        <v>0.91500000000000004</v>
      </c>
      <c r="AL16" s="18">
        <v>4.8000000000000001E-2</v>
      </c>
      <c r="AM16" s="18">
        <v>5.8999999999999997E-2</v>
      </c>
      <c r="AN16" s="18">
        <v>4.8000000000000001E-2</v>
      </c>
      <c r="AO16" s="18">
        <v>4.8000000000000001E-2</v>
      </c>
      <c r="AP16" s="18">
        <v>4.8000000000000001E-2</v>
      </c>
      <c r="AQ16" s="18">
        <v>4.8000000000000001E-2</v>
      </c>
      <c r="AR16" s="18">
        <v>4.8000000000000001E-2</v>
      </c>
      <c r="AS16" s="39">
        <v>4.8000000000000001E-2</v>
      </c>
      <c r="AU16" s="679"/>
      <c r="AV16" s="122" t="s">
        <v>48</v>
      </c>
      <c r="AW16" s="20">
        <v>0.91200000000000003</v>
      </c>
      <c r="AX16" s="20">
        <v>0.91300000000000003</v>
      </c>
      <c r="AY16" s="18">
        <v>4.8000000000000001E-2</v>
      </c>
      <c r="AZ16" s="18">
        <v>4.8000000000000001E-2</v>
      </c>
      <c r="BA16" s="20">
        <v>0.92600000000000005</v>
      </c>
      <c r="BB16" s="20">
        <v>0.92100000000000004</v>
      </c>
      <c r="BC16" s="18">
        <v>4.8000000000000001E-2</v>
      </c>
      <c r="BD16" s="18">
        <v>4.8000000000000001E-2</v>
      </c>
      <c r="BE16" s="18">
        <v>4.8000000000000001E-2</v>
      </c>
      <c r="BF16" s="18">
        <v>4.8000000000000001E-2</v>
      </c>
      <c r="BG16" s="18">
        <v>4.8000000000000001E-2</v>
      </c>
      <c r="BH16" s="39">
        <v>4.8000000000000001E-2</v>
      </c>
      <c r="BJ16" s="679"/>
      <c r="BK16" s="122" t="s">
        <v>48</v>
      </c>
      <c r="BL16" s="36">
        <v>0.91700000000000004</v>
      </c>
      <c r="BM16" s="36">
        <v>0.91100000000000003</v>
      </c>
      <c r="BN16" s="36">
        <v>0.91600000000000004</v>
      </c>
      <c r="BO16" s="36">
        <v>0.92700000000000005</v>
      </c>
      <c r="BP16" s="18">
        <v>4.8000000000000001E-2</v>
      </c>
      <c r="BQ16" s="18">
        <v>4.8000000000000001E-2</v>
      </c>
      <c r="BR16" s="18">
        <v>4.8000000000000001E-2</v>
      </c>
      <c r="BS16" s="18">
        <v>4.8000000000000001E-2</v>
      </c>
      <c r="BT16" s="18">
        <v>4.8000000000000001E-2</v>
      </c>
      <c r="BU16" s="18">
        <v>4.8000000000000001E-2</v>
      </c>
      <c r="BV16" s="18">
        <v>4.9000000000000002E-2</v>
      </c>
      <c r="BW16" s="39">
        <v>4.8000000000000001E-2</v>
      </c>
      <c r="BY16" s="679"/>
      <c r="BZ16" s="81" t="s">
        <v>48</v>
      </c>
      <c r="CA16" s="36">
        <v>0.92600000000000005</v>
      </c>
      <c r="CB16" s="20">
        <v>0.93600000000000005</v>
      </c>
      <c r="CC16" s="20">
        <v>0.94499999999999995</v>
      </c>
      <c r="CD16" s="20">
        <v>0.93400000000000005</v>
      </c>
      <c r="CE16" s="36">
        <v>0.93200000000000005</v>
      </c>
      <c r="CF16" s="36">
        <v>0.92900000000000005</v>
      </c>
      <c r="CG16" s="20">
        <v>0.93700000000000006</v>
      </c>
      <c r="CH16" s="20">
        <v>0.93500000000000005</v>
      </c>
      <c r="CI16" s="18">
        <v>4.8000000000000001E-2</v>
      </c>
      <c r="CJ16" s="18">
        <v>4.8000000000000001E-2</v>
      </c>
      <c r="CK16" s="18">
        <v>4.7E-2</v>
      </c>
      <c r="CL16" s="18">
        <v>0.05</v>
      </c>
      <c r="CN16" s="679"/>
      <c r="CO16" s="81" t="s">
        <v>48</v>
      </c>
      <c r="CP16" s="37">
        <v>0.93500000000000005</v>
      </c>
      <c r="CQ16" s="37">
        <v>0.93600000000000005</v>
      </c>
      <c r="CR16" s="37">
        <v>0.92900000000000005</v>
      </c>
      <c r="CS16" s="37">
        <v>0.92900000000000005</v>
      </c>
      <c r="CT16" s="37">
        <v>0.92900000000000005</v>
      </c>
      <c r="CU16" s="37">
        <v>0.93500000000000005</v>
      </c>
      <c r="CV16" s="18">
        <v>4.8000000000000001E-2</v>
      </c>
      <c r="CW16" s="18">
        <v>4.8000000000000001E-2</v>
      </c>
      <c r="CX16" s="18">
        <v>4.8000000000000001E-2</v>
      </c>
      <c r="CY16" s="18">
        <v>4.8000000000000001E-2</v>
      </c>
      <c r="CZ16" s="18">
        <v>4.7E-2</v>
      </c>
      <c r="DA16" s="39">
        <v>4.8000000000000001E-2</v>
      </c>
      <c r="DC16" s="679"/>
      <c r="DD16" s="122" t="s">
        <v>48</v>
      </c>
      <c r="DE16" s="36">
        <v>0.46200000000000002</v>
      </c>
      <c r="DF16" s="37">
        <v>0.45200000000000001</v>
      </c>
      <c r="DG16" s="36">
        <v>0.47199999999999998</v>
      </c>
      <c r="DH16" s="36">
        <v>0.47399999999999998</v>
      </c>
      <c r="DI16" s="36">
        <v>0.46899999999999997</v>
      </c>
      <c r="DJ16" s="36">
        <v>0.46600000000000003</v>
      </c>
      <c r="DK16" s="36">
        <v>0.46800000000000003</v>
      </c>
      <c r="DL16" s="36">
        <v>0.46800000000000003</v>
      </c>
      <c r="DM16" s="18">
        <v>4.8000000000000001E-2</v>
      </c>
      <c r="DN16" s="18">
        <v>4.8000000000000001E-2</v>
      </c>
      <c r="DO16" s="18">
        <v>4.7E-2</v>
      </c>
      <c r="DP16" s="39">
        <v>4.7E-2</v>
      </c>
      <c r="DR16" s="679"/>
      <c r="DS16" s="81" t="s">
        <v>48</v>
      </c>
      <c r="DT16" s="20">
        <v>0.90900000000000003</v>
      </c>
      <c r="DU16" s="20">
        <v>0.90900000000000003</v>
      </c>
      <c r="DV16" s="36">
        <v>0.90100000000000002</v>
      </c>
      <c r="DW16" s="20">
        <v>0.90600000000000003</v>
      </c>
      <c r="DX16" s="20">
        <v>0.90900000000000003</v>
      </c>
      <c r="DY16" s="20">
        <v>0.90500000000000003</v>
      </c>
      <c r="DZ16" s="20">
        <v>0.90400000000000003</v>
      </c>
      <c r="EA16" s="36">
        <v>0.89200000000000002</v>
      </c>
      <c r="EB16" s="36">
        <v>0.90300000000000002</v>
      </c>
      <c r="EC16" s="36">
        <v>0.90900000000000003</v>
      </c>
      <c r="ED16" s="18">
        <v>4.8000000000000001E-2</v>
      </c>
      <c r="EE16" s="18">
        <v>4.8000000000000001E-2</v>
      </c>
      <c r="EG16" s="679"/>
      <c r="EH16" s="122" t="s">
        <v>48</v>
      </c>
      <c r="EI16" s="20">
        <v>0.90300000000000002</v>
      </c>
      <c r="EJ16" s="20">
        <v>0.90700000000000003</v>
      </c>
      <c r="EK16" s="20">
        <v>0.90500000000000003</v>
      </c>
      <c r="EL16" s="20">
        <v>0.90200000000000002</v>
      </c>
      <c r="EM16" s="18">
        <v>4.8000000000000001E-2</v>
      </c>
      <c r="EN16" s="18">
        <v>4.8000000000000001E-2</v>
      </c>
      <c r="EO16" s="18">
        <v>4.8000000000000001E-2</v>
      </c>
      <c r="EP16" s="18">
        <v>4.7E-2</v>
      </c>
      <c r="EQ16" s="18">
        <v>0.05</v>
      </c>
      <c r="ER16" s="18">
        <v>4.8000000000000001E-2</v>
      </c>
      <c r="ES16" s="18">
        <v>4.8000000000000001E-2</v>
      </c>
      <c r="ET16" s="39">
        <v>0.05</v>
      </c>
      <c r="EV16" s="679"/>
      <c r="EW16" s="81" t="s">
        <v>48</v>
      </c>
      <c r="EX16" s="36">
        <v>0.85499999999999998</v>
      </c>
      <c r="EY16" s="36">
        <v>0.85899999999999999</v>
      </c>
      <c r="EZ16" s="36">
        <v>0.85799999999999998</v>
      </c>
      <c r="FA16" s="36">
        <v>0.85499999999999998</v>
      </c>
      <c r="FB16" s="36">
        <v>0.86299999999999999</v>
      </c>
      <c r="FC16" s="36">
        <v>0.87</v>
      </c>
      <c r="FD16" s="36">
        <v>0.86899999999999999</v>
      </c>
      <c r="FE16" s="36">
        <v>0.85</v>
      </c>
      <c r="FF16" s="18">
        <v>4.8000000000000001E-2</v>
      </c>
      <c r="FG16" s="18">
        <v>4.8000000000000001E-2</v>
      </c>
      <c r="FH16" s="18">
        <v>4.8000000000000001E-2</v>
      </c>
      <c r="FI16" s="18">
        <v>5.7000000000000002E-2</v>
      </c>
      <c r="FK16" s="679"/>
      <c r="FL16" s="122" t="s">
        <v>48</v>
      </c>
      <c r="FM16" s="36">
        <v>0.879</v>
      </c>
      <c r="FN16" s="36">
        <v>0.88600000000000001</v>
      </c>
      <c r="FO16" s="20">
        <v>0.89700000000000002</v>
      </c>
      <c r="FP16" s="36">
        <v>0.88500000000000001</v>
      </c>
      <c r="FQ16" s="18">
        <v>4.8000000000000001E-2</v>
      </c>
      <c r="FR16" s="18">
        <v>4.8000000000000001E-2</v>
      </c>
      <c r="FS16" s="18">
        <v>4.8000000000000001E-2</v>
      </c>
      <c r="FT16" s="18">
        <v>4.8000000000000001E-2</v>
      </c>
      <c r="FU16" s="18">
        <v>4.7E-2</v>
      </c>
      <c r="FV16" s="18">
        <v>4.8000000000000001E-2</v>
      </c>
      <c r="FW16" s="18">
        <v>4.8000000000000001E-2</v>
      </c>
      <c r="FX16" s="39">
        <v>5.2999999999999999E-2</v>
      </c>
    </row>
    <row r="17" spans="2:180" x14ac:dyDescent="0.25">
      <c r="B17" s="647"/>
      <c r="C17" s="122" t="s">
        <v>49</v>
      </c>
      <c r="D17" s="20">
        <v>0.86399999999999999</v>
      </c>
      <c r="E17" s="20">
        <v>0.86399999999999999</v>
      </c>
      <c r="F17" s="20">
        <v>0.86</v>
      </c>
      <c r="G17" s="36">
        <v>0.82099999999999995</v>
      </c>
      <c r="H17" s="20">
        <v>0.87</v>
      </c>
      <c r="I17" s="20">
        <v>0.86199999999999999</v>
      </c>
      <c r="J17" s="18">
        <v>4.8000000000000001E-2</v>
      </c>
      <c r="K17" s="18">
        <v>4.8000000000000001E-2</v>
      </c>
      <c r="L17" s="18">
        <v>4.8000000000000001E-2</v>
      </c>
      <c r="M17" s="18">
        <v>4.8000000000000001E-2</v>
      </c>
      <c r="N17" s="18">
        <v>4.7E-2</v>
      </c>
      <c r="O17" s="39">
        <v>4.8000000000000001E-2</v>
      </c>
      <c r="Q17" s="647"/>
      <c r="R17" s="81" t="s">
        <v>49</v>
      </c>
      <c r="S17" s="36">
        <v>0.91600000000000004</v>
      </c>
      <c r="T17" s="20">
        <v>0.92800000000000005</v>
      </c>
      <c r="U17" s="36">
        <v>0.91500000000000004</v>
      </c>
      <c r="V17" s="36">
        <v>0.91500000000000004</v>
      </c>
      <c r="W17" s="20">
        <v>0.92200000000000004</v>
      </c>
      <c r="X17" s="20">
        <v>0.91900000000000004</v>
      </c>
      <c r="Y17" s="20">
        <v>0.93</v>
      </c>
      <c r="Z17" s="20">
        <v>0.92100000000000004</v>
      </c>
      <c r="AA17" s="18">
        <v>4.7E-2</v>
      </c>
      <c r="AB17" s="18">
        <v>4.8000000000000001E-2</v>
      </c>
      <c r="AC17" s="18">
        <v>4.8000000000000001E-2</v>
      </c>
      <c r="AD17" s="18">
        <v>4.8000000000000001E-2</v>
      </c>
      <c r="AF17" s="679"/>
      <c r="AG17" s="122" t="s">
        <v>49</v>
      </c>
      <c r="AH17" s="18">
        <v>4.8000000000000001E-2</v>
      </c>
      <c r="AI17" s="18">
        <v>4.9000000000000002E-2</v>
      </c>
      <c r="AJ17" s="20">
        <v>0.92700000000000005</v>
      </c>
      <c r="AK17" s="20">
        <v>0.92700000000000005</v>
      </c>
      <c r="AL17" s="18">
        <v>0.05</v>
      </c>
      <c r="AM17" s="18">
        <v>4.8000000000000001E-2</v>
      </c>
      <c r="AN17" s="18">
        <v>4.8000000000000001E-2</v>
      </c>
      <c r="AO17" s="18">
        <v>4.8000000000000001E-2</v>
      </c>
      <c r="AP17" s="18">
        <v>4.8000000000000001E-2</v>
      </c>
      <c r="AQ17" s="18">
        <v>4.8000000000000001E-2</v>
      </c>
      <c r="AR17" s="18">
        <v>4.9000000000000002E-2</v>
      </c>
      <c r="AS17" s="39">
        <v>4.9000000000000002E-2</v>
      </c>
      <c r="AU17" s="679"/>
      <c r="AV17" s="122" t="s">
        <v>49</v>
      </c>
      <c r="AW17" s="20">
        <v>0.92200000000000004</v>
      </c>
      <c r="AX17" s="20">
        <v>0.91800000000000004</v>
      </c>
      <c r="AY17" s="18">
        <v>5.1999999999999998E-2</v>
      </c>
      <c r="AZ17" s="18">
        <v>4.8000000000000001E-2</v>
      </c>
      <c r="BA17" s="20">
        <v>0.92700000000000005</v>
      </c>
      <c r="BB17" s="20">
        <v>0.92600000000000005</v>
      </c>
      <c r="BC17" s="18">
        <v>4.9000000000000002E-2</v>
      </c>
      <c r="BD17" s="18">
        <v>0.05</v>
      </c>
      <c r="BE17" s="18">
        <v>4.8000000000000001E-2</v>
      </c>
      <c r="BF17" s="18">
        <v>4.8000000000000001E-2</v>
      </c>
      <c r="BG17" s="18">
        <v>4.8000000000000001E-2</v>
      </c>
      <c r="BH17" s="39">
        <v>4.8000000000000001E-2</v>
      </c>
      <c r="BJ17" s="679"/>
      <c r="BK17" s="122" t="s">
        <v>49</v>
      </c>
      <c r="BL17" s="36">
        <v>0.91900000000000004</v>
      </c>
      <c r="BM17" s="36">
        <v>0.92</v>
      </c>
      <c r="BN17" s="36">
        <v>0.92200000000000004</v>
      </c>
      <c r="BO17" s="36">
        <v>0.92100000000000004</v>
      </c>
      <c r="BP17" s="18">
        <v>4.8000000000000001E-2</v>
      </c>
      <c r="BQ17" s="18">
        <v>4.9000000000000002E-2</v>
      </c>
      <c r="BR17" s="18">
        <v>4.9000000000000002E-2</v>
      </c>
      <c r="BS17" s="18">
        <v>0.05</v>
      </c>
      <c r="BT17" s="18">
        <v>4.8000000000000001E-2</v>
      </c>
      <c r="BU17" s="18">
        <v>4.8000000000000001E-2</v>
      </c>
      <c r="BV17" s="18">
        <v>4.8000000000000001E-2</v>
      </c>
      <c r="BW17" s="39">
        <v>4.8000000000000001E-2</v>
      </c>
      <c r="BY17" s="679"/>
      <c r="BZ17" s="81" t="s">
        <v>49</v>
      </c>
      <c r="CA17" s="36">
        <v>0.93100000000000005</v>
      </c>
      <c r="CB17" s="36">
        <v>0.93100000000000005</v>
      </c>
      <c r="CC17" s="20">
        <v>0.93899999999999995</v>
      </c>
      <c r="CD17" s="20">
        <v>0.94199999999999995</v>
      </c>
      <c r="CE17" s="20">
        <v>0.93500000000000005</v>
      </c>
      <c r="CF17" s="20">
        <v>0.93700000000000006</v>
      </c>
      <c r="CG17" s="20">
        <v>0.93700000000000006</v>
      </c>
      <c r="CH17" s="20">
        <v>0.93600000000000005</v>
      </c>
      <c r="CI17" s="18">
        <v>4.8000000000000001E-2</v>
      </c>
      <c r="CJ17" s="18">
        <v>4.8000000000000001E-2</v>
      </c>
      <c r="CK17" s="18">
        <v>4.8000000000000001E-2</v>
      </c>
      <c r="CL17" s="18">
        <v>4.8000000000000001E-2</v>
      </c>
      <c r="CN17" s="679"/>
      <c r="CO17" s="81" t="s">
        <v>49</v>
      </c>
      <c r="CP17" s="37">
        <v>0.93500000000000005</v>
      </c>
      <c r="CQ17" s="37">
        <v>0.94799999999999995</v>
      </c>
      <c r="CR17" s="37">
        <v>0.94</v>
      </c>
      <c r="CS17" s="37">
        <v>0.94099999999999995</v>
      </c>
      <c r="CT17" s="37">
        <v>0.97599999999999998</v>
      </c>
      <c r="CU17" s="20">
        <v>1.1419999999999999</v>
      </c>
      <c r="CV17" s="18">
        <v>4.7E-2</v>
      </c>
      <c r="CW17" s="18">
        <v>4.8000000000000001E-2</v>
      </c>
      <c r="CX17" s="18">
        <v>4.8000000000000001E-2</v>
      </c>
      <c r="CY17" s="18">
        <v>4.8000000000000001E-2</v>
      </c>
      <c r="CZ17" s="18">
        <v>4.8000000000000001E-2</v>
      </c>
      <c r="DA17" s="39">
        <v>4.8000000000000001E-2</v>
      </c>
      <c r="DC17" s="679"/>
      <c r="DD17" s="122" t="s">
        <v>49</v>
      </c>
      <c r="DE17" s="36">
        <v>0.46600000000000003</v>
      </c>
      <c r="DF17" s="36">
        <v>0.46700000000000003</v>
      </c>
      <c r="DG17" s="36">
        <v>0.47199999999999998</v>
      </c>
      <c r="DH17" s="36">
        <v>0.47599999999999998</v>
      </c>
      <c r="DI17" s="36">
        <v>0.47099999999999997</v>
      </c>
      <c r="DJ17" s="36">
        <v>0.47299999999999998</v>
      </c>
      <c r="DK17" s="36">
        <v>0.48299999999999998</v>
      </c>
      <c r="DL17" s="36">
        <v>0.48099999999999998</v>
      </c>
      <c r="DM17" s="18">
        <v>4.8000000000000001E-2</v>
      </c>
      <c r="DN17" s="18">
        <v>4.8000000000000001E-2</v>
      </c>
      <c r="DO17" s="18">
        <v>4.7E-2</v>
      </c>
      <c r="DP17" s="39">
        <v>4.8000000000000001E-2</v>
      </c>
      <c r="DR17" s="679"/>
      <c r="DS17" s="81" t="s">
        <v>49</v>
      </c>
      <c r="DT17" s="36">
        <v>0.90900000000000003</v>
      </c>
      <c r="DU17" s="20">
        <v>0.91400000000000003</v>
      </c>
      <c r="DV17" s="20">
        <v>0.91900000000000004</v>
      </c>
      <c r="DW17" s="20">
        <v>0.90700000000000003</v>
      </c>
      <c r="DX17" s="20">
        <v>0.91700000000000004</v>
      </c>
      <c r="DY17" s="20">
        <v>0.91700000000000004</v>
      </c>
      <c r="DZ17" s="20">
        <v>0.89800000000000002</v>
      </c>
      <c r="EA17" s="20">
        <v>0.89900000000000002</v>
      </c>
      <c r="EB17" s="36">
        <v>0.91</v>
      </c>
      <c r="EC17" s="36">
        <v>0.90900000000000003</v>
      </c>
      <c r="ED17" s="18">
        <v>4.8000000000000001E-2</v>
      </c>
      <c r="EE17" s="18">
        <v>4.9000000000000002E-2</v>
      </c>
      <c r="EG17" s="679"/>
      <c r="EH17" s="122" t="s">
        <v>49</v>
      </c>
      <c r="EI17" s="20">
        <v>0.89700000000000002</v>
      </c>
      <c r="EJ17" s="20">
        <v>0.91</v>
      </c>
      <c r="EK17" s="20">
        <v>0.88800000000000001</v>
      </c>
      <c r="EL17" s="36">
        <v>0.88100000000000001</v>
      </c>
      <c r="EM17" s="18">
        <v>4.8000000000000001E-2</v>
      </c>
      <c r="EN17" s="18">
        <v>4.8000000000000001E-2</v>
      </c>
      <c r="EO17" s="18">
        <v>4.9000000000000002E-2</v>
      </c>
      <c r="EP17" s="18">
        <v>4.9000000000000002E-2</v>
      </c>
      <c r="EQ17" s="18">
        <v>4.8000000000000001E-2</v>
      </c>
      <c r="ER17" s="18">
        <v>5.5E-2</v>
      </c>
      <c r="ES17" s="18">
        <v>5.2999999999999999E-2</v>
      </c>
      <c r="ET17" s="39">
        <v>5.2999999999999999E-2</v>
      </c>
      <c r="EV17" s="679"/>
      <c r="EW17" s="81" t="s">
        <v>49</v>
      </c>
      <c r="EX17" s="36">
        <v>0.85399999999999998</v>
      </c>
      <c r="EY17" s="36">
        <v>0.85499999999999998</v>
      </c>
      <c r="EZ17" s="36">
        <v>0.86699999999999999</v>
      </c>
      <c r="FA17" s="36">
        <v>0.86599999999999999</v>
      </c>
      <c r="FB17" s="36">
        <v>0.875</v>
      </c>
      <c r="FC17" s="36">
        <v>0.875</v>
      </c>
      <c r="FD17" s="36">
        <v>0.87</v>
      </c>
      <c r="FE17" s="36">
        <v>0.86399999999999999</v>
      </c>
      <c r="FF17" s="18">
        <v>4.8000000000000001E-2</v>
      </c>
      <c r="FG17" s="18">
        <v>4.8000000000000001E-2</v>
      </c>
      <c r="FH17" s="18">
        <v>4.8000000000000001E-2</v>
      </c>
      <c r="FI17" s="18">
        <v>4.8000000000000001E-2</v>
      </c>
      <c r="FK17" s="679"/>
      <c r="FL17" s="122" t="s">
        <v>49</v>
      </c>
      <c r="FM17" s="20">
        <v>0.89900000000000002</v>
      </c>
      <c r="FN17" s="20">
        <v>0.90500000000000003</v>
      </c>
      <c r="FO17" s="20">
        <v>0.90700000000000003</v>
      </c>
      <c r="FP17" s="20">
        <v>0.90400000000000003</v>
      </c>
      <c r="FQ17" s="18">
        <v>4.8000000000000001E-2</v>
      </c>
      <c r="FR17" s="18">
        <v>4.8000000000000001E-2</v>
      </c>
      <c r="FS17" s="18">
        <v>4.9000000000000002E-2</v>
      </c>
      <c r="FT17" s="18">
        <v>4.9000000000000002E-2</v>
      </c>
      <c r="FU17" s="18">
        <v>4.8000000000000001E-2</v>
      </c>
      <c r="FV17" s="18">
        <v>4.7E-2</v>
      </c>
      <c r="FW17" s="18">
        <v>4.7E-2</v>
      </c>
      <c r="FX17" s="39">
        <v>4.9000000000000002E-2</v>
      </c>
    </row>
    <row r="18" spans="2:180" x14ac:dyDescent="0.25">
      <c r="B18" s="647"/>
      <c r="C18" s="122" t="s">
        <v>50</v>
      </c>
      <c r="D18" s="36">
        <v>0.83699999999999997</v>
      </c>
      <c r="E18" s="36">
        <v>0.83599999999999997</v>
      </c>
      <c r="F18" s="36">
        <v>0.84899999999999998</v>
      </c>
      <c r="G18" s="36">
        <v>0.84499999999999997</v>
      </c>
      <c r="H18" s="18">
        <v>4.9000000000000002E-2</v>
      </c>
      <c r="I18" s="18">
        <v>4.7E-2</v>
      </c>
      <c r="J18" s="18">
        <v>4.8000000000000001E-2</v>
      </c>
      <c r="K18" s="18">
        <v>4.8000000000000001E-2</v>
      </c>
      <c r="L18" s="18">
        <v>4.7E-2</v>
      </c>
      <c r="M18" s="18">
        <v>4.7E-2</v>
      </c>
      <c r="N18" s="18">
        <v>5.7000000000000002E-2</v>
      </c>
      <c r="O18" s="39">
        <v>4.7E-2</v>
      </c>
      <c r="Q18" s="647"/>
      <c r="R18" s="81" t="s">
        <v>50</v>
      </c>
      <c r="S18" s="36">
        <v>0.89700000000000002</v>
      </c>
      <c r="T18" s="36">
        <v>0.88900000000000001</v>
      </c>
      <c r="U18" s="36">
        <v>0.91600000000000004</v>
      </c>
      <c r="V18" s="36">
        <v>0.91400000000000003</v>
      </c>
      <c r="W18" s="20">
        <v>0.92300000000000004</v>
      </c>
      <c r="X18" s="20">
        <v>0.92500000000000004</v>
      </c>
      <c r="Y18" s="20">
        <v>0.92300000000000004</v>
      </c>
      <c r="Z18" s="20">
        <v>0.92200000000000004</v>
      </c>
      <c r="AA18" s="18">
        <v>4.9000000000000002E-2</v>
      </c>
      <c r="AB18" s="18">
        <v>5.1999999999999998E-2</v>
      </c>
      <c r="AC18" s="18">
        <v>4.9000000000000002E-2</v>
      </c>
      <c r="AD18" s="18">
        <v>4.9000000000000002E-2</v>
      </c>
      <c r="AF18" s="679"/>
      <c r="AG18" s="122" t="s">
        <v>50</v>
      </c>
      <c r="AH18" s="18">
        <v>5.0999999999999997E-2</v>
      </c>
      <c r="AI18" s="18">
        <v>4.8000000000000001E-2</v>
      </c>
      <c r="AJ18" s="20">
        <v>0.90900000000000003</v>
      </c>
      <c r="AK18" s="36">
        <v>0.90500000000000003</v>
      </c>
      <c r="AL18" s="18">
        <v>5.1999999999999998E-2</v>
      </c>
      <c r="AM18" s="18">
        <v>4.8000000000000001E-2</v>
      </c>
      <c r="AN18" s="18">
        <v>0.05</v>
      </c>
      <c r="AO18" s="18">
        <v>5.3999999999999999E-2</v>
      </c>
      <c r="AP18" s="18">
        <v>4.9000000000000002E-2</v>
      </c>
      <c r="AQ18" s="18">
        <v>4.8000000000000001E-2</v>
      </c>
      <c r="AR18" s="18">
        <v>0.05</v>
      </c>
      <c r="AS18" s="39">
        <v>0.05</v>
      </c>
      <c r="AU18" s="679"/>
      <c r="AV18" s="122" t="s">
        <v>50</v>
      </c>
      <c r="AW18" s="20">
        <v>0.92300000000000004</v>
      </c>
      <c r="AX18" s="20">
        <v>0.92</v>
      </c>
      <c r="AY18" s="18">
        <v>4.8000000000000001E-2</v>
      </c>
      <c r="AZ18" s="18">
        <v>4.8000000000000001E-2</v>
      </c>
      <c r="BA18" s="20">
        <v>0.92800000000000005</v>
      </c>
      <c r="BB18" s="20">
        <v>0.91400000000000003</v>
      </c>
      <c r="BC18" s="18">
        <v>4.8000000000000001E-2</v>
      </c>
      <c r="BD18" s="18">
        <v>4.7E-2</v>
      </c>
      <c r="BE18" s="18">
        <v>4.7E-2</v>
      </c>
      <c r="BF18" s="18">
        <v>4.8000000000000001E-2</v>
      </c>
      <c r="BG18" s="18">
        <v>4.8000000000000001E-2</v>
      </c>
      <c r="BH18" s="39">
        <v>4.8000000000000001E-2</v>
      </c>
      <c r="BJ18" s="679"/>
      <c r="BK18" s="122" t="s">
        <v>50</v>
      </c>
      <c r="BL18" s="18">
        <v>4.8000000000000001E-2</v>
      </c>
      <c r="BM18" s="18">
        <v>4.8000000000000001E-2</v>
      </c>
      <c r="BN18" s="36">
        <v>0.90300000000000002</v>
      </c>
      <c r="BO18" s="36">
        <v>0.91800000000000004</v>
      </c>
      <c r="BP18" s="18">
        <v>4.8000000000000001E-2</v>
      </c>
      <c r="BQ18" s="18">
        <v>4.8000000000000001E-2</v>
      </c>
      <c r="BR18" s="18">
        <v>4.8000000000000001E-2</v>
      </c>
      <c r="BS18" s="18">
        <v>4.9000000000000002E-2</v>
      </c>
      <c r="BT18" s="18">
        <v>4.7E-2</v>
      </c>
      <c r="BU18" s="18">
        <v>4.8000000000000001E-2</v>
      </c>
      <c r="BV18" s="18">
        <v>4.8000000000000001E-2</v>
      </c>
      <c r="BW18" s="39">
        <v>4.8000000000000001E-2</v>
      </c>
      <c r="BY18" s="679"/>
      <c r="BZ18" s="81" t="s">
        <v>50</v>
      </c>
      <c r="CA18" s="36">
        <v>0.92600000000000005</v>
      </c>
      <c r="CB18" s="36">
        <v>0.92600000000000005</v>
      </c>
      <c r="CC18" s="20">
        <v>0.94499999999999995</v>
      </c>
      <c r="CD18" s="20">
        <v>0.95599999999999996</v>
      </c>
      <c r="CE18" s="20">
        <v>0.93700000000000006</v>
      </c>
      <c r="CF18" s="20">
        <v>0.93300000000000005</v>
      </c>
      <c r="CG18" s="20">
        <v>0.93600000000000005</v>
      </c>
      <c r="CH18" s="20">
        <v>0.93700000000000006</v>
      </c>
      <c r="CI18" s="18">
        <v>4.7E-2</v>
      </c>
      <c r="CJ18" s="18">
        <v>4.8000000000000001E-2</v>
      </c>
      <c r="CK18" s="18">
        <v>4.9000000000000002E-2</v>
      </c>
      <c r="CL18" s="18">
        <v>4.7E-2</v>
      </c>
      <c r="CN18" s="679"/>
      <c r="CO18" s="81" t="s">
        <v>50</v>
      </c>
      <c r="CP18" s="37">
        <v>0.93600000000000005</v>
      </c>
      <c r="CQ18" s="37">
        <v>0.93600000000000005</v>
      </c>
      <c r="CR18" s="37">
        <v>0.93</v>
      </c>
      <c r="CS18" s="37">
        <v>0.92700000000000005</v>
      </c>
      <c r="CT18" s="18">
        <v>4.9000000000000002E-2</v>
      </c>
      <c r="CU18" s="18">
        <v>4.7E-2</v>
      </c>
      <c r="CV18" s="18">
        <v>4.8000000000000001E-2</v>
      </c>
      <c r="CW18" s="18">
        <v>4.8000000000000001E-2</v>
      </c>
      <c r="CX18" s="18">
        <v>4.7E-2</v>
      </c>
      <c r="CY18" s="18">
        <v>4.8000000000000001E-2</v>
      </c>
      <c r="CZ18" s="18">
        <v>4.7E-2</v>
      </c>
      <c r="DA18" s="39">
        <v>4.8000000000000001E-2</v>
      </c>
      <c r="DC18" s="679"/>
      <c r="DD18" s="122" t="s">
        <v>50</v>
      </c>
      <c r="DE18" s="36">
        <v>0.46700000000000003</v>
      </c>
      <c r="DF18" s="36">
        <v>0.46300000000000002</v>
      </c>
      <c r="DG18" s="36">
        <v>0.48699999999999999</v>
      </c>
      <c r="DH18" s="36">
        <v>0.47499999999999998</v>
      </c>
      <c r="DI18" s="36">
        <v>0.48199999999999998</v>
      </c>
      <c r="DJ18" s="36">
        <v>0.47899999999999998</v>
      </c>
      <c r="DK18" s="18">
        <v>4.8000000000000001E-2</v>
      </c>
      <c r="DL18" s="18">
        <v>4.8000000000000001E-2</v>
      </c>
      <c r="DM18" s="18">
        <v>4.7E-2</v>
      </c>
      <c r="DN18" s="18">
        <v>4.7E-2</v>
      </c>
      <c r="DO18" s="18">
        <v>4.7E-2</v>
      </c>
      <c r="DP18" s="39">
        <v>4.7E-2</v>
      </c>
      <c r="DR18" s="679"/>
      <c r="DS18" s="81" t="s">
        <v>50</v>
      </c>
      <c r="DT18" s="36">
        <v>0.90700000000000003</v>
      </c>
      <c r="DU18" s="36">
        <v>0.90600000000000003</v>
      </c>
      <c r="DV18" s="36">
        <v>0.89500000000000002</v>
      </c>
      <c r="DW18" s="36">
        <v>0.89900000000000002</v>
      </c>
      <c r="DX18" s="36">
        <v>0.91300000000000003</v>
      </c>
      <c r="DY18" s="36">
        <v>0.91100000000000003</v>
      </c>
      <c r="DZ18" s="20">
        <v>0.9</v>
      </c>
      <c r="EA18" s="20">
        <v>0.89900000000000002</v>
      </c>
      <c r="EB18" s="36">
        <v>0.90700000000000003</v>
      </c>
      <c r="EC18" s="36">
        <v>0.91300000000000003</v>
      </c>
      <c r="ED18" s="18">
        <v>4.8000000000000001E-2</v>
      </c>
      <c r="EE18" s="18">
        <v>4.9000000000000002E-2</v>
      </c>
      <c r="EG18" s="679"/>
      <c r="EH18" s="122" t="s">
        <v>50</v>
      </c>
      <c r="EI18" s="20">
        <v>0.89900000000000002</v>
      </c>
      <c r="EJ18" s="20">
        <v>0.90900000000000003</v>
      </c>
      <c r="EK18" s="20">
        <v>0.90200000000000002</v>
      </c>
      <c r="EL18" s="20">
        <v>0.92</v>
      </c>
      <c r="EM18" s="18">
        <v>4.8000000000000001E-2</v>
      </c>
      <c r="EN18" s="18">
        <v>0.05</v>
      </c>
      <c r="EO18" s="18">
        <v>0.05</v>
      </c>
      <c r="EP18" s="18">
        <v>4.9000000000000002E-2</v>
      </c>
      <c r="EQ18" s="18">
        <v>4.8000000000000001E-2</v>
      </c>
      <c r="ER18" s="18">
        <v>4.8000000000000001E-2</v>
      </c>
      <c r="ES18" s="18">
        <v>4.8000000000000001E-2</v>
      </c>
      <c r="ET18" s="39">
        <v>6.0999999999999999E-2</v>
      </c>
      <c r="EV18" s="679"/>
      <c r="EW18" s="81" t="s">
        <v>50</v>
      </c>
      <c r="EX18" s="36">
        <v>0.88100000000000001</v>
      </c>
      <c r="EY18" s="36">
        <v>0.878</v>
      </c>
      <c r="EZ18" s="36">
        <v>0.875</v>
      </c>
      <c r="FA18" s="36">
        <v>0.874</v>
      </c>
      <c r="FB18" s="36">
        <v>0.872</v>
      </c>
      <c r="FC18" s="36">
        <v>0.875</v>
      </c>
      <c r="FD18" s="36">
        <v>0.878</v>
      </c>
      <c r="FE18" s="36">
        <v>0.86199999999999999</v>
      </c>
      <c r="FF18" s="18">
        <v>4.8000000000000001E-2</v>
      </c>
      <c r="FG18" s="18">
        <v>4.8000000000000001E-2</v>
      </c>
      <c r="FH18" s="18">
        <v>4.8000000000000001E-2</v>
      </c>
      <c r="FI18" s="18">
        <v>4.8000000000000001E-2</v>
      </c>
      <c r="FK18" s="679"/>
      <c r="FL18" s="122" t="s">
        <v>50</v>
      </c>
      <c r="FM18" s="20">
        <v>0.90500000000000003</v>
      </c>
      <c r="FN18" s="20">
        <v>0.89900000000000002</v>
      </c>
      <c r="FO18" s="20">
        <v>0.91800000000000004</v>
      </c>
      <c r="FP18" s="20">
        <v>0.91500000000000004</v>
      </c>
      <c r="FQ18" s="18">
        <v>4.9000000000000002E-2</v>
      </c>
      <c r="FR18" s="18">
        <v>4.8000000000000001E-2</v>
      </c>
      <c r="FS18" s="18">
        <v>4.8000000000000001E-2</v>
      </c>
      <c r="FT18" s="18">
        <v>4.8000000000000001E-2</v>
      </c>
      <c r="FU18" s="18">
        <v>5.8999999999999997E-2</v>
      </c>
      <c r="FV18" s="18">
        <v>4.8000000000000001E-2</v>
      </c>
      <c r="FW18" s="18">
        <v>4.7E-2</v>
      </c>
      <c r="FX18" s="39">
        <v>5.7000000000000002E-2</v>
      </c>
    </row>
    <row r="19" spans="2:180" ht="15.75" customHeight="1" thickBot="1" x14ac:dyDescent="0.3">
      <c r="B19" s="648"/>
      <c r="C19" s="123" t="s">
        <v>51</v>
      </c>
      <c r="D19" s="152">
        <v>0.86399999999999999</v>
      </c>
      <c r="E19" s="153">
        <v>0.84199999999999997</v>
      </c>
      <c r="F19" s="40">
        <v>4.9000000000000002E-2</v>
      </c>
      <c r="G19" s="40">
        <v>4.7E-2</v>
      </c>
      <c r="H19" s="40">
        <v>4.8000000000000001E-2</v>
      </c>
      <c r="I19" s="40">
        <v>4.7E-2</v>
      </c>
      <c r="J19" s="40">
        <v>4.7E-2</v>
      </c>
      <c r="K19" s="40">
        <v>4.8000000000000001E-2</v>
      </c>
      <c r="L19" s="40">
        <v>4.9000000000000002E-2</v>
      </c>
      <c r="M19" s="40">
        <v>4.7E-2</v>
      </c>
      <c r="N19" s="40">
        <v>4.7E-2</v>
      </c>
      <c r="O19" s="41">
        <v>4.7E-2</v>
      </c>
      <c r="Q19" s="648"/>
      <c r="R19" s="81" t="s">
        <v>51</v>
      </c>
      <c r="S19" s="18">
        <v>0.05</v>
      </c>
      <c r="T19" s="18">
        <v>4.8000000000000001E-2</v>
      </c>
      <c r="U19" s="36">
        <v>0.90400000000000003</v>
      </c>
      <c r="V19" s="36">
        <v>0.91</v>
      </c>
      <c r="W19" s="36">
        <v>0.90200000000000002</v>
      </c>
      <c r="X19" s="36">
        <v>0.91</v>
      </c>
      <c r="Y19" s="36">
        <v>0.90800000000000003</v>
      </c>
      <c r="Z19" s="36">
        <v>0.90700000000000003</v>
      </c>
      <c r="AA19" s="18">
        <v>0.05</v>
      </c>
      <c r="AB19" s="18">
        <v>4.8000000000000001E-2</v>
      </c>
      <c r="AC19" s="18">
        <v>4.9000000000000002E-2</v>
      </c>
      <c r="AD19" s="18">
        <v>4.8000000000000001E-2</v>
      </c>
      <c r="AF19" s="673"/>
      <c r="AG19" s="123" t="s">
        <v>51</v>
      </c>
      <c r="AH19" s="40">
        <v>4.8000000000000001E-2</v>
      </c>
      <c r="AI19" s="40">
        <v>5.1999999999999998E-2</v>
      </c>
      <c r="AJ19" s="40">
        <v>4.8000000000000001E-2</v>
      </c>
      <c r="AK19" s="40">
        <v>4.9000000000000002E-2</v>
      </c>
      <c r="AL19" s="40">
        <v>4.8000000000000001E-2</v>
      </c>
      <c r="AM19" s="40">
        <v>0.05</v>
      </c>
      <c r="AN19" s="40">
        <v>4.9000000000000002E-2</v>
      </c>
      <c r="AO19" s="40">
        <v>0.05</v>
      </c>
      <c r="AP19" s="40">
        <v>5.2999999999999999E-2</v>
      </c>
      <c r="AQ19" s="40">
        <v>4.8000000000000001E-2</v>
      </c>
      <c r="AR19" s="40">
        <v>4.9000000000000002E-2</v>
      </c>
      <c r="AS19" s="41">
        <v>5.6000000000000001E-2</v>
      </c>
      <c r="AU19" s="673"/>
      <c r="AV19" s="123" t="s">
        <v>51</v>
      </c>
      <c r="AW19" s="40">
        <v>4.8000000000000001E-2</v>
      </c>
      <c r="AX19" s="40">
        <v>4.8000000000000001E-2</v>
      </c>
      <c r="AY19" s="40">
        <v>4.8000000000000001E-2</v>
      </c>
      <c r="AZ19" s="40">
        <v>4.8000000000000001E-2</v>
      </c>
      <c r="BA19" s="40">
        <v>4.8000000000000001E-2</v>
      </c>
      <c r="BB19" s="40">
        <v>4.8000000000000001E-2</v>
      </c>
      <c r="BC19" s="40">
        <v>4.8000000000000001E-2</v>
      </c>
      <c r="BD19" s="40">
        <v>4.8000000000000001E-2</v>
      </c>
      <c r="BE19" s="40">
        <v>4.8000000000000001E-2</v>
      </c>
      <c r="BF19" s="40">
        <v>4.8000000000000001E-2</v>
      </c>
      <c r="BG19" s="40">
        <v>4.8000000000000001E-2</v>
      </c>
      <c r="BH19" s="41">
        <v>4.8000000000000001E-2</v>
      </c>
      <c r="BJ19" s="673"/>
      <c r="BK19" s="123" t="s">
        <v>51</v>
      </c>
      <c r="BL19" s="40">
        <v>4.8000000000000001E-2</v>
      </c>
      <c r="BM19" s="40">
        <v>0.05</v>
      </c>
      <c r="BN19" s="40">
        <v>6.6000000000000003E-2</v>
      </c>
      <c r="BO19" s="40">
        <v>4.8000000000000001E-2</v>
      </c>
      <c r="BP19" s="40">
        <v>4.8000000000000001E-2</v>
      </c>
      <c r="BQ19" s="40">
        <v>4.8000000000000001E-2</v>
      </c>
      <c r="BR19" s="40">
        <v>4.8000000000000001E-2</v>
      </c>
      <c r="BS19" s="40">
        <v>4.8000000000000001E-2</v>
      </c>
      <c r="BT19" s="40">
        <v>4.8000000000000001E-2</v>
      </c>
      <c r="BU19" s="40">
        <v>4.9000000000000002E-2</v>
      </c>
      <c r="BV19" s="40">
        <v>4.8000000000000001E-2</v>
      </c>
      <c r="BW19" s="41">
        <v>4.8000000000000001E-2</v>
      </c>
      <c r="BY19" s="673"/>
      <c r="BZ19" s="81" t="s">
        <v>51</v>
      </c>
      <c r="CA19" s="18">
        <v>4.8000000000000001E-2</v>
      </c>
      <c r="CB19" s="18">
        <v>4.8000000000000001E-2</v>
      </c>
      <c r="CC19" s="18">
        <v>4.7E-2</v>
      </c>
      <c r="CD19" s="18">
        <v>4.8000000000000001E-2</v>
      </c>
      <c r="CE19" s="18">
        <v>5.2999999999999999E-2</v>
      </c>
      <c r="CF19" s="18">
        <v>4.8000000000000001E-2</v>
      </c>
      <c r="CG19" s="18">
        <v>0.05</v>
      </c>
      <c r="CH19" s="18">
        <v>5.0999999999999997E-2</v>
      </c>
      <c r="CI19" s="18">
        <v>4.8000000000000001E-2</v>
      </c>
      <c r="CJ19" s="18">
        <v>0.05</v>
      </c>
      <c r="CK19" s="18">
        <v>4.7E-2</v>
      </c>
      <c r="CL19" s="18">
        <v>0.05</v>
      </c>
      <c r="CN19" s="673"/>
      <c r="CO19" s="201" t="s">
        <v>51</v>
      </c>
      <c r="CP19" s="40">
        <v>4.8000000000000001E-2</v>
      </c>
      <c r="CQ19" s="40">
        <v>4.8000000000000001E-2</v>
      </c>
      <c r="CR19" s="350">
        <v>0.92600000000000005</v>
      </c>
      <c r="CS19" s="350">
        <v>0.93799999999999994</v>
      </c>
      <c r="CT19" s="40">
        <v>4.8000000000000001E-2</v>
      </c>
      <c r="CU19" s="40">
        <v>4.8000000000000001E-2</v>
      </c>
      <c r="CV19" s="40">
        <v>4.8000000000000001E-2</v>
      </c>
      <c r="CW19" s="40">
        <v>4.7E-2</v>
      </c>
      <c r="CX19" s="40">
        <v>4.8000000000000001E-2</v>
      </c>
      <c r="CY19" s="40">
        <v>4.7E-2</v>
      </c>
      <c r="CZ19" s="40">
        <v>4.7E-2</v>
      </c>
      <c r="DA19" s="41">
        <v>4.7E-2</v>
      </c>
      <c r="DC19" s="673"/>
      <c r="DD19" s="123" t="s">
        <v>51</v>
      </c>
      <c r="DE19" s="40">
        <v>0.05</v>
      </c>
      <c r="DF19" s="40">
        <v>4.8000000000000001E-2</v>
      </c>
      <c r="DG19" s="40">
        <v>4.7E-2</v>
      </c>
      <c r="DH19" s="40">
        <v>4.7E-2</v>
      </c>
      <c r="DI19" s="40">
        <v>4.8000000000000001E-2</v>
      </c>
      <c r="DJ19" s="40">
        <v>4.8000000000000001E-2</v>
      </c>
      <c r="DK19" s="40">
        <v>4.8000000000000001E-2</v>
      </c>
      <c r="DL19" s="40">
        <v>4.7E-2</v>
      </c>
      <c r="DM19" s="40">
        <v>5.2999999999999999E-2</v>
      </c>
      <c r="DN19" s="40">
        <v>4.7E-2</v>
      </c>
      <c r="DO19" s="40">
        <v>5.2999999999999999E-2</v>
      </c>
      <c r="DP19" s="41">
        <v>4.7E-2</v>
      </c>
      <c r="DR19" s="673"/>
      <c r="DS19" s="81" t="s">
        <v>51</v>
      </c>
      <c r="DT19" s="20">
        <v>0.92700000000000005</v>
      </c>
      <c r="DU19" s="20">
        <v>0.92400000000000004</v>
      </c>
      <c r="DV19" s="18">
        <v>4.8000000000000001E-2</v>
      </c>
      <c r="DW19" s="18">
        <v>4.8000000000000001E-2</v>
      </c>
      <c r="DX19" s="18">
        <v>4.8000000000000001E-2</v>
      </c>
      <c r="DY19" s="18">
        <v>4.9000000000000002E-2</v>
      </c>
      <c r="DZ19" s="18">
        <v>4.8000000000000001E-2</v>
      </c>
      <c r="EA19" s="18">
        <v>4.8000000000000001E-2</v>
      </c>
      <c r="EB19" s="18">
        <v>4.8000000000000001E-2</v>
      </c>
      <c r="EC19" s="18">
        <v>4.9000000000000002E-2</v>
      </c>
      <c r="ED19" s="18">
        <v>4.9000000000000002E-2</v>
      </c>
      <c r="EE19" s="18">
        <v>4.8000000000000001E-2</v>
      </c>
      <c r="EG19" s="673"/>
      <c r="EH19" s="123" t="s">
        <v>51</v>
      </c>
      <c r="EI19" s="40">
        <v>5.6000000000000001E-2</v>
      </c>
      <c r="EJ19" s="40">
        <v>5.0999999999999997E-2</v>
      </c>
      <c r="EK19" s="40">
        <v>5.3999999999999999E-2</v>
      </c>
      <c r="EL19" s="40">
        <v>4.8000000000000001E-2</v>
      </c>
      <c r="EM19" s="40">
        <v>4.8000000000000001E-2</v>
      </c>
      <c r="EN19" s="40">
        <v>4.9000000000000002E-2</v>
      </c>
      <c r="EO19" s="40">
        <v>4.8000000000000001E-2</v>
      </c>
      <c r="EP19" s="40">
        <v>0.05</v>
      </c>
      <c r="EQ19" s="40">
        <v>0.05</v>
      </c>
      <c r="ER19" s="40">
        <v>4.8000000000000001E-2</v>
      </c>
      <c r="ES19" s="40">
        <v>5.3999999999999999E-2</v>
      </c>
      <c r="ET19" s="41">
        <v>5.1999999999999998E-2</v>
      </c>
      <c r="EV19" s="673"/>
      <c r="EW19" s="81" t="s">
        <v>51</v>
      </c>
      <c r="EX19" s="18">
        <v>0.05</v>
      </c>
      <c r="EY19" s="18">
        <v>4.8000000000000001E-2</v>
      </c>
      <c r="EZ19" s="18">
        <v>4.8000000000000001E-2</v>
      </c>
      <c r="FA19" s="18">
        <v>5.1999999999999998E-2</v>
      </c>
      <c r="FB19" s="18">
        <v>4.8000000000000001E-2</v>
      </c>
      <c r="FC19" s="18">
        <v>5.2999999999999999E-2</v>
      </c>
      <c r="FD19" s="18">
        <v>4.9000000000000002E-2</v>
      </c>
      <c r="FE19" s="18">
        <v>4.8000000000000001E-2</v>
      </c>
      <c r="FF19" s="18">
        <v>4.8000000000000001E-2</v>
      </c>
      <c r="FG19" s="18">
        <v>4.9000000000000002E-2</v>
      </c>
      <c r="FH19" s="18">
        <v>0.05</v>
      </c>
      <c r="FI19" s="18">
        <v>4.8000000000000001E-2</v>
      </c>
      <c r="FK19" s="673"/>
      <c r="FL19" s="123" t="s">
        <v>51</v>
      </c>
      <c r="FM19" s="40">
        <v>5.0999999999999997E-2</v>
      </c>
      <c r="FN19" s="40">
        <v>4.9000000000000002E-2</v>
      </c>
      <c r="FO19" s="40">
        <v>4.8000000000000001E-2</v>
      </c>
      <c r="FP19" s="40">
        <v>4.7E-2</v>
      </c>
      <c r="FQ19" s="40">
        <v>5.0999999999999997E-2</v>
      </c>
      <c r="FR19" s="40">
        <v>4.8000000000000001E-2</v>
      </c>
      <c r="FS19" s="40">
        <v>6.4000000000000001E-2</v>
      </c>
      <c r="FT19" s="40">
        <v>5.8000000000000003E-2</v>
      </c>
      <c r="FU19" s="40">
        <v>4.8000000000000001E-2</v>
      </c>
      <c r="FV19" s="40">
        <v>0.05</v>
      </c>
      <c r="FW19" s="40">
        <v>5.2999999999999999E-2</v>
      </c>
      <c r="FX19" s="41">
        <v>4.8000000000000001E-2</v>
      </c>
    </row>
    <row r="20" spans="2:180" x14ac:dyDescent="0.25">
      <c r="B20" s="698" t="s">
        <v>125</v>
      </c>
      <c r="C20" s="150"/>
      <c r="D20" s="132">
        <v>1</v>
      </c>
      <c r="E20" s="132">
        <v>2</v>
      </c>
      <c r="F20" s="132">
        <v>3</v>
      </c>
      <c r="G20" s="132">
        <v>4</v>
      </c>
      <c r="H20" s="132">
        <v>5</v>
      </c>
      <c r="I20" s="132">
        <v>6</v>
      </c>
      <c r="J20" s="132">
        <v>7</v>
      </c>
      <c r="K20" s="132">
        <v>8</v>
      </c>
      <c r="L20" s="132">
        <v>9</v>
      </c>
      <c r="M20" s="132">
        <v>10</v>
      </c>
      <c r="N20" s="132">
        <v>11</v>
      </c>
      <c r="O20" s="133">
        <v>12</v>
      </c>
      <c r="Q20" s="698" t="s">
        <v>125</v>
      </c>
      <c r="R20" s="150"/>
      <c r="S20" s="132">
        <v>1</v>
      </c>
      <c r="T20" s="132">
        <v>2</v>
      </c>
      <c r="U20" s="132">
        <v>3</v>
      </c>
      <c r="V20" s="132">
        <v>4</v>
      </c>
      <c r="W20" s="132">
        <v>5</v>
      </c>
      <c r="X20" s="132">
        <v>6</v>
      </c>
      <c r="Y20" s="132">
        <v>7</v>
      </c>
      <c r="Z20" s="132">
        <v>8</v>
      </c>
      <c r="AA20" s="132">
        <v>9</v>
      </c>
      <c r="AB20" s="132">
        <v>10</v>
      </c>
      <c r="AC20" s="132">
        <v>11</v>
      </c>
      <c r="AD20" s="133">
        <v>12</v>
      </c>
      <c r="AF20" s="706" t="s">
        <v>125</v>
      </c>
      <c r="AG20" s="150"/>
      <c r="AH20" s="132">
        <v>1</v>
      </c>
      <c r="AI20" s="132">
        <v>2</v>
      </c>
      <c r="AJ20" s="132">
        <v>3</v>
      </c>
      <c r="AK20" s="132">
        <v>4</v>
      </c>
      <c r="AL20" s="132">
        <v>5</v>
      </c>
      <c r="AM20" s="132">
        <v>6</v>
      </c>
      <c r="AN20" s="132">
        <v>7</v>
      </c>
      <c r="AO20" s="132">
        <v>8</v>
      </c>
      <c r="AP20" s="132">
        <v>9</v>
      </c>
      <c r="AQ20" s="132">
        <v>10</v>
      </c>
      <c r="AR20" s="132">
        <v>11</v>
      </c>
      <c r="AS20" s="133">
        <v>12</v>
      </c>
      <c r="AU20" s="706" t="s">
        <v>125</v>
      </c>
      <c r="AV20" s="150"/>
      <c r="AW20" s="132">
        <v>1</v>
      </c>
      <c r="AX20" s="132">
        <v>2</v>
      </c>
      <c r="AY20" s="132">
        <v>3</v>
      </c>
      <c r="AZ20" s="132">
        <v>4</v>
      </c>
      <c r="BA20" s="132">
        <v>5</v>
      </c>
      <c r="BB20" s="132">
        <v>6</v>
      </c>
      <c r="BC20" s="132">
        <v>7</v>
      </c>
      <c r="BD20" s="132">
        <v>8</v>
      </c>
      <c r="BE20" s="132">
        <v>9</v>
      </c>
      <c r="BF20" s="132">
        <v>10</v>
      </c>
      <c r="BG20" s="132">
        <v>11</v>
      </c>
      <c r="BH20" s="133">
        <v>12</v>
      </c>
      <c r="BJ20" s="706" t="s">
        <v>125</v>
      </c>
      <c r="BK20" s="150"/>
      <c r="BL20" s="132">
        <v>1</v>
      </c>
      <c r="BM20" s="132">
        <v>2</v>
      </c>
      <c r="BN20" s="132">
        <v>3</v>
      </c>
      <c r="BO20" s="132">
        <v>4</v>
      </c>
      <c r="BP20" s="132">
        <v>5</v>
      </c>
      <c r="BQ20" s="132">
        <v>6</v>
      </c>
      <c r="BR20" s="132">
        <v>7</v>
      </c>
      <c r="BS20" s="132">
        <v>8</v>
      </c>
      <c r="BT20" s="132">
        <v>9</v>
      </c>
      <c r="BU20" s="132">
        <v>10</v>
      </c>
      <c r="BV20" s="132">
        <v>11</v>
      </c>
      <c r="BW20" s="133">
        <v>12</v>
      </c>
      <c r="BY20" s="706" t="s">
        <v>125</v>
      </c>
      <c r="BZ20" s="150"/>
      <c r="CA20" s="132">
        <v>1</v>
      </c>
      <c r="CB20" s="132">
        <v>2</v>
      </c>
      <c r="CC20" s="132">
        <v>3</v>
      </c>
      <c r="CD20" s="132">
        <v>4</v>
      </c>
      <c r="CE20" s="132">
        <v>5</v>
      </c>
      <c r="CF20" s="132">
        <v>6</v>
      </c>
      <c r="CG20" s="132">
        <v>7</v>
      </c>
      <c r="CH20" s="132">
        <v>8</v>
      </c>
      <c r="CI20" s="132">
        <v>9</v>
      </c>
      <c r="CJ20" s="132">
        <v>10</v>
      </c>
      <c r="CK20" s="132">
        <v>11</v>
      </c>
      <c r="CL20" s="133">
        <v>12</v>
      </c>
      <c r="CN20" s="707" t="s">
        <v>125</v>
      </c>
      <c r="CO20" s="124"/>
      <c r="CP20" s="42">
        <v>1</v>
      </c>
      <c r="CQ20" s="42">
        <v>2</v>
      </c>
      <c r="CR20" s="42">
        <v>3</v>
      </c>
      <c r="CS20" s="42">
        <v>4</v>
      </c>
      <c r="CT20" s="42">
        <v>5</v>
      </c>
      <c r="CU20" s="42">
        <v>6</v>
      </c>
      <c r="CV20" s="42">
        <v>7</v>
      </c>
      <c r="CW20" s="42">
        <v>8</v>
      </c>
      <c r="CX20" s="42">
        <v>9</v>
      </c>
      <c r="CY20" s="42">
        <v>10</v>
      </c>
      <c r="CZ20" s="42">
        <v>11</v>
      </c>
      <c r="DA20" s="43">
        <v>12</v>
      </c>
      <c r="DC20" s="707" t="s">
        <v>125</v>
      </c>
      <c r="DD20" s="150"/>
      <c r="DE20" s="132">
        <v>1</v>
      </c>
      <c r="DF20" s="132">
        <v>2</v>
      </c>
      <c r="DG20" s="132">
        <v>3</v>
      </c>
      <c r="DH20" s="132">
        <v>4</v>
      </c>
      <c r="DI20" s="132">
        <v>5</v>
      </c>
      <c r="DJ20" s="132">
        <v>6</v>
      </c>
      <c r="DK20" s="132">
        <v>7</v>
      </c>
      <c r="DL20" s="132">
        <v>8</v>
      </c>
      <c r="DM20" s="132">
        <v>9</v>
      </c>
      <c r="DN20" s="132">
        <v>10</v>
      </c>
      <c r="DO20" s="132">
        <v>11</v>
      </c>
      <c r="DP20" s="133">
        <v>12</v>
      </c>
      <c r="DR20" s="707" t="s">
        <v>125</v>
      </c>
      <c r="DS20" s="211"/>
      <c r="DT20" s="81">
        <v>1</v>
      </c>
      <c r="DU20" s="81">
        <v>2</v>
      </c>
      <c r="DV20" s="81">
        <v>3</v>
      </c>
      <c r="DW20" s="81">
        <v>4</v>
      </c>
      <c r="DX20" s="81">
        <v>5</v>
      </c>
      <c r="DY20" s="81">
        <v>6</v>
      </c>
      <c r="DZ20" s="81">
        <v>7</v>
      </c>
      <c r="EA20" s="81">
        <v>8</v>
      </c>
      <c r="EB20" s="81">
        <v>9</v>
      </c>
      <c r="EC20" s="81">
        <v>10</v>
      </c>
      <c r="ED20" s="81">
        <v>11</v>
      </c>
      <c r="EE20" s="81">
        <v>12</v>
      </c>
      <c r="EG20" s="707" t="s">
        <v>125</v>
      </c>
      <c r="EH20" s="150"/>
      <c r="EI20" s="132">
        <v>1</v>
      </c>
      <c r="EJ20" s="132">
        <v>2</v>
      </c>
      <c r="EK20" s="132">
        <v>3</v>
      </c>
      <c r="EL20" s="132">
        <v>4</v>
      </c>
      <c r="EM20" s="132">
        <v>5</v>
      </c>
      <c r="EN20" s="132">
        <v>6</v>
      </c>
      <c r="EO20" s="132">
        <v>7</v>
      </c>
      <c r="EP20" s="132">
        <v>8</v>
      </c>
      <c r="EQ20" s="132">
        <v>9</v>
      </c>
      <c r="ER20" s="132">
        <v>10</v>
      </c>
      <c r="ES20" s="132">
        <v>11</v>
      </c>
      <c r="ET20" s="133">
        <v>12</v>
      </c>
      <c r="EV20" s="707" t="s">
        <v>125</v>
      </c>
      <c r="EW20" s="150"/>
      <c r="EX20" s="132">
        <v>1</v>
      </c>
      <c r="EY20" s="132">
        <v>2</v>
      </c>
      <c r="EZ20" s="132">
        <v>3</v>
      </c>
      <c r="FA20" s="132">
        <v>4</v>
      </c>
      <c r="FB20" s="132">
        <v>5</v>
      </c>
      <c r="FC20" s="132">
        <v>6</v>
      </c>
      <c r="FD20" s="132">
        <v>7</v>
      </c>
      <c r="FE20" s="132">
        <v>8</v>
      </c>
      <c r="FF20" s="132">
        <v>9</v>
      </c>
      <c r="FG20" s="132">
        <v>10</v>
      </c>
      <c r="FH20" s="132">
        <v>11</v>
      </c>
      <c r="FI20" s="133">
        <v>12</v>
      </c>
      <c r="FK20" s="707" t="s">
        <v>125</v>
      </c>
      <c r="FL20" s="150"/>
      <c r="FM20" s="132">
        <v>1</v>
      </c>
      <c r="FN20" s="132">
        <v>2</v>
      </c>
      <c r="FO20" s="132">
        <v>3</v>
      </c>
      <c r="FP20" s="132">
        <v>4</v>
      </c>
      <c r="FQ20" s="132">
        <v>5</v>
      </c>
      <c r="FR20" s="132">
        <v>6</v>
      </c>
      <c r="FS20" s="132">
        <v>7</v>
      </c>
      <c r="FT20" s="132">
        <v>8</v>
      </c>
      <c r="FU20" s="132">
        <v>9</v>
      </c>
      <c r="FV20" s="132">
        <v>10</v>
      </c>
      <c r="FW20" s="132">
        <v>11</v>
      </c>
      <c r="FX20" s="133">
        <v>12</v>
      </c>
    </row>
    <row r="21" spans="2:180" x14ac:dyDescent="0.25">
      <c r="B21" s="699"/>
      <c r="C21" s="122" t="s">
        <v>44</v>
      </c>
      <c r="D21" s="154">
        <f>D3-D12</f>
        <v>-0.59800000000000009</v>
      </c>
      <c r="E21" s="154">
        <f t="shared" ref="E21:O21" si="0">E3-E12</f>
        <v>-0.58600000000000008</v>
      </c>
      <c r="F21" s="154">
        <f t="shared" si="0"/>
        <v>-0.58299999999999996</v>
      </c>
      <c r="G21" s="154">
        <f t="shared" si="0"/>
        <v>-0.57200000000000006</v>
      </c>
      <c r="H21" s="154">
        <f t="shared" si="0"/>
        <v>-0.55699999999999994</v>
      </c>
      <c r="I21" s="154">
        <f t="shared" si="0"/>
        <v>-0.54299999999999993</v>
      </c>
      <c r="J21" s="154">
        <f t="shared" si="0"/>
        <v>-0.53200000000000003</v>
      </c>
      <c r="K21" s="154">
        <f t="shared" si="0"/>
        <v>-0.52</v>
      </c>
      <c r="L21" s="154">
        <f t="shared" si="0"/>
        <v>-0.49299999999999994</v>
      </c>
      <c r="M21" s="154">
        <f t="shared" si="0"/>
        <v>-0.47</v>
      </c>
      <c r="N21" s="154">
        <f t="shared" si="0"/>
        <v>0</v>
      </c>
      <c r="O21" s="155">
        <f t="shared" si="0"/>
        <v>1.0000000000000009E-3</v>
      </c>
      <c r="Q21" s="699"/>
      <c r="R21" s="122" t="s">
        <v>44</v>
      </c>
      <c r="S21" s="154">
        <f>S3-S12</f>
        <v>-0.62199999999999989</v>
      </c>
      <c r="T21" s="154">
        <f t="shared" ref="T21:AD21" si="1">T3-T12</f>
        <v>-0.628</v>
      </c>
      <c r="U21" s="154">
        <f t="shared" si="1"/>
        <v>-0.54099999999999993</v>
      </c>
      <c r="V21" s="154">
        <f t="shared" si="1"/>
        <v>-0.61499999999999999</v>
      </c>
      <c r="W21" s="154">
        <f t="shared" si="1"/>
        <v>-0.61699999999999999</v>
      </c>
      <c r="X21" s="154">
        <f t="shared" si="1"/>
        <v>-0.59099999999999997</v>
      </c>
      <c r="Y21" s="154">
        <f t="shared" si="1"/>
        <v>-0.58000000000000007</v>
      </c>
      <c r="Z21" s="154">
        <f t="shared" si="1"/>
        <v>-0.56600000000000006</v>
      </c>
      <c r="AA21" s="154">
        <f t="shared" si="1"/>
        <v>-0.55000000000000004</v>
      </c>
      <c r="AB21" s="154">
        <f t="shared" si="1"/>
        <v>-0.52900000000000003</v>
      </c>
      <c r="AC21" s="154">
        <f t="shared" si="1"/>
        <v>1.0000000000000009E-3</v>
      </c>
      <c r="AD21" s="155">
        <f t="shared" si="1"/>
        <v>9.9999999999999395E-4</v>
      </c>
      <c r="AF21" s="707"/>
      <c r="AG21" s="122" t="s">
        <v>44</v>
      </c>
      <c r="AH21" s="154">
        <f>AH3-AH12</f>
        <v>-0.58400000000000007</v>
      </c>
      <c r="AI21" s="154">
        <f t="shared" ref="AI21:AS21" si="2">AI3-AI12</f>
        <v>-0.61399999999999999</v>
      </c>
      <c r="AJ21" s="154">
        <f t="shared" si="2"/>
        <v>-0.60799999999999998</v>
      </c>
      <c r="AK21" s="154">
        <f t="shared" si="2"/>
        <v>-0.61499999999999999</v>
      </c>
      <c r="AL21" s="154">
        <f t="shared" si="2"/>
        <v>-0.59499999999999997</v>
      </c>
      <c r="AM21" s="154">
        <f t="shared" si="2"/>
        <v>-0.57600000000000007</v>
      </c>
      <c r="AN21" s="154">
        <f t="shared" si="2"/>
        <v>-0.56900000000000006</v>
      </c>
      <c r="AO21" s="154">
        <f t="shared" si="2"/>
        <v>-0.56800000000000006</v>
      </c>
      <c r="AP21" s="154">
        <f t="shared" si="2"/>
        <v>-0.53900000000000003</v>
      </c>
      <c r="AQ21" s="154">
        <f t="shared" si="2"/>
        <v>-0.51600000000000001</v>
      </c>
      <c r="AR21" s="154">
        <f t="shared" si="2"/>
        <v>1.0000000000000009E-3</v>
      </c>
      <c r="AS21" s="155">
        <f t="shared" si="2"/>
        <v>1.0000000000000009E-3</v>
      </c>
      <c r="AU21" s="707"/>
      <c r="AV21" s="122" t="s">
        <v>44</v>
      </c>
      <c r="AW21" s="154">
        <f>AW3-AW12</f>
        <v>-0.621</v>
      </c>
      <c r="AX21" s="154">
        <f t="shared" ref="AX21:BH21" si="3">AX3-AX12</f>
        <v>-0.61899999999999999</v>
      </c>
      <c r="AY21" s="154">
        <f t="shared" si="3"/>
        <v>-0.59400000000000008</v>
      </c>
      <c r="AZ21" s="154">
        <f t="shared" si="3"/>
        <v>-0.60599999999999998</v>
      </c>
      <c r="BA21" s="154">
        <f t="shared" si="3"/>
        <v>-0.58800000000000008</v>
      </c>
      <c r="BB21" s="154">
        <f t="shared" si="3"/>
        <v>-0.58200000000000007</v>
      </c>
      <c r="BC21" s="154">
        <f t="shared" si="3"/>
        <v>-0.57600000000000007</v>
      </c>
      <c r="BD21" s="154">
        <f t="shared" si="3"/>
        <v>-0.56300000000000006</v>
      </c>
      <c r="BE21" s="154">
        <f t="shared" si="3"/>
        <v>-0.54600000000000004</v>
      </c>
      <c r="BF21" s="154">
        <f t="shared" si="3"/>
        <v>-0.52800000000000002</v>
      </c>
      <c r="BG21" s="154">
        <f t="shared" si="3"/>
        <v>1.0000000000000009E-3</v>
      </c>
      <c r="BH21" s="155">
        <f t="shared" si="3"/>
        <v>0</v>
      </c>
      <c r="BJ21" s="707"/>
      <c r="BK21" s="122" t="s">
        <v>44</v>
      </c>
      <c r="BL21" s="18">
        <f>BL3-BL12</f>
        <v>-0.61399999999999988</v>
      </c>
      <c r="BM21" s="18">
        <f t="shared" ref="BM21:BW21" si="4">BM3-BM12</f>
        <v>-0.60699999999999998</v>
      </c>
      <c r="BN21" s="18">
        <f t="shared" si="4"/>
        <v>-0.60099999999999998</v>
      </c>
      <c r="BO21" s="18">
        <f t="shared" si="4"/>
        <v>-0.59099999999999997</v>
      </c>
      <c r="BP21" s="18">
        <f t="shared" si="4"/>
        <v>-0.58100000000000007</v>
      </c>
      <c r="BQ21" s="18">
        <f t="shared" si="4"/>
        <v>-0.57100000000000006</v>
      </c>
      <c r="BR21" s="18">
        <f t="shared" si="4"/>
        <v>-0.56200000000000006</v>
      </c>
      <c r="BS21" s="18">
        <f t="shared" si="4"/>
        <v>-0.54800000000000004</v>
      </c>
      <c r="BT21" s="18">
        <f t="shared" si="4"/>
        <v>-0.52600000000000002</v>
      </c>
      <c r="BU21" s="18">
        <f t="shared" si="4"/>
        <v>-0.51200000000000001</v>
      </c>
      <c r="BV21" s="18">
        <f t="shared" si="4"/>
        <v>1.0000000000000009E-3</v>
      </c>
      <c r="BW21" s="39">
        <f t="shared" si="4"/>
        <v>1.0000000000000009E-3</v>
      </c>
      <c r="BY21" s="707"/>
      <c r="BZ21" s="122" t="s">
        <v>44</v>
      </c>
      <c r="CA21" s="18">
        <f>CA3-CA12</f>
        <v>-0.64599999999999991</v>
      </c>
      <c r="CB21" s="18">
        <f t="shared" ref="CB21:CL21" si="5">CB3-CB12</f>
        <v>-0.63700000000000001</v>
      </c>
      <c r="CC21" s="18">
        <f t="shared" si="5"/>
        <v>-0.63900000000000001</v>
      </c>
      <c r="CD21" s="18">
        <f t="shared" si="5"/>
        <v>-0.629</v>
      </c>
      <c r="CE21" s="18">
        <f t="shared" si="5"/>
        <v>-0.61199999999999988</v>
      </c>
      <c r="CF21" s="18">
        <f t="shared" si="5"/>
        <v>-0.59999999999999987</v>
      </c>
      <c r="CG21" s="18">
        <f t="shared" si="5"/>
        <v>-0.59000000000000008</v>
      </c>
      <c r="CH21" s="18">
        <f t="shared" si="5"/>
        <v>-0.57200000000000006</v>
      </c>
      <c r="CI21" s="18">
        <f t="shared" si="5"/>
        <v>-0.55200000000000005</v>
      </c>
      <c r="CJ21" s="18">
        <f t="shared" si="5"/>
        <v>-0.54</v>
      </c>
      <c r="CK21" s="18">
        <f t="shared" si="5"/>
        <v>1.0000000000000009E-3</v>
      </c>
      <c r="CL21" s="39">
        <f t="shared" si="5"/>
        <v>1.0000000000000009E-3</v>
      </c>
      <c r="CN21" s="707"/>
      <c r="CO21" s="122" t="s">
        <v>44</v>
      </c>
      <c r="CP21" s="18">
        <f>CP3-CP12</f>
        <v>-0.628</v>
      </c>
      <c r="CQ21" s="18">
        <f t="shared" ref="CQ21:DA21" si="6">CQ3-CQ12</f>
        <v>-0.621</v>
      </c>
      <c r="CR21" s="18">
        <f t="shared" si="6"/>
        <v>-0.61199999999999988</v>
      </c>
      <c r="CS21" s="18">
        <f t="shared" si="6"/>
        <v>-0.60799999999999998</v>
      </c>
      <c r="CT21" s="18">
        <f t="shared" si="6"/>
        <v>-0.59299999999999997</v>
      </c>
      <c r="CU21" s="18">
        <f t="shared" si="6"/>
        <v>-0.58899999999999997</v>
      </c>
      <c r="CV21" s="18">
        <f t="shared" si="6"/>
        <v>-0.57100000000000006</v>
      </c>
      <c r="CW21" s="18">
        <f t="shared" si="6"/>
        <v>-0.56000000000000005</v>
      </c>
      <c r="CX21" s="18">
        <f t="shared" si="6"/>
        <v>-0.54400000000000004</v>
      </c>
      <c r="CY21" s="18">
        <f t="shared" si="6"/>
        <v>-0.52200000000000002</v>
      </c>
      <c r="CZ21" s="18">
        <f t="shared" si="6"/>
        <v>1.0000000000000009E-3</v>
      </c>
      <c r="DA21" s="39">
        <f t="shared" si="6"/>
        <v>1.0000000000000009E-3</v>
      </c>
      <c r="DC21" s="707"/>
      <c r="DD21" s="122" t="s">
        <v>44</v>
      </c>
      <c r="DE21" s="18">
        <f>DE3-DE12</f>
        <v>-0.318</v>
      </c>
      <c r="DF21" s="18">
        <f t="shared" ref="DF21:DP21" si="7">DF3-DF12</f>
        <v>-0.32100000000000001</v>
      </c>
      <c r="DG21" s="18">
        <f t="shared" si="7"/>
        <v>-0.32</v>
      </c>
      <c r="DH21" s="18">
        <f t="shared" si="7"/>
        <v>-0.3</v>
      </c>
      <c r="DI21" s="18">
        <f t="shared" si="7"/>
        <v>-0.28899999999999998</v>
      </c>
      <c r="DJ21" s="18">
        <f t="shared" si="7"/>
        <v>-0.27799999999999997</v>
      </c>
      <c r="DK21" s="18">
        <f t="shared" si="7"/>
        <v>-0.26600000000000001</v>
      </c>
      <c r="DL21" s="18">
        <f t="shared" si="7"/>
        <v>-0.25</v>
      </c>
      <c r="DM21" s="18">
        <f t="shared" si="7"/>
        <v>-0.22800000000000001</v>
      </c>
      <c r="DN21" s="18">
        <f t="shared" si="7"/>
        <v>-0.21199999999999999</v>
      </c>
      <c r="DO21" s="18">
        <f t="shared" si="7"/>
        <v>0</v>
      </c>
      <c r="DP21" s="39">
        <f t="shared" si="7"/>
        <v>1.0000000000000009E-3</v>
      </c>
      <c r="DR21" s="707"/>
      <c r="DS21" s="81" t="s">
        <v>44</v>
      </c>
      <c r="DT21" s="18">
        <f>DT3-DT12</f>
        <v>-0.61199999999999988</v>
      </c>
      <c r="DU21" s="18">
        <f t="shared" ref="DU21:EE21" si="8">DU3-DU12</f>
        <v>-0.60599999999999987</v>
      </c>
      <c r="DV21" s="18">
        <f t="shared" si="8"/>
        <v>-0.60399999999999987</v>
      </c>
      <c r="DW21" s="18">
        <f t="shared" si="8"/>
        <v>-0.59299999999999997</v>
      </c>
      <c r="DX21" s="18">
        <f t="shared" si="8"/>
        <v>-0.57800000000000007</v>
      </c>
      <c r="DY21" s="18">
        <f t="shared" si="8"/>
        <v>-0.56600000000000006</v>
      </c>
      <c r="DZ21" s="18">
        <f t="shared" si="8"/>
        <v>-0.55700000000000005</v>
      </c>
      <c r="EA21" s="18">
        <f t="shared" si="8"/>
        <v>-0.54700000000000004</v>
      </c>
      <c r="EB21" s="18">
        <f t="shared" si="8"/>
        <v>-0.52400000000000002</v>
      </c>
      <c r="EC21" s="18">
        <f t="shared" si="8"/>
        <v>-0.505</v>
      </c>
      <c r="ED21" s="18">
        <f t="shared" si="8"/>
        <v>0</v>
      </c>
      <c r="EE21" s="18">
        <f t="shared" si="8"/>
        <v>0</v>
      </c>
      <c r="EG21" s="707"/>
      <c r="EH21" s="122" t="s">
        <v>44</v>
      </c>
      <c r="EI21" s="18">
        <f>EI3-EI12</f>
        <v>-0.61599999999999988</v>
      </c>
      <c r="EJ21" s="18">
        <f t="shared" ref="EJ21:ET21" si="9">EJ3-EJ12</f>
        <v>-0.60699999999999998</v>
      </c>
      <c r="EK21" s="18">
        <f t="shared" si="9"/>
        <v>-0.60000000000000009</v>
      </c>
      <c r="EL21" s="18">
        <f t="shared" si="9"/>
        <v>-0.59400000000000008</v>
      </c>
      <c r="EM21" s="18">
        <f t="shared" si="9"/>
        <v>-0.57699999999999996</v>
      </c>
      <c r="EN21" s="18">
        <f t="shared" si="9"/>
        <v>-0.56600000000000006</v>
      </c>
      <c r="EO21" s="18">
        <f t="shared" si="9"/>
        <v>-0.55800000000000005</v>
      </c>
      <c r="EP21" s="18">
        <f t="shared" si="9"/>
        <v>-0.53900000000000003</v>
      </c>
      <c r="EQ21" s="18">
        <f t="shared" si="9"/>
        <v>-0.52</v>
      </c>
      <c r="ER21" s="18">
        <f t="shared" si="9"/>
        <v>-0.504</v>
      </c>
      <c r="ES21" s="18">
        <f t="shared" si="9"/>
        <v>0</v>
      </c>
      <c r="ET21" s="39">
        <f t="shared" si="9"/>
        <v>0</v>
      </c>
      <c r="EV21" s="707"/>
      <c r="EW21" s="122" t="s">
        <v>44</v>
      </c>
      <c r="EX21" s="18">
        <f>EX3-EX12</f>
        <v>-0.60899999999999999</v>
      </c>
      <c r="EY21" s="18">
        <f t="shared" ref="EY21:FI21" si="10">EY3-EY12</f>
        <v>-0.61599999999999988</v>
      </c>
      <c r="EZ21" s="18">
        <f t="shared" si="10"/>
        <v>-0.59899999999999998</v>
      </c>
      <c r="FA21" s="18">
        <f t="shared" si="10"/>
        <v>-0.59799999999999986</v>
      </c>
      <c r="FB21" s="18">
        <f t="shared" si="10"/>
        <v>-0.57499999999999996</v>
      </c>
      <c r="FC21" s="18">
        <f t="shared" si="10"/>
        <v>-0.56499999999999995</v>
      </c>
      <c r="FD21" s="18">
        <f t="shared" si="10"/>
        <v>-0.55899999999999994</v>
      </c>
      <c r="FE21" s="18">
        <f t="shared" si="10"/>
        <v>-0.53</v>
      </c>
      <c r="FF21" s="18">
        <f t="shared" si="10"/>
        <v>-0.51700000000000002</v>
      </c>
      <c r="FG21" s="18">
        <f t="shared" si="10"/>
        <v>-0.495</v>
      </c>
      <c r="FH21" s="18">
        <f t="shared" si="10"/>
        <v>1.0000000000000009E-3</v>
      </c>
      <c r="FI21" s="39">
        <f t="shared" si="10"/>
        <v>0</v>
      </c>
      <c r="FK21" s="707"/>
      <c r="FL21" s="122" t="s">
        <v>44</v>
      </c>
      <c r="FM21" s="18">
        <f>FM3-FM12</f>
        <v>-0.62199999999999989</v>
      </c>
      <c r="FN21" s="18">
        <f t="shared" ref="FN21:FX21" si="11">FN3-FN12</f>
        <v>-0.61499999999999999</v>
      </c>
      <c r="FO21" s="18">
        <f t="shared" si="11"/>
        <v>-0.61499999999999999</v>
      </c>
      <c r="FP21" s="18">
        <f t="shared" si="11"/>
        <v>-0.60199999999999987</v>
      </c>
      <c r="FQ21" s="18">
        <f t="shared" si="11"/>
        <v>-0.58600000000000008</v>
      </c>
      <c r="FR21" s="18">
        <f t="shared" si="11"/>
        <v>-0.57699999999999996</v>
      </c>
      <c r="FS21" s="18">
        <f t="shared" si="11"/>
        <v>-0.56800000000000006</v>
      </c>
      <c r="FT21" s="18">
        <f t="shared" si="11"/>
        <v>-0.55400000000000005</v>
      </c>
      <c r="FU21" s="18">
        <f t="shared" si="11"/>
        <v>-0.53500000000000003</v>
      </c>
      <c r="FV21" s="18">
        <f t="shared" si="11"/>
        <v>-0.50800000000000001</v>
      </c>
      <c r="FW21" s="18">
        <f t="shared" si="11"/>
        <v>1.0000000000000009E-3</v>
      </c>
      <c r="FX21" s="39">
        <f t="shared" si="11"/>
        <v>1.0000000000000009E-3</v>
      </c>
    </row>
    <row r="22" spans="2:180" x14ac:dyDescent="0.25">
      <c r="B22" s="699"/>
      <c r="C22" s="122" t="s">
        <v>45</v>
      </c>
      <c r="D22" s="154">
        <f t="shared" ref="D22:O28" si="12">D4-D13</f>
        <v>-0.57299999999999995</v>
      </c>
      <c r="E22" s="154">
        <f t="shared" si="12"/>
        <v>-0.58899999999999997</v>
      </c>
      <c r="F22" s="154">
        <f t="shared" si="12"/>
        <v>-0.58000000000000007</v>
      </c>
      <c r="G22" s="154">
        <f t="shared" si="12"/>
        <v>-0.56600000000000006</v>
      </c>
      <c r="H22" s="154">
        <f t="shared" si="12"/>
        <v>-0.54499999999999993</v>
      </c>
      <c r="I22" s="154">
        <f t="shared" si="12"/>
        <v>-0.54400000000000004</v>
      </c>
      <c r="J22" s="154">
        <f t="shared" si="12"/>
        <v>-0.53</v>
      </c>
      <c r="K22" s="154">
        <f t="shared" si="12"/>
        <v>-0.52600000000000002</v>
      </c>
      <c r="L22" s="154">
        <f t="shared" si="12"/>
        <v>-0.49299999999999994</v>
      </c>
      <c r="M22" s="154">
        <f t="shared" si="12"/>
        <v>-0.46899999999999997</v>
      </c>
      <c r="N22" s="154">
        <f t="shared" si="12"/>
        <v>1.0000000000000009E-3</v>
      </c>
      <c r="O22" s="155">
        <f t="shared" si="12"/>
        <v>0</v>
      </c>
      <c r="Q22" s="699"/>
      <c r="R22" s="122" t="s">
        <v>45</v>
      </c>
      <c r="S22" s="154">
        <f t="shared" ref="S22:S28" si="13">S4-S13</f>
        <v>-0.62199999999999989</v>
      </c>
      <c r="T22" s="154">
        <f t="shared" ref="T22:AD22" si="14">T4-T13</f>
        <v>-0.625</v>
      </c>
      <c r="U22" s="154">
        <f t="shared" si="14"/>
        <v>-0.52499999999999991</v>
      </c>
      <c r="V22" s="154">
        <f t="shared" si="14"/>
        <v>-0.63100000000000001</v>
      </c>
      <c r="W22" s="154">
        <f t="shared" si="14"/>
        <v>-0.59100000000000008</v>
      </c>
      <c r="X22" s="154">
        <f t="shared" si="14"/>
        <v>-0.58500000000000008</v>
      </c>
      <c r="Y22" s="154">
        <f t="shared" si="14"/>
        <v>-0.57200000000000006</v>
      </c>
      <c r="Z22" s="154">
        <f t="shared" si="14"/>
        <v>-0.56300000000000006</v>
      </c>
      <c r="AA22" s="154">
        <f t="shared" si="14"/>
        <v>-0.54300000000000004</v>
      </c>
      <c r="AB22" s="154">
        <f t="shared" si="14"/>
        <v>-0.52200000000000002</v>
      </c>
      <c r="AC22" s="154">
        <f t="shared" si="14"/>
        <v>1.0000000000000009E-3</v>
      </c>
      <c r="AD22" s="155">
        <f t="shared" si="14"/>
        <v>1.0000000000000009E-3</v>
      </c>
      <c r="AF22" s="707"/>
      <c r="AG22" s="122" t="s">
        <v>45</v>
      </c>
      <c r="AH22" s="154">
        <f t="shared" ref="AH22:AS28" si="15">AH4-AH13</f>
        <v>-0.61299999999999999</v>
      </c>
      <c r="AI22" s="154">
        <f t="shared" si="15"/>
        <v>-0.60799999999999998</v>
      </c>
      <c r="AJ22" s="154">
        <f t="shared" si="15"/>
        <v>-0.60799999999999998</v>
      </c>
      <c r="AK22" s="154">
        <f t="shared" si="15"/>
        <v>-0.60399999999999998</v>
      </c>
      <c r="AL22" s="154">
        <f t="shared" si="15"/>
        <v>-0.58799999999999997</v>
      </c>
      <c r="AM22" s="154">
        <f t="shared" si="15"/>
        <v>-0.57600000000000007</v>
      </c>
      <c r="AN22" s="154">
        <f t="shared" si="15"/>
        <v>-0.56500000000000006</v>
      </c>
      <c r="AO22" s="154">
        <f t="shared" si="15"/>
        <v>-0.55700000000000005</v>
      </c>
      <c r="AP22" s="154">
        <f t="shared" si="15"/>
        <v>-0.53600000000000003</v>
      </c>
      <c r="AQ22" s="154">
        <f t="shared" si="15"/>
        <v>-0.51500000000000001</v>
      </c>
      <c r="AR22" s="154">
        <f t="shared" si="15"/>
        <v>1.0000000000000009E-3</v>
      </c>
      <c r="AS22" s="155">
        <f t="shared" si="15"/>
        <v>1.0000000000000009E-3</v>
      </c>
      <c r="AU22" s="707"/>
      <c r="AV22" s="122" t="s">
        <v>45</v>
      </c>
      <c r="AW22" s="154">
        <f t="shared" ref="AW22:BH22" si="16">AW4-AW13</f>
        <v>-0.61699999999999999</v>
      </c>
      <c r="AX22" s="154">
        <f t="shared" si="16"/>
        <v>-0.61599999999999988</v>
      </c>
      <c r="AY22" s="154">
        <f t="shared" si="16"/>
        <v>-0.60699999999999998</v>
      </c>
      <c r="AZ22" s="154">
        <f t="shared" si="16"/>
        <v>-0.60099999999999998</v>
      </c>
      <c r="BA22" s="154">
        <f t="shared" si="16"/>
        <v>-0.59199999999999997</v>
      </c>
      <c r="BB22" s="154">
        <f t="shared" si="16"/>
        <v>-0.58100000000000007</v>
      </c>
      <c r="BC22" s="154">
        <f t="shared" si="16"/>
        <v>-0.57400000000000007</v>
      </c>
      <c r="BD22" s="154">
        <f t="shared" si="16"/>
        <v>-0.55900000000000005</v>
      </c>
      <c r="BE22" s="154">
        <f t="shared" si="16"/>
        <v>-0.54700000000000004</v>
      </c>
      <c r="BF22" s="154">
        <f t="shared" si="16"/>
        <v>-0.52400000000000002</v>
      </c>
      <c r="BG22" s="154">
        <f t="shared" si="16"/>
        <v>0</v>
      </c>
      <c r="BH22" s="155">
        <f t="shared" si="16"/>
        <v>0</v>
      </c>
      <c r="BJ22" s="707"/>
      <c r="BK22" s="122" t="s">
        <v>45</v>
      </c>
      <c r="BL22" s="18">
        <f t="shared" ref="BL22:BL28" si="17">BL4-BL13</f>
        <v>-0.53499999999999992</v>
      </c>
      <c r="BM22" s="18">
        <f t="shared" ref="BM22:BW22" si="18">BM4-BM13</f>
        <v>-0.53099999999999992</v>
      </c>
      <c r="BN22" s="18">
        <f t="shared" si="18"/>
        <v>-0.53</v>
      </c>
      <c r="BO22" s="18">
        <f t="shared" si="18"/>
        <v>-0.51800000000000002</v>
      </c>
      <c r="BP22" s="18">
        <f t="shared" si="18"/>
        <v>-0.502</v>
      </c>
      <c r="BQ22" s="18">
        <f t="shared" si="18"/>
        <v>-0.49300000000000005</v>
      </c>
      <c r="BR22" s="18">
        <f t="shared" si="18"/>
        <v>-0.48400000000000004</v>
      </c>
      <c r="BS22" s="18">
        <f t="shared" si="18"/>
        <v>-0.47200000000000003</v>
      </c>
      <c r="BT22" s="18">
        <f t="shared" si="18"/>
        <v>-0.45100000000000001</v>
      </c>
      <c r="BU22" s="18">
        <f t="shared" si="18"/>
        <v>-0.433</v>
      </c>
      <c r="BV22" s="18">
        <f t="shared" si="18"/>
        <v>1.0000000000000009E-3</v>
      </c>
      <c r="BW22" s="39">
        <f t="shared" si="18"/>
        <v>1.0000000000000009E-3</v>
      </c>
      <c r="BY22" s="707"/>
      <c r="BZ22" s="122" t="s">
        <v>45</v>
      </c>
      <c r="CA22" s="18">
        <f t="shared" ref="CA22:CL28" si="19">CA4-CA13</f>
        <v>-0.64900000000000002</v>
      </c>
      <c r="CB22" s="18">
        <f t="shared" si="19"/>
        <v>-0.64400000000000002</v>
      </c>
      <c r="CC22" s="18">
        <f t="shared" si="19"/>
        <v>-0.6379999999999999</v>
      </c>
      <c r="CD22" s="18">
        <f t="shared" si="19"/>
        <v>-0.625</v>
      </c>
      <c r="CE22" s="18">
        <f t="shared" si="19"/>
        <v>-0.60799999999999987</v>
      </c>
      <c r="CF22" s="18">
        <f t="shared" si="19"/>
        <v>-0.59799999999999998</v>
      </c>
      <c r="CG22" s="18">
        <f t="shared" si="19"/>
        <v>-0.59200000000000008</v>
      </c>
      <c r="CH22" s="18">
        <f t="shared" si="19"/>
        <v>-0.57100000000000006</v>
      </c>
      <c r="CI22" s="18">
        <f t="shared" si="19"/>
        <v>-0.55400000000000005</v>
      </c>
      <c r="CJ22" s="18">
        <f t="shared" si="19"/>
        <v>-0.53600000000000003</v>
      </c>
      <c r="CK22" s="18">
        <f t="shared" si="19"/>
        <v>1.0000000000000009E-3</v>
      </c>
      <c r="CL22" s="39">
        <f t="shared" si="19"/>
        <v>1.0000000000000009E-3</v>
      </c>
      <c r="CN22" s="707"/>
      <c r="CO22" s="122" t="s">
        <v>45</v>
      </c>
      <c r="CP22" s="18">
        <f t="shared" ref="CP22:DA22" si="20">CP4-CP13</f>
        <v>-0.626</v>
      </c>
      <c r="CQ22" s="18">
        <f t="shared" si="20"/>
        <v>-0.628</v>
      </c>
      <c r="CR22" s="18">
        <f t="shared" si="20"/>
        <v>-0.57099999999999995</v>
      </c>
      <c r="CS22" s="18">
        <f t="shared" si="20"/>
        <v>-0.60599999999999998</v>
      </c>
      <c r="CT22" s="18">
        <f t="shared" si="20"/>
        <v>-0.59299999999999997</v>
      </c>
      <c r="CU22" s="18">
        <f t="shared" si="20"/>
        <v>-0.58699999999999997</v>
      </c>
      <c r="CV22" s="18">
        <f t="shared" si="20"/>
        <v>-0.57900000000000007</v>
      </c>
      <c r="CW22" s="18">
        <f t="shared" si="20"/>
        <v>-0.55900000000000005</v>
      </c>
      <c r="CX22" s="18">
        <f t="shared" si="20"/>
        <v>-0.54100000000000004</v>
      </c>
      <c r="CY22" s="18">
        <f t="shared" si="20"/>
        <v>-0.52600000000000002</v>
      </c>
      <c r="CZ22" s="18">
        <f t="shared" si="20"/>
        <v>0</v>
      </c>
      <c r="DA22" s="39">
        <f t="shared" si="20"/>
        <v>1.0000000000000009E-3</v>
      </c>
      <c r="DC22" s="707"/>
      <c r="DD22" s="122" t="s">
        <v>45</v>
      </c>
      <c r="DE22" s="18">
        <f t="shared" ref="DE22:DP22" si="21">DE4-DE13</f>
        <v>-0.32900000000000001</v>
      </c>
      <c r="DF22" s="18">
        <f t="shared" si="21"/>
        <v>-0.33</v>
      </c>
      <c r="DG22" s="18">
        <f t="shared" si="21"/>
        <v>-0.32400000000000001</v>
      </c>
      <c r="DH22" s="18">
        <f t="shared" si="21"/>
        <v>-0.311</v>
      </c>
      <c r="DI22" s="18">
        <f t="shared" si="21"/>
        <v>-0.29299999999999998</v>
      </c>
      <c r="DJ22" s="18">
        <f t="shared" si="21"/>
        <v>-0.28599999999999998</v>
      </c>
      <c r="DK22" s="18">
        <f t="shared" si="21"/>
        <v>-0.26999999999999996</v>
      </c>
      <c r="DL22" s="18">
        <f t="shared" si="21"/>
        <v>-0.25</v>
      </c>
      <c r="DM22" s="18">
        <f t="shared" si="21"/>
        <v>-0.23800000000000002</v>
      </c>
      <c r="DN22" s="18">
        <f t="shared" si="21"/>
        <v>-0.216</v>
      </c>
      <c r="DO22" s="18">
        <f t="shared" si="21"/>
        <v>1.0000000000000009E-3</v>
      </c>
      <c r="DP22" s="39">
        <f t="shared" si="21"/>
        <v>1.0000000000000009E-3</v>
      </c>
      <c r="DR22" s="707"/>
      <c r="DS22" s="81" t="s">
        <v>45</v>
      </c>
      <c r="DT22" s="18">
        <f t="shared" ref="DT22:DT28" si="22">DT4-DT13</f>
        <v>-0.61099999999999999</v>
      </c>
      <c r="DU22" s="18">
        <f t="shared" ref="DU22:EE22" si="23">DU4-DU13</f>
        <v>-0.61199999999999988</v>
      </c>
      <c r="DV22" s="18">
        <f t="shared" si="23"/>
        <v>-0.60499999999999998</v>
      </c>
      <c r="DW22" s="18">
        <f t="shared" si="23"/>
        <v>-0.59499999999999997</v>
      </c>
      <c r="DX22" s="18">
        <f t="shared" si="23"/>
        <v>-0.57700000000000007</v>
      </c>
      <c r="DY22" s="18">
        <f t="shared" si="23"/>
        <v>-0.57000000000000006</v>
      </c>
      <c r="DZ22" s="18">
        <f t="shared" si="23"/>
        <v>-0.55900000000000005</v>
      </c>
      <c r="EA22" s="18">
        <f t="shared" si="23"/>
        <v>-0.54</v>
      </c>
      <c r="EB22" s="18">
        <f t="shared" si="23"/>
        <v>-0.52900000000000003</v>
      </c>
      <c r="EC22" s="18">
        <f t="shared" si="23"/>
        <v>-0.504</v>
      </c>
      <c r="ED22" s="18">
        <f t="shared" si="23"/>
        <v>1.0000000000000009E-3</v>
      </c>
      <c r="EE22" s="18">
        <f t="shared" si="23"/>
        <v>1.0000000000000009E-3</v>
      </c>
      <c r="EG22" s="707"/>
      <c r="EH22" s="122" t="s">
        <v>45</v>
      </c>
      <c r="EI22" s="18">
        <f t="shared" ref="EI22:ET28" si="24">EI4-EI13</f>
        <v>-0.61099999999999999</v>
      </c>
      <c r="EJ22" s="18">
        <f t="shared" si="24"/>
        <v>-0.60799999999999987</v>
      </c>
      <c r="EK22" s="18">
        <f t="shared" si="24"/>
        <v>-0.60299999999999998</v>
      </c>
      <c r="EL22" s="18">
        <f t="shared" si="24"/>
        <v>-0.58899999999999997</v>
      </c>
      <c r="EM22" s="18">
        <f t="shared" si="24"/>
        <v>-0.57600000000000007</v>
      </c>
      <c r="EN22" s="18">
        <f t="shared" si="24"/>
        <v>-0.56899999999999995</v>
      </c>
      <c r="EO22" s="18">
        <f t="shared" si="24"/>
        <v>-0.55900000000000005</v>
      </c>
      <c r="EP22" s="18">
        <f t="shared" si="24"/>
        <v>-0.54200000000000004</v>
      </c>
      <c r="EQ22" s="18">
        <f t="shared" si="24"/>
        <v>-0.52600000000000002</v>
      </c>
      <c r="ER22" s="18">
        <f t="shared" si="24"/>
        <v>-0.503</v>
      </c>
      <c r="ES22" s="18">
        <f t="shared" si="24"/>
        <v>0</v>
      </c>
      <c r="ET22" s="39">
        <f t="shared" si="24"/>
        <v>0</v>
      </c>
      <c r="EV22" s="707"/>
      <c r="EW22" s="122" t="s">
        <v>45</v>
      </c>
      <c r="EX22" s="18">
        <f t="shared" ref="EX22:FI22" si="25">EX4-EX13</f>
        <v>-0.60899999999999999</v>
      </c>
      <c r="EY22" s="18">
        <f t="shared" si="25"/>
        <v>-0.59899999999999998</v>
      </c>
      <c r="EZ22" s="18">
        <f t="shared" si="25"/>
        <v>-0.59899999999999998</v>
      </c>
      <c r="FA22" s="18">
        <f t="shared" si="25"/>
        <v>-0.58800000000000008</v>
      </c>
      <c r="FB22" s="18">
        <f t="shared" si="25"/>
        <v>-0.57600000000000007</v>
      </c>
      <c r="FC22" s="18">
        <f t="shared" si="25"/>
        <v>-0.56099999999999994</v>
      </c>
      <c r="FD22" s="18">
        <f t="shared" si="25"/>
        <v>-0.54600000000000004</v>
      </c>
      <c r="FE22" s="18">
        <f t="shared" si="25"/>
        <v>-0.52400000000000002</v>
      </c>
      <c r="FF22" s="18">
        <f t="shared" si="25"/>
        <v>-0.47600000000000003</v>
      </c>
      <c r="FG22" s="18">
        <f t="shared" si="25"/>
        <v>-0.49399999999999999</v>
      </c>
      <c r="FH22" s="18">
        <f t="shared" si="25"/>
        <v>0</v>
      </c>
      <c r="FI22" s="39">
        <f t="shared" si="25"/>
        <v>0</v>
      </c>
      <c r="FK22" s="707"/>
      <c r="FL22" s="122" t="s">
        <v>45</v>
      </c>
      <c r="FM22" s="18">
        <f t="shared" ref="FM22:FX22" si="26">FM4-FM13</f>
        <v>-0.621</v>
      </c>
      <c r="FN22" s="18">
        <f t="shared" si="26"/>
        <v>-0.61799999999999988</v>
      </c>
      <c r="FO22" s="18">
        <f t="shared" si="26"/>
        <v>-0.61299999999999999</v>
      </c>
      <c r="FP22" s="18">
        <f t="shared" si="26"/>
        <v>-0.60499999999999998</v>
      </c>
      <c r="FQ22" s="18">
        <f t="shared" si="26"/>
        <v>-0.58900000000000008</v>
      </c>
      <c r="FR22" s="18">
        <f t="shared" si="26"/>
        <v>-0.58100000000000007</v>
      </c>
      <c r="FS22" s="18">
        <f t="shared" si="26"/>
        <v>-0.56900000000000006</v>
      </c>
      <c r="FT22" s="18">
        <f t="shared" si="26"/>
        <v>-0.55000000000000004</v>
      </c>
      <c r="FU22" s="18">
        <f t="shared" si="26"/>
        <v>-0.53600000000000003</v>
      </c>
      <c r="FV22" s="18">
        <f t="shared" si="26"/>
        <v>-0.50600000000000001</v>
      </c>
      <c r="FW22" s="18">
        <f t="shared" si="26"/>
        <v>1.0000000000000009E-3</v>
      </c>
      <c r="FX22" s="39">
        <f t="shared" si="26"/>
        <v>1.0000000000000009E-3</v>
      </c>
    </row>
    <row r="23" spans="2:180" x14ac:dyDescent="0.25">
      <c r="B23" s="699"/>
      <c r="C23" s="122" t="s">
        <v>46</v>
      </c>
      <c r="D23" s="154">
        <f t="shared" si="12"/>
        <v>-0.54099999999999993</v>
      </c>
      <c r="E23" s="154">
        <f t="shared" si="12"/>
        <v>-0.53299999999999992</v>
      </c>
      <c r="F23" s="154">
        <f t="shared" si="12"/>
        <v>-0.54</v>
      </c>
      <c r="G23" s="154">
        <f t="shared" si="12"/>
        <v>-0.53299999999999992</v>
      </c>
      <c r="H23" s="154">
        <f t="shared" si="12"/>
        <v>-0.53299999999999992</v>
      </c>
      <c r="I23" s="154">
        <f t="shared" si="12"/>
        <v>-0.53499999999999992</v>
      </c>
      <c r="J23" s="154">
        <f t="shared" si="12"/>
        <v>1.0000000000000009E-3</v>
      </c>
      <c r="K23" s="154">
        <f t="shared" si="12"/>
        <v>1.0000000000000009E-3</v>
      </c>
      <c r="L23" s="154">
        <f t="shared" si="12"/>
        <v>1.0000000000000009E-3</v>
      </c>
      <c r="M23" s="154">
        <f t="shared" si="12"/>
        <v>0</v>
      </c>
      <c r="N23" s="154">
        <f t="shared" si="12"/>
        <v>1.0000000000000009E-3</v>
      </c>
      <c r="O23" s="155">
        <f t="shared" si="12"/>
        <v>1.0000000000000009E-3</v>
      </c>
      <c r="Q23" s="699"/>
      <c r="R23" s="122" t="s">
        <v>46</v>
      </c>
      <c r="S23" s="154">
        <f t="shared" si="13"/>
        <v>-0.58699999999999997</v>
      </c>
      <c r="T23" s="154">
        <f t="shared" ref="T23:AD23" si="27">T5-T14</f>
        <v>-0.58899999999999997</v>
      </c>
      <c r="U23" s="154">
        <f t="shared" si="27"/>
        <v>-0.57800000000000007</v>
      </c>
      <c r="V23" s="154">
        <f t="shared" si="27"/>
        <v>-0.57600000000000007</v>
      </c>
      <c r="W23" s="154">
        <f t="shared" si="27"/>
        <v>-0.56899999999999995</v>
      </c>
      <c r="X23" s="154">
        <f t="shared" si="27"/>
        <v>-0.57000000000000006</v>
      </c>
      <c r="Y23" s="154">
        <f t="shared" si="27"/>
        <v>-0.57099999999999995</v>
      </c>
      <c r="Z23" s="154">
        <f t="shared" si="27"/>
        <v>-0.58600000000000008</v>
      </c>
      <c r="AA23" s="154">
        <f t="shared" si="27"/>
        <v>1.0000000000000009E-3</v>
      </c>
      <c r="AB23" s="154">
        <f t="shared" si="27"/>
        <v>1.0000000000000009E-3</v>
      </c>
      <c r="AC23" s="154">
        <f t="shared" si="27"/>
        <v>1.0000000000000009E-3</v>
      </c>
      <c r="AD23" s="155">
        <f t="shared" si="27"/>
        <v>9.9999999999999395E-4</v>
      </c>
      <c r="AF23" s="707"/>
      <c r="AG23" s="122" t="s">
        <v>46</v>
      </c>
      <c r="AH23" s="154">
        <f t="shared" si="15"/>
        <v>-0.57400000000000007</v>
      </c>
      <c r="AI23" s="154">
        <f t="shared" si="15"/>
        <v>-0.57299999999999995</v>
      </c>
      <c r="AJ23" s="154">
        <f t="shared" si="15"/>
        <v>-0.57000000000000006</v>
      </c>
      <c r="AK23" s="154">
        <f t="shared" si="15"/>
        <v>-0.57400000000000007</v>
      </c>
      <c r="AL23" s="154">
        <f t="shared" si="15"/>
        <v>0</v>
      </c>
      <c r="AM23" s="154">
        <f t="shared" si="15"/>
        <v>1.0000000000000009E-3</v>
      </c>
      <c r="AN23" s="154">
        <f t="shared" si="15"/>
        <v>1.0000000000000009E-3</v>
      </c>
      <c r="AO23" s="154">
        <f t="shared" si="15"/>
        <v>1.0000000000000009E-3</v>
      </c>
      <c r="AP23" s="154">
        <f t="shared" si="15"/>
        <v>1.0000000000000009E-3</v>
      </c>
      <c r="AQ23" s="154">
        <f t="shared" si="15"/>
        <v>9.9999999999999395E-4</v>
      </c>
      <c r="AR23" s="154">
        <f t="shared" si="15"/>
        <v>1.0000000000000009E-3</v>
      </c>
      <c r="AS23" s="155">
        <f t="shared" si="15"/>
        <v>1.0000000000000009E-3</v>
      </c>
      <c r="AU23" s="707"/>
      <c r="AV23" s="122" t="s">
        <v>46</v>
      </c>
      <c r="AW23" s="154">
        <f t="shared" ref="AW23:BH23" si="28">AW5-AW14</f>
        <v>-0.56200000000000006</v>
      </c>
      <c r="AX23" s="154">
        <f t="shared" si="28"/>
        <v>-0.56499999999999995</v>
      </c>
      <c r="AY23" s="154">
        <f t="shared" si="28"/>
        <v>-0.58000000000000007</v>
      </c>
      <c r="AZ23" s="154">
        <f t="shared" si="28"/>
        <v>-0.58400000000000007</v>
      </c>
      <c r="BA23" s="154">
        <f t="shared" si="28"/>
        <v>-0.57800000000000007</v>
      </c>
      <c r="BB23" s="154">
        <f t="shared" si="28"/>
        <v>-0.58299999999999996</v>
      </c>
      <c r="BC23" s="154">
        <f t="shared" si="28"/>
        <v>1.0000000000000009E-3</v>
      </c>
      <c r="BD23" s="154">
        <f t="shared" si="28"/>
        <v>0</v>
      </c>
      <c r="BE23" s="154">
        <f t="shared" si="28"/>
        <v>1.0000000000000009E-3</v>
      </c>
      <c r="BF23" s="154">
        <f t="shared" si="28"/>
        <v>1.0000000000000009E-3</v>
      </c>
      <c r="BG23" s="154">
        <f t="shared" si="28"/>
        <v>0</v>
      </c>
      <c r="BH23" s="155">
        <f t="shared" si="28"/>
        <v>1.0000000000000009E-3</v>
      </c>
      <c r="BJ23" s="707"/>
      <c r="BK23" s="122" t="s">
        <v>46</v>
      </c>
      <c r="BL23" s="18">
        <f t="shared" si="17"/>
        <v>-0.55800000000000005</v>
      </c>
      <c r="BM23" s="18">
        <f t="shared" ref="BM23:BW23" si="29">BM5-BM14</f>
        <v>-0.56499999999999995</v>
      </c>
      <c r="BN23" s="18">
        <f t="shared" si="29"/>
        <v>-0.57899999999999996</v>
      </c>
      <c r="BO23" s="18">
        <f t="shared" si="29"/>
        <v>-0.57200000000000006</v>
      </c>
      <c r="BP23" s="18">
        <f t="shared" si="29"/>
        <v>2.0000000000000018E-3</v>
      </c>
      <c r="BQ23" s="18">
        <f t="shared" si="29"/>
        <v>1.0000000000000009E-3</v>
      </c>
      <c r="BR23" s="18">
        <f t="shared" si="29"/>
        <v>1.0000000000000009E-3</v>
      </c>
      <c r="BS23" s="18">
        <f t="shared" si="29"/>
        <v>1.0000000000000009E-3</v>
      </c>
      <c r="BT23" s="18">
        <f t="shared" si="29"/>
        <v>1.0000000000000009E-3</v>
      </c>
      <c r="BU23" s="18">
        <f t="shared" si="29"/>
        <v>1.0000000000000009E-3</v>
      </c>
      <c r="BV23" s="18">
        <f t="shared" si="29"/>
        <v>1.0000000000000009E-3</v>
      </c>
      <c r="BW23" s="39">
        <f t="shared" si="29"/>
        <v>1.0000000000000009E-3</v>
      </c>
      <c r="BY23" s="707"/>
      <c r="BZ23" s="122" t="s">
        <v>46</v>
      </c>
      <c r="CA23" s="18">
        <f t="shared" si="19"/>
        <v>-0.59400000000000008</v>
      </c>
      <c r="CB23" s="18">
        <f t="shared" si="19"/>
        <v>-0.59299999999999997</v>
      </c>
      <c r="CC23" s="18">
        <f t="shared" si="19"/>
        <v>-0.60999999999999988</v>
      </c>
      <c r="CD23" s="18">
        <f t="shared" si="19"/>
        <v>-0.60999999999999988</v>
      </c>
      <c r="CE23" s="18">
        <f t="shared" si="19"/>
        <v>-0.59400000000000008</v>
      </c>
      <c r="CF23" s="18">
        <f t="shared" si="19"/>
        <v>-0.58800000000000008</v>
      </c>
      <c r="CG23" s="18">
        <f t="shared" si="19"/>
        <v>-0.59800000000000009</v>
      </c>
      <c r="CH23" s="18">
        <f t="shared" si="19"/>
        <v>-0.60299999999999998</v>
      </c>
      <c r="CI23" s="18">
        <f t="shared" si="19"/>
        <v>1.0000000000000009E-3</v>
      </c>
      <c r="CJ23" s="18">
        <f t="shared" si="19"/>
        <v>0</v>
      </c>
      <c r="CK23" s="18">
        <f t="shared" si="19"/>
        <v>0</v>
      </c>
      <c r="CL23" s="39">
        <f t="shared" si="19"/>
        <v>0</v>
      </c>
      <c r="CN23" s="707"/>
      <c r="CO23" s="122" t="s">
        <v>46</v>
      </c>
      <c r="CP23" s="18">
        <f t="shared" ref="CP23:DA23" si="30">CP5-CP14</f>
        <v>-0.57900000000000007</v>
      </c>
      <c r="CQ23" s="18">
        <f t="shared" si="30"/>
        <v>-0.57800000000000007</v>
      </c>
      <c r="CR23" s="18">
        <f t="shared" si="30"/>
        <v>-0.59</v>
      </c>
      <c r="CS23" s="18">
        <f t="shared" si="30"/>
        <v>-0.59099999999999997</v>
      </c>
      <c r="CT23" s="18">
        <f t="shared" si="30"/>
        <v>-0.59399999999999997</v>
      </c>
      <c r="CU23" s="18">
        <f t="shared" si="30"/>
        <v>-0.59699999999999998</v>
      </c>
      <c r="CV23" s="18">
        <f t="shared" si="30"/>
        <v>1.0000000000000009E-3</v>
      </c>
      <c r="CW23" s="18">
        <f t="shared" si="30"/>
        <v>1.0000000000000009E-3</v>
      </c>
      <c r="CX23" s="18">
        <f t="shared" si="30"/>
        <v>1.0000000000000009E-3</v>
      </c>
      <c r="CY23" s="18">
        <f t="shared" si="30"/>
        <v>0</v>
      </c>
      <c r="CZ23" s="18">
        <f t="shared" si="30"/>
        <v>1.0000000000000009E-3</v>
      </c>
      <c r="DA23" s="39">
        <f t="shared" si="30"/>
        <v>1.0000000000000009E-3</v>
      </c>
      <c r="DC23" s="707"/>
      <c r="DD23" s="122" t="s">
        <v>46</v>
      </c>
      <c r="DE23" s="18">
        <f t="shared" ref="DE23:DP23" si="31">DE5-DE14</f>
        <v>-0.27300000000000002</v>
      </c>
      <c r="DF23" s="18">
        <f t="shared" si="31"/>
        <v>-0.26900000000000002</v>
      </c>
      <c r="DG23" s="18">
        <f t="shared" si="31"/>
        <v>-0.28699999999999998</v>
      </c>
      <c r="DH23" s="18">
        <f t="shared" si="31"/>
        <v>-0.28699999999999998</v>
      </c>
      <c r="DI23" s="18">
        <f t="shared" si="31"/>
        <v>-0.28900000000000003</v>
      </c>
      <c r="DJ23" s="18">
        <f t="shared" si="31"/>
        <v>-0.28800000000000003</v>
      </c>
      <c r="DK23" s="18">
        <f t="shared" si="31"/>
        <v>-0.28400000000000003</v>
      </c>
      <c r="DL23" s="18">
        <f t="shared" si="31"/>
        <v>-0.28700000000000003</v>
      </c>
      <c r="DM23" s="18">
        <f t="shared" si="31"/>
        <v>0</v>
      </c>
      <c r="DN23" s="18">
        <f t="shared" si="31"/>
        <v>0</v>
      </c>
      <c r="DO23" s="18">
        <f t="shared" si="31"/>
        <v>1.0000000000000009E-3</v>
      </c>
      <c r="DP23" s="39">
        <f t="shared" si="31"/>
        <v>1.0000000000000009E-3</v>
      </c>
      <c r="DR23" s="707"/>
      <c r="DS23" s="81" t="s">
        <v>46</v>
      </c>
      <c r="DT23" s="18">
        <f t="shared" si="22"/>
        <v>-0.57099999999999995</v>
      </c>
      <c r="DU23" s="18">
        <f t="shared" ref="DU23:EE23" si="32">DU5-DU14</f>
        <v>-0.57299999999999995</v>
      </c>
      <c r="DV23" s="18">
        <f t="shared" si="32"/>
        <v>-0.57499999999999996</v>
      </c>
      <c r="DW23" s="18">
        <f t="shared" si="32"/>
        <v>-0.57499999999999996</v>
      </c>
      <c r="DX23" s="18">
        <f t="shared" si="32"/>
        <v>-0.55600000000000005</v>
      </c>
      <c r="DY23" s="18">
        <f t="shared" si="32"/>
        <v>-0.56600000000000006</v>
      </c>
      <c r="DZ23" s="18">
        <f t="shared" si="32"/>
        <v>-0.56800000000000006</v>
      </c>
      <c r="EA23" s="18">
        <f t="shared" si="32"/>
        <v>-0.56600000000000006</v>
      </c>
      <c r="EB23" s="18">
        <f t="shared" si="32"/>
        <v>-0.56899999999999995</v>
      </c>
      <c r="EC23" s="18">
        <f t="shared" si="32"/>
        <v>-0.58000000000000007</v>
      </c>
      <c r="ED23" s="18">
        <f t="shared" si="32"/>
        <v>0</v>
      </c>
      <c r="EE23" s="18">
        <f t="shared" si="32"/>
        <v>1.0000000000000009E-3</v>
      </c>
      <c r="EG23" s="707"/>
      <c r="EH23" s="122" t="s">
        <v>46</v>
      </c>
      <c r="EI23" s="18">
        <f t="shared" si="24"/>
        <v>-0.56900000000000006</v>
      </c>
      <c r="EJ23" s="18">
        <f t="shared" si="24"/>
        <v>-0.57099999999999995</v>
      </c>
      <c r="EK23" s="18">
        <f t="shared" si="24"/>
        <v>-0.56499999999999995</v>
      </c>
      <c r="EL23" s="18">
        <f t="shared" si="24"/>
        <v>-0.57000000000000006</v>
      </c>
      <c r="EM23" s="18">
        <f t="shared" si="24"/>
        <v>1.9999999999999948E-3</v>
      </c>
      <c r="EN23" s="18">
        <f t="shared" si="24"/>
        <v>0</v>
      </c>
      <c r="EO23" s="18">
        <f t="shared" si="24"/>
        <v>1.0000000000000009E-3</v>
      </c>
      <c r="EP23" s="18">
        <f t="shared" si="24"/>
        <v>0</v>
      </c>
      <c r="EQ23" s="18">
        <f t="shared" si="24"/>
        <v>0</v>
      </c>
      <c r="ER23" s="18">
        <f t="shared" si="24"/>
        <v>0</v>
      </c>
      <c r="ES23" s="18">
        <f t="shared" si="24"/>
        <v>1.0000000000000009E-3</v>
      </c>
      <c r="ET23" s="39">
        <f t="shared" si="24"/>
        <v>1.0000000000000009E-3</v>
      </c>
      <c r="EV23" s="707"/>
      <c r="EW23" s="122" t="s">
        <v>46</v>
      </c>
      <c r="EX23" s="18">
        <f t="shared" ref="EX23:FI23" si="33">EX5-EX14</f>
        <v>-0.52</v>
      </c>
      <c r="EY23" s="18">
        <f t="shared" si="33"/>
        <v>-0.48800000000000004</v>
      </c>
      <c r="EZ23" s="18">
        <f t="shared" si="33"/>
        <v>-0.53099999999999992</v>
      </c>
      <c r="FA23" s="18">
        <f t="shared" si="33"/>
        <v>-0.53099999999999992</v>
      </c>
      <c r="FB23" s="18">
        <f t="shared" si="33"/>
        <v>-0.54200000000000004</v>
      </c>
      <c r="FC23" s="18">
        <f t="shared" si="33"/>
        <v>-0.54600000000000004</v>
      </c>
      <c r="FD23" s="18">
        <f t="shared" si="33"/>
        <v>-0.53600000000000003</v>
      </c>
      <c r="FE23" s="18">
        <f t="shared" si="33"/>
        <v>-0.53200000000000003</v>
      </c>
      <c r="FF23" s="18">
        <f t="shared" si="33"/>
        <v>0</v>
      </c>
      <c r="FG23" s="18">
        <f t="shared" si="33"/>
        <v>1.0000000000000009E-3</v>
      </c>
      <c r="FH23" s="18">
        <f t="shared" si="33"/>
        <v>1.0000000000000009E-3</v>
      </c>
      <c r="FI23" s="39">
        <f t="shared" si="33"/>
        <v>1.0000000000000009E-3</v>
      </c>
      <c r="FK23" s="707"/>
      <c r="FL23" s="122" t="s">
        <v>46</v>
      </c>
      <c r="FM23" s="18">
        <f t="shared" ref="FM23:FX23" si="34">FM5-FM14</f>
        <v>-0.55800000000000005</v>
      </c>
      <c r="FN23" s="18">
        <f t="shared" si="34"/>
        <v>-0.56200000000000006</v>
      </c>
      <c r="FO23" s="18">
        <f t="shared" si="34"/>
        <v>-0.56099999999999994</v>
      </c>
      <c r="FP23" s="18">
        <f t="shared" si="34"/>
        <v>-0.55800000000000005</v>
      </c>
      <c r="FQ23" s="18">
        <f t="shared" si="34"/>
        <v>1.0000000000000009E-3</v>
      </c>
      <c r="FR23" s="18">
        <f t="shared" si="34"/>
        <v>1.0000000000000009E-3</v>
      </c>
      <c r="FS23" s="18">
        <f t="shared" si="34"/>
        <v>1.0000000000000009E-3</v>
      </c>
      <c r="FT23" s="18">
        <f t="shared" si="34"/>
        <v>1.0000000000000009E-3</v>
      </c>
      <c r="FU23" s="18">
        <f t="shared" si="34"/>
        <v>1.0000000000000009E-3</v>
      </c>
      <c r="FV23" s="18">
        <f t="shared" si="34"/>
        <v>0</v>
      </c>
      <c r="FW23" s="18">
        <f t="shared" si="34"/>
        <v>1.0000000000000009E-3</v>
      </c>
      <c r="FX23" s="39">
        <f t="shared" si="34"/>
        <v>1.0000000000000009E-3</v>
      </c>
    </row>
    <row r="24" spans="2:180" x14ac:dyDescent="0.25">
      <c r="B24" s="699"/>
      <c r="C24" s="122" t="s">
        <v>47</v>
      </c>
      <c r="D24" s="154">
        <f t="shared" si="12"/>
        <v>-0.53800000000000003</v>
      </c>
      <c r="E24" s="154">
        <f t="shared" si="12"/>
        <v>-0.52699999999999991</v>
      </c>
      <c r="F24" s="154">
        <f t="shared" si="12"/>
        <v>-0.54</v>
      </c>
      <c r="G24" s="154">
        <f t="shared" si="12"/>
        <v>-0.54600000000000004</v>
      </c>
      <c r="H24" s="154">
        <f t="shared" si="12"/>
        <v>-0.54200000000000004</v>
      </c>
      <c r="I24" s="154">
        <f t="shared" si="12"/>
        <v>-0.53899999999999992</v>
      </c>
      <c r="J24" s="154">
        <f t="shared" si="12"/>
        <v>1.0000000000000009E-3</v>
      </c>
      <c r="K24" s="154">
        <f t="shared" si="12"/>
        <v>0</v>
      </c>
      <c r="L24" s="154">
        <f t="shared" si="12"/>
        <v>0</v>
      </c>
      <c r="M24" s="154">
        <f t="shared" si="12"/>
        <v>0</v>
      </c>
      <c r="N24" s="154">
        <f t="shared" si="12"/>
        <v>1.0000000000000009E-3</v>
      </c>
      <c r="O24" s="155">
        <f t="shared" si="12"/>
        <v>1.0000000000000009E-3</v>
      </c>
      <c r="Q24" s="699"/>
      <c r="R24" s="122" t="s">
        <v>47</v>
      </c>
      <c r="S24" s="154">
        <f t="shared" si="13"/>
        <v>-0.55000000000000004</v>
      </c>
      <c r="T24" s="154">
        <f t="shared" ref="T24:AD24" si="35">T6-T15</f>
        <v>-0.57600000000000007</v>
      </c>
      <c r="U24" s="154">
        <f t="shared" si="35"/>
        <v>-0.56200000000000006</v>
      </c>
      <c r="V24" s="154">
        <f t="shared" si="35"/>
        <v>-0.57000000000000006</v>
      </c>
      <c r="W24" s="154">
        <f t="shared" si="35"/>
        <v>-0.57300000000000006</v>
      </c>
      <c r="X24" s="154">
        <f t="shared" si="35"/>
        <v>-0.57400000000000007</v>
      </c>
      <c r="Y24" s="154">
        <f t="shared" si="35"/>
        <v>-0.58700000000000008</v>
      </c>
      <c r="Z24" s="154">
        <f t="shared" si="35"/>
        <v>-0.57699999999999996</v>
      </c>
      <c r="AA24" s="154">
        <f t="shared" si="35"/>
        <v>1.0000000000000009E-3</v>
      </c>
      <c r="AB24" s="154">
        <f t="shared" si="35"/>
        <v>1.0000000000000009E-3</v>
      </c>
      <c r="AC24" s="154">
        <f t="shared" si="35"/>
        <v>1.0000000000000009E-3</v>
      </c>
      <c r="AD24" s="155">
        <f t="shared" si="35"/>
        <v>1.0000000000000009E-3</v>
      </c>
      <c r="AF24" s="707"/>
      <c r="AG24" s="122" t="s">
        <v>47</v>
      </c>
      <c r="AH24" s="154">
        <f t="shared" si="15"/>
        <v>-0.56200000000000006</v>
      </c>
      <c r="AI24" s="154">
        <f t="shared" si="15"/>
        <v>-0.57200000000000006</v>
      </c>
      <c r="AJ24" s="154">
        <f t="shared" si="15"/>
        <v>-0.56800000000000006</v>
      </c>
      <c r="AK24" s="154">
        <f t="shared" si="15"/>
        <v>-0.57100000000000006</v>
      </c>
      <c r="AL24" s="154">
        <f t="shared" si="15"/>
        <v>1.0000000000000009E-3</v>
      </c>
      <c r="AM24" s="154">
        <f t="shared" si="15"/>
        <v>0</v>
      </c>
      <c r="AN24" s="154">
        <f t="shared" si="15"/>
        <v>1.0000000000000009E-3</v>
      </c>
      <c r="AO24" s="154">
        <f t="shared" si="15"/>
        <v>1.0000000000000009E-3</v>
      </c>
      <c r="AP24" s="154">
        <f t="shared" si="15"/>
        <v>1.0000000000000009E-3</v>
      </c>
      <c r="AQ24" s="154">
        <f t="shared" si="15"/>
        <v>0</v>
      </c>
      <c r="AR24" s="154">
        <f t="shared" si="15"/>
        <v>1.0000000000000009E-3</v>
      </c>
      <c r="AS24" s="155">
        <f t="shared" si="15"/>
        <v>1.0000000000000009E-3</v>
      </c>
      <c r="AU24" s="707"/>
      <c r="AV24" s="122" t="s">
        <v>47</v>
      </c>
      <c r="AW24" s="154">
        <f t="shared" ref="AW24:BH24" si="36">AW6-AW15</f>
        <v>-0.55000000000000004</v>
      </c>
      <c r="AX24" s="154">
        <f t="shared" si="36"/>
        <v>-0.55699999999999994</v>
      </c>
      <c r="AY24" s="154">
        <f t="shared" si="36"/>
        <v>-0.59000000000000008</v>
      </c>
      <c r="AZ24" s="154">
        <f t="shared" si="36"/>
        <v>-0.59499999999999997</v>
      </c>
      <c r="BA24" s="154">
        <f t="shared" si="36"/>
        <v>-0.59100000000000008</v>
      </c>
      <c r="BB24" s="154">
        <f t="shared" si="36"/>
        <v>-0.58099999999999996</v>
      </c>
      <c r="BC24" s="154">
        <f t="shared" si="36"/>
        <v>1.0000000000000009E-3</v>
      </c>
      <c r="BD24" s="154">
        <f t="shared" si="36"/>
        <v>1.0000000000000009E-3</v>
      </c>
      <c r="BE24" s="154">
        <f t="shared" si="36"/>
        <v>1.0000000000000009E-3</v>
      </c>
      <c r="BF24" s="154">
        <f t="shared" si="36"/>
        <v>1.0000000000000009E-3</v>
      </c>
      <c r="BG24" s="154">
        <f t="shared" si="36"/>
        <v>0</v>
      </c>
      <c r="BH24" s="155">
        <f t="shared" si="36"/>
        <v>1.0000000000000009E-3</v>
      </c>
      <c r="BJ24" s="707"/>
      <c r="BK24" s="122" t="s">
        <v>47</v>
      </c>
      <c r="BL24" s="18">
        <f t="shared" si="17"/>
        <v>-0.56699999999999995</v>
      </c>
      <c r="BM24" s="18">
        <f t="shared" ref="BM24:BW24" si="37">BM6-BM15</f>
        <v>-0.57400000000000007</v>
      </c>
      <c r="BN24" s="18">
        <f t="shared" si="37"/>
        <v>-0.58000000000000007</v>
      </c>
      <c r="BO24" s="18">
        <f t="shared" si="37"/>
        <v>-0.58299999999999996</v>
      </c>
      <c r="BP24" s="18">
        <f t="shared" si="37"/>
        <v>9.9999999999999395E-4</v>
      </c>
      <c r="BQ24" s="18">
        <f t="shared" si="37"/>
        <v>1.0000000000000009E-3</v>
      </c>
      <c r="BR24" s="18">
        <f t="shared" si="37"/>
        <v>1.0000000000000009E-3</v>
      </c>
      <c r="BS24" s="18">
        <f t="shared" si="37"/>
        <v>1.0000000000000009E-3</v>
      </c>
      <c r="BT24" s="18">
        <f t="shared" si="37"/>
        <v>1.0000000000000009E-3</v>
      </c>
      <c r="BU24" s="18">
        <f t="shared" si="37"/>
        <v>0</v>
      </c>
      <c r="BV24" s="18">
        <f t="shared" si="37"/>
        <v>0</v>
      </c>
      <c r="BW24" s="39">
        <f t="shared" si="37"/>
        <v>9.9999999999999395E-4</v>
      </c>
      <c r="BY24" s="707"/>
      <c r="BZ24" s="122" t="s">
        <v>47</v>
      </c>
      <c r="CA24" s="18">
        <f t="shared" si="19"/>
        <v>-0.58800000000000008</v>
      </c>
      <c r="CB24" s="18">
        <f t="shared" si="19"/>
        <v>-0.58300000000000007</v>
      </c>
      <c r="CC24" s="18">
        <f t="shared" si="19"/>
        <v>-0.60599999999999987</v>
      </c>
      <c r="CD24" s="18">
        <f t="shared" si="19"/>
        <v>-0.59800000000000009</v>
      </c>
      <c r="CE24" s="18">
        <f t="shared" si="19"/>
        <v>-0.59000000000000008</v>
      </c>
      <c r="CF24" s="18">
        <f t="shared" si="19"/>
        <v>-0.58899999999999997</v>
      </c>
      <c r="CG24" s="18">
        <f t="shared" si="19"/>
        <v>-0.60199999999999987</v>
      </c>
      <c r="CH24" s="18">
        <f t="shared" si="19"/>
        <v>-0.60099999999999998</v>
      </c>
      <c r="CI24" s="18">
        <f t="shared" si="19"/>
        <v>1.0000000000000009E-3</v>
      </c>
      <c r="CJ24" s="18">
        <f t="shared" si="19"/>
        <v>1.0000000000000009E-3</v>
      </c>
      <c r="CK24" s="18">
        <f t="shared" si="19"/>
        <v>1.0000000000000009E-3</v>
      </c>
      <c r="CL24" s="39">
        <f t="shared" si="19"/>
        <v>1.0000000000000009E-3</v>
      </c>
      <c r="CN24" s="707"/>
      <c r="CO24" s="122" t="s">
        <v>47</v>
      </c>
      <c r="CP24" s="18">
        <f t="shared" ref="CP24:DA24" si="38">CP6-CP15</f>
        <v>-0.57900000000000007</v>
      </c>
      <c r="CQ24" s="18">
        <f t="shared" si="38"/>
        <v>-0.57800000000000007</v>
      </c>
      <c r="CR24" s="18">
        <f t="shared" si="38"/>
        <v>-0.58100000000000007</v>
      </c>
      <c r="CS24" s="18">
        <f t="shared" si="38"/>
        <v>-0.58100000000000007</v>
      </c>
      <c r="CT24" s="18">
        <f t="shared" si="38"/>
        <v>-0.59499999999999997</v>
      </c>
      <c r="CU24" s="18">
        <f t="shared" si="38"/>
        <v>-0.59699999999999998</v>
      </c>
      <c r="CV24" s="18">
        <f t="shared" si="38"/>
        <v>1.0000000000000009E-3</v>
      </c>
      <c r="CW24" s="18">
        <f t="shared" si="38"/>
        <v>0</v>
      </c>
      <c r="CX24" s="18">
        <f t="shared" si="38"/>
        <v>1.0000000000000009E-3</v>
      </c>
      <c r="CY24" s="18">
        <f t="shared" si="38"/>
        <v>2.0000000000000018E-3</v>
      </c>
      <c r="CZ24" s="18">
        <f t="shared" si="38"/>
        <v>9.9999999999999395E-4</v>
      </c>
      <c r="DA24" s="39">
        <f t="shared" si="38"/>
        <v>0</v>
      </c>
      <c r="DC24" s="707"/>
      <c r="DD24" s="122" t="s">
        <v>47</v>
      </c>
      <c r="DE24" s="18">
        <f t="shared" ref="DE24:DP24" si="39">DE6-DE15</f>
        <v>-0.26800000000000002</v>
      </c>
      <c r="DF24" s="18">
        <f t="shared" si="39"/>
        <v>-0.26800000000000002</v>
      </c>
      <c r="DG24" s="18">
        <f t="shared" si="39"/>
        <v>-0.28200000000000003</v>
      </c>
      <c r="DH24" s="18">
        <f t="shared" si="39"/>
        <v>-0.28200000000000003</v>
      </c>
      <c r="DI24" s="18">
        <f t="shared" si="39"/>
        <v>-0.29099999999999998</v>
      </c>
      <c r="DJ24" s="18">
        <f t="shared" si="39"/>
        <v>-0.28900000000000003</v>
      </c>
      <c r="DK24" s="18">
        <f t="shared" si="39"/>
        <v>-0.27800000000000002</v>
      </c>
      <c r="DL24" s="18">
        <f t="shared" si="39"/>
        <v>-0.28400000000000003</v>
      </c>
      <c r="DM24" s="18">
        <f t="shared" si="39"/>
        <v>1.0000000000000009E-3</v>
      </c>
      <c r="DN24" s="18">
        <f t="shared" si="39"/>
        <v>1.0000000000000009E-3</v>
      </c>
      <c r="DO24" s="18">
        <f t="shared" si="39"/>
        <v>1.0000000000000009E-3</v>
      </c>
      <c r="DP24" s="39">
        <f t="shared" si="39"/>
        <v>1.0000000000000009E-3</v>
      </c>
      <c r="DR24" s="707"/>
      <c r="DS24" s="81" t="s">
        <v>47</v>
      </c>
      <c r="DT24" s="18">
        <f t="shared" si="22"/>
        <v>-0.57400000000000007</v>
      </c>
      <c r="DU24" s="18">
        <f t="shared" ref="DU24:EE24" si="40">DU6-DU15</f>
        <v>-0.56899999999999995</v>
      </c>
      <c r="DV24" s="18">
        <f t="shared" si="40"/>
        <v>-0.57299999999999995</v>
      </c>
      <c r="DW24" s="18">
        <f t="shared" si="40"/>
        <v>-0.57099999999999995</v>
      </c>
      <c r="DX24" s="18">
        <f t="shared" si="40"/>
        <v>-0.60699999999999998</v>
      </c>
      <c r="DY24" s="18">
        <f t="shared" si="40"/>
        <v>-0.58899999999999997</v>
      </c>
      <c r="DZ24" s="18">
        <f t="shared" si="40"/>
        <v>-0.56200000000000006</v>
      </c>
      <c r="EA24" s="18">
        <f t="shared" si="40"/>
        <v>-0.56600000000000006</v>
      </c>
      <c r="EB24" s="18">
        <f t="shared" si="40"/>
        <v>-0.57299999999999995</v>
      </c>
      <c r="EC24" s="18">
        <f t="shared" si="40"/>
        <v>-0.58000000000000007</v>
      </c>
      <c r="ED24" s="18">
        <f t="shared" si="40"/>
        <v>0</v>
      </c>
      <c r="EE24" s="18">
        <f t="shared" si="40"/>
        <v>1.0000000000000009E-3</v>
      </c>
      <c r="EG24" s="707"/>
      <c r="EH24" s="122" t="s">
        <v>47</v>
      </c>
      <c r="EI24" s="18">
        <f t="shared" si="24"/>
        <v>-0.57000000000000006</v>
      </c>
      <c r="EJ24" s="18">
        <f t="shared" si="24"/>
        <v>-0.57299999999999995</v>
      </c>
      <c r="EK24" s="18">
        <f t="shared" si="24"/>
        <v>-0.57400000000000007</v>
      </c>
      <c r="EL24" s="18">
        <f t="shared" si="24"/>
        <v>-0.57699999999999996</v>
      </c>
      <c r="EM24" s="18">
        <f t="shared" si="24"/>
        <v>0</v>
      </c>
      <c r="EN24" s="18">
        <f t="shared" si="24"/>
        <v>0</v>
      </c>
      <c r="EO24" s="18">
        <f t="shared" si="24"/>
        <v>0</v>
      </c>
      <c r="EP24" s="18">
        <f t="shared" si="24"/>
        <v>0</v>
      </c>
      <c r="EQ24" s="18">
        <f t="shared" si="24"/>
        <v>0</v>
      </c>
      <c r="ER24" s="18">
        <f t="shared" si="24"/>
        <v>1.0000000000000009E-3</v>
      </c>
      <c r="ES24" s="18">
        <f t="shared" si="24"/>
        <v>1.0000000000000009E-3</v>
      </c>
      <c r="ET24" s="39">
        <f t="shared" si="24"/>
        <v>0</v>
      </c>
      <c r="EV24" s="707"/>
      <c r="EW24" s="122" t="s">
        <v>47</v>
      </c>
      <c r="EX24" s="18">
        <f t="shared" ref="EX24:FI24" si="41">EX6-EX15</f>
        <v>-0.53299999999999992</v>
      </c>
      <c r="EY24" s="18">
        <f t="shared" si="41"/>
        <v>-0.53600000000000003</v>
      </c>
      <c r="EZ24" s="18">
        <f t="shared" si="41"/>
        <v>-0.5129999999999999</v>
      </c>
      <c r="FA24" s="18">
        <f t="shared" si="41"/>
        <v>-0.53699999999999992</v>
      </c>
      <c r="FB24" s="18">
        <f t="shared" si="41"/>
        <v>-0.53800000000000003</v>
      </c>
      <c r="FC24" s="18">
        <f t="shared" si="41"/>
        <v>-0.53899999999999992</v>
      </c>
      <c r="FD24" s="18">
        <f t="shared" si="41"/>
        <v>-0.54400000000000004</v>
      </c>
      <c r="FE24" s="18">
        <f t="shared" si="41"/>
        <v>-0.54</v>
      </c>
      <c r="FF24" s="18">
        <f t="shared" si="41"/>
        <v>1.0000000000000009E-3</v>
      </c>
      <c r="FG24" s="18">
        <f t="shared" si="41"/>
        <v>0</v>
      </c>
      <c r="FH24" s="18">
        <f t="shared" si="41"/>
        <v>0</v>
      </c>
      <c r="FI24" s="39">
        <f t="shared" si="41"/>
        <v>1.0000000000000009E-3</v>
      </c>
      <c r="FK24" s="707"/>
      <c r="FL24" s="122" t="s">
        <v>47</v>
      </c>
      <c r="FM24" s="18">
        <f t="shared" ref="FM24:FX24" si="42">FM6-FM15</f>
        <v>-0.55600000000000005</v>
      </c>
      <c r="FN24" s="18">
        <f t="shared" si="42"/>
        <v>-0.55600000000000005</v>
      </c>
      <c r="FO24" s="18">
        <f t="shared" si="42"/>
        <v>-0.55600000000000005</v>
      </c>
      <c r="FP24" s="18">
        <f t="shared" si="42"/>
        <v>-0.57800000000000007</v>
      </c>
      <c r="FQ24" s="18">
        <f t="shared" si="42"/>
        <v>1.0000000000000009E-3</v>
      </c>
      <c r="FR24" s="18">
        <f t="shared" si="42"/>
        <v>1.0000000000000009E-3</v>
      </c>
      <c r="FS24" s="18">
        <f t="shared" si="42"/>
        <v>1.0000000000000009E-3</v>
      </c>
      <c r="FT24" s="18">
        <f t="shared" si="42"/>
        <v>0</v>
      </c>
      <c r="FU24" s="18">
        <f t="shared" si="42"/>
        <v>0</v>
      </c>
      <c r="FV24" s="18">
        <f t="shared" si="42"/>
        <v>1.0000000000000009E-3</v>
      </c>
      <c r="FW24" s="18">
        <f t="shared" si="42"/>
        <v>1.0000000000000009E-3</v>
      </c>
      <c r="FX24" s="39">
        <f t="shared" si="42"/>
        <v>1.0000000000000009E-3</v>
      </c>
    </row>
    <row r="25" spans="2:180" x14ac:dyDescent="0.25">
      <c r="B25" s="699"/>
      <c r="C25" s="122" t="s">
        <v>48</v>
      </c>
      <c r="D25" s="154">
        <f t="shared" si="12"/>
        <v>-0.53600000000000003</v>
      </c>
      <c r="E25" s="154">
        <f t="shared" si="12"/>
        <v>-0.53800000000000003</v>
      </c>
      <c r="F25" s="154">
        <f t="shared" si="12"/>
        <v>-0.54899999999999993</v>
      </c>
      <c r="G25" s="154">
        <f t="shared" si="12"/>
        <v>-0.54600000000000004</v>
      </c>
      <c r="H25" s="154">
        <f t="shared" si="12"/>
        <v>-0.504</v>
      </c>
      <c r="I25" s="154">
        <f t="shared" si="12"/>
        <v>-0.53800000000000003</v>
      </c>
      <c r="J25" s="154">
        <f t="shared" si="12"/>
        <v>1.0000000000000009E-3</v>
      </c>
      <c r="K25" s="154">
        <f t="shared" si="12"/>
        <v>0</v>
      </c>
      <c r="L25" s="154">
        <f t="shared" si="12"/>
        <v>1.0000000000000009E-3</v>
      </c>
      <c r="M25" s="154">
        <f t="shared" si="12"/>
        <v>1.0000000000000009E-3</v>
      </c>
      <c r="N25" s="154">
        <f t="shared" si="12"/>
        <v>1.0000000000000009E-3</v>
      </c>
      <c r="O25" s="155">
        <f t="shared" si="12"/>
        <v>1.0000000000000009E-3</v>
      </c>
      <c r="Q25" s="699"/>
      <c r="R25" s="122" t="s">
        <v>48</v>
      </c>
      <c r="S25" s="154">
        <f t="shared" si="13"/>
        <v>-0.56699999999999995</v>
      </c>
      <c r="T25" s="154">
        <f t="shared" ref="T25:AD25" si="43">T7-T16</f>
        <v>-0.57400000000000007</v>
      </c>
      <c r="U25" s="154">
        <f t="shared" si="43"/>
        <v>-0.57600000000000007</v>
      </c>
      <c r="V25" s="154">
        <f t="shared" si="43"/>
        <v>-0.57000000000000006</v>
      </c>
      <c r="W25" s="154">
        <f t="shared" si="43"/>
        <v>-0.57600000000000007</v>
      </c>
      <c r="X25" s="154">
        <f t="shared" si="43"/>
        <v>-0.57600000000000007</v>
      </c>
      <c r="Y25" s="154">
        <f t="shared" si="43"/>
        <v>-0.58400000000000007</v>
      </c>
      <c r="Z25" s="154">
        <f t="shared" si="43"/>
        <v>-0.58000000000000007</v>
      </c>
      <c r="AA25" s="154">
        <f t="shared" si="43"/>
        <v>0</v>
      </c>
      <c r="AB25" s="154">
        <f t="shared" si="43"/>
        <v>1.0000000000000009E-3</v>
      </c>
      <c r="AC25" s="154">
        <f t="shared" si="43"/>
        <v>1.0000000000000009E-3</v>
      </c>
      <c r="AD25" s="155">
        <f t="shared" si="43"/>
        <v>1.0000000000000009E-3</v>
      </c>
      <c r="AF25" s="707"/>
      <c r="AG25" s="122" t="s">
        <v>48</v>
      </c>
      <c r="AH25" s="154">
        <f t="shared" si="15"/>
        <v>-0.58200000000000007</v>
      </c>
      <c r="AI25" s="154">
        <f t="shared" si="15"/>
        <v>-0.57700000000000007</v>
      </c>
      <c r="AJ25" s="154">
        <f t="shared" si="15"/>
        <v>-0.57200000000000006</v>
      </c>
      <c r="AK25" s="154">
        <f t="shared" si="15"/>
        <v>-0.57200000000000006</v>
      </c>
      <c r="AL25" s="154">
        <f t="shared" si="15"/>
        <v>1.0000000000000009E-3</v>
      </c>
      <c r="AM25" s="154">
        <f t="shared" si="15"/>
        <v>0</v>
      </c>
      <c r="AN25" s="154">
        <f t="shared" si="15"/>
        <v>1.0000000000000009E-3</v>
      </c>
      <c r="AO25" s="154">
        <f t="shared" si="15"/>
        <v>1.0000000000000009E-3</v>
      </c>
      <c r="AP25" s="154">
        <f t="shared" si="15"/>
        <v>1.0000000000000009E-3</v>
      </c>
      <c r="AQ25" s="154">
        <f t="shared" si="15"/>
        <v>1.0000000000000009E-3</v>
      </c>
      <c r="AR25" s="154">
        <f t="shared" si="15"/>
        <v>1.0000000000000009E-3</v>
      </c>
      <c r="AS25" s="155">
        <f t="shared" si="15"/>
        <v>1.0000000000000009E-3</v>
      </c>
      <c r="AU25" s="707"/>
      <c r="AV25" s="122" t="s">
        <v>48</v>
      </c>
      <c r="AW25" s="154">
        <f t="shared" ref="AW25:BH25" si="44">AW7-AW16</f>
        <v>-0.57299999999999995</v>
      </c>
      <c r="AX25" s="154">
        <f t="shared" si="44"/>
        <v>-0.57099999999999995</v>
      </c>
      <c r="AY25" s="154">
        <f t="shared" si="44"/>
        <v>0</v>
      </c>
      <c r="AZ25" s="154">
        <f t="shared" si="44"/>
        <v>0</v>
      </c>
      <c r="BA25" s="154">
        <f t="shared" si="44"/>
        <v>-0.58600000000000008</v>
      </c>
      <c r="BB25" s="154">
        <f t="shared" si="44"/>
        <v>-0.58400000000000007</v>
      </c>
      <c r="BC25" s="154">
        <f t="shared" si="44"/>
        <v>1.0000000000000009E-3</v>
      </c>
      <c r="BD25" s="154">
        <f t="shared" si="44"/>
        <v>0</v>
      </c>
      <c r="BE25" s="154">
        <f t="shared" si="44"/>
        <v>0</v>
      </c>
      <c r="BF25" s="154">
        <f t="shared" si="44"/>
        <v>0</v>
      </c>
      <c r="BG25" s="154">
        <f t="shared" si="44"/>
        <v>1.0000000000000009E-3</v>
      </c>
      <c r="BH25" s="155">
        <f t="shared" si="44"/>
        <v>1.0000000000000009E-3</v>
      </c>
      <c r="BJ25" s="707"/>
      <c r="BK25" s="122" t="s">
        <v>48</v>
      </c>
      <c r="BL25" s="18">
        <f t="shared" si="17"/>
        <v>-0.57600000000000007</v>
      </c>
      <c r="BM25" s="18">
        <f t="shared" ref="BM25:BW25" si="45">BM7-BM16</f>
        <v>-0.57400000000000007</v>
      </c>
      <c r="BN25" s="18">
        <f t="shared" si="45"/>
        <v>-0.57800000000000007</v>
      </c>
      <c r="BO25" s="18">
        <f t="shared" si="45"/>
        <v>-0.57800000000000007</v>
      </c>
      <c r="BP25" s="18">
        <f t="shared" si="45"/>
        <v>1.0000000000000009E-3</v>
      </c>
      <c r="BQ25" s="18">
        <f t="shared" si="45"/>
        <v>0</v>
      </c>
      <c r="BR25" s="18">
        <f t="shared" si="45"/>
        <v>1.0000000000000009E-3</v>
      </c>
      <c r="BS25" s="18">
        <f t="shared" si="45"/>
        <v>1.0000000000000009E-3</v>
      </c>
      <c r="BT25" s="18">
        <f t="shared" si="45"/>
        <v>1.0000000000000009E-3</v>
      </c>
      <c r="BU25" s="18">
        <f t="shared" si="45"/>
        <v>1.0000000000000009E-3</v>
      </c>
      <c r="BV25" s="18">
        <f t="shared" si="45"/>
        <v>1.0000000000000009E-3</v>
      </c>
      <c r="BW25" s="39">
        <f t="shared" si="45"/>
        <v>1.0000000000000009E-3</v>
      </c>
      <c r="BY25" s="707"/>
      <c r="BZ25" s="122" t="s">
        <v>48</v>
      </c>
      <c r="CA25" s="18">
        <f t="shared" si="19"/>
        <v>-0.58699999999999997</v>
      </c>
      <c r="CB25" s="18">
        <f t="shared" si="19"/>
        <v>-0.59600000000000009</v>
      </c>
      <c r="CC25" s="18">
        <f t="shared" si="19"/>
        <v>-0.60299999999999998</v>
      </c>
      <c r="CD25" s="18">
        <f t="shared" si="19"/>
        <v>-0.60000000000000009</v>
      </c>
      <c r="CE25" s="18">
        <f t="shared" si="19"/>
        <v>-0.59400000000000008</v>
      </c>
      <c r="CF25" s="18">
        <f t="shared" si="19"/>
        <v>-0.58899999999999997</v>
      </c>
      <c r="CG25" s="18">
        <f t="shared" si="19"/>
        <v>-0.59800000000000009</v>
      </c>
      <c r="CH25" s="18">
        <f t="shared" si="19"/>
        <v>-0.60000000000000009</v>
      </c>
      <c r="CI25" s="18">
        <f t="shared" si="19"/>
        <v>0</v>
      </c>
      <c r="CJ25" s="18">
        <f t="shared" si="19"/>
        <v>0</v>
      </c>
      <c r="CK25" s="18">
        <f t="shared" si="19"/>
        <v>1.0000000000000009E-3</v>
      </c>
      <c r="CL25" s="39">
        <f t="shared" si="19"/>
        <v>0</v>
      </c>
      <c r="CN25" s="707"/>
      <c r="CO25" s="122" t="s">
        <v>48</v>
      </c>
      <c r="CP25" s="18">
        <f t="shared" ref="CP25:DA25" si="46">CP7-CP16</f>
        <v>-0.58600000000000008</v>
      </c>
      <c r="CQ25" s="18">
        <f t="shared" si="46"/>
        <v>-0.58600000000000008</v>
      </c>
      <c r="CR25" s="18">
        <f t="shared" si="46"/>
        <v>-0.58000000000000007</v>
      </c>
      <c r="CS25" s="18">
        <f t="shared" si="46"/>
        <v>-0.57800000000000007</v>
      </c>
      <c r="CT25" s="18">
        <f t="shared" si="46"/>
        <v>-0.59000000000000008</v>
      </c>
      <c r="CU25" s="18">
        <f t="shared" si="46"/>
        <v>-0.59000000000000008</v>
      </c>
      <c r="CV25" s="18">
        <f t="shared" si="46"/>
        <v>1.0000000000000009E-3</v>
      </c>
      <c r="CW25" s="18">
        <f t="shared" si="46"/>
        <v>0</v>
      </c>
      <c r="CX25" s="18">
        <f t="shared" si="46"/>
        <v>0</v>
      </c>
      <c r="CY25" s="18">
        <f t="shared" si="46"/>
        <v>1.0000000000000009E-3</v>
      </c>
      <c r="CZ25" s="18">
        <f t="shared" si="46"/>
        <v>1.0000000000000009E-3</v>
      </c>
      <c r="DA25" s="39">
        <f t="shared" si="46"/>
        <v>0</v>
      </c>
      <c r="DC25" s="707"/>
      <c r="DD25" s="122" t="s">
        <v>48</v>
      </c>
      <c r="DE25" s="18">
        <f t="shared" ref="DE25:DP25" si="47">DE7-DE16</f>
        <v>-0.27400000000000002</v>
      </c>
      <c r="DF25" s="18">
        <f t="shared" si="47"/>
        <v>-0.26600000000000001</v>
      </c>
      <c r="DG25" s="18">
        <f t="shared" si="47"/>
        <v>-0.28499999999999998</v>
      </c>
      <c r="DH25" s="18">
        <f t="shared" si="47"/>
        <v>-0.28499999999999998</v>
      </c>
      <c r="DI25" s="18">
        <f t="shared" si="47"/>
        <v>-0.29299999999999998</v>
      </c>
      <c r="DJ25" s="18">
        <f t="shared" si="47"/>
        <v>-0.28900000000000003</v>
      </c>
      <c r="DK25" s="18">
        <f t="shared" si="47"/>
        <v>-0.29000000000000004</v>
      </c>
      <c r="DL25" s="18">
        <f t="shared" si="47"/>
        <v>-0.29200000000000004</v>
      </c>
      <c r="DM25" s="18">
        <f t="shared" si="47"/>
        <v>0</v>
      </c>
      <c r="DN25" s="18">
        <f t="shared" si="47"/>
        <v>1.0000000000000009E-3</v>
      </c>
      <c r="DO25" s="18">
        <f t="shared" si="47"/>
        <v>1.0000000000000009E-3</v>
      </c>
      <c r="DP25" s="39">
        <f t="shared" si="47"/>
        <v>1.0000000000000009E-3</v>
      </c>
      <c r="DR25" s="707"/>
      <c r="DS25" s="81" t="s">
        <v>48</v>
      </c>
      <c r="DT25" s="18">
        <f t="shared" si="22"/>
        <v>-0.57099999999999995</v>
      </c>
      <c r="DU25" s="18">
        <f t="shared" ref="DU25:EE25" si="48">DU7-DU16</f>
        <v>-0.57000000000000006</v>
      </c>
      <c r="DV25" s="18">
        <f t="shared" si="48"/>
        <v>-0.56499999999999995</v>
      </c>
      <c r="DW25" s="18">
        <f t="shared" si="48"/>
        <v>-0.56699999999999995</v>
      </c>
      <c r="DX25" s="18">
        <f t="shared" si="48"/>
        <v>-0.57000000000000006</v>
      </c>
      <c r="DY25" s="18">
        <f t="shared" si="48"/>
        <v>-0.56699999999999995</v>
      </c>
      <c r="DZ25" s="18">
        <f t="shared" si="48"/>
        <v>-0.56200000000000006</v>
      </c>
      <c r="EA25" s="18">
        <f t="shared" si="48"/>
        <v>-0.55600000000000005</v>
      </c>
      <c r="EB25" s="18">
        <f t="shared" si="48"/>
        <v>-0.57000000000000006</v>
      </c>
      <c r="EC25" s="18">
        <f t="shared" si="48"/>
        <v>-0.57400000000000007</v>
      </c>
      <c r="ED25" s="18">
        <f t="shared" si="48"/>
        <v>0</v>
      </c>
      <c r="EE25" s="18">
        <f t="shared" si="48"/>
        <v>1.0000000000000009E-3</v>
      </c>
      <c r="EG25" s="707"/>
      <c r="EH25" s="122" t="s">
        <v>48</v>
      </c>
      <c r="EI25" s="18">
        <f t="shared" si="24"/>
        <v>-0.56699999999999995</v>
      </c>
      <c r="EJ25" s="18">
        <f t="shared" si="24"/>
        <v>-0.57000000000000006</v>
      </c>
      <c r="EK25" s="18">
        <f t="shared" si="24"/>
        <v>-0.56899999999999995</v>
      </c>
      <c r="EL25" s="18">
        <f t="shared" si="24"/>
        <v>-0.56699999999999995</v>
      </c>
      <c r="EM25" s="18">
        <f t="shared" si="24"/>
        <v>1.0000000000000009E-3</v>
      </c>
      <c r="EN25" s="18">
        <f t="shared" si="24"/>
        <v>0</v>
      </c>
      <c r="EO25" s="18">
        <f t="shared" si="24"/>
        <v>1.0000000000000009E-3</v>
      </c>
      <c r="EP25" s="18">
        <f t="shared" si="24"/>
        <v>1.0000000000000009E-3</v>
      </c>
      <c r="EQ25" s="18">
        <f t="shared" si="24"/>
        <v>0</v>
      </c>
      <c r="ER25" s="18">
        <f t="shared" si="24"/>
        <v>0</v>
      </c>
      <c r="ES25" s="18">
        <f t="shared" si="24"/>
        <v>0</v>
      </c>
      <c r="ET25" s="39">
        <f t="shared" si="24"/>
        <v>9.9999999999999395E-4</v>
      </c>
      <c r="EV25" s="707"/>
      <c r="EW25" s="122" t="s">
        <v>48</v>
      </c>
      <c r="EX25" s="18">
        <f t="shared" ref="EX25:FI25" si="49">EX7-EX16</f>
        <v>-0.53099999999999992</v>
      </c>
      <c r="EY25" s="18">
        <f t="shared" si="49"/>
        <v>-0.53299999999999992</v>
      </c>
      <c r="EZ25" s="18">
        <f t="shared" si="49"/>
        <v>-0.53600000000000003</v>
      </c>
      <c r="FA25" s="18">
        <f t="shared" si="49"/>
        <v>-0.53299999999999992</v>
      </c>
      <c r="FB25" s="18">
        <f t="shared" si="49"/>
        <v>-0.54400000000000004</v>
      </c>
      <c r="FC25" s="18">
        <f t="shared" si="49"/>
        <v>-0.54699999999999993</v>
      </c>
      <c r="FD25" s="18">
        <f t="shared" si="49"/>
        <v>-0.54299999999999993</v>
      </c>
      <c r="FE25" s="18">
        <f t="shared" si="49"/>
        <v>-0.53099999999999992</v>
      </c>
      <c r="FF25" s="18">
        <f t="shared" si="49"/>
        <v>0</v>
      </c>
      <c r="FG25" s="18">
        <f t="shared" si="49"/>
        <v>0</v>
      </c>
      <c r="FH25" s="18">
        <f t="shared" si="49"/>
        <v>0</v>
      </c>
      <c r="FI25" s="39">
        <f t="shared" si="49"/>
        <v>1.0000000000000009E-3</v>
      </c>
      <c r="FK25" s="707"/>
      <c r="FL25" s="122" t="s">
        <v>48</v>
      </c>
      <c r="FM25" s="18">
        <f t="shared" ref="FM25:FX25" si="50">FM7-FM16</f>
        <v>-0.55200000000000005</v>
      </c>
      <c r="FN25" s="18">
        <f t="shared" si="50"/>
        <v>-0.55600000000000005</v>
      </c>
      <c r="FO25" s="18">
        <f t="shared" si="50"/>
        <v>-0.56600000000000006</v>
      </c>
      <c r="FP25" s="18">
        <f t="shared" si="50"/>
        <v>-0.55800000000000005</v>
      </c>
      <c r="FQ25" s="18">
        <f t="shared" si="50"/>
        <v>0</v>
      </c>
      <c r="FR25" s="18">
        <f t="shared" si="50"/>
        <v>0</v>
      </c>
      <c r="FS25" s="18">
        <f t="shared" si="50"/>
        <v>1.0000000000000009E-3</v>
      </c>
      <c r="FT25" s="18">
        <f t="shared" si="50"/>
        <v>0</v>
      </c>
      <c r="FU25" s="18">
        <f t="shared" si="50"/>
        <v>1.0000000000000009E-3</v>
      </c>
      <c r="FV25" s="18">
        <f t="shared" si="50"/>
        <v>0</v>
      </c>
      <c r="FW25" s="18">
        <f t="shared" si="50"/>
        <v>0</v>
      </c>
      <c r="FX25" s="39">
        <f t="shared" si="50"/>
        <v>1.0000000000000009E-3</v>
      </c>
    </row>
    <row r="26" spans="2:180" x14ac:dyDescent="0.25">
      <c r="B26" s="699"/>
      <c r="C26" s="122" t="s">
        <v>49</v>
      </c>
      <c r="D26" s="154">
        <f t="shared" si="12"/>
        <v>-0.54200000000000004</v>
      </c>
      <c r="E26" s="154">
        <f t="shared" si="12"/>
        <v>-0.54200000000000004</v>
      </c>
      <c r="F26" s="154">
        <f t="shared" si="12"/>
        <v>-0.54400000000000004</v>
      </c>
      <c r="G26" s="154">
        <f t="shared" si="12"/>
        <v>-0.51600000000000001</v>
      </c>
      <c r="H26" s="154">
        <f t="shared" si="12"/>
        <v>-0.54899999999999993</v>
      </c>
      <c r="I26" s="154">
        <f t="shared" si="12"/>
        <v>-0.54400000000000004</v>
      </c>
      <c r="J26" s="154">
        <f t="shared" si="12"/>
        <v>1.0000000000000009E-3</v>
      </c>
      <c r="K26" s="154">
        <f t="shared" si="12"/>
        <v>0</v>
      </c>
      <c r="L26" s="154">
        <f t="shared" si="12"/>
        <v>0</v>
      </c>
      <c r="M26" s="154">
        <f t="shared" si="12"/>
        <v>0</v>
      </c>
      <c r="N26" s="154">
        <f t="shared" si="12"/>
        <v>1.0000000000000009E-3</v>
      </c>
      <c r="O26" s="155">
        <f t="shared" si="12"/>
        <v>0</v>
      </c>
      <c r="Q26" s="699"/>
      <c r="R26" s="122" t="s">
        <v>49</v>
      </c>
      <c r="S26" s="154">
        <f t="shared" si="13"/>
        <v>-0.58000000000000007</v>
      </c>
      <c r="T26" s="154">
        <f t="shared" ref="T26:AD26" si="51">T8-T17</f>
        <v>-0.58800000000000008</v>
      </c>
      <c r="U26" s="154">
        <f t="shared" si="51"/>
        <v>-0.57200000000000006</v>
      </c>
      <c r="V26" s="154">
        <f t="shared" si="51"/>
        <v>-0.57100000000000006</v>
      </c>
      <c r="W26" s="154">
        <f t="shared" si="51"/>
        <v>-0.57500000000000007</v>
      </c>
      <c r="X26" s="154">
        <f t="shared" si="51"/>
        <v>-0.57400000000000007</v>
      </c>
      <c r="Y26" s="154">
        <f t="shared" si="51"/>
        <v>-0.58899999999999997</v>
      </c>
      <c r="Z26" s="154">
        <f t="shared" si="51"/>
        <v>-0.58099999999999996</v>
      </c>
      <c r="AA26" s="154">
        <f t="shared" si="51"/>
        <v>1.0000000000000009E-3</v>
      </c>
      <c r="AB26" s="154">
        <f t="shared" si="51"/>
        <v>1.0000000000000009E-3</v>
      </c>
      <c r="AC26" s="154">
        <f t="shared" si="51"/>
        <v>1.0000000000000009E-3</v>
      </c>
      <c r="AD26" s="155">
        <f t="shared" si="51"/>
        <v>1.0000000000000009E-3</v>
      </c>
      <c r="AF26" s="707"/>
      <c r="AG26" s="122" t="s">
        <v>49</v>
      </c>
      <c r="AH26" s="154">
        <f t="shared" si="15"/>
        <v>1.0000000000000009E-3</v>
      </c>
      <c r="AI26" s="154">
        <f t="shared" si="15"/>
        <v>1.0000000000000009E-3</v>
      </c>
      <c r="AJ26" s="154">
        <f t="shared" si="15"/>
        <v>-0.57700000000000007</v>
      </c>
      <c r="AK26" s="154">
        <f t="shared" si="15"/>
        <v>-0.57100000000000006</v>
      </c>
      <c r="AL26" s="154">
        <f t="shared" si="15"/>
        <v>9.9999999999999395E-4</v>
      </c>
      <c r="AM26" s="154">
        <f t="shared" si="15"/>
        <v>1.0000000000000009E-3</v>
      </c>
      <c r="AN26" s="154">
        <f t="shared" si="15"/>
        <v>1.0000000000000009E-3</v>
      </c>
      <c r="AO26" s="154">
        <f t="shared" si="15"/>
        <v>1.0000000000000009E-3</v>
      </c>
      <c r="AP26" s="154">
        <f t="shared" si="15"/>
        <v>1.0000000000000009E-3</v>
      </c>
      <c r="AQ26" s="154">
        <f t="shared" si="15"/>
        <v>1.0000000000000009E-3</v>
      </c>
      <c r="AR26" s="154">
        <f t="shared" si="15"/>
        <v>1.0000000000000009E-3</v>
      </c>
      <c r="AS26" s="155">
        <f t="shared" si="15"/>
        <v>1.0000000000000009E-3</v>
      </c>
      <c r="AU26" s="707"/>
      <c r="AV26" s="122" t="s">
        <v>49</v>
      </c>
      <c r="AW26" s="154">
        <f t="shared" ref="AW26:BH26" si="52">AW8-AW17</f>
        <v>-0.57899999999999996</v>
      </c>
      <c r="AX26" s="154">
        <f t="shared" si="52"/>
        <v>-0.57800000000000007</v>
      </c>
      <c r="AY26" s="154">
        <f t="shared" si="52"/>
        <v>0</v>
      </c>
      <c r="AZ26" s="154">
        <f t="shared" si="52"/>
        <v>0</v>
      </c>
      <c r="BA26" s="154">
        <f t="shared" si="52"/>
        <v>-0.58800000000000008</v>
      </c>
      <c r="BB26" s="154">
        <f t="shared" si="52"/>
        <v>-0.58600000000000008</v>
      </c>
      <c r="BC26" s="154">
        <f t="shared" si="52"/>
        <v>1.0000000000000009E-3</v>
      </c>
      <c r="BD26" s="154">
        <f t="shared" si="52"/>
        <v>9.9999999999999395E-4</v>
      </c>
      <c r="BE26" s="154">
        <f t="shared" si="52"/>
        <v>1.0000000000000009E-3</v>
      </c>
      <c r="BF26" s="154">
        <f t="shared" si="52"/>
        <v>0</v>
      </c>
      <c r="BG26" s="154">
        <f t="shared" si="52"/>
        <v>0</v>
      </c>
      <c r="BH26" s="155">
        <f t="shared" si="52"/>
        <v>1.0000000000000009E-3</v>
      </c>
      <c r="BJ26" s="707"/>
      <c r="BK26" s="122" t="s">
        <v>49</v>
      </c>
      <c r="BL26" s="18">
        <f t="shared" si="17"/>
        <v>-0.57800000000000007</v>
      </c>
      <c r="BM26" s="18">
        <f t="shared" ref="BM26:BW26" si="53">BM8-BM17</f>
        <v>-0.57800000000000007</v>
      </c>
      <c r="BN26" s="18">
        <f t="shared" si="53"/>
        <v>-0.57800000000000007</v>
      </c>
      <c r="BO26" s="18">
        <f t="shared" si="53"/>
        <v>-0.57899999999999996</v>
      </c>
      <c r="BP26" s="18">
        <f t="shared" si="53"/>
        <v>0</v>
      </c>
      <c r="BQ26" s="18">
        <f t="shared" si="53"/>
        <v>1.0000000000000009E-3</v>
      </c>
      <c r="BR26" s="18">
        <f t="shared" si="53"/>
        <v>1.0000000000000009E-3</v>
      </c>
      <c r="BS26" s="18">
        <f t="shared" si="53"/>
        <v>9.9999999999999395E-4</v>
      </c>
      <c r="BT26" s="18">
        <f t="shared" si="53"/>
        <v>0</v>
      </c>
      <c r="BU26" s="18">
        <f t="shared" si="53"/>
        <v>0</v>
      </c>
      <c r="BV26" s="18">
        <f t="shared" si="53"/>
        <v>0</v>
      </c>
      <c r="BW26" s="39">
        <f t="shared" si="53"/>
        <v>1.0000000000000009E-3</v>
      </c>
      <c r="BY26" s="707"/>
      <c r="BZ26" s="122" t="s">
        <v>49</v>
      </c>
      <c r="CA26" s="18">
        <f t="shared" si="19"/>
        <v>-0.59099999999999997</v>
      </c>
      <c r="CB26" s="18">
        <f t="shared" si="19"/>
        <v>-0.59499999999999997</v>
      </c>
      <c r="CC26" s="18">
        <f t="shared" si="19"/>
        <v>-0.60199999999999987</v>
      </c>
      <c r="CD26" s="18">
        <f t="shared" si="19"/>
        <v>-0.60499999999999998</v>
      </c>
      <c r="CE26" s="18">
        <f t="shared" si="19"/>
        <v>-0.59600000000000009</v>
      </c>
      <c r="CF26" s="18">
        <f t="shared" si="19"/>
        <v>-0.59699999999999998</v>
      </c>
      <c r="CG26" s="18">
        <f t="shared" si="19"/>
        <v>-0.59800000000000009</v>
      </c>
      <c r="CH26" s="18">
        <f t="shared" si="19"/>
        <v>-0.59699999999999998</v>
      </c>
      <c r="CI26" s="18">
        <f t="shared" si="19"/>
        <v>1.0000000000000009E-3</v>
      </c>
      <c r="CJ26" s="18">
        <f t="shared" si="19"/>
        <v>0</v>
      </c>
      <c r="CK26" s="18">
        <f t="shared" si="19"/>
        <v>1.0000000000000009E-3</v>
      </c>
      <c r="CL26" s="39">
        <f t="shared" si="19"/>
        <v>0</v>
      </c>
      <c r="CN26" s="707"/>
      <c r="CO26" s="122" t="s">
        <v>49</v>
      </c>
      <c r="CP26" s="18">
        <f t="shared" ref="CP26:DA26" si="54">CP8-CP17</f>
        <v>-0.59400000000000008</v>
      </c>
      <c r="CQ26" s="18">
        <f t="shared" si="54"/>
        <v>-0.60099999999999998</v>
      </c>
      <c r="CR26" s="18">
        <f t="shared" si="54"/>
        <v>-0.59099999999999997</v>
      </c>
      <c r="CS26" s="18">
        <f t="shared" si="54"/>
        <v>-0.59499999999999997</v>
      </c>
      <c r="CT26" s="18">
        <f t="shared" si="54"/>
        <v>-0.625</v>
      </c>
      <c r="CU26" s="18">
        <f t="shared" si="54"/>
        <v>-0.46799999999999986</v>
      </c>
      <c r="CV26" s="18">
        <f t="shared" si="54"/>
        <v>0</v>
      </c>
      <c r="CW26" s="18">
        <f t="shared" si="54"/>
        <v>1.0000000000000009E-3</v>
      </c>
      <c r="CX26" s="18">
        <f t="shared" si="54"/>
        <v>1.0000000000000009E-3</v>
      </c>
      <c r="CY26" s="18">
        <f t="shared" si="54"/>
        <v>0</v>
      </c>
      <c r="CZ26" s="18">
        <f t="shared" si="54"/>
        <v>1.0000000000000009E-3</v>
      </c>
      <c r="DA26" s="39">
        <f t="shared" si="54"/>
        <v>1.0000000000000009E-3</v>
      </c>
      <c r="DC26" s="707"/>
      <c r="DD26" s="122" t="s">
        <v>49</v>
      </c>
      <c r="DE26" s="18">
        <f t="shared" ref="DE26:DP26" si="55">DE8-DE17</f>
        <v>-0.27900000000000003</v>
      </c>
      <c r="DF26" s="18">
        <f t="shared" si="55"/>
        <v>-0.27800000000000002</v>
      </c>
      <c r="DG26" s="18">
        <f t="shared" si="55"/>
        <v>-0.28499999999999998</v>
      </c>
      <c r="DH26" s="18">
        <f t="shared" si="55"/>
        <v>-0.28799999999999998</v>
      </c>
      <c r="DI26" s="18">
        <f t="shared" si="55"/>
        <v>-0.29399999999999998</v>
      </c>
      <c r="DJ26" s="18">
        <f t="shared" si="55"/>
        <v>-0.29499999999999998</v>
      </c>
      <c r="DK26" s="18">
        <f t="shared" si="55"/>
        <v>-0.29899999999999999</v>
      </c>
      <c r="DL26" s="18">
        <f t="shared" si="55"/>
        <v>-0.3</v>
      </c>
      <c r="DM26" s="18">
        <f t="shared" si="55"/>
        <v>1.0000000000000009E-3</v>
      </c>
      <c r="DN26" s="18">
        <f t="shared" si="55"/>
        <v>0</v>
      </c>
      <c r="DO26" s="18">
        <f t="shared" si="55"/>
        <v>1.0000000000000009E-3</v>
      </c>
      <c r="DP26" s="39">
        <f t="shared" si="55"/>
        <v>0</v>
      </c>
      <c r="DR26" s="707"/>
      <c r="DS26" s="81" t="s">
        <v>49</v>
      </c>
      <c r="DT26" s="18">
        <f t="shared" si="22"/>
        <v>-0.57299999999999995</v>
      </c>
      <c r="DU26" s="18">
        <f t="shared" ref="DU26:EE26" si="56">DU8-DU17</f>
        <v>-0.57400000000000007</v>
      </c>
      <c r="DV26" s="18">
        <f t="shared" si="56"/>
        <v>-0.57899999999999996</v>
      </c>
      <c r="DW26" s="18">
        <f t="shared" si="56"/>
        <v>-0.57000000000000006</v>
      </c>
      <c r="DX26" s="18">
        <f t="shared" si="56"/>
        <v>-0.57899999999999996</v>
      </c>
      <c r="DY26" s="18">
        <f t="shared" si="56"/>
        <v>-0.57899999999999996</v>
      </c>
      <c r="DZ26" s="18">
        <f t="shared" si="56"/>
        <v>-0.55800000000000005</v>
      </c>
      <c r="EA26" s="18">
        <f t="shared" si="56"/>
        <v>-0.55899999999999994</v>
      </c>
      <c r="EB26" s="18">
        <f t="shared" si="56"/>
        <v>-0.57699999999999996</v>
      </c>
      <c r="EC26" s="18">
        <f t="shared" si="56"/>
        <v>-0.57800000000000007</v>
      </c>
      <c r="ED26" s="18">
        <f t="shared" si="56"/>
        <v>0</v>
      </c>
      <c r="EE26" s="18">
        <f t="shared" si="56"/>
        <v>0</v>
      </c>
      <c r="EG26" s="707"/>
      <c r="EH26" s="122" t="s">
        <v>49</v>
      </c>
      <c r="EI26" s="18">
        <f t="shared" si="24"/>
        <v>-0.56200000000000006</v>
      </c>
      <c r="EJ26" s="18">
        <f t="shared" si="24"/>
        <v>-0.56600000000000006</v>
      </c>
      <c r="EK26" s="18">
        <f t="shared" si="24"/>
        <v>-0.55499999999999994</v>
      </c>
      <c r="EL26" s="18">
        <f t="shared" si="24"/>
        <v>-0.55200000000000005</v>
      </c>
      <c r="EM26" s="18">
        <f t="shared" si="24"/>
        <v>1.0000000000000009E-3</v>
      </c>
      <c r="EN26" s="18">
        <f t="shared" si="24"/>
        <v>0</v>
      </c>
      <c r="EO26" s="18">
        <f t="shared" si="24"/>
        <v>1.0000000000000009E-3</v>
      </c>
      <c r="EP26" s="18">
        <f t="shared" si="24"/>
        <v>1.0000000000000009E-3</v>
      </c>
      <c r="EQ26" s="18">
        <f t="shared" si="24"/>
        <v>1.0000000000000009E-3</v>
      </c>
      <c r="ER26" s="18">
        <f t="shared" si="24"/>
        <v>0</v>
      </c>
      <c r="ES26" s="18">
        <f t="shared" si="24"/>
        <v>1.0000000000000009E-3</v>
      </c>
      <c r="ET26" s="39">
        <f t="shared" si="24"/>
        <v>1.0000000000000009E-3</v>
      </c>
      <c r="EV26" s="707"/>
      <c r="EW26" s="122" t="s">
        <v>49</v>
      </c>
      <c r="EX26" s="18">
        <f t="shared" ref="EX26:FI26" si="57">EX8-EX17</f>
        <v>-0.53099999999999992</v>
      </c>
      <c r="EY26" s="18">
        <f t="shared" si="57"/>
        <v>-0.52200000000000002</v>
      </c>
      <c r="EZ26" s="18">
        <f t="shared" si="57"/>
        <v>-0.54099999999999993</v>
      </c>
      <c r="FA26" s="18">
        <f t="shared" si="57"/>
        <v>-0.53899999999999992</v>
      </c>
      <c r="FB26" s="18">
        <f t="shared" si="57"/>
        <v>-0.55200000000000005</v>
      </c>
      <c r="FC26" s="18">
        <f t="shared" si="57"/>
        <v>-0.55000000000000004</v>
      </c>
      <c r="FD26" s="18">
        <f t="shared" si="57"/>
        <v>-0.54400000000000004</v>
      </c>
      <c r="FE26" s="18">
        <f t="shared" si="57"/>
        <v>-0.54</v>
      </c>
      <c r="FF26" s="18">
        <f t="shared" si="57"/>
        <v>1.0000000000000009E-3</v>
      </c>
      <c r="FG26" s="18">
        <f t="shared" si="57"/>
        <v>0</v>
      </c>
      <c r="FH26" s="18">
        <f t="shared" si="57"/>
        <v>0</v>
      </c>
      <c r="FI26" s="39">
        <f t="shared" si="57"/>
        <v>0</v>
      </c>
      <c r="FK26" s="707"/>
      <c r="FL26" s="122" t="s">
        <v>49</v>
      </c>
      <c r="FM26" s="18">
        <f t="shared" ref="FM26:FX26" si="58">FM8-FM17</f>
        <v>-0.56499999999999995</v>
      </c>
      <c r="FN26" s="18">
        <f t="shared" si="58"/>
        <v>-0.56899999999999995</v>
      </c>
      <c r="FO26" s="18">
        <f t="shared" si="58"/>
        <v>-0.57000000000000006</v>
      </c>
      <c r="FP26" s="18">
        <f t="shared" si="58"/>
        <v>-0.56899999999999995</v>
      </c>
      <c r="FQ26" s="18">
        <f t="shared" si="58"/>
        <v>1.0000000000000009E-3</v>
      </c>
      <c r="FR26" s="18">
        <f t="shared" si="58"/>
        <v>1.0000000000000009E-3</v>
      </c>
      <c r="FS26" s="18">
        <f t="shared" si="58"/>
        <v>0</v>
      </c>
      <c r="FT26" s="18">
        <f t="shared" si="58"/>
        <v>1.9999999999999948E-3</v>
      </c>
      <c r="FU26" s="18">
        <f t="shared" si="58"/>
        <v>0</v>
      </c>
      <c r="FV26" s="18">
        <f t="shared" si="58"/>
        <v>1.0000000000000009E-3</v>
      </c>
      <c r="FW26" s="18">
        <f t="shared" si="58"/>
        <v>1.0000000000000009E-3</v>
      </c>
      <c r="FX26" s="39">
        <f t="shared" si="58"/>
        <v>0</v>
      </c>
    </row>
    <row r="27" spans="2:180" x14ac:dyDescent="0.25">
      <c r="B27" s="699"/>
      <c r="C27" s="122" t="s">
        <v>50</v>
      </c>
      <c r="D27" s="154">
        <f t="shared" si="12"/>
        <v>-0.52600000000000002</v>
      </c>
      <c r="E27" s="154">
        <f t="shared" si="12"/>
        <v>-0.52400000000000002</v>
      </c>
      <c r="F27" s="154">
        <f t="shared" si="12"/>
        <v>-0.53600000000000003</v>
      </c>
      <c r="G27" s="154">
        <f t="shared" si="12"/>
        <v>-0.53299999999999992</v>
      </c>
      <c r="H27" s="154">
        <f t="shared" si="12"/>
        <v>1.0000000000000009E-3</v>
      </c>
      <c r="I27" s="154">
        <f t="shared" si="12"/>
        <v>1.0000000000000009E-3</v>
      </c>
      <c r="J27" s="154">
        <f t="shared" si="12"/>
        <v>0</v>
      </c>
      <c r="K27" s="154">
        <f t="shared" si="12"/>
        <v>0</v>
      </c>
      <c r="L27" s="154">
        <f t="shared" si="12"/>
        <v>1.0000000000000009E-3</v>
      </c>
      <c r="M27" s="154">
        <f t="shared" si="12"/>
        <v>1.0000000000000009E-3</v>
      </c>
      <c r="N27" s="154">
        <f t="shared" si="12"/>
        <v>-1.0000000000000009E-3</v>
      </c>
      <c r="O27" s="155">
        <f t="shared" si="12"/>
        <v>1.0000000000000009E-3</v>
      </c>
      <c r="Q27" s="699"/>
      <c r="R27" s="122" t="s">
        <v>50</v>
      </c>
      <c r="S27" s="154">
        <f t="shared" si="13"/>
        <v>-0.56800000000000006</v>
      </c>
      <c r="T27" s="154">
        <f t="shared" ref="T27:AD27" si="59">T9-T18</f>
        <v>-0.56299999999999994</v>
      </c>
      <c r="U27" s="154">
        <f t="shared" si="59"/>
        <v>-0.57499999999999996</v>
      </c>
      <c r="V27" s="154">
        <f t="shared" si="59"/>
        <v>-0.57299999999999995</v>
      </c>
      <c r="W27" s="154">
        <f t="shared" si="59"/>
        <v>-0.57900000000000007</v>
      </c>
      <c r="X27" s="154">
        <f t="shared" si="59"/>
        <v>-0.58100000000000007</v>
      </c>
      <c r="Y27" s="154">
        <f t="shared" si="59"/>
        <v>-0.58000000000000007</v>
      </c>
      <c r="Z27" s="154">
        <f t="shared" si="59"/>
        <v>-0.57899999999999996</v>
      </c>
      <c r="AA27" s="154">
        <f t="shared" si="59"/>
        <v>1.0000000000000009E-3</v>
      </c>
      <c r="AB27" s="154">
        <f t="shared" si="59"/>
        <v>1.0000000000000009E-3</v>
      </c>
      <c r="AC27" s="154">
        <f t="shared" si="59"/>
        <v>0</v>
      </c>
      <c r="AD27" s="155">
        <f t="shared" si="59"/>
        <v>0</v>
      </c>
      <c r="AF27" s="707"/>
      <c r="AG27" s="122" t="s">
        <v>50</v>
      </c>
      <c r="AH27" s="154">
        <f t="shared" si="15"/>
        <v>1.0000000000000009E-3</v>
      </c>
      <c r="AI27" s="154">
        <f t="shared" si="15"/>
        <v>1.0000000000000009E-3</v>
      </c>
      <c r="AJ27" s="154">
        <f t="shared" si="15"/>
        <v>-0.56600000000000006</v>
      </c>
      <c r="AK27" s="154">
        <f t="shared" si="15"/>
        <v>-0.56699999999999995</v>
      </c>
      <c r="AL27" s="154">
        <f t="shared" si="15"/>
        <v>0</v>
      </c>
      <c r="AM27" s="154">
        <f t="shared" si="15"/>
        <v>1.0000000000000009E-3</v>
      </c>
      <c r="AN27" s="154">
        <f t="shared" si="15"/>
        <v>9.9999999999999395E-4</v>
      </c>
      <c r="AO27" s="154">
        <f t="shared" si="15"/>
        <v>1.0000000000000009E-3</v>
      </c>
      <c r="AP27" s="154">
        <f t="shared" si="15"/>
        <v>1.0000000000000009E-3</v>
      </c>
      <c r="AQ27" s="154">
        <f t="shared" si="15"/>
        <v>1.0000000000000009E-3</v>
      </c>
      <c r="AR27" s="154">
        <f t="shared" si="15"/>
        <v>9.9999999999999395E-4</v>
      </c>
      <c r="AS27" s="155">
        <f t="shared" si="15"/>
        <v>9.9999999999999395E-4</v>
      </c>
      <c r="AU27" s="707"/>
      <c r="AV27" s="122" t="s">
        <v>50</v>
      </c>
      <c r="AW27" s="154">
        <f t="shared" ref="AW27:BH27" si="60">AW9-AW18</f>
        <v>-0.57400000000000007</v>
      </c>
      <c r="AX27" s="154">
        <f t="shared" si="60"/>
        <v>-0.57699999999999996</v>
      </c>
      <c r="AY27" s="154">
        <f t="shared" si="60"/>
        <v>1.0000000000000009E-3</v>
      </c>
      <c r="AZ27" s="154">
        <f t="shared" si="60"/>
        <v>1.0000000000000009E-3</v>
      </c>
      <c r="BA27" s="154">
        <f t="shared" si="60"/>
        <v>-0.58600000000000008</v>
      </c>
      <c r="BB27" s="154">
        <f t="shared" si="60"/>
        <v>-0.57699999999999996</v>
      </c>
      <c r="BC27" s="154">
        <f t="shared" si="60"/>
        <v>0</v>
      </c>
      <c r="BD27" s="154">
        <f t="shared" si="60"/>
        <v>1.0000000000000009E-3</v>
      </c>
      <c r="BE27" s="154">
        <f t="shared" si="60"/>
        <v>1.0000000000000009E-3</v>
      </c>
      <c r="BF27" s="154">
        <f t="shared" si="60"/>
        <v>1.0000000000000009E-3</v>
      </c>
      <c r="BG27" s="154">
        <f t="shared" si="60"/>
        <v>1.0000000000000009E-3</v>
      </c>
      <c r="BH27" s="155">
        <f t="shared" si="60"/>
        <v>1.0000000000000009E-3</v>
      </c>
      <c r="BJ27" s="707"/>
      <c r="BK27" s="122" t="s">
        <v>50</v>
      </c>
      <c r="BL27" s="18">
        <f t="shared" si="17"/>
        <v>1.0000000000000009E-3</v>
      </c>
      <c r="BM27" s="18">
        <f t="shared" ref="BM27:BW27" si="61">BM9-BM18</f>
        <v>0</v>
      </c>
      <c r="BN27" s="18">
        <f t="shared" si="61"/>
        <v>-0.56600000000000006</v>
      </c>
      <c r="BO27" s="18">
        <f t="shared" si="61"/>
        <v>-0.57600000000000007</v>
      </c>
      <c r="BP27" s="18">
        <f t="shared" si="61"/>
        <v>1.0000000000000009E-3</v>
      </c>
      <c r="BQ27" s="18">
        <f t="shared" si="61"/>
        <v>1.0000000000000009E-3</v>
      </c>
      <c r="BR27" s="18">
        <f t="shared" si="61"/>
        <v>1.0000000000000009E-3</v>
      </c>
      <c r="BS27" s="18">
        <f t="shared" si="61"/>
        <v>0</v>
      </c>
      <c r="BT27" s="18">
        <f t="shared" si="61"/>
        <v>1.0000000000000009E-3</v>
      </c>
      <c r="BU27" s="18">
        <f t="shared" si="61"/>
        <v>0</v>
      </c>
      <c r="BV27" s="18">
        <f t="shared" si="61"/>
        <v>1.0000000000000009E-3</v>
      </c>
      <c r="BW27" s="39">
        <f t="shared" si="61"/>
        <v>1.0000000000000009E-3</v>
      </c>
      <c r="BY27" s="707"/>
      <c r="BZ27" s="122" t="s">
        <v>50</v>
      </c>
      <c r="CA27" s="18">
        <f t="shared" si="19"/>
        <v>-0.59099999999999997</v>
      </c>
      <c r="CB27" s="18">
        <f t="shared" si="19"/>
        <v>-0.59099999999999997</v>
      </c>
      <c r="CC27" s="18">
        <f t="shared" si="19"/>
        <v>-0.60399999999999987</v>
      </c>
      <c r="CD27" s="18">
        <f t="shared" si="19"/>
        <v>-0.60099999999999998</v>
      </c>
      <c r="CE27" s="18">
        <f t="shared" si="19"/>
        <v>-0.60099999999999998</v>
      </c>
      <c r="CF27" s="18">
        <f t="shared" si="19"/>
        <v>-0.60000000000000009</v>
      </c>
      <c r="CG27" s="18">
        <f t="shared" si="19"/>
        <v>-0.59899999999999998</v>
      </c>
      <c r="CH27" s="18">
        <f t="shared" si="19"/>
        <v>-0.59899999999999998</v>
      </c>
      <c r="CI27" s="18">
        <f t="shared" si="19"/>
        <v>1.0000000000000009E-3</v>
      </c>
      <c r="CJ27" s="18">
        <f t="shared" si="19"/>
        <v>0</v>
      </c>
      <c r="CK27" s="18">
        <f t="shared" si="19"/>
        <v>1.0000000000000009E-3</v>
      </c>
      <c r="CL27" s="39">
        <f t="shared" si="19"/>
        <v>1.0000000000000009E-3</v>
      </c>
      <c r="CN27" s="707"/>
      <c r="CO27" s="122" t="s">
        <v>50</v>
      </c>
      <c r="CP27" s="18">
        <f t="shared" ref="CP27:DA27" si="62">CP9-CP18</f>
        <v>-0.59000000000000008</v>
      </c>
      <c r="CQ27" s="18">
        <f t="shared" si="62"/>
        <v>-0.58900000000000008</v>
      </c>
      <c r="CR27" s="18">
        <f t="shared" si="62"/>
        <v>-0.57900000000000007</v>
      </c>
      <c r="CS27" s="18">
        <f t="shared" si="62"/>
        <v>-0.58000000000000007</v>
      </c>
      <c r="CT27" s="18">
        <f t="shared" si="62"/>
        <v>1.0000000000000009E-3</v>
      </c>
      <c r="CU27" s="18">
        <f t="shared" si="62"/>
        <v>1.0000000000000009E-3</v>
      </c>
      <c r="CV27" s="18">
        <f t="shared" si="62"/>
        <v>1.0000000000000009E-3</v>
      </c>
      <c r="CW27" s="18">
        <f t="shared" si="62"/>
        <v>0</v>
      </c>
      <c r="CX27" s="18">
        <f t="shared" si="62"/>
        <v>1.0000000000000009E-3</v>
      </c>
      <c r="CY27" s="18">
        <f t="shared" si="62"/>
        <v>0</v>
      </c>
      <c r="CZ27" s="18">
        <f t="shared" si="62"/>
        <v>1.0000000000000009E-3</v>
      </c>
      <c r="DA27" s="39">
        <f t="shared" si="62"/>
        <v>0</v>
      </c>
      <c r="DC27" s="707"/>
      <c r="DD27" s="122" t="s">
        <v>50</v>
      </c>
      <c r="DE27" s="18">
        <f t="shared" ref="DE27:DP27" si="63">DE9-DE18</f>
        <v>-0.27700000000000002</v>
      </c>
      <c r="DF27" s="18">
        <f t="shared" si="63"/>
        <v>-0.27600000000000002</v>
      </c>
      <c r="DG27" s="18">
        <f t="shared" si="63"/>
        <v>-0.28999999999999998</v>
      </c>
      <c r="DH27" s="18">
        <f t="shared" si="63"/>
        <v>-0.28899999999999998</v>
      </c>
      <c r="DI27" s="18">
        <f t="shared" si="63"/>
        <v>-0.29799999999999999</v>
      </c>
      <c r="DJ27" s="18">
        <f t="shared" si="63"/>
        <v>-0.29699999999999999</v>
      </c>
      <c r="DK27" s="18">
        <f t="shared" si="63"/>
        <v>1.0000000000000009E-3</v>
      </c>
      <c r="DL27" s="18">
        <f t="shared" si="63"/>
        <v>0</v>
      </c>
      <c r="DM27" s="18">
        <f t="shared" si="63"/>
        <v>1.0000000000000009E-3</v>
      </c>
      <c r="DN27" s="18">
        <f t="shared" si="63"/>
        <v>1.0000000000000009E-3</v>
      </c>
      <c r="DO27" s="18">
        <f t="shared" si="63"/>
        <v>1.0000000000000009E-3</v>
      </c>
      <c r="DP27" s="39">
        <f t="shared" si="63"/>
        <v>1.0000000000000009E-3</v>
      </c>
      <c r="DR27" s="707"/>
      <c r="DS27" s="81" t="s">
        <v>50</v>
      </c>
      <c r="DT27" s="18">
        <f t="shared" si="22"/>
        <v>-0.57200000000000006</v>
      </c>
      <c r="DU27" s="18">
        <f t="shared" ref="DU27:EE27" si="64">DU9-DU18</f>
        <v>-0.57099999999999995</v>
      </c>
      <c r="DV27" s="18">
        <f t="shared" si="64"/>
        <v>-0.56000000000000005</v>
      </c>
      <c r="DW27" s="18">
        <f t="shared" si="64"/>
        <v>-0.56200000000000006</v>
      </c>
      <c r="DX27" s="18">
        <f t="shared" si="64"/>
        <v>-0.57600000000000007</v>
      </c>
      <c r="DY27" s="18">
        <f t="shared" si="64"/>
        <v>-0.57499999999999996</v>
      </c>
      <c r="DZ27" s="18">
        <f t="shared" si="64"/>
        <v>-0.55800000000000005</v>
      </c>
      <c r="EA27" s="18">
        <f t="shared" si="64"/>
        <v>-0.55699999999999994</v>
      </c>
      <c r="EB27" s="18">
        <f t="shared" si="64"/>
        <v>-0.57400000000000007</v>
      </c>
      <c r="EC27" s="18">
        <f t="shared" si="64"/>
        <v>-0.57899999999999996</v>
      </c>
      <c r="ED27" s="18">
        <f t="shared" si="64"/>
        <v>0</v>
      </c>
      <c r="EE27" s="18">
        <f t="shared" si="64"/>
        <v>0</v>
      </c>
      <c r="EG27" s="707"/>
      <c r="EH27" s="122" t="s">
        <v>50</v>
      </c>
      <c r="EI27" s="18">
        <f t="shared" si="24"/>
        <v>-0.56200000000000006</v>
      </c>
      <c r="EJ27" s="18">
        <f t="shared" si="24"/>
        <v>-0.56400000000000006</v>
      </c>
      <c r="EK27" s="18">
        <f t="shared" si="24"/>
        <v>-0.56600000000000006</v>
      </c>
      <c r="EL27" s="18">
        <f t="shared" si="24"/>
        <v>-0.57699999999999996</v>
      </c>
      <c r="EM27" s="18">
        <f t="shared" si="24"/>
        <v>0</v>
      </c>
      <c r="EN27" s="18">
        <f t="shared" si="24"/>
        <v>9.9999999999999395E-4</v>
      </c>
      <c r="EO27" s="18">
        <f t="shared" si="24"/>
        <v>9.9999999999999395E-4</v>
      </c>
      <c r="EP27" s="18">
        <f t="shared" si="24"/>
        <v>1.0000000000000009E-3</v>
      </c>
      <c r="EQ27" s="18">
        <f t="shared" si="24"/>
        <v>0</v>
      </c>
      <c r="ER27" s="18">
        <f t="shared" si="24"/>
        <v>0</v>
      </c>
      <c r="ES27" s="18">
        <f t="shared" si="24"/>
        <v>0</v>
      </c>
      <c r="ET27" s="39">
        <f t="shared" si="24"/>
        <v>0</v>
      </c>
      <c r="EV27" s="707"/>
      <c r="EW27" s="122" t="s">
        <v>50</v>
      </c>
      <c r="EX27" s="18">
        <f t="shared" ref="EX27:FI27" si="65">EX9-EX18</f>
        <v>-0.55299999999999994</v>
      </c>
      <c r="EY27" s="18">
        <f t="shared" si="65"/>
        <v>-0.54699999999999993</v>
      </c>
      <c r="EZ27" s="18">
        <f t="shared" si="65"/>
        <v>-0.54699999999999993</v>
      </c>
      <c r="FA27" s="18">
        <f t="shared" si="65"/>
        <v>-0.54600000000000004</v>
      </c>
      <c r="FB27" s="18">
        <f t="shared" si="65"/>
        <v>-0.54499999999999993</v>
      </c>
      <c r="FC27" s="18">
        <f t="shared" si="65"/>
        <v>-0.54800000000000004</v>
      </c>
      <c r="FD27" s="18">
        <f t="shared" si="65"/>
        <v>-0.54800000000000004</v>
      </c>
      <c r="FE27" s="18">
        <f t="shared" si="65"/>
        <v>-0.54</v>
      </c>
      <c r="FF27" s="18">
        <f t="shared" si="65"/>
        <v>1.0000000000000009E-3</v>
      </c>
      <c r="FG27" s="18">
        <f t="shared" si="65"/>
        <v>0</v>
      </c>
      <c r="FH27" s="18">
        <f t="shared" si="65"/>
        <v>0</v>
      </c>
      <c r="FI27" s="39">
        <f t="shared" si="65"/>
        <v>1.0000000000000009E-3</v>
      </c>
      <c r="FK27" s="707"/>
      <c r="FL27" s="122" t="s">
        <v>50</v>
      </c>
      <c r="FM27" s="18">
        <f t="shared" ref="FM27:FX27" si="66">FM9-FM18</f>
        <v>-0.57200000000000006</v>
      </c>
      <c r="FN27" s="18">
        <f t="shared" si="66"/>
        <v>-0.56699999999999995</v>
      </c>
      <c r="FO27" s="18">
        <f t="shared" si="66"/>
        <v>-0.58000000000000007</v>
      </c>
      <c r="FP27" s="18">
        <f t="shared" si="66"/>
        <v>-0.57699999999999996</v>
      </c>
      <c r="FQ27" s="18">
        <f t="shared" si="66"/>
        <v>1.0000000000000009E-3</v>
      </c>
      <c r="FR27" s="18">
        <f t="shared" si="66"/>
        <v>1.0000000000000009E-3</v>
      </c>
      <c r="FS27" s="18">
        <f t="shared" si="66"/>
        <v>1.0000000000000009E-3</v>
      </c>
      <c r="FT27" s="18">
        <f t="shared" si="66"/>
        <v>1.0000000000000009E-3</v>
      </c>
      <c r="FU27" s="18">
        <f t="shared" si="66"/>
        <v>1.0000000000000009E-3</v>
      </c>
      <c r="FV27" s="18">
        <f t="shared" si="66"/>
        <v>1.0000000000000009E-3</v>
      </c>
      <c r="FW27" s="18">
        <f t="shared" si="66"/>
        <v>1.0000000000000009E-3</v>
      </c>
      <c r="FX27" s="39">
        <f t="shared" si="66"/>
        <v>1.0000000000000009E-3</v>
      </c>
    </row>
    <row r="28" spans="2:180" ht="15.75" customHeight="1" thickBot="1" x14ac:dyDescent="0.3">
      <c r="B28" s="700"/>
      <c r="C28" s="123" t="s">
        <v>51</v>
      </c>
      <c r="D28" s="156">
        <f t="shared" si="12"/>
        <v>-0.54</v>
      </c>
      <c r="E28" s="156">
        <f t="shared" si="12"/>
        <v>-0.52699999999999991</v>
      </c>
      <c r="F28" s="156">
        <f t="shared" si="12"/>
        <v>1.0000000000000009E-3</v>
      </c>
      <c r="G28" s="156">
        <f t="shared" si="12"/>
        <v>1.0000000000000009E-3</v>
      </c>
      <c r="H28" s="156">
        <f t="shared" si="12"/>
        <v>0</v>
      </c>
      <c r="I28" s="156">
        <f t="shared" si="12"/>
        <v>1.0000000000000009E-3</v>
      </c>
      <c r="J28" s="156">
        <f t="shared" si="12"/>
        <v>1.0000000000000009E-3</v>
      </c>
      <c r="K28" s="156">
        <f t="shared" si="12"/>
        <v>1.0000000000000009E-3</v>
      </c>
      <c r="L28" s="156">
        <f t="shared" si="12"/>
        <v>1.0000000000000009E-3</v>
      </c>
      <c r="M28" s="156">
        <f t="shared" si="12"/>
        <v>1.0000000000000009E-3</v>
      </c>
      <c r="N28" s="156">
        <f t="shared" si="12"/>
        <v>1.0000000000000009E-3</v>
      </c>
      <c r="O28" s="157">
        <f t="shared" si="12"/>
        <v>1.0000000000000009E-3</v>
      </c>
      <c r="Q28" s="700"/>
      <c r="R28" s="123" t="s">
        <v>51</v>
      </c>
      <c r="S28" s="154">
        <f t="shared" si="13"/>
        <v>9.9999999999999395E-4</v>
      </c>
      <c r="T28" s="156">
        <f t="shared" ref="T28:AD28" si="67">T10-T19</f>
        <v>1.0000000000000009E-3</v>
      </c>
      <c r="U28" s="156">
        <f t="shared" si="67"/>
        <v>-0.56699999999999995</v>
      </c>
      <c r="V28" s="156">
        <f t="shared" si="67"/>
        <v>-0.56699999999999995</v>
      </c>
      <c r="W28" s="156">
        <f t="shared" si="67"/>
        <v>-0.56400000000000006</v>
      </c>
      <c r="X28" s="156">
        <f t="shared" si="67"/>
        <v>-0.56899999999999995</v>
      </c>
      <c r="Y28" s="156">
        <f t="shared" si="67"/>
        <v>-0.57299999999999995</v>
      </c>
      <c r="Z28" s="156">
        <f t="shared" si="67"/>
        <v>-0.57200000000000006</v>
      </c>
      <c r="AA28" s="156">
        <f t="shared" si="67"/>
        <v>9.9999999999999395E-4</v>
      </c>
      <c r="AB28" s="156">
        <f t="shared" si="67"/>
        <v>1.0000000000000009E-3</v>
      </c>
      <c r="AC28" s="156">
        <f t="shared" si="67"/>
        <v>1.0000000000000009E-3</v>
      </c>
      <c r="AD28" s="157">
        <f t="shared" si="67"/>
        <v>1.0000000000000009E-3</v>
      </c>
      <c r="AF28" s="708"/>
      <c r="AG28" s="123" t="s">
        <v>51</v>
      </c>
      <c r="AH28" s="156">
        <f t="shared" si="15"/>
        <v>0</v>
      </c>
      <c r="AI28" s="156">
        <f t="shared" si="15"/>
        <v>1.0000000000000009E-3</v>
      </c>
      <c r="AJ28" s="156">
        <f t="shared" si="15"/>
        <v>1.0000000000000009E-3</v>
      </c>
      <c r="AK28" s="156">
        <f t="shared" si="15"/>
        <v>0</v>
      </c>
      <c r="AL28" s="156">
        <f t="shared" si="15"/>
        <v>1.0000000000000009E-3</v>
      </c>
      <c r="AM28" s="156">
        <f t="shared" si="15"/>
        <v>0</v>
      </c>
      <c r="AN28" s="156">
        <f t="shared" si="15"/>
        <v>1.0000000000000009E-3</v>
      </c>
      <c r="AO28" s="156">
        <f t="shared" si="15"/>
        <v>9.9999999999999395E-4</v>
      </c>
      <c r="AP28" s="156">
        <f t="shared" si="15"/>
        <v>1.0000000000000009E-3</v>
      </c>
      <c r="AQ28" s="156">
        <f t="shared" si="15"/>
        <v>1.0000000000000009E-3</v>
      </c>
      <c r="AR28" s="156">
        <f t="shared" si="15"/>
        <v>1.0000000000000009E-3</v>
      </c>
      <c r="AS28" s="157">
        <f t="shared" si="15"/>
        <v>1.0000000000000009E-3</v>
      </c>
      <c r="AU28" s="708"/>
      <c r="AV28" s="123" t="s">
        <v>51</v>
      </c>
      <c r="AW28" s="156">
        <f t="shared" ref="AW28:BH28" si="68">AW10-AW19</f>
        <v>1.0000000000000009E-3</v>
      </c>
      <c r="AX28" s="156">
        <f t="shared" si="68"/>
        <v>1.0000000000000009E-3</v>
      </c>
      <c r="AY28" s="156">
        <f t="shared" si="68"/>
        <v>0</v>
      </c>
      <c r="AZ28" s="156">
        <f t="shared" si="68"/>
        <v>0</v>
      </c>
      <c r="BA28" s="156">
        <f t="shared" si="68"/>
        <v>0</v>
      </c>
      <c r="BB28" s="156">
        <f t="shared" si="68"/>
        <v>0</v>
      </c>
      <c r="BC28" s="156">
        <f t="shared" si="68"/>
        <v>1.0000000000000009E-3</v>
      </c>
      <c r="BD28" s="156">
        <f t="shared" si="68"/>
        <v>0</v>
      </c>
      <c r="BE28" s="156">
        <f t="shared" si="68"/>
        <v>0</v>
      </c>
      <c r="BF28" s="156">
        <f t="shared" si="68"/>
        <v>1.0000000000000009E-3</v>
      </c>
      <c r="BG28" s="156">
        <f t="shared" si="68"/>
        <v>1.0000000000000009E-3</v>
      </c>
      <c r="BH28" s="157">
        <f t="shared" si="68"/>
        <v>0</v>
      </c>
      <c r="BJ28" s="708"/>
      <c r="BK28" s="123" t="s">
        <v>51</v>
      </c>
      <c r="BL28" s="40">
        <f t="shared" si="17"/>
        <v>1.0000000000000009E-3</v>
      </c>
      <c r="BM28" s="40">
        <f t="shared" ref="BM28:BW28" si="69">BM10-BM19</f>
        <v>0</v>
      </c>
      <c r="BN28" s="40">
        <f t="shared" si="69"/>
        <v>1.0000000000000009E-3</v>
      </c>
      <c r="BO28" s="40">
        <f t="shared" si="69"/>
        <v>0</v>
      </c>
      <c r="BP28" s="40">
        <f t="shared" si="69"/>
        <v>0</v>
      </c>
      <c r="BQ28" s="40">
        <f t="shared" si="69"/>
        <v>1.0000000000000009E-3</v>
      </c>
      <c r="BR28" s="40">
        <f t="shared" si="69"/>
        <v>1.0000000000000009E-3</v>
      </c>
      <c r="BS28" s="40">
        <f t="shared" si="69"/>
        <v>0</v>
      </c>
      <c r="BT28" s="40">
        <f t="shared" si="69"/>
        <v>1.0000000000000009E-3</v>
      </c>
      <c r="BU28" s="40">
        <f t="shared" si="69"/>
        <v>1.0000000000000009E-3</v>
      </c>
      <c r="BV28" s="40">
        <f t="shared" si="69"/>
        <v>1.0000000000000009E-3</v>
      </c>
      <c r="BW28" s="41">
        <f t="shared" si="69"/>
        <v>1.0000000000000009E-3</v>
      </c>
      <c r="BY28" s="708"/>
      <c r="BZ28" s="123" t="s">
        <v>51</v>
      </c>
      <c r="CA28" s="40">
        <f t="shared" si="19"/>
        <v>1.0000000000000009E-3</v>
      </c>
      <c r="CB28" s="40">
        <f t="shared" si="19"/>
        <v>1.0000000000000009E-3</v>
      </c>
      <c r="CC28" s="40">
        <f t="shared" si="19"/>
        <v>1.0000000000000009E-3</v>
      </c>
      <c r="CD28" s="40">
        <f t="shared" si="19"/>
        <v>1.0000000000000009E-3</v>
      </c>
      <c r="CE28" s="40">
        <f t="shared" si="19"/>
        <v>1.0000000000000009E-3</v>
      </c>
      <c r="CF28" s="40">
        <f t="shared" si="19"/>
        <v>1.0000000000000009E-3</v>
      </c>
      <c r="CG28" s="40">
        <f t="shared" si="19"/>
        <v>9.9999999999999395E-4</v>
      </c>
      <c r="CH28" s="40">
        <f t="shared" si="19"/>
        <v>1.0000000000000009E-3</v>
      </c>
      <c r="CI28" s="40">
        <f t="shared" si="19"/>
        <v>0</v>
      </c>
      <c r="CJ28" s="40">
        <f t="shared" si="19"/>
        <v>9.9999999999999395E-4</v>
      </c>
      <c r="CK28" s="40">
        <f t="shared" si="19"/>
        <v>1.0000000000000009E-3</v>
      </c>
      <c r="CL28" s="41">
        <f t="shared" si="19"/>
        <v>9.9999999999999395E-4</v>
      </c>
      <c r="CN28" s="708"/>
      <c r="CO28" s="123" t="s">
        <v>51</v>
      </c>
      <c r="CP28" s="40">
        <f t="shared" ref="CP28:DA28" si="70">CP10-CP19</f>
        <v>1.0000000000000009E-3</v>
      </c>
      <c r="CQ28" s="40">
        <f t="shared" si="70"/>
        <v>1.0000000000000009E-3</v>
      </c>
      <c r="CR28" s="40">
        <f t="shared" si="70"/>
        <v>-0.58499999999999996</v>
      </c>
      <c r="CS28" s="40">
        <f t="shared" si="70"/>
        <v>-0.59199999999999997</v>
      </c>
      <c r="CT28" s="40">
        <f t="shared" si="70"/>
        <v>0</v>
      </c>
      <c r="CU28" s="40">
        <f t="shared" si="70"/>
        <v>1.0000000000000009E-3</v>
      </c>
      <c r="CV28" s="40">
        <f t="shared" si="70"/>
        <v>1.0000000000000009E-3</v>
      </c>
      <c r="CW28" s="40">
        <f t="shared" si="70"/>
        <v>1.0000000000000009E-3</v>
      </c>
      <c r="CX28" s="40">
        <f t="shared" si="70"/>
        <v>1.0000000000000009E-3</v>
      </c>
      <c r="CY28" s="40">
        <f t="shared" si="70"/>
        <v>1.0000000000000009E-3</v>
      </c>
      <c r="CZ28" s="40">
        <f t="shared" si="70"/>
        <v>1.0000000000000009E-3</v>
      </c>
      <c r="DA28" s="41">
        <f t="shared" si="70"/>
        <v>1.0000000000000009E-3</v>
      </c>
      <c r="DC28" s="708"/>
      <c r="DD28" s="123" t="s">
        <v>51</v>
      </c>
      <c r="DE28" s="40">
        <f t="shared" ref="DE28:DP28" si="71">DE10-DE19</f>
        <v>9.9999999999999395E-4</v>
      </c>
      <c r="DF28" s="40">
        <f t="shared" si="71"/>
        <v>1.0000000000000009E-3</v>
      </c>
      <c r="DG28" s="40">
        <f t="shared" si="71"/>
        <v>1.0000000000000009E-3</v>
      </c>
      <c r="DH28" s="40">
        <f t="shared" si="71"/>
        <v>1.0000000000000009E-3</v>
      </c>
      <c r="DI28" s="40">
        <f t="shared" si="71"/>
        <v>0</v>
      </c>
      <c r="DJ28" s="40">
        <f t="shared" si="71"/>
        <v>1.0000000000000009E-3</v>
      </c>
      <c r="DK28" s="40">
        <f t="shared" si="71"/>
        <v>0</v>
      </c>
      <c r="DL28" s="40">
        <f t="shared" si="71"/>
        <v>1.0000000000000009E-3</v>
      </c>
      <c r="DM28" s="40">
        <f t="shared" si="71"/>
        <v>1.0000000000000009E-3</v>
      </c>
      <c r="DN28" s="40">
        <f t="shared" si="71"/>
        <v>1.0000000000000009E-3</v>
      </c>
      <c r="DO28" s="40">
        <f t="shared" si="71"/>
        <v>1.0000000000000009E-3</v>
      </c>
      <c r="DP28" s="41">
        <f t="shared" si="71"/>
        <v>1.0000000000000009E-3</v>
      </c>
      <c r="DR28" s="708"/>
      <c r="DS28" s="81" t="s">
        <v>51</v>
      </c>
      <c r="DT28" s="18">
        <f t="shared" si="22"/>
        <v>-0.58400000000000007</v>
      </c>
      <c r="DU28" s="18">
        <f t="shared" ref="DU28:EE28" si="72">DU10-DU19</f>
        <v>-0.58400000000000007</v>
      </c>
      <c r="DV28" s="18">
        <f t="shared" si="72"/>
        <v>0</v>
      </c>
      <c r="DW28" s="18">
        <f t="shared" si="72"/>
        <v>0</v>
      </c>
      <c r="DX28" s="18">
        <f t="shared" si="72"/>
        <v>1.0000000000000009E-3</v>
      </c>
      <c r="DY28" s="18">
        <f t="shared" si="72"/>
        <v>1.0000000000000009E-3</v>
      </c>
      <c r="DZ28" s="18">
        <f t="shared" si="72"/>
        <v>1.0000000000000009E-3</v>
      </c>
      <c r="EA28" s="18">
        <f t="shared" si="72"/>
        <v>0</v>
      </c>
      <c r="EB28" s="18">
        <f t="shared" si="72"/>
        <v>0</v>
      </c>
      <c r="EC28" s="18">
        <f t="shared" si="72"/>
        <v>1.0000000000000009E-3</v>
      </c>
      <c r="ED28" s="18">
        <f t="shared" si="72"/>
        <v>1.0000000000000009E-3</v>
      </c>
      <c r="EE28" s="18">
        <f t="shared" si="72"/>
        <v>1.0000000000000009E-3</v>
      </c>
      <c r="EG28" s="708"/>
      <c r="EH28" s="123" t="s">
        <v>51</v>
      </c>
      <c r="EI28" s="40">
        <f t="shared" si="24"/>
        <v>1.0000000000000009E-3</v>
      </c>
      <c r="EJ28" s="40">
        <f t="shared" si="24"/>
        <v>0</v>
      </c>
      <c r="EK28" s="40">
        <f t="shared" si="24"/>
        <v>1.0000000000000009E-3</v>
      </c>
      <c r="EL28" s="40">
        <f t="shared" si="24"/>
        <v>1.0000000000000009E-3</v>
      </c>
      <c r="EM28" s="40">
        <f t="shared" si="24"/>
        <v>1.0000000000000009E-3</v>
      </c>
      <c r="EN28" s="40">
        <f t="shared" si="24"/>
        <v>0</v>
      </c>
      <c r="EO28" s="40">
        <f t="shared" si="24"/>
        <v>1.0000000000000009E-3</v>
      </c>
      <c r="EP28" s="40">
        <f t="shared" si="24"/>
        <v>9.9999999999999395E-4</v>
      </c>
      <c r="EQ28" s="40">
        <f t="shared" si="24"/>
        <v>9.9999999999999395E-4</v>
      </c>
      <c r="ER28" s="40">
        <f t="shared" si="24"/>
        <v>0</v>
      </c>
      <c r="ES28" s="40">
        <f t="shared" si="24"/>
        <v>1.0000000000000009E-3</v>
      </c>
      <c r="ET28" s="41">
        <f t="shared" si="24"/>
        <v>0</v>
      </c>
      <c r="EV28" s="708"/>
      <c r="EW28" s="123" t="s">
        <v>51</v>
      </c>
      <c r="EX28" s="40">
        <f t="shared" ref="EX28:FI28" si="73">EX10-EX19</f>
        <v>9.9999999999999395E-4</v>
      </c>
      <c r="EY28" s="40">
        <f t="shared" si="73"/>
        <v>1.0000000000000009E-3</v>
      </c>
      <c r="EZ28" s="40">
        <f t="shared" si="73"/>
        <v>1.0000000000000009E-3</v>
      </c>
      <c r="FA28" s="40">
        <f t="shared" si="73"/>
        <v>1.0000000000000009E-3</v>
      </c>
      <c r="FB28" s="40">
        <f t="shared" si="73"/>
        <v>0</v>
      </c>
      <c r="FC28" s="40">
        <f t="shared" si="73"/>
        <v>1.0000000000000009E-3</v>
      </c>
      <c r="FD28" s="40">
        <f t="shared" si="73"/>
        <v>1.0000000000000009E-3</v>
      </c>
      <c r="FE28" s="40">
        <f t="shared" si="73"/>
        <v>1.0000000000000009E-3</v>
      </c>
      <c r="FF28" s="40">
        <f t="shared" si="73"/>
        <v>1.0000000000000009E-3</v>
      </c>
      <c r="FG28" s="40">
        <f t="shared" si="73"/>
        <v>0</v>
      </c>
      <c r="FH28" s="40">
        <f t="shared" si="73"/>
        <v>0</v>
      </c>
      <c r="FI28" s="41">
        <f t="shared" si="73"/>
        <v>1.0000000000000009E-3</v>
      </c>
      <c r="FK28" s="708"/>
      <c r="FL28" s="123" t="s">
        <v>51</v>
      </c>
      <c r="FM28" s="40">
        <f t="shared" ref="FM28:FX28" si="74">FM10-FM19</f>
        <v>0</v>
      </c>
      <c r="FN28" s="40">
        <f t="shared" si="74"/>
        <v>0</v>
      </c>
      <c r="FO28" s="40">
        <f t="shared" si="74"/>
        <v>0</v>
      </c>
      <c r="FP28" s="40">
        <f t="shared" si="74"/>
        <v>1.0000000000000009E-3</v>
      </c>
      <c r="FQ28" s="40">
        <f t="shared" si="74"/>
        <v>0</v>
      </c>
      <c r="FR28" s="40">
        <f t="shared" si="74"/>
        <v>1.0000000000000009E-3</v>
      </c>
      <c r="FS28" s="40">
        <f t="shared" si="74"/>
        <v>1.0000000000000009E-3</v>
      </c>
      <c r="FT28" s="40">
        <f t="shared" si="74"/>
        <v>0</v>
      </c>
      <c r="FU28" s="40">
        <f t="shared" si="74"/>
        <v>1.0000000000000009E-3</v>
      </c>
      <c r="FV28" s="40">
        <f t="shared" si="74"/>
        <v>9.9999999999999395E-4</v>
      </c>
      <c r="FW28" s="40">
        <f t="shared" si="74"/>
        <v>1.0000000000000009E-3</v>
      </c>
      <c r="FX28" s="41">
        <f t="shared" si="74"/>
        <v>0</v>
      </c>
    </row>
    <row r="29" spans="2:180" x14ac:dyDescent="0.25">
      <c r="B29" s="706" t="s">
        <v>117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25"/>
      <c r="Q29" s="706" t="s">
        <v>117</v>
      </c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25"/>
      <c r="AF29" s="706" t="s">
        <v>117</v>
      </c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25"/>
      <c r="AU29" s="706" t="s">
        <v>117</v>
      </c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25"/>
      <c r="BJ29" s="706" t="s">
        <v>117</v>
      </c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25"/>
      <c r="BY29" s="706" t="s">
        <v>117</v>
      </c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25"/>
      <c r="CN29" s="706" t="s">
        <v>117</v>
      </c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25"/>
      <c r="DC29" s="706" t="s">
        <v>117</v>
      </c>
      <c r="DP29" s="27"/>
      <c r="DR29" s="706" t="s">
        <v>117</v>
      </c>
      <c r="EE29" s="27"/>
      <c r="EG29" s="706" t="s">
        <v>117</v>
      </c>
      <c r="ET29" s="27"/>
      <c r="EV29" s="706" t="s">
        <v>117</v>
      </c>
      <c r="FI29" s="27"/>
      <c r="FK29" s="706" t="s">
        <v>117</v>
      </c>
      <c r="FX29" s="27"/>
    </row>
    <row r="30" spans="2:180" x14ac:dyDescent="0.25">
      <c r="B30" s="707"/>
      <c r="O30" s="27"/>
      <c r="Q30" s="707"/>
      <c r="AD30" s="27"/>
      <c r="AF30" s="707"/>
      <c r="AS30" s="27"/>
      <c r="AU30" s="707"/>
      <c r="BH30" s="27"/>
      <c r="BJ30" s="707"/>
      <c r="BW30" s="27"/>
      <c r="BY30" s="707"/>
      <c r="CL30" s="27"/>
      <c r="CN30" s="707"/>
      <c r="DA30" s="27"/>
      <c r="DC30" s="707"/>
      <c r="DP30" s="27"/>
      <c r="DR30" s="707"/>
      <c r="EE30" s="27"/>
      <c r="EG30" s="707"/>
      <c r="ET30" s="27"/>
      <c r="EV30" s="707"/>
      <c r="FI30" s="27"/>
      <c r="FK30" s="707"/>
      <c r="FX30" s="27"/>
    </row>
    <row r="31" spans="2:180" x14ac:dyDescent="0.25">
      <c r="B31" s="707"/>
      <c r="C31" s="210">
        <f>AVERAGE(D21:E21)</f>
        <v>-0.59200000000000008</v>
      </c>
      <c r="D31" s="126">
        <v>0</v>
      </c>
      <c r="O31" s="27"/>
      <c r="Q31" s="707"/>
      <c r="R31" s="214"/>
      <c r="S31" s="126">
        <v>0</v>
      </c>
      <c r="AD31" s="27"/>
      <c r="AF31" s="707"/>
      <c r="AG31" s="214"/>
      <c r="AH31" s="126">
        <v>0</v>
      </c>
      <c r="AS31" s="27"/>
      <c r="AU31" s="707"/>
      <c r="AV31" s="214">
        <f>AVERAGE(AW21:AW22)</f>
        <v>-0.61899999999999999</v>
      </c>
      <c r="AW31" s="126">
        <v>0</v>
      </c>
      <c r="BH31" s="27"/>
      <c r="BJ31" s="707"/>
      <c r="BK31" s="214">
        <f>AVERAGE(BL21)</f>
        <v>-0.61399999999999988</v>
      </c>
      <c r="BL31" s="126">
        <v>0</v>
      </c>
      <c r="BW31" s="27"/>
      <c r="BY31" s="707"/>
      <c r="BZ31" s="214">
        <f>AVERAGE(CA21:CA22)</f>
        <v>-0.64749999999999996</v>
      </c>
      <c r="CA31" s="126">
        <v>0</v>
      </c>
      <c r="CL31" s="27"/>
      <c r="CN31" s="707"/>
      <c r="CO31" s="214">
        <f>AVERAGE(CP21:CP22)</f>
        <v>-0.627</v>
      </c>
      <c r="CP31" s="126">
        <v>0</v>
      </c>
      <c r="DA31" s="27"/>
      <c r="DC31" s="707"/>
      <c r="DD31" s="214">
        <f>AVERAGE(DE21:DE22)</f>
        <v>-0.32350000000000001</v>
      </c>
      <c r="DE31" s="126">
        <v>0</v>
      </c>
      <c r="DP31" s="27"/>
      <c r="DR31" s="707"/>
      <c r="DS31" s="214">
        <f>AVERAGE(DT21:DT22)</f>
        <v>-0.61149999999999993</v>
      </c>
      <c r="DT31" s="126">
        <v>0</v>
      </c>
      <c r="EE31" s="27"/>
      <c r="EG31" s="707"/>
      <c r="EH31" s="214">
        <f>AVERAGE(EI21:EI22)</f>
        <v>-0.61349999999999993</v>
      </c>
      <c r="EI31" s="126">
        <v>0</v>
      </c>
      <c r="ET31" s="27"/>
      <c r="EV31" s="707"/>
      <c r="EW31" s="214">
        <f>AVERAGE(EX21:EX22)</f>
        <v>-0.60899999999999999</v>
      </c>
      <c r="EX31" s="126">
        <v>0</v>
      </c>
      <c r="FI31" s="27"/>
      <c r="FK31" s="707"/>
      <c r="FL31" s="214">
        <f>AVERAGE(FM21:FM22)</f>
        <v>-0.62149999999999994</v>
      </c>
      <c r="FM31" s="126">
        <v>0</v>
      </c>
      <c r="FX31" s="27"/>
    </row>
    <row r="32" spans="2:180" x14ac:dyDescent="0.25">
      <c r="B32" s="707"/>
      <c r="C32" s="158"/>
      <c r="D32" s="30">
        <v>1</v>
      </c>
      <c r="O32" s="27"/>
      <c r="Q32" s="707"/>
      <c r="R32" s="158">
        <f>AVERAGE(T21:T22)</f>
        <v>-0.62650000000000006</v>
      </c>
      <c r="S32" s="30">
        <v>1</v>
      </c>
      <c r="AD32" s="27"/>
      <c r="AF32" s="707"/>
      <c r="AG32" s="158">
        <f>AVERAGE(AI21:AI22)</f>
        <v>-0.61099999999999999</v>
      </c>
      <c r="AH32" s="30">
        <v>1</v>
      </c>
      <c r="AS32" s="27"/>
      <c r="AU32" s="707"/>
      <c r="AV32" s="158">
        <f>AVERAGE(AX21:AX22)</f>
        <v>-0.61749999999999994</v>
      </c>
      <c r="AW32" s="30">
        <v>1</v>
      </c>
      <c r="BH32" s="27"/>
      <c r="BJ32" s="707"/>
      <c r="BK32" s="158">
        <f>AVERAGE(BM21)</f>
        <v>-0.60699999999999998</v>
      </c>
      <c r="BL32" s="30">
        <v>1</v>
      </c>
      <c r="BW32" s="27"/>
      <c r="BY32" s="707"/>
      <c r="BZ32" s="158">
        <f>AVERAGE(CB21:CB22)</f>
        <v>-0.64050000000000007</v>
      </c>
      <c r="CA32" s="30">
        <v>1</v>
      </c>
      <c r="CL32" s="27"/>
      <c r="CN32" s="707"/>
      <c r="CO32" s="158">
        <f>AVERAGE(CQ21:CQ22)</f>
        <v>-0.62450000000000006</v>
      </c>
      <c r="CP32" s="30">
        <v>1</v>
      </c>
      <c r="DA32" s="27"/>
      <c r="DC32" s="707"/>
      <c r="DD32" s="158">
        <f>AVERAGE(DF21:DF22)</f>
        <v>-0.32550000000000001</v>
      </c>
      <c r="DE32" s="30">
        <v>1</v>
      </c>
      <c r="DP32" s="27"/>
      <c r="DR32" s="707"/>
      <c r="DS32" s="158">
        <f>AVERAGE(DU21:DU22)</f>
        <v>-0.60899999999999987</v>
      </c>
      <c r="DT32" s="30">
        <v>1</v>
      </c>
      <c r="EE32" s="27"/>
      <c r="EG32" s="707"/>
      <c r="EH32" s="158">
        <f>AVERAGE(EJ21:EJ22)</f>
        <v>-0.60749999999999993</v>
      </c>
      <c r="EI32" s="30">
        <v>1</v>
      </c>
      <c r="ET32" s="27"/>
      <c r="EV32" s="707"/>
      <c r="EW32" s="158">
        <f>AVERAGE(EY21:EY22)</f>
        <v>-0.60749999999999993</v>
      </c>
      <c r="EX32" s="30">
        <v>1</v>
      </c>
      <c r="FI32" s="27"/>
      <c r="FK32" s="707"/>
      <c r="FL32" s="158">
        <f>AVERAGE(FN21:FN22)</f>
        <v>-0.61649999999999994</v>
      </c>
      <c r="FM32" s="30">
        <v>1</v>
      </c>
      <c r="FX32" s="27"/>
    </row>
    <row r="33" spans="2:180" x14ac:dyDescent="0.25">
      <c r="B33" s="707"/>
      <c r="C33" s="158">
        <f>AVERAGE(F21:F22)</f>
        <v>-0.58150000000000002</v>
      </c>
      <c r="D33" s="30">
        <v>2</v>
      </c>
      <c r="O33" s="27"/>
      <c r="Q33" s="707"/>
      <c r="R33" s="158"/>
      <c r="S33" s="30">
        <v>2</v>
      </c>
      <c r="AD33" s="27"/>
      <c r="AF33" s="707"/>
      <c r="AG33" s="158">
        <f>AVERAGE(AJ21:AJ22)</f>
        <v>-0.60799999999999998</v>
      </c>
      <c r="AH33" s="30">
        <v>2</v>
      </c>
      <c r="AS33" s="27"/>
      <c r="AU33" s="707"/>
      <c r="AV33" s="158"/>
      <c r="AW33" s="30">
        <v>2</v>
      </c>
      <c r="BH33" s="27"/>
      <c r="BJ33" s="707"/>
      <c r="BK33" s="158">
        <f>AVERAGE(BN21)</f>
        <v>-0.60099999999999998</v>
      </c>
      <c r="BL33" s="30">
        <v>2</v>
      </c>
      <c r="BW33" s="27"/>
      <c r="BY33" s="707"/>
      <c r="BZ33" s="158">
        <f>AVERAGE(CC21:CC22)</f>
        <v>-0.63849999999999996</v>
      </c>
      <c r="CA33" s="30">
        <v>2</v>
      </c>
      <c r="CL33" s="27"/>
      <c r="CN33" s="707"/>
      <c r="CO33" s="158"/>
      <c r="CP33" s="30">
        <v>2</v>
      </c>
      <c r="DA33" s="27"/>
      <c r="DC33" s="707"/>
      <c r="DD33" s="158">
        <f>AVERAGE(DG21:DG22)</f>
        <v>-0.32200000000000001</v>
      </c>
      <c r="DE33" s="30">
        <v>2</v>
      </c>
      <c r="DP33" s="27"/>
      <c r="DR33" s="707"/>
      <c r="DS33" s="158">
        <f>AVERAGE(DV21:DV22)</f>
        <v>-0.60449999999999993</v>
      </c>
      <c r="DT33" s="30">
        <v>2</v>
      </c>
      <c r="EE33" s="27"/>
      <c r="EG33" s="707"/>
      <c r="EH33" s="158">
        <f>AVERAGE(EK21:EK22)</f>
        <v>-0.60150000000000003</v>
      </c>
      <c r="EI33" s="30">
        <v>2</v>
      </c>
      <c r="ET33" s="27"/>
      <c r="EV33" s="707"/>
      <c r="EW33" s="158">
        <f>AVERAGE(EZ21:EZ22)</f>
        <v>-0.59899999999999998</v>
      </c>
      <c r="EX33" s="30">
        <v>2</v>
      </c>
      <c r="FI33" s="27"/>
      <c r="FK33" s="707"/>
      <c r="FL33" s="158">
        <f>AVERAGE(FO21:FO22)</f>
        <v>-0.61399999999999999</v>
      </c>
      <c r="FM33" s="30">
        <v>2</v>
      </c>
      <c r="FX33" s="27"/>
    </row>
    <row r="34" spans="2:180" x14ac:dyDescent="0.25">
      <c r="B34" s="707"/>
      <c r="C34" s="158">
        <f>AVERAGE(G21:G22)</f>
        <v>-0.56900000000000006</v>
      </c>
      <c r="D34" s="30">
        <v>4</v>
      </c>
      <c r="O34" s="27"/>
      <c r="Q34" s="707"/>
      <c r="R34" s="158"/>
      <c r="S34" s="30">
        <v>4</v>
      </c>
      <c r="AD34" s="27"/>
      <c r="AF34" s="707"/>
      <c r="AG34" s="158"/>
      <c r="AH34" s="30">
        <v>4</v>
      </c>
      <c r="AS34" s="27"/>
      <c r="AU34" s="707"/>
      <c r="AV34" s="158">
        <f>AVERAGE(AZ21:AZ22)</f>
        <v>-0.60349999999999993</v>
      </c>
      <c r="AW34" s="30">
        <v>4</v>
      </c>
      <c r="BH34" s="27"/>
      <c r="BJ34" s="707"/>
      <c r="BK34" s="158">
        <f>AVERAGE(BO21)</f>
        <v>-0.59099999999999997</v>
      </c>
      <c r="BL34" s="30">
        <v>4</v>
      </c>
      <c r="BW34" s="27"/>
      <c r="BY34" s="707"/>
      <c r="BZ34" s="158">
        <f>AVERAGE(CD21:CD22)</f>
        <v>-0.627</v>
      </c>
      <c r="CA34" s="30">
        <v>4</v>
      </c>
      <c r="CL34" s="27"/>
      <c r="CN34" s="707"/>
      <c r="CO34" s="158">
        <f>AVERAGE(CS21:CS22)</f>
        <v>-0.60699999999999998</v>
      </c>
      <c r="CP34" s="30">
        <v>4</v>
      </c>
      <c r="DA34" s="27"/>
      <c r="DC34" s="707"/>
      <c r="DD34" s="158">
        <f>AVERAGE(DH21:DH22)</f>
        <v>-0.30549999999999999</v>
      </c>
      <c r="DE34" s="30">
        <v>4</v>
      </c>
      <c r="DP34" s="27"/>
      <c r="DR34" s="707"/>
      <c r="DS34" s="158">
        <f>AVERAGE(DW21:DW22)</f>
        <v>-0.59399999999999997</v>
      </c>
      <c r="DT34" s="30">
        <v>4</v>
      </c>
      <c r="EE34" s="27"/>
      <c r="EG34" s="707"/>
      <c r="EH34" s="158">
        <f>AVERAGE(EL21:EL22)</f>
        <v>-0.59150000000000003</v>
      </c>
      <c r="EI34" s="30">
        <v>4</v>
      </c>
      <c r="ET34" s="27"/>
      <c r="EV34" s="707"/>
      <c r="EW34" s="158">
        <f>AVERAGE(FA21:FA22)</f>
        <v>-0.59299999999999997</v>
      </c>
      <c r="EX34" s="30">
        <v>4</v>
      </c>
      <c r="FI34" s="27"/>
      <c r="FK34" s="707"/>
      <c r="FL34" s="158">
        <f>AVERAGE(FP21:FP22)</f>
        <v>-0.60349999999999993</v>
      </c>
      <c r="FM34" s="30">
        <v>4</v>
      </c>
      <c r="FX34" s="27"/>
    </row>
    <row r="35" spans="2:180" x14ac:dyDescent="0.25">
      <c r="B35" s="707"/>
      <c r="C35" s="159">
        <f>AVERAGE(H21:H22)</f>
        <v>-0.55099999999999993</v>
      </c>
      <c r="D35" s="30">
        <v>8</v>
      </c>
      <c r="N35" s="160" t="s">
        <v>118</v>
      </c>
      <c r="O35" s="161">
        <v>199.49</v>
      </c>
      <c r="Q35" s="707"/>
      <c r="R35" s="159">
        <f>AVERAGE(W21:W22)</f>
        <v>-0.60400000000000009</v>
      </c>
      <c r="S35" s="30">
        <v>8</v>
      </c>
      <c r="AC35" s="160" t="s">
        <v>118</v>
      </c>
      <c r="AD35" s="161">
        <v>224.51</v>
      </c>
      <c r="AF35" s="707"/>
      <c r="AG35" s="159">
        <f>AVERAGE(AL21:AL22)</f>
        <v>-0.59149999999999991</v>
      </c>
      <c r="AH35" s="30">
        <v>8</v>
      </c>
      <c r="AR35" s="160" t="s">
        <v>118</v>
      </c>
      <c r="AS35" s="161">
        <v>239.7</v>
      </c>
      <c r="AU35" s="707"/>
      <c r="AV35" s="159">
        <f>AVERAGE(BA21:BA22)</f>
        <v>-0.59000000000000008</v>
      </c>
      <c r="AW35" s="30">
        <v>8</v>
      </c>
      <c r="BG35" s="160" t="s">
        <v>118</v>
      </c>
      <c r="BH35" s="161">
        <v>260.58999999999997</v>
      </c>
      <c r="BJ35" s="707"/>
      <c r="BK35" s="159">
        <f>AVERAGE(BP21)</f>
        <v>-0.58100000000000007</v>
      </c>
      <c r="BL35" s="30">
        <v>8</v>
      </c>
      <c r="BV35" s="160" t="s">
        <v>118</v>
      </c>
      <c r="BW35" s="161">
        <v>240.63</v>
      </c>
      <c r="BY35" s="707"/>
      <c r="BZ35" s="159">
        <f>AVERAGE(CE21:CE22)</f>
        <v>-0.60999999999999988</v>
      </c>
      <c r="CA35" s="30">
        <v>8</v>
      </c>
      <c r="CK35" s="160" t="s">
        <v>118</v>
      </c>
      <c r="CL35" s="161">
        <v>217.2</v>
      </c>
      <c r="CN35" s="707"/>
      <c r="CO35" s="159">
        <f>AVERAGE(CT21:CT22)</f>
        <v>-0.59299999999999997</v>
      </c>
      <c r="CP35" s="30">
        <v>8</v>
      </c>
      <c r="CZ35" s="160" t="s">
        <v>118</v>
      </c>
      <c r="DA35" s="161">
        <v>234.03</v>
      </c>
      <c r="DC35" s="707"/>
      <c r="DD35" s="159">
        <f>AVERAGE(DI21:DI22)</f>
        <v>-0.29099999999999998</v>
      </c>
      <c r="DE35" s="30">
        <v>8</v>
      </c>
      <c r="DO35" s="160" t="s">
        <v>118</v>
      </c>
      <c r="DP35" s="161">
        <v>209.31</v>
      </c>
      <c r="DR35" s="707"/>
      <c r="DS35" s="159">
        <f>AVERAGE(DX21:DX22)</f>
        <v>-0.57750000000000012</v>
      </c>
      <c r="DT35" s="30">
        <v>8</v>
      </c>
      <c r="ED35" s="160" t="s">
        <v>118</v>
      </c>
      <c r="EE35" s="161">
        <v>226.23</v>
      </c>
      <c r="EG35" s="707"/>
      <c r="EH35" s="159">
        <f>AVERAGE(EM21:EM22)</f>
        <v>-0.57650000000000001</v>
      </c>
      <c r="EI35" s="30">
        <v>8</v>
      </c>
      <c r="ES35" s="160" t="s">
        <v>118</v>
      </c>
      <c r="ET35" s="161">
        <v>223.44</v>
      </c>
      <c r="EV35" s="707"/>
      <c r="EW35" s="159">
        <f>AVERAGE(FB21:FB22)</f>
        <v>-0.57550000000000001</v>
      </c>
      <c r="EX35" s="30">
        <v>8</v>
      </c>
      <c r="FH35" s="160" t="s">
        <v>118</v>
      </c>
      <c r="FI35" s="161">
        <v>202.2</v>
      </c>
      <c r="FK35" s="707"/>
      <c r="FL35" s="159">
        <f>AVERAGE(FQ21:FQ22)</f>
        <v>-0.58750000000000013</v>
      </c>
      <c r="FM35" s="30">
        <v>8</v>
      </c>
      <c r="FW35" s="160" t="s">
        <v>118</v>
      </c>
      <c r="FX35" s="161">
        <v>217.61</v>
      </c>
    </row>
    <row r="36" spans="2:180" x14ac:dyDescent="0.25">
      <c r="B36" s="707"/>
      <c r="C36" s="159">
        <f>AVERAGE(I21:I22)</f>
        <v>-0.54349999999999998</v>
      </c>
      <c r="D36" s="30">
        <v>10</v>
      </c>
      <c r="N36" s="142" t="s">
        <v>119</v>
      </c>
      <c r="O36" s="61">
        <v>117.99</v>
      </c>
      <c r="Q36" s="707"/>
      <c r="R36" s="159">
        <f>AVERAGE(X21:X22)</f>
        <v>-0.58800000000000008</v>
      </c>
      <c r="S36" s="30">
        <v>10</v>
      </c>
      <c r="AC36" s="142" t="s">
        <v>119</v>
      </c>
      <c r="AD36" s="61">
        <v>142.29</v>
      </c>
      <c r="AF36" s="707"/>
      <c r="AG36" s="159">
        <f>AVERAGE(AM21:AM22)</f>
        <v>-0.57600000000000007</v>
      </c>
      <c r="AH36" s="30">
        <v>10</v>
      </c>
      <c r="AR36" s="142" t="s">
        <v>119</v>
      </c>
      <c r="AS36" s="61">
        <v>148.19999999999999</v>
      </c>
      <c r="AU36" s="707"/>
      <c r="AV36" s="159">
        <f>AVERAGE(BB21:BB22)</f>
        <v>-0.58150000000000013</v>
      </c>
      <c r="AW36" s="30">
        <v>10</v>
      </c>
      <c r="BG36" s="142" t="s">
        <v>119</v>
      </c>
      <c r="BH36" s="61">
        <v>161.75</v>
      </c>
      <c r="BJ36" s="707"/>
      <c r="BK36" s="159">
        <f>AVERAGE(BQ21)</f>
        <v>-0.57100000000000006</v>
      </c>
      <c r="BL36" s="30">
        <v>10</v>
      </c>
      <c r="BV36" s="142" t="s">
        <v>119</v>
      </c>
      <c r="BW36" s="61">
        <v>147.16999999999999</v>
      </c>
      <c r="BY36" s="707"/>
      <c r="BZ36" s="159">
        <f>AVERAGE(CF21:CF22)</f>
        <v>-0.59899999999999998</v>
      </c>
      <c r="CA36" s="30">
        <v>10</v>
      </c>
      <c r="CK36" s="142" t="s">
        <v>119</v>
      </c>
      <c r="CL36" s="61">
        <v>140.37</v>
      </c>
      <c r="CN36" s="707"/>
      <c r="CO36" s="159">
        <f>AVERAGE(CU21:CU22)</f>
        <v>-0.58799999999999997</v>
      </c>
      <c r="CP36" s="30">
        <v>10</v>
      </c>
      <c r="CZ36" s="142" t="s">
        <v>119</v>
      </c>
      <c r="DA36" s="61">
        <v>146.83000000000001</v>
      </c>
      <c r="DC36" s="707"/>
      <c r="DD36" s="159">
        <f>AVERAGE(DJ21:DJ22)</f>
        <v>-0.28199999999999997</v>
      </c>
      <c r="DE36" s="30">
        <v>10</v>
      </c>
      <c r="DO36" s="142" t="s">
        <v>119</v>
      </c>
      <c r="DP36" s="61">
        <v>68.611000000000004</v>
      </c>
      <c r="DR36" s="707"/>
      <c r="DS36" s="159">
        <f>AVERAGE(DY21:DY22)</f>
        <v>-0.56800000000000006</v>
      </c>
      <c r="DT36" s="30">
        <v>10</v>
      </c>
      <c r="ED36" s="142" t="s">
        <v>119</v>
      </c>
      <c r="EE36" s="61">
        <v>138.59</v>
      </c>
      <c r="EG36" s="707"/>
      <c r="EH36" s="159">
        <f>AVERAGE(EN21:EN22)</f>
        <v>-0.5675</v>
      </c>
      <c r="EI36" s="30">
        <v>10</v>
      </c>
      <c r="ES36" s="142" t="s">
        <v>119</v>
      </c>
      <c r="ET36" s="61">
        <v>136.69</v>
      </c>
      <c r="EV36" s="707"/>
      <c r="EW36" s="159">
        <f>AVERAGE(FC21:FC22)</f>
        <v>-0.56299999999999994</v>
      </c>
      <c r="EX36" s="30">
        <v>10</v>
      </c>
      <c r="FH36" s="142" t="s">
        <v>119</v>
      </c>
      <c r="FI36" s="61">
        <v>123.61</v>
      </c>
      <c r="FK36" s="707"/>
      <c r="FL36" s="159">
        <f>AVERAGE(FR21:FR22)</f>
        <v>-0.57899999999999996</v>
      </c>
      <c r="FM36" s="30">
        <v>10</v>
      </c>
      <c r="FW36" s="142" t="s">
        <v>119</v>
      </c>
      <c r="FX36" s="61">
        <v>135.59</v>
      </c>
    </row>
    <row r="37" spans="2:180" x14ac:dyDescent="0.25">
      <c r="B37" s="707"/>
      <c r="C37" s="159">
        <f>AVERAGE(J21:J22)</f>
        <v>-0.53100000000000003</v>
      </c>
      <c r="D37" s="30">
        <v>12</v>
      </c>
      <c r="O37" s="27"/>
      <c r="Q37" s="707"/>
      <c r="R37" s="159">
        <f>AVERAGE(Y21:Y22)</f>
        <v>-0.57600000000000007</v>
      </c>
      <c r="S37" s="30">
        <v>12</v>
      </c>
      <c r="AD37" s="27"/>
      <c r="AF37" s="707"/>
      <c r="AG37" s="159">
        <f>AVERAGE(AN21:AN22)</f>
        <v>-0.56700000000000006</v>
      </c>
      <c r="AH37" s="30">
        <v>12</v>
      </c>
      <c r="AS37" s="27"/>
      <c r="AU37" s="707"/>
      <c r="AV37" s="159">
        <f>AVERAGE(BC21:BC22)</f>
        <v>-0.57500000000000007</v>
      </c>
      <c r="AW37" s="30">
        <v>12</v>
      </c>
      <c r="BH37" s="27"/>
      <c r="BJ37" s="707"/>
      <c r="BK37" s="159">
        <f>AVERAGE(BR21)</f>
        <v>-0.56200000000000006</v>
      </c>
      <c r="BL37" s="30">
        <v>12</v>
      </c>
      <c r="BW37" s="27"/>
      <c r="BY37" s="707"/>
      <c r="BZ37" s="159">
        <f>AVERAGE(CG21:CG22)</f>
        <v>-0.59100000000000008</v>
      </c>
      <c r="CA37" s="30">
        <v>12</v>
      </c>
      <c r="CL37" s="27"/>
      <c r="CN37" s="707"/>
      <c r="CO37" s="159">
        <f>AVERAGE(CV21:CV22)</f>
        <v>-0.57500000000000007</v>
      </c>
      <c r="CP37" s="30">
        <v>12</v>
      </c>
      <c r="DA37" s="27"/>
      <c r="DC37" s="707"/>
      <c r="DD37" s="159">
        <f>AVERAGE(DK21:DK22)</f>
        <v>-0.26800000000000002</v>
      </c>
      <c r="DE37" s="30">
        <v>12</v>
      </c>
      <c r="DP37" s="27"/>
      <c r="DR37" s="707"/>
      <c r="DS37" s="159">
        <f>AVERAGE(DZ21:DZ22)</f>
        <v>-0.55800000000000005</v>
      </c>
      <c r="DT37" s="30">
        <v>12</v>
      </c>
      <c r="EE37" s="27"/>
      <c r="EG37" s="707"/>
      <c r="EH37" s="159">
        <f>AVERAGE(EO21:EO22)</f>
        <v>-0.5585</v>
      </c>
      <c r="EI37" s="30">
        <v>12</v>
      </c>
      <c r="ET37" s="27"/>
      <c r="EV37" s="707"/>
      <c r="EW37" s="159">
        <f>AVERAGE(FD21:FD22)</f>
        <v>-0.55249999999999999</v>
      </c>
      <c r="EX37" s="30">
        <v>12</v>
      </c>
      <c r="FI37" s="27"/>
      <c r="FK37" s="707"/>
      <c r="FL37" s="159">
        <f>AVERAGE(FS21:FS22)</f>
        <v>-0.56850000000000001</v>
      </c>
      <c r="FM37" s="30">
        <v>12</v>
      </c>
      <c r="FX37" s="27"/>
    </row>
    <row r="38" spans="2:180" x14ac:dyDescent="0.25">
      <c r="B38" s="707"/>
      <c r="C38" s="159"/>
      <c r="D38" s="30">
        <v>16</v>
      </c>
      <c r="O38" s="27"/>
      <c r="Q38" s="707"/>
      <c r="R38" s="159">
        <f>AVERAGE(Z21:Z22)</f>
        <v>-0.5645</v>
      </c>
      <c r="S38" s="30">
        <v>16</v>
      </c>
      <c r="AD38" s="27"/>
      <c r="AF38" s="707"/>
      <c r="AG38" s="159"/>
      <c r="AH38" s="30">
        <v>16</v>
      </c>
      <c r="AS38" s="27"/>
      <c r="AU38" s="707"/>
      <c r="AV38" s="159">
        <f>AVERAGE(BD21:BD22)</f>
        <v>-0.56100000000000005</v>
      </c>
      <c r="AW38" s="30">
        <v>16</v>
      </c>
      <c r="BH38" s="27"/>
      <c r="BJ38" s="707"/>
      <c r="BK38" s="159">
        <f>AVERAGE(BS21)</f>
        <v>-0.54800000000000004</v>
      </c>
      <c r="BL38" s="30">
        <v>16</v>
      </c>
      <c r="BW38" s="27"/>
      <c r="BY38" s="707"/>
      <c r="BZ38" s="159">
        <f>AVERAGE(CH21:CH22)</f>
        <v>-0.57150000000000012</v>
      </c>
      <c r="CA38" s="30">
        <v>16</v>
      </c>
      <c r="CL38" s="27"/>
      <c r="CN38" s="707"/>
      <c r="CO38" s="159">
        <f>AVERAGE(CW21:CW22)</f>
        <v>-0.55950000000000011</v>
      </c>
      <c r="CP38" s="30">
        <v>16</v>
      </c>
      <c r="DA38" s="27"/>
      <c r="DC38" s="707"/>
      <c r="DD38" s="159">
        <f>AVERAGE(DL21:DL22)</f>
        <v>-0.25</v>
      </c>
      <c r="DE38" s="30">
        <v>16</v>
      </c>
      <c r="DP38" s="27"/>
      <c r="DR38" s="707"/>
      <c r="DS38" s="159">
        <f>AVERAGE(EA21:EA22)</f>
        <v>-0.54350000000000009</v>
      </c>
      <c r="DT38" s="30">
        <v>16</v>
      </c>
      <c r="EE38" s="27"/>
      <c r="EG38" s="707"/>
      <c r="EH38" s="159">
        <f>AVERAGE(EP21:EP22)</f>
        <v>-0.54049999999999998</v>
      </c>
      <c r="EI38" s="30">
        <v>16</v>
      </c>
      <c r="ET38" s="27"/>
      <c r="EV38" s="707"/>
      <c r="EW38" s="159">
        <f>AVERAGE(FE21:FE22)</f>
        <v>-0.52700000000000002</v>
      </c>
      <c r="EX38" s="30">
        <v>16</v>
      </c>
      <c r="FI38" s="27"/>
      <c r="FK38" s="707"/>
      <c r="FL38" s="159">
        <f>AVERAGE(FT21:FT22)</f>
        <v>-0.55200000000000005</v>
      </c>
      <c r="FM38" s="30">
        <v>16</v>
      </c>
      <c r="FX38" s="27"/>
    </row>
    <row r="39" spans="2:180" x14ac:dyDescent="0.25">
      <c r="B39" s="707"/>
      <c r="C39" s="159">
        <f>AVERAGE(L21:L22)</f>
        <v>-0.49299999999999994</v>
      </c>
      <c r="D39" s="30">
        <v>20</v>
      </c>
      <c r="O39" s="27"/>
      <c r="Q39" s="707"/>
      <c r="R39" s="159">
        <f>AVERAGE(AA21:AA22)</f>
        <v>-0.54649999999999999</v>
      </c>
      <c r="S39" s="30">
        <v>20</v>
      </c>
      <c r="AD39" s="27"/>
      <c r="AF39" s="707"/>
      <c r="AG39" s="159">
        <f>AVERAGE(AP21:AP22)</f>
        <v>-0.53750000000000009</v>
      </c>
      <c r="AH39" s="30">
        <v>20</v>
      </c>
      <c r="AS39" s="27"/>
      <c r="AU39" s="707"/>
      <c r="AV39" s="159">
        <f>AVERAGE(BE21:BE22)</f>
        <v>-0.54649999999999999</v>
      </c>
      <c r="AW39" s="30">
        <v>20</v>
      </c>
      <c r="BH39" s="27"/>
      <c r="BJ39" s="707"/>
      <c r="BK39" s="159">
        <f>AVERAGE(BT21)</f>
        <v>-0.52600000000000002</v>
      </c>
      <c r="BL39" s="30">
        <v>20</v>
      </c>
      <c r="BW39" s="27"/>
      <c r="BY39" s="707"/>
      <c r="BZ39" s="159">
        <f>AVERAGE(CI21:CI22)</f>
        <v>-0.55300000000000005</v>
      </c>
      <c r="CA39" s="30">
        <v>20</v>
      </c>
      <c r="CL39" s="27"/>
      <c r="CN39" s="707"/>
      <c r="CO39" s="159">
        <f>AVERAGE(CX21:CX22)</f>
        <v>-0.54249999999999998</v>
      </c>
      <c r="CP39" s="30">
        <v>20</v>
      </c>
      <c r="DA39" s="27"/>
      <c r="DC39" s="707"/>
      <c r="DD39" s="159">
        <f>AVERAGE(DM21:DM22)</f>
        <v>-0.23300000000000001</v>
      </c>
      <c r="DE39" s="30">
        <v>20</v>
      </c>
      <c r="DP39" s="27"/>
      <c r="DR39" s="707"/>
      <c r="DS39" s="159">
        <f>AVERAGE(EB21:EB22)</f>
        <v>-0.52649999999999997</v>
      </c>
      <c r="DT39" s="30">
        <v>20</v>
      </c>
      <c r="EE39" s="27"/>
      <c r="EG39" s="707"/>
      <c r="EH39" s="159">
        <f>AVERAGE(EQ21:EQ22)</f>
        <v>-0.52300000000000002</v>
      </c>
      <c r="EI39" s="30">
        <v>20</v>
      </c>
      <c r="ET39" s="27"/>
      <c r="EV39" s="707"/>
      <c r="EW39" s="159"/>
      <c r="EX39" s="30">
        <v>20</v>
      </c>
      <c r="FI39" s="27"/>
      <c r="FK39" s="707"/>
      <c r="FL39" s="159">
        <f>AVERAGE(FU21:FU22)</f>
        <v>-0.53550000000000009</v>
      </c>
      <c r="FM39" s="30">
        <v>20</v>
      </c>
      <c r="FX39" s="27"/>
    </row>
    <row r="40" spans="2:180" x14ac:dyDescent="0.25">
      <c r="B40" s="707"/>
      <c r="C40" s="159">
        <f>AVERAGE(M21:M22)</f>
        <v>-0.46949999999999997</v>
      </c>
      <c r="D40" s="30">
        <v>24</v>
      </c>
      <c r="O40" s="27"/>
      <c r="Q40" s="707"/>
      <c r="R40" s="159">
        <f>AVERAGE(AB21:AB22)</f>
        <v>-0.52550000000000008</v>
      </c>
      <c r="S40" s="30">
        <v>24</v>
      </c>
      <c r="AD40" s="27"/>
      <c r="AF40" s="707"/>
      <c r="AG40" s="159">
        <f>AVERAGE(AQ21:AQ22)</f>
        <v>-0.51550000000000007</v>
      </c>
      <c r="AH40" s="30">
        <v>24</v>
      </c>
      <c r="AS40" s="27"/>
      <c r="AU40" s="707"/>
      <c r="AV40" s="159">
        <f>AVERAGE(BF21:BF22)</f>
        <v>-0.52600000000000002</v>
      </c>
      <c r="AW40" s="30">
        <v>24</v>
      </c>
      <c r="BH40" s="27"/>
      <c r="BJ40" s="707"/>
      <c r="BK40" s="159">
        <f>AVERAGE(BU21)</f>
        <v>-0.51200000000000001</v>
      </c>
      <c r="BL40" s="30">
        <v>24</v>
      </c>
      <c r="BW40" s="27"/>
      <c r="BY40" s="707"/>
      <c r="BZ40" s="159">
        <f>AVERAGE(CJ21:CJ22)</f>
        <v>-0.53800000000000003</v>
      </c>
      <c r="CA40" s="30">
        <v>24</v>
      </c>
      <c r="CL40" s="27"/>
      <c r="CN40" s="707"/>
      <c r="CO40" s="159">
        <f>AVERAGE(CY21:CY22)</f>
        <v>-0.52400000000000002</v>
      </c>
      <c r="CP40" s="30">
        <v>24</v>
      </c>
      <c r="DA40" s="27"/>
      <c r="DC40" s="707"/>
      <c r="DD40" s="159">
        <f>AVERAGE(DN21:DN22)</f>
        <v>-0.214</v>
      </c>
      <c r="DE40" s="30">
        <v>24</v>
      </c>
      <c r="DP40" s="27"/>
      <c r="DR40" s="707"/>
      <c r="DS40" s="159">
        <f>AVERAGE(EC21:EC22)</f>
        <v>-0.50449999999999995</v>
      </c>
      <c r="DT40" s="30">
        <v>24</v>
      </c>
      <c r="EE40" s="27"/>
      <c r="EG40" s="707"/>
      <c r="EH40" s="159">
        <f>AVERAGE(ER21:ER22)</f>
        <v>-0.50350000000000006</v>
      </c>
      <c r="EI40" s="30">
        <v>24</v>
      </c>
      <c r="ET40" s="27"/>
      <c r="EV40" s="707"/>
      <c r="EW40" s="159">
        <f>AVERAGE(FG21:FG22)</f>
        <v>-0.4945</v>
      </c>
      <c r="EX40" s="30">
        <v>24</v>
      </c>
      <c r="FI40" s="27"/>
      <c r="FK40" s="707"/>
      <c r="FL40" s="159">
        <f>AVERAGE(FV21:FV22)</f>
        <v>-0.50700000000000001</v>
      </c>
      <c r="FM40" s="30">
        <v>24</v>
      </c>
      <c r="FX40" s="27"/>
    </row>
    <row r="41" spans="2:180" x14ac:dyDescent="0.25">
      <c r="B41" s="707"/>
      <c r="C41" s="60"/>
      <c r="D41" s="90"/>
      <c r="O41" s="27"/>
      <c r="Q41" s="707"/>
      <c r="R41" s="60"/>
      <c r="S41" s="90"/>
      <c r="AD41" s="27"/>
      <c r="AF41" s="707"/>
      <c r="AG41" s="60"/>
      <c r="AH41" s="90"/>
      <c r="AS41" s="27"/>
      <c r="AU41" s="707"/>
      <c r="AV41" s="60"/>
      <c r="AW41" s="90"/>
      <c r="BH41" s="27"/>
      <c r="BJ41" s="707"/>
      <c r="BK41" s="60"/>
      <c r="BL41" s="90"/>
      <c r="BW41" s="27"/>
      <c r="BY41" s="707"/>
      <c r="BZ41" s="60"/>
      <c r="CA41" s="90"/>
      <c r="CL41" s="27"/>
      <c r="CN41" s="707"/>
      <c r="CO41" s="60"/>
      <c r="CP41" s="90"/>
      <c r="DA41" s="27"/>
      <c r="DC41" s="707"/>
      <c r="DD41" s="60"/>
      <c r="DE41" s="90"/>
      <c r="DP41" s="27"/>
      <c r="DR41" s="707"/>
      <c r="DS41" s="60"/>
      <c r="DT41" s="90"/>
      <c r="EE41" s="27"/>
      <c r="EG41" s="707"/>
      <c r="EH41" s="60"/>
      <c r="EI41" s="90"/>
      <c r="ET41" s="27"/>
      <c r="EV41" s="707"/>
      <c r="EW41" s="60"/>
      <c r="EX41" s="90"/>
      <c r="FI41" s="27"/>
      <c r="FK41" s="707"/>
      <c r="FL41" s="60"/>
      <c r="FM41" s="90"/>
      <c r="FX41" s="27"/>
    </row>
    <row r="42" spans="2:180" x14ac:dyDescent="0.25">
      <c r="B42" s="707"/>
      <c r="O42" s="27"/>
      <c r="Q42" s="707"/>
      <c r="AD42" s="27"/>
      <c r="AF42" s="707"/>
      <c r="AS42" s="27"/>
      <c r="AU42" s="707"/>
      <c r="BH42" s="27"/>
      <c r="BJ42" s="707"/>
      <c r="BW42" s="27"/>
      <c r="BY42" s="707"/>
      <c r="CL42" s="27"/>
      <c r="CN42" s="707"/>
      <c r="DA42" s="27"/>
      <c r="DC42" s="707"/>
      <c r="DP42" s="27"/>
      <c r="DR42" s="707"/>
      <c r="EE42" s="27"/>
      <c r="EG42" s="707"/>
      <c r="ET42" s="27"/>
      <c r="EV42" s="707"/>
      <c r="FI42" s="27"/>
      <c r="FK42" s="707"/>
      <c r="FX42" s="27"/>
    </row>
    <row r="43" spans="2:180" ht="15.75" customHeight="1" thickBot="1" x14ac:dyDescent="0.3">
      <c r="B43" s="70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8"/>
      <c r="Q43" s="708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8"/>
      <c r="AF43" s="708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8"/>
      <c r="AU43" s="708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8"/>
      <c r="BJ43" s="708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8"/>
      <c r="BY43" s="708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8"/>
      <c r="CN43" s="708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8"/>
      <c r="DC43" s="708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8"/>
      <c r="DR43" s="708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8"/>
      <c r="EG43" s="708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8"/>
      <c r="EV43" s="708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8"/>
      <c r="FK43" s="708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8"/>
    </row>
    <row r="44" spans="2:180" ht="15.75" thickBot="1" x14ac:dyDescent="0.3">
      <c r="B44" s="713" t="s">
        <v>120</v>
      </c>
      <c r="C44" s="150"/>
      <c r="D44" s="132">
        <v>1</v>
      </c>
      <c r="E44" s="132">
        <v>2</v>
      </c>
      <c r="F44" s="132">
        <v>3</v>
      </c>
      <c r="G44" s="132">
        <v>4</v>
      </c>
      <c r="H44" s="132">
        <v>5</v>
      </c>
      <c r="I44" s="132">
        <v>6</v>
      </c>
      <c r="J44" s="132">
        <v>7</v>
      </c>
      <c r="K44" s="132">
        <v>8</v>
      </c>
      <c r="L44" s="132">
        <v>9</v>
      </c>
      <c r="M44" s="132">
        <v>10</v>
      </c>
      <c r="N44" s="132">
        <v>11</v>
      </c>
      <c r="O44" s="133">
        <v>12</v>
      </c>
      <c r="Q44" s="713" t="s">
        <v>120</v>
      </c>
      <c r="R44" s="150"/>
      <c r="S44" s="132">
        <v>1</v>
      </c>
      <c r="T44" s="132">
        <v>2</v>
      </c>
      <c r="U44" s="132">
        <v>3</v>
      </c>
      <c r="V44" s="132">
        <v>4</v>
      </c>
      <c r="W44" s="132">
        <v>5</v>
      </c>
      <c r="X44" s="132">
        <v>6</v>
      </c>
      <c r="Y44" s="132">
        <v>7</v>
      </c>
      <c r="Z44" s="132">
        <v>8</v>
      </c>
      <c r="AA44" s="132">
        <v>9</v>
      </c>
      <c r="AB44" s="132">
        <v>10</v>
      </c>
      <c r="AC44" s="132">
        <v>11</v>
      </c>
      <c r="AD44" s="133">
        <v>12</v>
      </c>
      <c r="AF44" s="713" t="s">
        <v>120</v>
      </c>
      <c r="AG44" s="150"/>
      <c r="AH44" s="132">
        <v>1</v>
      </c>
      <c r="AI44" s="132">
        <v>2</v>
      </c>
      <c r="AJ44" s="132">
        <v>3</v>
      </c>
      <c r="AK44" s="132">
        <v>4</v>
      </c>
      <c r="AL44" s="132">
        <v>5</v>
      </c>
      <c r="AM44" s="132">
        <v>6</v>
      </c>
      <c r="AN44" s="132">
        <v>7</v>
      </c>
      <c r="AO44" s="132">
        <v>8</v>
      </c>
      <c r="AP44" s="132">
        <v>9</v>
      </c>
      <c r="AQ44" s="132">
        <v>10</v>
      </c>
      <c r="AR44" s="132">
        <v>11</v>
      </c>
      <c r="AS44" s="133">
        <v>12</v>
      </c>
      <c r="AU44" s="706" t="s">
        <v>120</v>
      </c>
      <c r="AV44" s="150"/>
      <c r="AW44" s="132">
        <v>1</v>
      </c>
      <c r="AX44" s="132">
        <v>2</v>
      </c>
      <c r="AY44" s="132">
        <v>3</v>
      </c>
      <c r="AZ44" s="132">
        <v>4</v>
      </c>
      <c r="BA44" s="132">
        <v>5</v>
      </c>
      <c r="BB44" s="132">
        <v>6</v>
      </c>
      <c r="BC44" s="132">
        <v>7</v>
      </c>
      <c r="BD44" s="132">
        <v>8</v>
      </c>
      <c r="BE44" s="132">
        <v>9</v>
      </c>
      <c r="BF44" s="132">
        <v>10</v>
      </c>
      <c r="BG44" s="132">
        <v>11</v>
      </c>
      <c r="BH44" s="133">
        <v>12</v>
      </c>
      <c r="BJ44" s="706" t="s">
        <v>120</v>
      </c>
      <c r="BK44" s="150"/>
      <c r="BL44" s="132"/>
      <c r="BM44" s="132"/>
      <c r="BN44" s="132"/>
      <c r="BO44" s="132"/>
      <c r="BP44" s="132"/>
      <c r="BQ44" s="132"/>
      <c r="BR44" s="132"/>
      <c r="BS44" s="132"/>
      <c r="BT44" s="132"/>
      <c r="BU44" s="132"/>
      <c r="BV44" s="132"/>
      <c r="BW44" s="133"/>
      <c r="BY44" s="706" t="s">
        <v>120</v>
      </c>
      <c r="BZ44" s="150"/>
      <c r="CA44" s="132"/>
      <c r="CB44" s="132"/>
      <c r="CC44" s="132"/>
      <c r="CD44" s="132"/>
      <c r="CE44" s="132"/>
      <c r="CF44" s="132"/>
      <c r="CG44" s="132"/>
      <c r="CH44" s="132"/>
      <c r="CI44" s="132"/>
      <c r="CJ44" s="132"/>
      <c r="CK44" s="132"/>
      <c r="CL44" s="133"/>
      <c r="CN44" s="706" t="s">
        <v>120</v>
      </c>
      <c r="CO44" s="150"/>
      <c r="CP44" s="132"/>
      <c r="CQ44" s="132"/>
      <c r="CR44" s="132"/>
      <c r="CS44" s="132"/>
      <c r="CT44" s="132"/>
      <c r="CU44" s="132"/>
      <c r="CV44" s="132"/>
      <c r="CW44" s="132"/>
      <c r="CX44" s="132"/>
      <c r="CY44" s="132"/>
      <c r="CZ44" s="132"/>
      <c r="DA44" s="133"/>
      <c r="DC44" s="706" t="s">
        <v>120</v>
      </c>
      <c r="DD44" s="150"/>
      <c r="DE44" s="132"/>
      <c r="DF44" s="132"/>
      <c r="DG44" s="132"/>
      <c r="DH44" s="132"/>
      <c r="DI44" s="132"/>
      <c r="DJ44" s="132"/>
      <c r="DK44" s="132"/>
      <c r="DL44" s="132"/>
      <c r="DM44" s="132"/>
      <c r="DN44" s="132"/>
      <c r="DO44" s="132"/>
      <c r="DP44" s="133"/>
      <c r="DR44" s="706" t="s">
        <v>120</v>
      </c>
      <c r="DS44" s="150"/>
      <c r="DT44" s="132"/>
      <c r="DU44" s="132"/>
      <c r="DV44" s="132"/>
      <c r="DW44" s="132"/>
      <c r="DX44" s="132"/>
      <c r="DY44" s="132"/>
      <c r="DZ44" s="132"/>
      <c r="EA44" s="132"/>
      <c r="EB44" s="132"/>
      <c r="EC44" s="132"/>
      <c r="ED44" s="132"/>
      <c r="EE44" s="133"/>
      <c r="EG44" s="706" t="s">
        <v>120</v>
      </c>
      <c r="EH44" s="430"/>
      <c r="EI44" s="431"/>
      <c r="EJ44" s="431"/>
      <c r="EK44" s="431"/>
      <c r="EL44" s="431"/>
      <c r="EM44" s="431"/>
      <c r="EN44" s="431"/>
      <c r="EO44" s="431"/>
      <c r="EP44" s="431"/>
      <c r="EQ44" s="431"/>
      <c r="ER44" s="431"/>
      <c r="ES44" s="431"/>
      <c r="ET44" s="432"/>
      <c r="EV44" s="706" t="s">
        <v>120</v>
      </c>
      <c r="EW44" s="430"/>
      <c r="EX44" s="431"/>
      <c r="EY44" s="431"/>
      <c r="EZ44" s="431"/>
      <c r="FA44" s="431"/>
      <c r="FB44" s="431"/>
      <c r="FC44" s="431"/>
      <c r="FD44" s="431"/>
      <c r="FE44" s="431"/>
      <c r="FF44" s="431"/>
      <c r="FG44" s="431"/>
      <c r="FH44" s="431"/>
      <c r="FI44" s="432"/>
      <c r="FK44" s="706" t="s">
        <v>120</v>
      </c>
      <c r="FL44" s="430"/>
      <c r="FM44" s="431"/>
      <c r="FN44" s="431"/>
      <c r="FO44" s="431"/>
      <c r="FP44" s="431"/>
      <c r="FQ44" s="431"/>
      <c r="FR44" s="431"/>
      <c r="FS44" s="431"/>
      <c r="FT44" s="431"/>
      <c r="FU44" s="431"/>
      <c r="FV44" s="431"/>
      <c r="FW44" s="431"/>
      <c r="FX44" s="432"/>
    </row>
    <row r="45" spans="2:180" x14ac:dyDescent="0.25">
      <c r="B45" s="713"/>
      <c r="C45" s="122" t="s">
        <v>44</v>
      </c>
      <c r="D45" s="154">
        <f>D21*$O$35+$O$36</f>
        <v>-1.3050200000000274</v>
      </c>
      <c r="E45" s="154">
        <f t="shared" ref="E45:M45" si="75">E21*$O$35+$O$36</f>
        <v>1.0888599999999684</v>
      </c>
      <c r="F45" s="154">
        <f t="shared" si="75"/>
        <v>1.6873300000000029</v>
      </c>
      <c r="G45" s="154">
        <f t="shared" si="75"/>
        <v>3.881719999999973</v>
      </c>
      <c r="H45" s="154">
        <f t="shared" si="75"/>
        <v>6.8740700000000032</v>
      </c>
      <c r="I45" s="154">
        <f t="shared" si="75"/>
        <v>9.6669300000000078</v>
      </c>
      <c r="J45" s="154">
        <f t="shared" si="75"/>
        <v>11.861319999999978</v>
      </c>
      <c r="K45" s="154">
        <f t="shared" si="75"/>
        <v>14.255199999999988</v>
      </c>
      <c r="L45" s="154">
        <f t="shared" si="75"/>
        <v>19.64143</v>
      </c>
      <c r="M45" s="154">
        <f t="shared" si="75"/>
        <v>24.229699999999994</v>
      </c>
      <c r="N45" s="154"/>
      <c r="O45" s="154"/>
      <c r="Q45" s="713"/>
      <c r="R45" s="122" t="s">
        <v>44</v>
      </c>
      <c r="S45" s="154">
        <f>S21*$AD$35+$AD$36</f>
        <v>2.6447800000000257</v>
      </c>
      <c r="T45" s="154">
        <f t="shared" ref="T45:AB45" si="76">T21*$AD$35+$AD$36</f>
        <v>1.2977199999999982</v>
      </c>
      <c r="U45" s="154">
        <f t="shared" si="76"/>
        <v>20.830090000000013</v>
      </c>
      <c r="V45" s="154">
        <f t="shared" si="76"/>
        <v>4.2163500000000056</v>
      </c>
      <c r="W45" s="154">
        <f t="shared" si="76"/>
        <v>3.767329999999987</v>
      </c>
      <c r="X45" s="154">
        <f t="shared" si="76"/>
        <v>9.6045900000000017</v>
      </c>
      <c r="Y45" s="154">
        <f t="shared" si="76"/>
        <v>12.07419999999999</v>
      </c>
      <c r="Z45" s="154">
        <f t="shared" si="76"/>
        <v>15.217339999999979</v>
      </c>
      <c r="AA45" s="154">
        <f t="shared" si="76"/>
        <v>18.809499999999986</v>
      </c>
      <c r="AB45" s="154">
        <f t="shared" si="76"/>
        <v>23.524209999999997</v>
      </c>
      <c r="AC45" s="154"/>
      <c r="AD45" s="154"/>
      <c r="AF45" s="713"/>
      <c r="AG45" s="122" t="s">
        <v>44</v>
      </c>
      <c r="AH45" s="154">
        <f>AH21*$AS$35+$AS$36</f>
        <v>8.2151999999999816</v>
      </c>
      <c r="AI45" s="154">
        <f t="shared" ref="AI45:AQ45" si="77">AI21*$AS$35+$AS$36</f>
        <v>1.0242000000000075</v>
      </c>
      <c r="AJ45" s="154">
        <f t="shared" si="77"/>
        <v>2.4624000000000024</v>
      </c>
      <c r="AK45" s="154">
        <f t="shared" si="77"/>
        <v>0.78450000000000841</v>
      </c>
      <c r="AL45" s="154">
        <f t="shared" si="77"/>
        <v>5.5784999999999911</v>
      </c>
      <c r="AM45" s="154">
        <f t="shared" si="77"/>
        <v>10.132799999999975</v>
      </c>
      <c r="AN45" s="154">
        <f t="shared" si="77"/>
        <v>11.810699999999969</v>
      </c>
      <c r="AO45" s="154">
        <f t="shared" si="77"/>
        <v>12.050399999999968</v>
      </c>
      <c r="AP45" s="154">
        <f t="shared" si="77"/>
        <v>19.0017</v>
      </c>
      <c r="AQ45" s="154">
        <f t="shared" si="77"/>
        <v>24.514799999999994</v>
      </c>
      <c r="AR45" s="154"/>
      <c r="AS45" s="154"/>
      <c r="AU45" s="707"/>
      <c r="AV45" s="122" t="s">
        <v>44</v>
      </c>
      <c r="AW45" s="154">
        <f>AW21*$BH$35+$BH$36</f>
        <v>-7.6389999999975089E-2</v>
      </c>
      <c r="AX45" s="154">
        <f t="shared" ref="AX45:BF45" si="78">AX21*$BH$35+$BH$36</f>
        <v>0.44479000000001179</v>
      </c>
      <c r="AY45" s="154">
        <f t="shared" si="78"/>
        <v>6.9595400000000041</v>
      </c>
      <c r="AZ45" s="154">
        <f t="shared" si="78"/>
        <v>3.832460000000026</v>
      </c>
      <c r="BA45" s="154">
        <f t="shared" si="78"/>
        <v>8.5230799999999931</v>
      </c>
      <c r="BB45" s="154">
        <f t="shared" si="78"/>
        <v>10.086619999999982</v>
      </c>
      <c r="BC45" s="154">
        <f t="shared" si="78"/>
        <v>11.65016</v>
      </c>
      <c r="BD45" s="154">
        <f t="shared" si="78"/>
        <v>15.037829999999985</v>
      </c>
      <c r="BE45" s="154">
        <f t="shared" si="78"/>
        <v>19.467860000000002</v>
      </c>
      <c r="BF45" s="154">
        <f t="shared" si="78"/>
        <v>24.158479999999997</v>
      </c>
      <c r="BG45" s="154"/>
      <c r="BH45" s="155"/>
      <c r="BJ45" s="707"/>
      <c r="BK45" s="122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5"/>
      <c r="BY45" s="707"/>
      <c r="BZ45" s="122"/>
      <c r="CA45" s="154">
        <f>CA21*$CL$35+$CL$36</f>
        <v>5.8800000000019281E-2</v>
      </c>
      <c r="CB45" s="154">
        <f t="shared" ref="CB45:CJ45" si="79">CB21*$CL$35+$CL$36</f>
        <v>2.0135999999999967</v>
      </c>
      <c r="CC45" s="154">
        <f t="shared" si="79"/>
        <v>1.5792000000000144</v>
      </c>
      <c r="CD45" s="154">
        <f t="shared" si="79"/>
        <v>3.7512000000000114</v>
      </c>
      <c r="CE45" s="154">
        <f t="shared" si="79"/>
        <v>7.443600000000032</v>
      </c>
      <c r="CF45" s="154">
        <f t="shared" si="79"/>
        <v>10.05000000000004</v>
      </c>
      <c r="CG45" s="154">
        <f t="shared" si="79"/>
        <v>12.22199999999998</v>
      </c>
      <c r="CH45" s="154">
        <f t="shared" si="79"/>
        <v>16.131599999999992</v>
      </c>
      <c r="CI45" s="154">
        <f t="shared" si="79"/>
        <v>20.4756</v>
      </c>
      <c r="CJ45" s="154">
        <f t="shared" si="79"/>
        <v>23.082000000000008</v>
      </c>
      <c r="CK45" s="154"/>
      <c r="CL45" s="155"/>
      <c r="CN45" s="707"/>
      <c r="CO45" s="122"/>
      <c r="CP45" s="154">
        <f>CP21*$DA$35+$DA$36</f>
        <v>-0.14083999999999719</v>
      </c>
      <c r="CQ45" s="154">
        <f t="shared" ref="CQ45:CY45" si="80">CQ21*$DA$35+$DA$36</f>
        <v>1.4973700000000179</v>
      </c>
      <c r="CR45" s="154">
        <f t="shared" si="80"/>
        <v>3.6036400000000413</v>
      </c>
      <c r="CS45" s="154">
        <f t="shared" si="80"/>
        <v>4.5397600000000295</v>
      </c>
      <c r="CT45" s="154">
        <f t="shared" si="80"/>
        <v>8.0502100000000212</v>
      </c>
      <c r="CU45" s="154">
        <f t="shared" si="80"/>
        <v>8.9863300000000095</v>
      </c>
      <c r="CV45" s="154">
        <f t="shared" si="80"/>
        <v>13.198869999999999</v>
      </c>
      <c r="CW45" s="154">
        <f t="shared" si="80"/>
        <v>15.773200000000003</v>
      </c>
      <c r="CX45" s="154">
        <f t="shared" si="80"/>
        <v>19.517679999999999</v>
      </c>
      <c r="CY45" s="154">
        <f t="shared" si="80"/>
        <v>24.666340000000005</v>
      </c>
      <c r="CZ45" s="154"/>
      <c r="DA45" s="155"/>
      <c r="DC45" s="707"/>
      <c r="DD45" s="122"/>
      <c r="DE45" s="154">
        <f>DE21*$DP$35+$DP$36</f>
        <v>2.0504200000000026</v>
      </c>
      <c r="DF45" s="154">
        <f t="shared" ref="DF45:DN45" si="81">DF21*$DP$35+$DP$36</f>
        <v>1.4224899999999963</v>
      </c>
      <c r="DG45" s="154">
        <f t="shared" si="81"/>
        <v>1.6317999999999984</v>
      </c>
      <c r="DH45" s="154">
        <f t="shared" si="81"/>
        <v>5.8180000000000049</v>
      </c>
      <c r="DI45" s="154">
        <f t="shared" si="81"/>
        <v>8.1204100000000068</v>
      </c>
      <c r="DJ45" s="154">
        <f t="shared" si="81"/>
        <v>10.422820000000009</v>
      </c>
      <c r="DK45" s="154">
        <f t="shared" si="81"/>
        <v>12.934539999999998</v>
      </c>
      <c r="DL45" s="154">
        <f t="shared" si="81"/>
        <v>16.283500000000004</v>
      </c>
      <c r="DM45" s="154">
        <f t="shared" si="81"/>
        <v>20.88832</v>
      </c>
      <c r="DN45" s="154">
        <f t="shared" si="81"/>
        <v>24.237280000000005</v>
      </c>
      <c r="DO45" s="154"/>
      <c r="DP45" s="155"/>
      <c r="DR45" s="707"/>
      <c r="DS45" s="122"/>
      <c r="DT45" s="154">
        <f>DT21*$EE$35+$EE$36</f>
        <v>0.13724000000004821</v>
      </c>
      <c r="DU45" s="154">
        <f t="shared" ref="DU45:EC45" si="82">DU21*$EE$35+$EE$36</f>
        <v>1.494620000000026</v>
      </c>
      <c r="DV45" s="154">
        <f t="shared" si="82"/>
        <v>1.9470800000000281</v>
      </c>
      <c r="DW45" s="154">
        <f t="shared" si="82"/>
        <v>4.4356100000000254</v>
      </c>
      <c r="DX45" s="154">
        <f t="shared" si="82"/>
        <v>7.8290599999999984</v>
      </c>
      <c r="DY45" s="154">
        <f t="shared" si="82"/>
        <v>10.543819999999982</v>
      </c>
      <c r="DZ45" s="154">
        <f t="shared" si="82"/>
        <v>12.579889999999992</v>
      </c>
      <c r="EA45" s="154">
        <f t="shared" si="82"/>
        <v>14.842190000000002</v>
      </c>
      <c r="EB45" s="154">
        <f t="shared" si="82"/>
        <v>20.045479999999998</v>
      </c>
      <c r="EC45" s="154">
        <f t="shared" si="82"/>
        <v>24.343850000000003</v>
      </c>
      <c r="ED45" s="154"/>
      <c r="EE45" s="155"/>
      <c r="EG45" s="707"/>
      <c r="EH45" s="433"/>
      <c r="EI45" s="434">
        <f>EI21*$ET$35+$ET$36</f>
        <v>-0.94903999999996813</v>
      </c>
      <c r="EJ45" s="434">
        <f t="shared" ref="EJ45:ER45" si="83">EJ21*$ET$35+$ET$36</f>
        <v>1.0619200000000149</v>
      </c>
      <c r="EK45" s="434">
        <f t="shared" si="83"/>
        <v>2.6259999999999764</v>
      </c>
      <c r="EL45" s="434">
        <f t="shared" si="83"/>
        <v>3.966639999999984</v>
      </c>
      <c r="EM45" s="434">
        <f t="shared" si="83"/>
        <v>7.765119999999996</v>
      </c>
      <c r="EN45" s="434">
        <f t="shared" si="83"/>
        <v>10.222959999999986</v>
      </c>
      <c r="EO45" s="434">
        <f t="shared" si="83"/>
        <v>12.010479999999987</v>
      </c>
      <c r="EP45" s="434">
        <f t="shared" si="83"/>
        <v>16.255839999999992</v>
      </c>
      <c r="EQ45" s="434">
        <f t="shared" si="83"/>
        <v>20.501199999999997</v>
      </c>
      <c r="ER45" s="434">
        <f t="shared" si="83"/>
        <v>24.076239999999999</v>
      </c>
      <c r="ES45" s="434"/>
      <c r="ET45" s="435"/>
      <c r="EV45" s="707"/>
      <c r="EW45" s="433"/>
      <c r="EX45" s="434">
        <f>EX21*$FI$35+$FI$36</f>
        <v>0.4702000000000055</v>
      </c>
      <c r="EY45" s="434">
        <f t="shared" ref="EY45:FG45" si="84">EY21*$FI$35+$FI$36</f>
        <v>-0.9451999999999714</v>
      </c>
      <c r="EZ45" s="434">
        <f t="shared" si="84"/>
        <v>2.4922000000000111</v>
      </c>
      <c r="FA45" s="434">
        <f t="shared" si="84"/>
        <v>2.6944000000000301</v>
      </c>
      <c r="FB45" s="434">
        <f t="shared" si="84"/>
        <v>7.3450000000000131</v>
      </c>
      <c r="FC45" s="434">
        <f t="shared" si="84"/>
        <v>9.3670000000000186</v>
      </c>
      <c r="FD45" s="434">
        <f t="shared" si="84"/>
        <v>10.580200000000019</v>
      </c>
      <c r="FE45" s="434">
        <f t="shared" si="84"/>
        <v>16.444000000000003</v>
      </c>
      <c r="FF45" s="434">
        <f t="shared" si="84"/>
        <v>19.072600000000008</v>
      </c>
      <c r="FG45" s="434">
        <f t="shared" si="84"/>
        <v>23.521000000000001</v>
      </c>
      <c r="FH45" s="434"/>
      <c r="FI45" s="435"/>
      <c r="FK45" s="707"/>
      <c r="FL45" s="433"/>
      <c r="FM45" s="434">
        <f>FM21*$FX$35+$FX$36</f>
        <v>0.23658000000003199</v>
      </c>
      <c r="FN45" s="434">
        <f t="shared" ref="FN45:FV45" si="85">FN21*$FX$35+$FX$36</f>
        <v>1.7598500000000001</v>
      </c>
      <c r="FO45" s="434">
        <f t="shared" si="85"/>
        <v>1.7598500000000001</v>
      </c>
      <c r="FP45" s="434">
        <f t="shared" si="85"/>
        <v>4.5887800000000141</v>
      </c>
      <c r="FQ45" s="434">
        <f t="shared" si="85"/>
        <v>8.0705399999999798</v>
      </c>
      <c r="FR45" s="434">
        <f t="shared" si="85"/>
        <v>10.029030000000006</v>
      </c>
      <c r="FS45" s="434">
        <f t="shared" si="85"/>
        <v>11.987519999999989</v>
      </c>
      <c r="FT45" s="434">
        <f t="shared" si="85"/>
        <v>15.034059999999982</v>
      </c>
      <c r="FU45" s="434">
        <f t="shared" si="85"/>
        <v>19.168649999999985</v>
      </c>
      <c r="FV45" s="434">
        <f t="shared" si="85"/>
        <v>25.044119999999992</v>
      </c>
      <c r="FW45" s="434"/>
      <c r="FX45" s="435"/>
    </row>
    <row r="46" spans="2:180" x14ac:dyDescent="0.25">
      <c r="B46" s="713"/>
      <c r="C46" s="122" t="s">
        <v>45</v>
      </c>
      <c r="D46" s="154">
        <f t="shared" ref="D46:M52" si="86">D22*$O$35+$O$36</f>
        <v>3.6822300000000041</v>
      </c>
      <c r="E46" s="154">
        <f t="shared" si="86"/>
        <v>0.49038999999999078</v>
      </c>
      <c r="F46" s="154">
        <f t="shared" si="86"/>
        <v>2.2857999999999805</v>
      </c>
      <c r="G46" s="154">
        <f t="shared" si="86"/>
        <v>5.0786599999999851</v>
      </c>
      <c r="H46" s="154">
        <f t="shared" si="86"/>
        <v>9.267949999999999</v>
      </c>
      <c r="I46" s="154">
        <f t="shared" si="86"/>
        <v>9.4674399999999821</v>
      </c>
      <c r="J46" s="154">
        <f t="shared" si="86"/>
        <v>12.260299999999987</v>
      </c>
      <c r="K46" s="154">
        <f t="shared" si="86"/>
        <v>13.05825999999999</v>
      </c>
      <c r="L46" s="154">
        <f t="shared" si="86"/>
        <v>19.64143</v>
      </c>
      <c r="M46" s="154">
        <f t="shared" si="86"/>
        <v>24.429189999999991</v>
      </c>
      <c r="N46" s="154"/>
      <c r="O46" s="154"/>
      <c r="Q46" s="713"/>
      <c r="R46" s="122" t="s">
        <v>45</v>
      </c>
      <c r="S46" s="154">
        <f t="shared" ref="S46:AB52" si="87">S22*$AD$35+$AD$36</f>
        <v>2.6447800000000257</v>
      </c>
      <c r="T46" s="154">
        <f t="shared" si="87"/>
        <v>1.9712499999999977</v>
      </c>
      <c r="U46" s="154">
        <f t="shared" si="87"/>
        <v>24.42225000000002</v>
      </c>
      <c r="V46" s="154">
        <f t="shared" si="87"/>
        <v>0.62418999999999869</v>
      </c>
      <c r="W46" s="154">
        <f t="shared" si="87"/>
        <v>9.6045899999999733</v>
      </c>
      <c r="X46" s="154">
        <f t="shared" si="87"/>
        <v>10.951649999999972</v>
      </c>
      <c r="Y46" s="154">
        <f t="shared" si="87"/>
        <v>13.87027999999998</v>
      </c>
      <c r="Z46" s="154">
        <f t="shared" si="87"/>
        <v>15.890869999999978</v>
      </c>
      <c r="AA46" s="154">
        <f t="shared" si="87"/>
        <v>20.381069999999994</v>
      </c>
      <c r="AB46" s="154">
        <f t="shared" si="87"/>
        <v>25.095779999999991</v>
      </c>
      <c r="AC46" s="154"/>
      <c r="AD46" s="154"/>
      <c r="AF46" s="713"/>
      <c r="AG46" s="122" t="s">
        <v>45</v>
      </c>
      <c r="AH46" s="154">
        <f>AH22*$AS$35+$AS$36</f>
        <v>1.2639000000000067</v>
      </c>
      <c r="AI46" s="154">
        <f t="shared" ref="AI46:AQ46" si="88">AI22*$AS$35+$AS$36</f>
        <v>2.4624000000000024</v>
      </c>
      <c r="AJ46" s="154">
        <f t="shared" si="88"/>
        <v>2.4624000000000024</v>
      </c>
      <c r="AK46" s="154">
        <f t="shared" si="88"/>
        <v>3.4211999999999989</v>
      </c>
      <c r="AL46" s="154">
        <f t="shared" si="88"/>
        <v>7.2564000000000135</v>
      </c>
      <c r="AM46" s="154">
        <f t="shared" si="88"/>
        <v>10.132799999999975</v>
      </c>
      <c r="AN46" s="154">
        <f t="shared" si="88"/>
        <v>12.769499999999994</v>
      </c>
      <c r="AO46" s="154">
        <f t="shared" si="88"/>
        <v>14.687099999999987</v>
      </c>
      <c r="AP46" s="154">
        <f t="shared" si="88"/>
        <v>19.720799999999997</v>
      </c>
      <c r="AQ46" s="154">
        <f t="shared" si="88"/>
        <v>24.754499999999993</v>
      </c>
      <c r="AR46" s="154"/>
      <c r="AS46" s="154"/>
      <c r="AU46" s="707"/>
      <c r="AV46" s="122" t="s">
        <v>45</v>
      </c>
      <c r="AW46" s="154">
        <f t="shared" ref="AW46:BF51" si="89">AW22*$BH$35+$BH$36</f>
        <v>0.96597000000002708</v>
      </c>
      <c r="AX46" s="154">
        <f t="shared" si="89"/>
        <v>1.2265600000000347</v>
      </c>
      <c r="AY46" s="154">
        <f t="shared" si="89"/>
        <v>3.5718700000000183</v>
      </c>
      <c r="AZ46" s="154">
        <f t="shared" si="89"/>
        <v>5.1354100000000074</v>
      </c>
      <c r="BA46" s="154">
        <f t="shared" si="89"/>
        <v>7.4807200000000194</v>
      </c>
      <c r="BB46" s="154">
        <f t="shared" si="89"/>
        <v>10.34720999999999</v>
      </c>
      <c r="BC46" s="154">
        <f t="shared" si="89"/>
        <v>12.171339999999987</v>
      </c>
      <c r="BD46" s="154">
        <f t="shared" si="89"/>
        <v>16.080189999999988</v>
      </c>
      <c r="BE46" s="154">
        <f t="shared" si="89"/>
        <v>19.207269999999994</v>
      </c>
      <c r="BF46" s="154">
        <f t="shared" si="89"/>
        <v>25.200839999999999</v>
      </c>
      <c r="BG46" s="154"/>
      <c r="BH46" s="155"/>
      <c r="BJ46" s="707"/>
      <c r="BK46" s="122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5"/>
      <c r="BY46" s="707"/>
      <c r="BZ46" s="122"/>
      <c r="CA46" s="154">
        <f t="shared" ref="CA46:CA51" si="90">CA22*$CL$35+$CL$36</f>
        <v>-0.59279999999998267</v>
      </c>
      <c r="CB46" s="154">
        <f t="shared" ref="CB46:CJ46" si="91">CB22*$CL$35+$CL$36</f>
        <v>0.49320000000000164</v>
      </c>
      <c r="CC46" s="154">
        <f t="shared" si="91"/>
        <v>1.796400000000034</v>
      </c>
      <c r="CD46" s="154">
        <f t="shared" si="91"/>
        <v>4.6200000000000045</v>
      </c>
      <c r="CE46" s="154">
        <f t="shared" si="91"/>
        <v>8.3124000000000251</v>
      </c>
      <c r="CF46" s="154">
        <f t="shared" si="91"/>
        <v>10.484400000000022</v>
      </c>
      <c r="CG46" s="154">
        <f t="shared" si="91"/>
        <v>11.787599999999998</v>
      </c>
      <c r="CH46" s="154">
        <f t="shared" si="91"/>
        <v>16.348799999999997</v>
      </c>
      <c r="CI46" s="154">
        <f t="shared" si="91"/>
        <v>20.041200000000003</v>
      </c>
      <c r="CJ46" s="154">
        <f t="shared" si="91"/>
        <v>23.950800000000001</v>
      </c>
      <c r="CK46" s="154"/>
      <c r="CL46" s="155"/>
      <c r="CN46" s="707"/>
      <c r="CO46" s="122"/>
      <c r="CP46" s="154">
        <f t="shared" ref="CP46:CP51" si="92">CP22*$DA$35+$DA$36</f>
        <v>0.32722000000001117</v>
      </c>
      <c r="CQ46" s="154">
        <f t="shared" ref="CQ46:CY46" si="93">CQ22*$DA$35+$DA$36</f>
        <v>-0.14083999999999719</v>
      </c>
      <c r="CR46" s="154">
        <f t="shared" si="93"/>
        <v>13.198870000000028</v>
      </c>
      <c r="CS46" s="154">
        <f t="shared" si="93"/>
        <v>5.0078200000000095</v>
      </c>
      <c r="CT46" s="154">
        <f t="shared" si="93"/>
        <v>8.0502100000000212</v>
      </c>
      <c r="CU46" s="154">
        <f t="shared" si="93"/>
        <v>9.4543900000000178</v>
      </c>
      <c r="CV46" s="154">
        <f t="shared" si="93"/>
        <v>11.326629999999994</v>
      </c>
      <c r="CW46" s="154">
        <f t="shared" si="93"/>
        <v>16.007229999999993</v>
      </c>
      <c r="CX46" s="154">
        <f t="shared" si="93"/>
        <v>20.219769999999997</v>
      </c>
      <c r="CY46" s="154">
        <f t="shared" si="93"/>
        <v>23.730220000000003</v>
      </c>
      <c r="CZ46" s="154"/>
      <c r="DA46" s="155"/>
      <c r="DC46" s="707"/>
      <c r="DD46" s="122"/>
      <c r="DE46" s="154">
        <f t="shared" ref="DE46:DN46" si="94">DE22*$DP$35+$DP$36</f>
        <v>-0.25199000000000638</v>
      </c>
      <c r="DF46" s="154">
        <f t="shared" si="94"/>
        <v>-0.46129999999999427</v>
      </c>
      <c r="DG46" s="154">
        <f t="shared" si="94"/>
        <v>0.79456000000000415</v>
      </c>
      <c r="DH46" s="154">
        <f t="shared" si="94"/>
        <v>3.5155900000000031</v>
      </c>
      <c r="DI46" s="154">
        <f t="shared" si="94"/>
        <v>7.2831700000000055</v>
      </c>
      <c r="DJ46" s="154">
        <f t="shared" si="94"/>
        <v>8.748340000000006</v>
      </c>
      <c r="DK46" s="154">
        <f t="shared" si="94"/>
        <v>12.097300000000011</v>
      </c>
      <c r="DL46" s="154">
        <f t="shared" si="94"/>
        <v>16.283500000000004</v>
      </c>
      <c r="DM46" s="154">
        <f t="shared" si="94"/>
        <v>18.79522</v>
      </c>
      <c r="DN46" s="154">
        <f t="shared" si="94"/>
        <v>23.400040000000004</v>
      </c>
      <c r="DO46" s="154"/>
      <c r="DP46" s="155"/>
      <c r="DR46" s="707"/>
      <c r="DS46" s="122"/>
      <c r="DT46" s="154">
        <f t="shared" ref="DT46:EC52" si="95">DT22*$EE$35+$EE$36</f>
        <v>0.36347000000000662</v>
      </c>
      <c r="DU46" s="154">
        <f t="shared" si="95"/>
        <v>0.13724000000004821</v>
      </c>
      <c r="DV46" s="154">
        <f t="shared" si="95"/>
        <v>1.7208500000000129</v>
      </c>
      <c r="DW46" s="154">
        <f t="shared" si="95"/>
        <v>3.9831500000000233</v>
      </c>
      <c r="DX46" s="154">
        <f t="shared" si="95"/>
        <v>8.0552899999999852</v>
      </c>
      <c r="DY46" s="154">
        <f t="shared" si="95"/>
        <v>9.6389000000000067</v>
      </c>
      <c r="DZ46" s="154">
        <f t="shared" si="95"/>
        <v>12.127430000000004</v>
      </c>
      <c r="EA46" s="154">
        <f t="shared" si="95"/>
        <v>16.425799999999995</v>
      </c>
      <c r="EB46" s="154">
        <f t="shared" si="95"/>
        <v>18.914330000000007</v>
      </c>
      <c r="EC46" s="154">
        <f t="shared" si="95"/>
        <v>24.570080000000004</v>
      </c>
      <c r="ED46" s="154"/>
      <c r="EE46" s="155"/>
      <c r="EG46" s="707"/>
      <c r="EH46" s="122"/>
      <c r="EI46" s="154">
        <f t="shared" ref="EI46:EI51" si="96">EI22*$EE$35+$EE$36</f>
        <v>0.36347000000000662</v>
      </c>
      <c r="EJ46" s="154">
        <f t="shared" ref="EJ46:ER46" si="97">EJ22*$EE$35+$EE$36</f>
        <v>1.0421600000000524</v>
      </c>
      <c r="EK46" s="154">
        <f t="shared" si="97"/>
        <v>2.173310000000015</v>
      </c>
      <c r="EL46" s="154">
        <f t="shared" si="97"/>
        <v>5.3405300000000295</v>
      </c>
      <c r="EM46" s="154">
        <f t="shared" si="97"/>
        <v>8.2815200000000004</v>
      </c>
      <c r="EN46" s="154">
        <f t="shared" si="97"/>
        <v>9.8651300000000219</v>
      </c>
      <c r="EO46" s="154">
        <f t="shared" si="97"/>
        <v>12.127430000000004</v>
      </c>
      <c r="EP46" s="154">
        <f t="shared" si="97"/>
        <v>15.973340000000007</v>
      </c>
      <c r="EQ46" s="154">
        <f t="shared" si="97"/>
        <v>19.59302000000001</v>
      </c>
      <c r="ER46" s="154">
        <f t="shared" si="97"/>
        <v>24.796310000000005</v>
      </c>
      <c r="ES46" s="154"/>
      <c r="ET46" s="155"/>
      <c r="EV46" s="707"/>
      <c r="EW46" s="122"/>
      <c r="EX46" s="154">
        <f t="shared" ref="EX46:FG51" si="98">EX22*$FI$35+$FI$36</f>
        <v>0.4702000000000055</v>
      </c>
      <c r="EY46" s="154">
        <f t="shared" si="98"/>
        <v>2.4922000000000111</v>
      </c>
      <c r="EZ46" s="154">
        <f t="shared" si="98"/>
        <v>2.4922000000000111</v>
      </c>
      <c r="FA46" s="154">
        <f t="shared" si="98"/>
        <v>4.716399999999993</v>
      </c>
      <c r="FB46" s="154">
        <f t="shared" si="98"/>
        <v>7.142799999999994</v>
      </c>
      <c r="FC46" s="154">
        <f t="shared" si="98"/>
        <v>10.175800000000024</v>
      </c>
      <c r="FD46" s="154">
        <f t="shared" si="98"/>
        <v>13.208799999999997</v>
      </c>
      <c r="FE46" s="154">
        <f t="shared" si="98"/>
        <v>17.657200000000003</v>
      </c>
      <c r="FF46" s="154">
        <f t="shared" si="98"/>
        <v>27.362799999999993</v>
      </c>
      <c r="FG46" s="154">
        <f t="shared" si="98"/>
        <v>23.723200000000006</v>
      </c>
      <c r="FH46" s="154"/>
      <c r="FI46" s="155"/>
      <c r="FK46" s="707"/>
      <c r="FL46" s="122"/>
      <c r="FM46" s="154">
        <f t="shared" ref="FM46:FM51" si="99">FM22*$FX$35+$FX$36</f>
        <v>0.45418999999998277</v>
      </c>
      <c r="FN46" s="154">
        <f t="shared" ref="FN46:FV46" si="100">FN22*$FX$35+$FX$36</f>
        <v>1.1070200000000341</v>
      </c>
      <c r="FO46" s="154">
        <f t="shared" si="100"/>
        <v>2.195069999999987</v>
      </c>
      <c r="FP46" s="154">
        <f t="shared" si="100"/>
        <v>3.9359499999999912</v>
      </c>
      <c r="FQ46" s="154">
        <f t="shared" si="100"/>
        <v>7.4177099999999712</v>
      </c>
      <c r="FR46" s="154">
        <f t="shared" si="100"/>
        <v>9.1585899999999754</v>
      </c>
      <c r="FS46" s="154">
        <f t="shared" si="100"/>
        <v>11.769909999999982</v>
      </c>
      <c r="FT46" s="154">
        <f t="shared" si="100"/>
        <v>15.904499999999985</v>
      </c>
      <c r="FU46" s="154">
        <f t="shared" si="100"/>
        <v>18.951039999999992</v>
      </c>
      <c r="FV46" s="154">
        <f t="shared" si="100"/>
        <v>25.479339999999993</v>
      </c>
      <c r="FW46" s="154"/>
      <c r="FX46" s="155"/>
    </row>
    <row r="47" spans="2:180" x14ac:dyDescent="0.25">
      <c r="B47" s="713"/>
      <c r="C47" s="122" t="s">
        <v>46</v>
      </c>
      <c r="D47" s="154">
        <f t="shared" si="86"/>
        <v>10.065910000000002</v>
      </c>
      <c r="E47" s="154">
        <f t="shared" si="86"/>
        <v>11.661830000000009</v>
      </c>
      <c r="F47" s="154">
        <f t="shared" si="86"/>
        <v>10.265399999999985</v>
      </c>
      <c r="G47" s="154">
        <f t="shared" si="86"/>
        <v>11.661830000000009</v>
      </c>
      <c r="H47" s="154">
        <f t="shared" si="86"/>
        <v>11.661830000000009</v>
      </c>
      <c r="I47" s="154">
        <f t="shared" si="86"/>
        <v>11.26285</v>
      </c>
      <c r="J47" s="154"/>
      <c r="K47" s="154"/>
      <c r="L47" s="154"/>
      <c r="M47" s="154"/>
      <c r="N47" s="154"/>
      <c r="O47" s="154"/>
      <c r="Q47" s="713"/>
      <c r="R47" s="122" t="s">
        <v>46</v>
      </c>
      <c r="S47" s="154">
        <f t="shared" si="87"/>
        <v>10.502630000000011</v>
      </c>
      <c r="T47" s="154">
        <f t="shared" si="87"/>
        <v>10.053609999999992</v>
      </c>
      <c r="U47" s="154">
        <f t="shared" si="87"/>
        <v>12.523219999999981</v>
      </c>
      <c r="V47" s="154">
        <f t="shared" si="87"/>
        <v>12.972239999999971</v>
      </c>
      <c r="W47" s="154">
        <f t="shared" si="87"/>
        <v>14.543810000000008</v>
      </c>
      <c r="X47" s="154">
        <f t="shared" si="87"/>
        <v>14.319299999999984</v>
      </c>
      <c r="Y47" s="154">
        <f t="shared" si="87"/>
        <v>14.094790000000017</v>
      </c>
      <c r="Z47" s="154">
        <f t="shared" si="87"/>
        <v>10.727139999999991</v>
      </c>
      <c r="AA47" s="154"/>
      <c r="AB47" s="154"/>
      <c r="AC47" s="154"/>
      <c r="AD47" s="154"/>
      <c r="AF47" s="713"/>
      <c r="AG47" s="122" t="s">
        <v>46</v>
      </c>
      <c r="AH47" s="154">
        <f>AH23*$AS$35+$AS$36</f>
        <v>10.612199999999973</v>
      </c>
      <c r="AI47" s="154">
        <f t="shared" ref="AI47:AK49" si="101">AI23*$AS$35+$AS$36</f>
        <v>10.851900000000001</v>
      </c>
      <c r="AJ47" s="154">
        <f t="shared" si="101"/>
        <v>11.57099999999997</v>
      </c>
      <c r="AK47" s="154">
        <f t="shared" si="101"/>
        <v>10.612199999999973</v>
      </c>
      <c r="AL47" s="154"/>
      <c r="AM47" s="154"/>
      <c r="AN47" s="154"/>
      <c r="AO47" s="154"/>
      <c r="AP47" s="154"/>
      <c r="AQ47" s="154"/>
      <c r="AR47" s="154"/>
      <c r="AS47" s="154"/>
      <c r="AU47" s="707"/>
      <c r="AV47" s="122" t="s">
        <v>46</v>
      </c>
      <c r="AW47" s="154">
        <f t="shared" si="89"/>
        <v>15.298419999999993</v>
      </c>
      <c r="AX47" s="154">
        <f t="shared" si="89"/>
        <v>14.516650000000027</v>
      </c>
      <c r="AY47" s="154">
        <f t="shared" si="89"/>
        <v>10.607799999999997</v>
      </c>
      <c r="AZ47" s="154">
        <f t="shared" si="89"/>
        <v>9.5654399999999953</v>
      </c>
      <c r="BA47" s="154">
        <f t="shared" si="89"/>
        <v>11.128979999999984</v>
      </c>
      <c r="BB47" s="154">
        <f t="shared" si="89"/>
        <v>9.8260300000000314</v>
      </c>
      <c r="BC47" s="154"/>
      <c r="BD47" s="154"/>
      <c r="BE47" s="154"/>
      <c r="BF47" s="154"/>
      <c r="BG47" s="154"/>
      <c r="BH47" s="155"/>
      <c r="BJ47" s="707"/>
      <c r="BK47" s="122"/>
      <c r="BL47" s="154">
        <f t="shared" ref="BL47:BO50" si="102">BL23*$BW$35+$BW$36</f>
        <v>12.898459999999972</v>
      </c>
      <c r="BM47" s="154">
        <f t="shared" si="102"/>
        <v>11.214050000000015</v>
      </c>
      <c r="BN47" s="154">
        <f t="shared" si="102"/>
        <v>7.8452299999999866</v>
      </c>
      <c r="BO47" s="154">
        <f t="shared" si="102"/>
        <v>9.5296399999999721</v>
      </c>
      <c r="BP47" s="154"/>
      <c r="BQ47" s="154"/>
      <c r="BR47" s="154"/>
      <c r="BS47" s="154"/>
      <c r="BT47" s="154"/>
      <c r="BU47" s="154"/>
      <c r="BV47" s="154"/>
      <c r="BW47" s="155"/>
      <c r="BY47" s="707"/>
      <c r="BZ47" s="122"/>
      <c r="CA47" s="154">
        <f t="shared" si="90"/>
        <v>11.353199999999987</v>
      </c>
      <c r="CB47" s="154">
        <f t="shared" ref="CB47:CH47" si="103">CB23*$CL$35+$CL$36</f>
        <v>11.570400000000006</v>
      </c>
      <c r="CC47" s="154">
        <f t="shared" si="103"/>
        <v>7.8780000000000427</v>
      </c>
      <c r="CD47" s="154">
        <f t="shared" si="103"/>
        <v>7.8780000000000427</v>
      </c>
      <c r="CE47" s="154">
        <f t="shared" si="103"/>
        <v>11.353199999999987</v>
      </c>
      <c r="CF47" s="154">
        <f t="shared" si="103"/>
        <v>12.656399999999991</v>
      </c>
      <c r="CG47" s="154">
        <f t="shared" si="103"/>
        <v>10.484399999999994</v>
      </c>
      <c r="CH47" s="154">
        <f t="shared" si="103"/>
        <v>9.3984000000000094</v>
      </c>
      <c r="CI47" s="154"/>
      <c r="CJ47" s="154"/>
      <c r="CK47" s="154"/>
      <c r="CL47" s="155"/>
      <c r="CN47" s="707"/>
      <c r="CO47" s="122"/>
      <c r="CP47" s="154">
        <f t="shared" si="92"/>
        <v>11.326629999999994</v>
      </c>
      <c r="CQ47" s="154">
        <f t="shared" ref="CQ47:CU49" si="104">CQ23*$DA$35+$DA$36</f>
        <v>11.560659999999984</v>
      </c>
      <c r="CR47" s="154">
        <f t="shared" si="104"/>
        <v>8.7523000000000195</v>
      </c>
      <c r="CS47" s="154">
        <f t="shared" si="104"/>
        <v>8.5182700000000295</v>
      </c>
      <c r="CT47" s="154">
        <f t="shared" si="104"/>
        <v>7.8161800000000312</v>
      </c>
      <c r="CU47" s="154">
        <f t="shared" si="104"/>
        <v>7.1140900000000045</v>
      </c>
      <c r="CV47" s="154"/>
      <c r="CW47" s="154"/>
      <c r="CX47" s="154"/>
      <c r="CY47" s="154"/>
      <c r="CZ47" s="154"/>
      <c r="DA47" s="155"/>
      <c r="DC47" s="707"/>
      <c r="DD47" s="122"/>
      <c r="DE47" s="154">
        <f t="shared" ref="DE47:DL47" si="105">DE23*$DP$35+$DP$36</f>
        <v>11.469369999999998</v>
      </c>
      <c r="DF47" s="154">
        <f t="shared" si="105"/>
        <v>12.306609999999999</v>
      </c>
      <c r="DG47" s="154">
        <f t="shared" si="105"/>
        <v>8.539030000000011</v>
      </c>
      <c r="DH47" s="154">
        <f t="shared" si="105"/>
        <v>8.539030000000011</v>
      </c>
      <c r="DI47" s="154">
        <f t="shared" si="105"/>
        <v>8.1204099999999997</v>
      </c>
      <c r="DJ47" s="154">
        <f t="shared" si="105"/>
        <v>8.3297199999999947</v>
      </c>
      <c r="DK47" s="154">
        <f t="shared" si="105"/>
        <v>9.166959999999996</v>
      </c>
      <c r="DL47" s="154">
        <f t="shared" si="105"/>
        <v>8.5390299999999968</v>
      </c>
      <c r="DM47" s="154"/>
      <c r="DN47" s="154"/>
      <c r="DO47" s="154"/>
      <c r="DP47" s="155"/>
      <c r="DR47" s="707"/>
      <c r="DS47" s="122"/>
      <c r="DT47" s="154">
        <f t="shared" si="95"/>
        <v>9.4126700000000199</v>
      </c>
      <c r="DU47" s="154">
        <f t="shared" si="95"/>
        <v>8.9602100000000178</v>
      </c>
      <c r="DV47" s="154">
        <f t="shared" si="95"/>
        <v>8.5077500000000157</v>
      </c>
      <c r="DW47" s="154">
        <f t="shared" si="95"/>
        <v>8.5077500000000157</v>
      </c>
      <c r="DX47" s="154">
        <f t="shared" si="95"/>
        <v>12.806119999999993</v>
      </c>
      <c r="DY47" s="154">
        <f t="shared" si="95"/>
        <v>10.543819999999982</v>
      </c>
      <c r="DZ47" s="154">
        <f t="shared" si="95"/>
        <v>10.091360000000009</v>
      </c>
      <c r="EA47" s="154">
        <f t="shared" si="95"/>
        <v>10.543819999999982</v>
      </c>
      <c r="EB47" s="154">
        <f t="shared" si="95"/>
        <v>9.8651300000000219</v>
      </c>
      <c r="EC47" s="154">
        <f t="shared" si="95"/>
        <v>7.3765999999999963</v>
      </c>
      <c r="ED47" s="154"/>
      <c r="EE47" s="155"/>
      <c r="EG47" s="707"/>
      <c r="EH47" s="122"/>
      <c r="EI47" s="154">
        <f t="shared" si="96"/>
        <v>9.8651299999999935</v>
      </c>
      <c r="EJ47" s="154">
        <f t="shared" ref="EJ47:EL51" si="106">EJ23*$EE$35+$EE$36</f>
        <v>9.4126700000000199</v>
      </c>
      <c r="EK47" s="154">
        <f t="shared" si="106"/>
        <v>10.770050000000026</v>
      </c>
      <c r="EL47" s="154">
        <f t="shared" si="106"/>
        <v>9.6389000000000067</v>
      </c>
      <c r="EM47" s="154"/>
      <c r="EN47" s="154"/>
      <c r="EO47" s="154"/>
      <c r="EP47" s="154"/>
      <c r="EQ47" s="154"/>
      <c r="ER47" s="154"/>
      <c r="ES47" s="154"/>
      <c r="ET47" s="155"/>
      <c r="EV47" s="707"/>
      <c r="EW47" s="122"/>
      <c r="EX47" s="154">
        <f t="shared" si="98"/>
        <v>18.466000000000008</v>
      </c>
      <c r="EY47" s="154">
        <f t="shared" si="98"/>
        <v>24.936399999999992</v>
      </c>
      <c r="EZ47" s="154">
        <f t="shared" si="98"/>
        <v>16.241800000000026</v>
      </c>
      <c r="FA47" s="154">
        <f t="shared" si="98"/>
        <v>16.241800000000026</v>
      </c>
      <c r="FB47" s="154">
        <f t="shared" si="98"/>
        <v>14.017600000000002</v>
      </c>
      <c r="FC47" s="154">
        <f t="shared" si="98"/>
        <v>13.208799999999997</v>
      </c>
      <c r="FD47" s="154">
        <f t="shared" si="98"/>
        <v>15.230800000000002</v>
      </c>
      <c r="FE47" s="154">
        <f t="shared" si="98"/>
        <v>16.039599999999993</v>
      </c>
      <c r="FF47" s="154"/>
      <c r="FG47" s="154"/>
      <c r="FH47" s="154"/>
      <c r="FI47" s="155"/>
      <c r="FK47" s="707"/>
      <c r="FL47" s="122"/>
      <c r="FM47" s="154">
        <f t="shared" si="99"/>
        <v>14.16361999999998</v>
      </c>
      <c r="FN47" s="154">
        <f t="shared" ref="FN47:FP51" si="107">FN23*$FX$35+$FX$36</f>
        <v>13.293179999999978</v>
      </c>
      <c r="FO47" s="154">
        <f t="shared" si="107"/>
        <v>13.510790000000014</v>
      </c>
      <c r="FP47" s="154">
        <f t="shared" si="107"/>
        <v>14.16361999999998</v>
      </c>
      <c r="FQ47" s="154"/>
      <c r="FR47" s="154"/>
      <c r="FS47" s="154"/>
      <c r="FT47" s="154"/>
      <c r="FU47" s="154"/>
      <c r="FV47" s="154"/>
      <c r="FW47" s="154"/>
      <c r="FX47" s="155"/>
    </row>
    <row r="48" spans="2:180" x14ac:dyDescent="0.25">
      <c r="B48" s="713"/>
      <c r="C48" s="122" t="s">
        <v>47</v>
      </c>
      <c r="D48" s="154">
        <f t="shared" si="86"/>
        <v>10.66437999999998</v>
      </c>
      <c r="E48" s="154">
        <f t="shared" si="86"/>
        <v>12.858770000000007</v>
      </c>
      <c r="F48" s="154">
        <f t="shared" si="86"/>
        <v>10.265399999999985</v>
      </c>
      <c r="G48" s="154">
        <f t="shared" si="86"/>
        <v>9.0684599999999875</v>
      </c>
      <c r="H48" s="154">
        <f t="shared" si="86"/>
        <v>9.8664199999999767</v>
      </c>
      <c r="I48" s="154">
        <f t="shared" si="86"/>
        <v>10.464890000000011</v>
      </c>
      <c r="J48" s="154"/>
      <c r="K48" s="154"/>
      <c r="L48" s="154"/>
      <c r="M48" s="154"/>
      <c r="N48" s="154"/>
      <c r="O48" s="154"/>
      <c r="Q48" s="713"/>
      <c r="R48" s="122" t="s">
        <v>47</v>
      </c>
      <c r="S48" s="154">
        <f t="shared" si="87"/>
        <v>18.809499999999986</v>
      </c>
      <c r="T48" s="154">
        <f t="shared" si="87"/>
        <v>12.972239999999971</v>
      </c>
      <c r="U48" s="154">
        <f t="shared" si="87"/>
        <v>16.115379999999988</v>
      </c>
      <c r="V48" s="154">
        <f t="shared" si="87"/>
        <v>14.319299999999984</v>
      </c>
      <c r="W48" s="154">
        <f t="shared" si="87"/>
        <v>13.64576999999997</v>
      </c>
      <c r="X48" s="154">
        <f t="shared" si="87"/>
        <v>13.42125999999999</v>
      </c>
      <c r="Y48" s="154">
        <f t="shared" si="87"/>
        <v>10.502629999999982</v>
      </c>
      <c r="Z48" s="154">
        <f t="shared" si="87"/>
        <v>12.747730000000018</v>
      </c>
      <c r="AA48" s="154"/>
      <c r="AB48" s="154"/>
      <c r="AC48" s="154"/>
      <c r="AD48" s="154"/>
      <c r="AF48" s="713"/>
      <c r="AG48" s="122" t="s">
        <v>47</v>
      </c>
      <c r="AH48" s="154">
        <f>AH24*$AS$35+$AS$36</f>
        <v>13.488599999999991</v>
      </c>
      <c r="AI48" s="154">
        <f t="shared" si="101"/>
        <v>11.091599999999971</v>
      </c>
      <c r="AJ48" s="154">
        <f t="shared" si="101"/>
        <v>12.050399999999968</v>
      </c>
      <c r="AK48" s="154">
        <f t="shared" si="101"/>
        <v>11.33129999999997</v>
      </c>
      <c r="AL48" s="154"/>
      <c r="AM48" s="154"/>
      <c r="AN48" s="154"/>
      <c r="AO48" s="154"/>
      <c r="AP48" s="154"/>
      <c r="AQ48" s="154"/>
      <c r="AR48" s="154"/>
      <c r="AS48" s="154"/>
      <c r="AU48" s="707"/>
      <c r="AV48" s="122" t="s">
        <v>47</v>
      </c>
      <c r="AW48" s="154">
        <f t="shared" si="89"/>
        <v>18.4255</v>
      </c>
      <c r="AX48" s="154">
        <f t="shared" si="89"/>
        <v>16.601370000000031</v>
      </c>
      <c r="AY48" s="154">
        <f t="shared" si="89"/>
        <v>8.0019000000000062</v>
      </c>
      <c r="AZ48" s="154">
        <f t="shared" si="89"/>
        <v>6.6989500000000248</v>
      </c>
      <c r="BA48" s="154">
        <f t="shared" si="89"/>
        <v>7.7413099999999986</v>
      </c>
      <c r="BB48" s="154">
        <f t="shared" si="89"/>
        <v>10.347210000000018</v>
      </c>
      <c r="BC48" s="154"/>
      <c r="BD48" s="154"/>
      <c r="BE48" s="154"/>
      <c r="BF48" s="154"/>
      <c r="BG48" s="154"/>
      <c r="BH48" s="155"/>
      <c r="BJ48" s="707"/>
      <c r="BK48" s="122"/>
      <c r="BL48" s="154">
        <f t="shared" si="102"/>
        <v>10.732789999999994</v>
      </c>
      <c r="BM48" s="154">
        <f t="shared" si="102"/>
        <v>9.0483799999999803</v>
      </c>
      <c r="BN48" s="154">
        <f t="shared" si="102"/>
        <v>7.6045999999999765</v>
      </c>
      <c r="BO48" s="154">
        <f t="shared" si="102"/>
        <v>6.882710000000003</v>
      </c>
      <c r="BP48" s="154"/>
      <c r="BQ48" s="154"/>
      <c r="BR48" s="154"/>
      <c r="BS48" s="154"/>
      <c r="BT48" s="154"/>
      <c r="BU48" s="154"/>
      <c r="BV48" s="154"/>
      <c r="BW48" s="155"/>
      <c r="BY48" s="707"/>
      <c r="BZ48" s="122"/>
      <c r="CA48" s="154">
        <f t="shared" si="90"/>
        <v>12.656399999999991</v>
      </c>
      <c r="CB48" s="154">
        <f t="shared" ref="CB48:CH48" si="108">CB24*$CL$35+$CL$36</f>
        <v>13.742399999999989</v>
      </c>
      <c r="CC48" s="154">
        <f t="shared" si="108"/>
        <v>8.7468000000000359</v>
      </c>
      <c r="CD48" s="154">
        <f t="shared" si="108"/>
        <v>10.484399999999994</v>
      </c>
      <c r="CE48" s="154">
        <f t="shared" si="108"/>
        <v>12.22199999999998</v>
      </c>
      <c r="CF48" s="154">
        <f t="shared" si="108"/>
        <v>12.439200000000014</v>
      </c>
      <c r="CG48" s="154">
        <f t="shared" si="108"/>
        <v>9.615600000000029</v>
      </c>
      <c r="CH48" s="154">
        <f t="shared" si="108"/>
        <v>9.8328000000000202</v>
      </c>
      <c r="CI48" s="154"/>
      <c r="CJ48" s="154"/>
      <c r="CK48" s="154"/>
      <c r="CL48" s="155"/>
      <c r="CN48" s="707"/>
      <c r="CO48" s="122"/>
      <c r="CP48" s="154">
        <f t="shared" si="92"/>
        <v>11.326629999999994</v>
      </c>
      <c r="CQ48" s="154">
        <f t="shared" si="104"/>
        <v>11.560659999999984</v>
      </c>
      <c r="CR48" s="154">
        <f t="shared" si="104"/>
        <v>10.858569999999986</v>
      </c>
      <c r="CS48" s="154">
        <f t="shared" si="104"/>
        <v>10.858569999999986</v>
      </c>
      <c r="CT48" s="154">
        <f t="shared" si="104"/>
        <v>7.5821500000000128</v>
      </c>
      <c r="CU48" s="154">
        <f t="shared" si="104"/>
        <v>7.1140900000000045</v>
      </c>
      <c r="CV48" s="154"/>
      <c r="CW48" s="154"/>
      <c r="CX48" s="154"/>
      <c r="CY48" s="154"/>
      <c r="CZ48" s="154"/>
      <c r="DA48" s="155"/>
      <c r="DC48" s="707"/>
      <c r="DD48" s="122"/>
      <c r="DE48" s="154">
        <f t="shared" ref="DE48:DL48" si="109">DE24*$DP$35+$DP$36</f>
        <v>12.515920000000001</v>
      </c>
      <c r="DF48" s="154">
        <f t="shared" si="109"/>
        <v>12.515920000000001</v>
      </c>
      <c r="DG48" s="154">
        <f t="shared" si="109"/>
        <v>9.5855800000000002</v>
      </c>
      <c r="DH48" s="154">
        <f t="shared" si="109"/>
        <v>9.5855800000000002</v>
      </c>
      <c r="DI48" s="154">
        <f t="shared" si="109"/>
        <v>7.7017900000000097</v>
      </c>
      <c r="DJ48" s="154">
        <f t="shared" si="109"/>
        <v>8.1204099999999997</v>
      </c>
      <c r="DK48" s="154">
        <f t="shared" si="109"/>
        <v>10.422820000000002</v>
      </c>
      <c r="DL48" s="154">
        <f t="shared" si="109"/>
        <v>9.166959999999996</v>
      </c>
      <c r="DM48" s="154"/>
      <c r="DN48" s="154"/>
      <c r="DO48" s="154"/>
      <c r="DP48" s="155"/>
      <c r="DR48" s="707"/>
      <c r="DS48" s="122"/>
      <c r="DT48" s="154">
        <f t="shared" si="95"/>
        <v>8.7339800000000025</v>
      </c>
      <c r="DU48" s="154">
        <f t="shared" si="95"/>
        <v>9.8651300000000219</v>
      </c>
      <c r="DV48" s="154">
        <f t="shared" si="95"/>
        <v>8.9602100000000178</v>
      </c>
      <c r="DW48" s="154">
        <f t="shared" si="95"/>
        <v>9.4126700000000199</v>
      </c>
      <c r="DX48" s="154">
        <f t="shared" si="95"/>
        <v>1.2683900000000108</v>
      </c>
      <c r="DY48" s="154">
        <f t="shared" si="95"/>
        <v>5.3405300000000295</v>
      </c>
      <c r="DZ48" s="154">
        <f t="shared" si="95"/>
        <v>11.448740000000001</v>
      </c>
      <c r="EA48" s="154">
        <f t="shared" si="95"/>
        <v>10.543819999999982</v>
      </c>
      <c r="EB48" s="154">
        <f t="shared" si="95"/>
        <v>8.9602100000000178</v>
      </c>
      <c r="EC48" s="154">
        <f t="shared" si="95"/>
        <v>7.3765999999999963</v>
      </c>
      <c r="ED48" s="154"/>
      <c r="EE48" s="155"/>
      <c r="EG48" s="707"/>
      <c r="EH48" s="122"/>
      <c r="EI48" s="154">
        <f t="shared" si="96"/>
        <v>9.6389000000000067</v>
      </c>
      <c r="EJ48" s="154">
        <f t="shared" si="106"/>
        <v>8.9602100000000178</v>
      </c>
      <c r="EK48" s="154">
        <f t="shared" si="106"/>
        <v>8.7339800000000025</v>
      </c>
      <c r="EL48" s="154">
        <f t="shared" si="106"/>
        <v>8.0552900000000136</v>
      </c>
      <c r="EM48" s="154"/>
      <c r="EN48" s="154"/>
      <c r="EO48" s="154"/>
      <c r="EP48" s="154"/>
      <c r="EQ48" s="154"/>
      <c r="ER48" s="154"/>
      <c r="ES48" s="154"/>
      <c r="ET48" s="155"/>
      <c r="EV48" s="707"/>
      <c r="EW48" s="122"/>
      <c r="EX48" s="154">
        <f t="shared" si="98"/>
        <v>15.837400000000017</v>
      </c>
      <c r="EY48" s="154">
        <f t="shared" si="98"/>
        <v>15.230800000000002</v>
      </c>
      <c r="EZ48" s="154">
        <f t="shared" si="98"/>
        <v>19.881400000000028</v>
      </c>
      <c r="FA48" s="154">
        <f t="shared" si="98"/>
        <v>15.028600000000026</v>
      </c>
      <c r="FB48" s="154">
        <f t="shared" si="98"/>
        <v>14.826399999999992</v>
      </c>
      <c r="FC48" s="154">
        <f t="shared" si="98"/>
        <v>14.624200000000016</v>
      </c>
      <c r="FD48" s="154">
        <f t="shared" si="98"/>
        <v>13.613199999999992</v>
      </c>
      <c r="FE48" s="154">
        <f t="shared" si="98"/>
        <v>14.421999999999997</v>
      </c>
      <c r="FF48" s="154"/>
      <c r="FG48" s="154"/>
      <c r="FH48" s="154"/>
      <c r="FI48" s="155"/>
      <c r="FK48" s="707"/>
      <c r="FL48" s="122"/>
      <c r="FM48" s="154">
        <f t="shared" si="99"/>
        <v>14.598839999999981</v>
      </c>
      <c r="FN48" s="154">
        <f t="shared" si="107"/>
        <v>14.598839999999981</v>
      </c>
      <c r="FO48" s="154">
        <f t="shared" si="107"/>
        <v>14.598839999999981</v>
      </c>
      <c r="FP48" s="154">
        <f t="shared" si="107"/>
        <v>9.811419999999984</v>
      </c>
      <c r="FQ48" s="154"/>
      <c r="FR48" s="154"/>
      <c r="FS48" s="154"/>
      <c r="FT48" s="154"/>
      <c r="FU48" s="154"/>
      <c r="FV48" s="154"/>
      <c r="FW48" s="154"/>
      <c r="FX48" s="155"/>
    </row>
    <row r="49" spans="2:180" x14ac:dyDescent="0.25">
      <c r="B49" s="713"/>
      <c r="C49" s="122" t="s">
        <v>48</v>
      </c>
      <c r="D49" s="154">
        <f t="shared" si="86"/>
        <v>11.063359999999989</v>
      </c>
      <c r="E49" s="154">
        <f t="shared" si="86"/>
        <v>10.66437999999998</v>
      </c>
      <c r="F49" s="154">
        <f t="shared" si="86"/>
        <v>8.4699900000000099</v>
      </c>
      <c r="G49" s="154">
        <f t="shared" si="86"/>
        <v>9.0684599999999875</v>
      </c>
      <c r="H49" s="154">
        <f t="shared" si="86"/>
        <v>17.447039999999987</v>
      </c>
      <c r="I49" s="154">
        <f t="shared" si="86"/>
        <v>10.66437999999998</v>
      </c>
      <c r="J49" s="154"/>
      <c r="K49" s="154"/>
      <c r="L49" s="154"/>
      <c r="M49" s="154"/>
      <c r="N49" s="154"/>
      <c r="O49" s="154"/>
      <c r="Q49" s="713"/>
      <c r="R49" s="122" t="s">
        <v>48</v>
      </c>
      <c r="S49" s="154">
        <f t="shared" si="87"/>
        <v>14.992830000000012</v>
      </c>
      <c r="T49" s="154">
        <f t="shared" si="87"/>
        <v>13.42125999999999</v>
      </c>
      <c r="U49" s="154">
        <f t="shared" si="87"/>
        <v>12.972239999999971</v>
      </c>
      <c r="V49" s="154">
        <f t="shared" si="87"/>
        <v>14.319299999999984</v>
      </c>
      <c r="W49" s="154">
        <f t="shared" si="87"/>
        <v>12.972239999999971</v>
      </c>
      <c r="X49" s="154">
        <f t="shared" si="87"/>
        <v>12.972239999999971</v>
      </c>
      <c r="Y49" s="154">
        <f t="shared" si="87"/>
        <v>11.176159999999982</v>
      </c>
      <c r="Z49" s="154">
        <f t="shared" si="87"/>
        <v>12.07419999999999</v>
      </c>
      <c r="AA49" s="154"/>
      <c r="AB49" s="154"/>
      <c r="AC49" s="154"/>
      <c r="AD49" s="154"/>
      <c r="AF49" s="713"/>
      <c r="AG49" s="122" t="s">
        <v>48</v>
      </c>
      <c r="AH49" s="154">
        <f>AH25*$AS$35+$AS$36</f>
        <v>8.6945999999999799</v>
      </c>
      <c r="AI49" s="154">
        <f t="shared" si="101"/>
        <v>9.8930999999999756</v>
      </c>
      <c r="AJ49" s="154">
        <f t="shared" si="101"/>
        <v>11.091599999999971</v>
      </c>
      <c r="AK49" s="154">
        <f t="shared" si="101"/>
        <v>11.091599999999971</v>
      </c>
      <c r="AL49" s="154"/>
      <c r="AM49" s="154"/>
      <c r="AN49" s="154"/>
      <c r="AO49" s="154"/>
      <c r="AP49" s="154"/>
      <c r="AQ49" s="154"/>
      <c r="AR49" s="154"/>
      <c r="AS49" s="154"/>
      <c r="AU49" s="707"/>
      <c r="AV49" s="122" t="s">
        <v>48</v>
      </c>
      <c r="AW49" s="154">
        <f t="shared" si="89"/>
        <v>12.431930000000023</v>
      </c>
      <c r="AX49" s="154">
        <f t="shared" si="89"/>
        <v>12.953110000000038</v>
      </c>
      <c r="AY49" s="154"/>
      <c r="AZ49" s="154"/>
      <c r="BA49" s="154">
        <f t="shared" si="89"/>
        <v>9.0442600000000084</v>
      </c>
      <c r="BB49" s="154">
        <f t="shared" si="89"/>
        <v>9.5654399999999953</v>
      </c>
      <c r="BC49" s="154"/>
      <c r="BD49" s="154"/>
      <c r="BE49" s="154"/>
      <c r="BF49" s="154"/>
      <c r="BG49" s="154"/>
      <c r="BH49" s="155"/>
      <c r="BJ49" s="707"/>
      <c r="BK49" s="122"/>
      <c r="BL49" s="154">
        <f t="shared" si="102"/>
        <v>8.5671199999999601</v>
      </c>
      <c r="BM49" s="154">
        <f t="shared" si="102"/>
        <v>9.0483799999999803</v>
      </c>
      <c r="BN49" s="154">
        <f t="shared" si="102"/>
        <v>8.0858599999999683</v>
      </c>
      <c r="BO49" s="154">
        <f t="shared" si="102"/>
        <v>8.0858599999999683</v>
      </c>
      <c r="BP49" s="154"/>
      <c r="BQ49" s="154"/>
      <c r="BR49" s="154"/>
      <c r="BS49" s="154"/>
      <c r="BT49" s="154"/>
      <c r="BU49" s="154"/>
      <c r="BV49" s="154"/>
      <c r="BW49" s="155"/>
      <c r="BY49" s="707"/>
      <c r="BZ49" s="122"/>
      <c r="CA49" s="154">
        <f t="shared" si="90"/>
        <v>12.873600000000025</v>
      </c>
      <c r="CB49" s="154">
        <f t="shared" ref="CB49:CH49" si="110">CB25*$CL$35+$CL$36</f>
        <v>10.918800000000005</v>
      </c>
      <c r="CC49" s="154">
        <f t="shared" si="110"/>
        <v>9.3984000000000094</v>
      </c>
      <c r="CD49" s="154">
        <f t="shared" si="110"/>
        <v>10.049999999999983</v>
      </c>
      <c r="CE49" s="154">
        <f t="shared" si="110"/>
        <v>11.353199999999987</v>
      </c>
      <c r="CF49" s="154">
        <f t="shared" si="110"/>
        <v>12.439200000000014</v>
      </c>
      <c r="CG49" s="154">
        <f t="shared" si="110"/>
        <v>10.484399999999994</v>
      </c>
      <c r="CH49" s="154">
        <f t="shared" si="110"/>
        <v>10.049999999999983</v>
      </c>
      <c r="CI49" s="154"/>
      <c r="CJ49" s="154"/>
      <c r="CK49" s="154"/>
      <c r="CL49" s="155"/>
      <c r="CN49" s="707"/>
      <c r="CO49" s="122"/>
      <c r="CP49" s="154">
        <f t="shared" si="92"/>
        <v>9.6884200000000078</v>
      </c>
      <c r="CQ49" s="154">
        <f t="shared" si="104"/>
        <v>9.6884200000000078</v>
      </c>
      <c r="CR49" s="154">
        <f t="shared" si="104"/>
        <v>11.092600000000004</v>
      </c>
      <c r="CS49" s="154">
        <f t="shared" si="104"/>
        <v>11.560659999999984</v>
      </c>
      <c r="CT49" s="154">
        <f t="shared" si="104"/>
        <v>8.7522999999999911</v>
      </c>
      <c r="CU49" s="154">
        <f t="shared" si="104"/>
        <v>8.7522999999999911</v>
      </c>
      <c r="CV49" s="154"/>
      <c r="CW49" s="154"/>
      <c r="CX49" s="154"/>
      <c r="CY49" s="154"/>
      <c r="CZ49" s="154"/>
      <c r="DA49" s="155"/>
      <c r="DC49" s="707"/>
      <c r="DD49" s="122"/>
      <c r="DE49" s="154">
        <f t="shared" ref="DE49:DL49" si="111">DE25*$DP$35+$DP$36</f>
        <v>11.260059999999996</v>
      </c>
      <c r="DF49" s="154">
        <f t="shared" si="111"/>
        <v>12.934539999999998</v>
      </c>
      <c r="DG49" s="154">
        <f t="shared" si="111"/>
        <v>8.9576500000000081</v>
      </c>
      <c r="DH49" s="154">
        <f t="shared" si="111"/>
        <v>8.9576500000000081</v>
      </c>
      <c r="DI49" s="154">
        <f t="shared" si="111"/>
        <v>7.2831700000000055</v>
      </c>
      <c r="DJ49" s="154">
        <f t="shared" si="111"/>
        <v>8.1204099999999997</v>
      </c>
      <c r="DK49" s="154">
        <f t="shared" si="111"/>
        <v>7.9110999999999976</v>
      </c>
      <c r="DL49" s="154">
        <f t="shared" si="111"/>
        <v>7.4924799999999934</v>
      </c>
      <c r="DM49" s="154"/>
      <c r="DN49" s="154"/>
      <c r="DO49" s="154"/>
      <c r="DP49" s="155"/>
      <c r="DR49" s="707"/>
      <c r="DS49" s="122"/>
      <c r="DT49" s="154">
        <f t="shared" si="95"/>
        <v>9.4126700000000199</v>
      </c>
      <c r="DU49" s="154">
        <f t="shared" si="95"/>
        <v>9.6389000000000067</v>
      </c>
      <c r="DV49" s="154">
        <f t="shared" si="95"/>
        <v>10.770050000000026</v>
      </c>
      <c r="DW49" s="154">
        <f t="shared" si="95"/>
        <v>10.317590000000024</v>
      </c>
      <c r="DX49" s="154">
        <f t="shared" si="95"/>
        <v>9.6389000000000067</v>
      </c>
      <c r="DY49" s="154">
        <f t="shared" si="95"/>
        <v>10.317590000000024</v>
      </c>
      <c r="DZ49" s="154">
        <f t="shared" si="95"/>
        <v>11.448740000000001</v>
      </c>
      <c r="EA49" s="154">
        <f t="shared" si="95"/>
        <v>12.806119999999993</v>
      </c>
      <c r="EB49" s="154">
        <f t="shared" si="95"/>
        <v>9.6389000000000067</v>
      </c>
      <c r="EC49" s="154">
        <f t="shared" si="95"/>
        <v>8.7339800000000025</v>
      </c>
      <c r="ED49" s="154"/>
      <c r="EE49" s="155"/>
      <c r="EG49" s="707"/>
      <c r="EH49" s="122"/>
      <c r="EI49" s="154">
        <f t="shared" si="96"/>
        <v>10.317590000000024</v>
      </c>
      <c r="EJ49" s="154">
        <f t="shared" si="106"/>
        <v>9.6389000000000067</v>
      </c>
      <c r="EK49" s="154">
        <f t="shared" si="106"/>
        <v>9.8651300000000219</v>
      </c>
      <c r="EL49" s="154">
        <f t="shared" si="106"/>
        <v>10.317590000000024</v>
      </c>
      <c r="EM49" s="154"/>
      <c r="EN49" s="154"/>
      <c r="EO49" s="154"/>
      <c r="EP49" s="154"/>
      <c r="EQ49" s="154"/>
      <c r="ER49" s="154"/>
      <c r="ES49" s="154"/>
      <c r="ET49" s="155"/>
      <c r="EV49" s="707"/>
      <c r="EW49" s="122"/>
      <c r="EX49" s="154">
        <f t="shared" si="98"/>
        <v>16.241800000000026</v>
      </c>
      <c r="EY49" s="154">
        <f t="shared" si="98"/>
        <v>15.837400000000017</v>
      </c>
      <c r="EZ49" s="154">
        <f t="shared" si="98"/>
        <v>15.230800000000002</v>
      </c>
      <c r="FA49" s="154">
        <f t="shared" si="98"/>
        <v>15.837400000000017</v>
      </c>
      <c r="FB49" s="154">
        <f t="shared" si="98"/>
        <v>13.613199999999992</v>
      </c>
      <c r="FC49" s="154">
        <f t="shared" si="98"/>
        <v>13.00660000000002</v>
      </c>
      <c r="FD49" s="154">
        <f t="shared" si="98"/>
        <v>13.815400000000025</v>
      </c>
      <c r="FE49" s="154">
        <f t="shared" si="98"/>
        <v>16.241800000000026</v>
      </c>
      <c r="FF49" s="154"/>
      <c r="FG49" s="154"/>
      <c r="FH49" s="154"/>
      <c r="FI49" s="155"/>
      <c r="FK49" s="707"/>
      <c r="FL49" s="122"/>
      <c r="FM49" s="154">
        <f t="shared" si="99"/>
        <v>15.469279999999983</v>
      </c>
      <c r="FN49" s="154">
        <f t="shared" si="107"/>
        <v>14.598839999999981</v>
      </c>
      <c r="FO49" s="154">
        <f t="shared" si="107"/>
        <v>12.422739999999976</v>
      </c>
      <c r="FP49" s="154">
        <f t="shared" si="107"/>
        <v>14.16361999999998</v>
      </c>
      <c r="FQ49" s="154"/>
      <c r="FR49" s="154"/>
      <c r="FS49" s="154"/>
      <c r="FT49" s="154"/>
      <c r="FU49" s="154"/>
      <c r="FV49" s="154"/>
      <c r="FW49" s="154"/>
      <c r="FX49" s="155"/>
    </row>
    <row r="50" spans="2:180" x14ac:dyDescent="0.25">
      <c r="B50" s="713"/>
      <c r="C50" s="122" t="s">
        <v>49</v>
      </c>
      <c r="D50" s="154">
        <f t="shared" si="86"/>
        <v>9.8664199999999767</v>
      </c>
      <c r="E50" s="154">
        <f t="shared" si="86"/>
        <v>9.8664199999999767</v>
      </c>
      <c r="F50" s="154">
        <f t="shared" si="86"/>
        <v>9.4674399999999821</v>
      </c>
      <c r="G50" s="154">
        <f t="shared" si="86"/>
        <v>15.053159999999991</v>
      </c>
      <c r="H50" s="154">
        <f t="shared" si="86"/>
        <v>8.4699900000000099</v>
      </c>
      <c r="I50" s="154">
        <f t="shared" si="86"/>
        <v>9.4674399999999821</v>
      </c>
      <c r="J50" s="154"/>
      <c r="K50" s="154"/>
      <c r="L50" s="154"/>
      <c r="M50" s="154"/>
      <c r="N50" s="154"/>
      <c r="O50" s="154"/>
      <c r="Q50" s="713"/>
      <c r="R50" s="122" t="s">
        <v>49</v>
      </c>
      <c r="S50" s="154">
        <f t="shared" si="87"/>
        <v>12.07419999999999</v>
      </c>
      <c r="T50" s="154">
        <f t="shared" si="87"/>
        <v>10.278119999999973</v>
      </c>
      <c r="U50" s="154">
        <f t="shared" si="87"/>
        <v>13.87027999999998</v>
      </c>
      <c r="V50" s="154">
        <f t="shared" si="87"/>
        <v>14.094789999999989</v>
      </c>
      <c r="W50" s="154">
        <f t="shared" si="87"/>
        <v>13.19674999999998</v>
      </c>
      <c r="X50" s="154">
        <f t="shared" si="87"/>
        <v>13.42125999999999</v>
      </c>
      <c r="Y50" s="154">
        <f t="shared" si="87"/>
        <v>10.053609999999992</v>
      </c>
      <c r="Z50" s="154">
        <f t="shared" si="87"/>
        <v>11.84969000000001</v>
      </c>
      <c r="AA50" s="154"/>
      <c r="AB50" s="154"/>
      <c r="AC50" s="154"/>
      <c r="AD50" s="154"/>
      <c r="AF50" s="713"/>
      <c r="AG50" s="122" t="s">
        <v>49</v>
      </c>
      <c r="AH50" s="154"/>
      <c r="AI50" s="154"/>
      <c r="AJ50" s="154">
        <f>AJ26*$AS$35+$AS$36</f>
        <v>9.8930999999999756</v>
      </c>
      <c r="AK50" s="154">
        <f>AK26*$AS$35+$AS$36</f>
        <v>11.33129999999997</v>
      </c>
      <c r="AL50" s="154"/>
      <c r="AM50" s="154"/>
      <c r="AN50" s="154"/>
      <c r="AO50" s="154"/>
      <c r="AP50" s="154"/>
      <c r="AQ50" s="154"/>
      <c r="AR50" s="154"/>
      <c r="AS50" s="154"/>
      <c r="AU50" s="707"/>
      <c r="AV50" s="122" t="s">
        <v>49</v>
      </c>
      <c r="AW50" s="154">
        <f t="shared" si="89"/>
        <v>10.868390000000034</v>
      </c>
      <c r="AX50" s="154">
        <f t="shared" si="89"/>
        <v>11.128979999999984</v>
      </c>
      <c r="AY50" s="154"/>
      <c r="AZ50" s="154"/>
      <c r="BA50" s="154">
        <f t="shared" si="89"/>
        <v>8.5230799999999931</v>
      </c>
      <c r="BB50" s="154">
        <f t="shared" si="89"/>
        <v>9.0442600000000084</v>
      </c>
      <c r="BC50" s="154"/>
      <c r="BD50" s="154"/>
      <c r="BE50" s="154"/>
      <c r="BF50" s="154"/>
      <c r="BG50" s="154"/>
      <c r="BH50" s="155"/>
      <c r="BJ50" s="707"/>
      <c r="BK50" s="122"/>
      <c r="BL50" s="154">
        <f t="shared" si="102"/>
        <v>8.0858599999999683</v>
      </c>
      <c r="BM50" s="154">
        <f t="shared" si="102"/>
        <v>8.0858599999999683</v>
      </c>
      <c r="BN50" s="154">
        <f t="shared" si="102"/>
        <v>8.0858599999999683</v>
      </c>
      <c r="BO50" s="154">
        <f t="shared" si="102"/>
        <v>7.8452299999999866</v>
      </c>
      <c r="BP50" s="154"/>
      <c r="BQ50" s="154"/>
      <c r="BR50" s="154"/>
      <c r="BS50" s="154"/>
      <c r="BT50" s="154"/>
      <c r="BU50" s="154"/>
      <c r="BV50" s="154"/>
      <c r="BW50" s="155"/>
      <c r="BY50" s="707"/>
      <c r="BZ50" s="122"/>
      <c r="CA50" s="154">
        <f t="shared" si="90"/>
        <v>12.004800000000017</v>
      </c>
      <c r="CB50" s="154">
        <f t="shared" ref="CB50:CH50" si="112">CB26*$CL$35+$CL$36</f>
        <v>11.136000000000024</v>
      </c>
      <c r="CC50" s="154">
        <f t="shared" si="112"/>
        <v>9.615600000000029</v>
      </c>
      <c r="CD50" s="154">
        <f t="shared" si="112"/>
        <v>8.9640000000000271</v>
      </c>
      <c r="CE50" s="154">
        <f t="shared" si="112"/>
        <v>10.918800000000005</v>
      </c>
      <c r="CF50" s="154">
        <f t="shared" si="112"/>
        <v>10.701600000000013</v>
      </c>
      <c r="CG50" s="154">
        <f t="shared" si="112"/>
        <v>10.484399999999994</v>
      </c>
      <c r="CH50" s="154">
        <f t="shared" si="112"/>
        <v>10.701600000000013</v>
      </c>
      <c r="CI50" s="154"/>
      <c r="CJ50" s="154"/>
      <c r="CK50" s="154"/>
      <c r="CL50" s="155"/>
      <c r="CN50" s="707"/>
      <c r="CO50" s="122"/>
      <c r="CP50" s="154">
        <f t="shared" si="92"/>
        <v>7.8161800000000028</v>
      </c>
      <c r="CQ50" s="154">
        <f t="shared" ref="CQ50:CS51" si="113">CQ26*$DA$35+$DA$36</f>
        <v>6.1779700000000162</v>
      </c>
      <c r="CR50" s="154">
        <f t="shared" si="113"/>
        <v>8.5182700000000295</v>
      </c>
      <c r="CS50" s="154">
        <f t="shared" si="113"/>
        <v>7.5821500000000128</v>
      </c>
      <c r="CT50" s="154"/>
      <c r="CU50" s="154"/>
      <c r="CV50" s="154"/>
      <c r="CW50" s="154"/>
      <c r="CX50" s="154"/>
      <c r="CY50" s="154"/>
      <c r="CZ50" s="154"/>
      <c r="DA50" s="155"/>
      <c r="DC50" s="707"/>
      <c r="DD50" s="122"/>
      <c r="DE50" s="154">
        <f t="shared" ref="DE50:DL50" si="114">DE26*$DP$35+$DP$36</f>
        <v>10.213509999999999</v>
      </c>
      <c r="DF50" s="154">
        <f t="shared" si="114"/>
        <v>10.422820000000002</v>
      </c>
      <c r="DG50" s="154">
        <f t="shared" si="114"/>
        <v>8.9576500000000081</v>
      </c>
      <c r="DH50" s="154">
        <f t="shared" si="114"/>
        <v>8.3297200000000089</v>
      </c>
      <c r="DI50" s="154">
        <f t="shared" si="114"/>
        <v>7.0738600000000105</v>
      </c>
      <c r="DJ50" s="154">
        <f t="shared" si="114"/>
        <v>6.8645500000000084</v>
      </c>
      <c r="DK50" s="154">
        <f t="shared" si="114"/>
        <v>6.0273100000000071</v>
      </c>
      <c r="DL50" s="154">
        <f t="shared" si="114"/>
        <v>5.8180000000000049</v>
      </c>
      <c r="DM50" s="154"/>
      <c r="DN50" s="154"/>
      <c r="DO50" s="154"/>
      <c r="DP50" s="155"/>
      <c r="DR50" s="707"/>
      <c r="DS50" s="122"/>
      <c r="DT50" s="154">
        <f t="shared" si="95"/>
        <v>8.9602100000000178</v>
      </c>
      <c r="DU50" s="154">
        <f t="shared" si="95"/>
        <v>8.7339800000000025</v>
      </c>
      <c r="DV50" s="154">
        <f t="shared" si="95"/>
        <v>7.6028300000000115</v>
      </c>
      <c r="DW50" s="154">
        <f t="shared" si="95"/>
        <v>9.6389000000000067</v>
      </c>
      <c r="DX50" s="154">
        <f t="shared" si="95"/>
        <v>7.6028300000000115</v>
      </c>
      <c r="DY50" s="154">
        <f t="shared" si="95"/>
        <v>7.6028300000000115</v>
      </c>
      <c r="DZ50" s="154">
        <f t="shared" si="95"/>
        <v>12.353659999999991</v>
      </c>
      <c r="EA50" s="154">
        <f t="shared" si="95"/>
        <v>12.127430000000018</v>
      </c>
      <c r="EB50" s="154">
        <f t="shared" si="95"/>
        <v>8.0552900000000136</v>
      </c>
      <c r="EC50" s="154">
        <f t="shared" si="95"/>
        <v>7.8290599999999984</v>
      </c>
      <c r="ED50" s="154"/>
      <c r="EE50" s="155"/>
      <c r="EG50" s="707"/>
      <c r="EH50" s="122"/>
      <c r="EI50" s="154">
        <f t="shared" si="96"/>
        <v>11.448740000000001</v>
      </c>
      <c r="EJ50" s="154">
        <f t="shared" si="106"/>
        <v>10.543819999999982</v>
      </c>
      <c r="EK50" s="154">
        <f t="shared" si="106"/>
        <v>13.032350000000022</v>
      </c>
      <c r="EL50" s="154">
        <f t="shared" si="106"/>
        <v>13.711039999999997</v>
      </c>
      <c r="EM50" s="154"/>
      <c r="EN50" s="154"/>
      <c r="EO50" s="154"/>
      <c r="EP50" s="154"/>
      <c r="EQ50" s="154"/>
      <c r="ER50" s="154"/>
      <c r="ES50" s="154"/>
      <c r="ET50" s="155"/>
      <c r="EV50" s="707"/>
      <c r="EW50" s="122"/>
      <c r="EX50" s="154">
        <f t="shared" si="98"/>
        <v>16.241800000000026</v>
      </c>
      <c r="EY50" s="154">
        <f t="shared" si="98"/>
        <v>18.061599999999999</v>
      </c>
      <c r="EZ50" s="154">
        <f t="shared" si="98"/>
        <v>14.219800000000021</v>
      </c>
      <c r="FA50" s="154">
        <f t="shared" si="98"/>
        <v>14.624200000000016</v>
      </c>
      <c r="FB50" s="154">
        <f t="shared" si="98"/>
        <v>11.995599999999996</v>
      </c>
      <c r="FC50" s="154">
        <f t="shared" si="98"/>
        <v>12.399999999999991</v>
      </c>
      <c r="FD50" s="154">
        <f t="shared" si="98"/>
        <v>13.613199999999992</v>
      </c>
      <c r="FE50" s="154">
        <f t="shared" si="98"/>
        <v>14.421999999999997</v>
      </c>
      <c r="FF50" s="154"/>
      <c r="FG50" s="154"/>
      <c r="FH50" s="154"/>
      <c r="FI50" s="155"/>
      <c r="FK50" s="707"/>
      <c r="FL50" s="122"/>
      <c r="FM50" s="154">
        <f t="shared" si="99"/>
        <v>12.640350000000012</v>
      </c>
      <c r="FN50" s="154">
        <f t="shared" si="107"/>
        <v>11.76991000000001</v>
      </c>
      <c r="FO50" s="154">
        <f t="shared" si="107"/>
        <v>11.552299999999988</v>
      </c>
      <c r="FP50" s="154">
        <f t="shared" si="107"/>
        <v>11.76991000000001</v>
      </c>
      <c r="FQ50" s="154"/>
      <c r="FR50" s="154"/>
      <c r="FS50" s="154"/>
      <c r="FT50" s="154"/>
      <c r="FU50" s="154"/>
      <c r="FV50" s="154"/>
      <c r="FW50" s="154"/>
      <c r="FX50" s="155"/>
    </row>
    <row r="51" spans="2:180" x14ac:dyDescent="0.25">
      <c r="B51" s="713"/>
      <c r="C51" s="122" t="s">
        <v>50</v>
      </c>
      <c r="D51" s="154">
        <f t="shared" si="86"/>
        <v>13.05825999999999</v>
      </c>
      <c r="E51" s="154">
        <f t="shared" si="86"/>
        <v>13.457239999999985</v>
      </c>
      <c r="F51" s="154">
        <f t="shared" si="86"/>
        <v>11.063359999999989</v>
      </c>
      <c r="G51" s="154">
        <f t="shared" si="86"/>
        <v>11.661830000000009</v>
      </c>
      <c r="H51" s="154"/>
      <c r="I51" s="154"/>
      <c r="J51" s="154"/>
      <c r="K51" s="154"/>
      <c r="L51" s="154"/>
      <c r="M51" s="154"/>
      <c r="N51" s="154"/>
      <c r="O51" s="154"/>
      <c r="Q51" s="713"/>
      <c r="R51" s="122" t="s">
        <v>50</v>
      </c>
      <c r="S51" s="154">
        <f t="shared" si="87"/>
        <v>14.768319999999989</v>
      </c>
      <c r="T51" s="154">
        <f t="shared" si="87"/>
        <v>15.890870000000007</v>
      </c>
      <c r="U51" s="154">
        <f t="shared" si="87"/>
        <v>13.196750000000009</v>
      </c>
      <c r="V51" s="154">
        <f t="shared" si="87"/>
        <v>13.645769999999999</v>
      </c>
      <c r="W51" s="154">
        <f t="shared" si="87"/>
        <v>12.298709999999971</v>
      </c>
      <c r="X51" s="154">
        <f t="shared" si="87"/>
        <v>11.849689999999981</v>
      </c>
      <c r="Y51" s="154">
        <f t="shared" si="87"/>
        <v>12.07419999999999</v>
      </c>
      <c r="Z51" s="154">
        <f t="shared" si="87"/>
        <v>12.29871</v>
      </c>
      <c r="AA51" s="154"/>
      <c r="AB51" s="154"/>
      <c r="AC51" s="154"/>
      <c r="AD51" s="154"/>
      <c r="AF51" s="713"/>
      <c r="AG51" s="122" t="s">
        <v>50</v>
      </c>
      <c r="AH51" s="154"/>
      <c r="AI51" s="154"/>
      <c r="AJ51" s="154">
        <f>AJ27*$AS$35+$AS$36</f>
        <v>12.529799999999994</v>
      </c>
      <c r="AK51" s="154">
        <f>AK27*$AS$35+$AS$36</f>
        <v>12.290099999999995</v>
      </c>
      <c r="AL51" s="154"/>
      <c r="AM51" s="154"/>
      <c r="AN51" s="154"/>
      <c r="AO51" s="154"/>
      <c r="AP51" s="154"/>
      <c r="AQ51" s="154"/>
      <c r="AR51" s="154"/>
      <c r="AS51" s="154"/>
      <c r="AU51" s="707"/>
      <c r="AV51" s="122" t="s">
        <v>50</v>
      </c>
      <c r="AW51" s="154">
        <f t="shared" si="89"/>
        <v>12.171339999999987</v>
      </c>
      <c r="AX51" s="154">
        <f t="shared" si="89"/>
        <v>11.38957000000002</v>
      </c>
      <c r="AY51" s="154"/>
      <c r="AZ51" s="154"/>
      <c r="BA51" s="154">
        <f t="shared" si="89"/>
        <v>9.0442600000000084</v>
      </c>
      <c r="BB51" s="154">
        <f t="shared" si="89"/>
        <v>11.38957000000002</v>
      </c>
      <c r="BC51" s="154"/>
      <c r="BD51" s="154"/>
      <c r="BE51" s="154"/>
      <c r="BF51" s="154"/>
      <c r="BG51" s="154"/>
      <c r="BH51" s="155"/>
      <c r="BJ51" s="707"/>
      <c r="BK51" s="122"/>
      <c r="BL51" s="154"/>
      <c r="BM51" s="154"/>
      <c r="BN51" s="154">
        <f>BN27*$BW$35+$BW$36</f>
        <v>10.973419999999976</v>
      </c>
      <c r="BO51" s="154">
        <f>BO27*$BW$35+$BW$36</f>
        <v>8.5671199999999601</v>
      </c>
      <c r="BP51" s="154"/>
      <c r="BQ51" s="154"/>
      <c r="BR51" s="154"/>
      <c r="BS51" s="154"/>
      <c r="BT51" s="154"/>
      <c r="BU51" s="154"/>
      <c r="BV51" s="154"/>
      <c r="BW51" s="155"/>
      <c r="BY51" s="707"/>
      <c r="BZ51" s="122"/>
      <c r="CA51" s="154">
        <f t="shared" si="90"/>
        <v>12.004800000000017</v>
      </c>
      <c r="CB51" s="154">
        <f t="shared" ref="CB51:CH51" si="115">CB27*$CL$35+$CL$36</f>
        <v>12.004800000000017</v>
      </c>
      <c r="CC51" s="154">
        <f t="shared" si="115"/>
        <v>9.1812000000000467</v>
      </c>
      <c r="CD51" s="154">
        <f t="shared" si="115"/>
        <v>9.8328000000000202</v>
      </c>
      <c r="CE51" s="154">
        <f t="shared" si="115"/>
        <v>9.8328000000000202</v>
      </c>
      <c r="CF51" s="154">
        <f t="shared" si="115"/>
        <v>10.049999999999983</v>
      </c>
      <c r="CG51" s="154">
        <f t="shared" si="115"/>
        <v>10.267200000000003</v>
      </c>
      <c r="CH51" s="154">
        <f t="shared" si="115"/>
        <v>10.267200000000003</v>
      </c>
      <c r="CI51" s="154"/>
      <c r="CJ51" s="154"/>
      <c r="CK51" s="154"/>
      <c r="CL51" s="155"/>
      <c r="CN51" s="707"/>
      <c r="CO51" s="122"/>
      <c r="CP51" s="154">
        <f t="shared" si="92"/>
        <v>8.7522999999999911</v>
      </c>
      <c r="CQ51" s="154">
        <f t="shared" si="113"/>
        <v>8.9863299999999811</v>
      </c>
      <c r="CR51" s="154">
        <f t="shared" si="113"/>
        <v>11.326629999999994</v>
      </c>
      <c r="CS51" s="154">
        <f t="shared" si="113"/>
        <v>11.092600000000004</v>
      </c>
      <c r="CT51" s="154"/>
      <c r="CU51" s="154"/>
      <c r="CV51" s="154"/>
      <c r="CW51" s="154"/>
      <c r="CX51" s="154"/>
      <c r="CY51" s="154"/>
      <c r="CZ51" s="154"/>
      <c r="DA51" s="155"/>
      <c r="DC51" s="707"/>
      <c r="DD51" s="122"/>
      <c r="DE51" s="154">
        <f t="shared" ref="DE51:DJ51" si="116">DE27*$DP$35+$DP$36</f>
        <v>10.632129999999997</v>
      </c>
      <c r="DF51" s="154">
        <f t="shared" si="116"/>
        <v>10.841439999999999</v>
      </c>
      <c r="DG51" s="154">
        <f t="shared" si="116"/>
        <v>7.9111000000000047</v>
      </c>
      <c r="DH51" s="154">
        <f t="shared" si="116"/>
        <v>8.1204100000000068</v>
      </c>
      <c r="DI51" s="154">
        <f t="shared" si="116"/>
        <v>6.2366200000000092</v>
      </c>
      <c r="DJ51" s="154">
        <f t="shared" si="116"/>
        <v>6.4459300000000042</v>
      </c>
      <c r="DK51" s="154"/>
      <c r="DL51" s="154"/>
      <c r="DM51" s="154"/>
      <c r="DN51" s="154"/>
      <c r="DO51" s="154"/>
      <c r="DP51" s="155"/>
      <c r="DR51" s="707"/>
      <c r="DS51" s="122"/>
      <c r="DT51" s="154">
        <f t="shared" si="95"/>
        <v>9.1864400000000046</v>
      </c>
      <c r="DU51" s="154">
        <f t="shared" si="95"/>
        <v>9.4126700000000199</v>
      </c>
      <c r="DV51" s="154">
        <f t="shared" si="95"/>
        <v>11.901200000000003</v>
      </c>
      <c r="DW51" s="154">
        <f t="shared" si="95"/>
        <v>11.448740000000001</v>
      </c>
      <c r="DX51" s="154">
        <f t="shared" si="95"/>
        <v>8.2815200000000004</v>
      </c>
      <c r="DY51" s="154">
        <f t="shared" si="95"/>
        <v>8.5077500000000157</v>
      </c>
      <c r="DZ51" s="154">
        <f t="shared" si="95"/>
        <v>12.353659999999991</v>
      </c>
      <c r="EA51" s="154">
        <f t="shared" si="95"/>
        <v>12.57989000000002</v>
      </c>
      <c r="EB51" s="154">
        <f t="shared" si="95"/>
        <v>8.7339800000000025</v>
      </c>
      <c r="EC51" s="154">
        <f t="shared" si="95"/>
        <v>7.6028300000000115</v>
      </c>
      <c r="ED51" s="154"/>
      <c r="EE51" s="155"/>
      <c r="EG51" s="707"/>
      <c r="EH51" s="122"/>
      <c r="EI51" s="154">
        <f t="shared" si="96"/>
        <v>11.448740000000001</v>
      </c>
      <c r="EJ51" s="154">
        <f t="shared" si="106"/>
        <v>10.996279999999999</v>
      </c>
      <c r="EK51" s="154">
        <f t="shared" si="106"/>
        <v>10.543819999999982</v>
      </c>
      <c r="EL51" s="154">
        <f t="shared" si="106"/>
        <v>8.0552900000000136</v>
      </c>
      <c r="EM51" s="154"/>
      <c r="EN51" s="154"/>
      <c r="EO51" s="154"/>
      <c r="EP51" s="154"/>
      <c r="EQ51" s="154"/>
      <c r="ER51" s="154"/>
      <c r="ES51" s="154"/>
      <c r="ET51" s="155"/>
      <c r="EV51" s="707"/>
      <c r="EW51" s="122"/>
      <c r="EX51" s="154">
        <f t="shared" si="98"/>
        <v>11.79340000000002</v>
      </c>
      <c r="EY51" s="154">
        <f t="shared" si="98"/>
        <v>13.00660000000002</v>
      </c>
      <c r="EZ51" s="154">
        <f t="shared" si="98"/>
        <v>13.00660000000002</v>
      </c>
      <c r="FA51" s="154">
        <f t="shared" si="98"/>
        <v>13.208799999999997</v>
      </c>
      <c r="FB51" s="154">
        <f t="shared" si="98"/>
        <v>13.411000000000016</v>
      </c>
      <c r="FC51" s="154">
        <f t="shared" si="98"/>
        <v>12.804400000000001</v>
      </c>
      <c r="FD51" s="154">
        <f t="shared" si="98"/>
        <v>12.804400000000001</v>
      </c>
      <c r="FE51" s="154">
        <f t="shared" si="98"/>
        <v>14.421999999999997</v>
      </c>
      <c r="FF51" s="154"/>
      <c r="FG51" s="154"/>
      <c r="FH51" s="154"/>
      <c r="FI51" s="155"/>
      <c r="FK51" s="707"/>
      <c r="FL51" s="122"/>
      <c r="FM51" s="154">
        <f t="shared" si="99"/>
        <v>11.117079999999987</v>
      </c>
      <c r="FN51" s="154">
        <f t="shared" si="107"/>
        <v>12.205130000000011</v>
      </c>
      <c r="FO51" s="154">
        <f t="shared" si="107"/>
        <v>9.376199999999983</v>
      </c>
      <c r="FP51" s="154">
        <f t="shared" si="107"/>
        <v>10.029030000000006</v>
      </c>
      <c r="FQ51" s="154"/>
      <c r="FR51" s="154"/>
      <c r="FS51" s="154"/>
      <c r="FT51" s="154"/>
      <c r="FU51" s="154"/>
      <c r="FV51" s="154"/>
      <c r="FW51" s="154"/>
      <c r="FX51" s="155"/>
    </row>
    <row r="52" spans="2:180" ht="15.75" thickBot="1" x14ac:dyDescent="0.3">
      <c r="B52" s="714"/>
      <c r="C52" s="123" t="s">
        <v>51</v>
      </c>
      <c r="D52" s="154">
        <f t="shared" si="86"/>
        <v>10.265399999999985</v>
      </c>
      <c r="E52" s="154">
        <f t="shared" si="86"/>
        <v>12.858770000000007</v>
      </c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Q52" s="714"/>
      <c r="R52" s="123" t="s">
        <v>51</v>
      </c>
      <c r="S52" s="154"/>
      <c r="T52" s="154"/>
      <c r="U52" s="154">
        <f t="shared" si="87"/>
        <v>14.992830000000012</v>
      </c>
      <c r="V52" s="154">
        <f t="shared" si="87"/>
        <v>14.992830000000012</v>
      </c>
      <c r="W52" s="154">
        <f t="shared" si="87"/>
        <v>15.666359999999983</v>
      </c>
      <c r="X52" s="154">
        <f t="shared" si="87"/>
        <v>14.543810000000008</v>
      </c>
      <c r="Y52" s="154">
        <f t="shared" si="87"/>
        <v>13.645769999999999</v>
      </c>
      <c r="Z52" s="154">
        <f t="shared" si="87"/>
        <v>13.87027999999998</v>
      </c>
      <c r="AA52" s="154"/>
      <c r="AB52" s="154"/>
      <c r="AC52" s="154"/>
      <c r="AD52" s="154"/>
      <c r="AF52" s="714"/>
      <c r="AG52" s="123" t="s">
        <v>51</v>
      </c>
      <c r="AH52" s="154"/>
      <c r="AI52" s="154"/>
      <c r="AJ52" s="154"/>
      <c r="AK52" s="154"/>
      <c r="AL52" s="154"/>
      <c r="AM52" s="154"/>
      <c r="AN52" s="154"/>
      <c r="AO52" s="154"/>
      <c r="AP52" s="154"/>
      <c r="AQ52" s="154"/>
      <c r="AR52" s="154"/>
      <c r="AS52" s="154"/>
      <c r="AU52" s="708"/>
      <c r="AV52" s="123" t="s">
        <v>51</v>
      </c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7"/>
      <c r="BJ52" s="708"/>
      <c r="BK52" s="123"/>
      <c r="BL52" s="156"/>
      <c r="BM52" s="156"/>
      <c r="BN52" s="156"/>
      <c r="BO52" s="156"/>
      <c r="BP52" s="156"/>
      <c r="BQ52" s="156"/>
      <c r="BR52" s="156"/>
      <c r="BS52" s="156"/>
      <c r="BT52" s="156"/>
      <c r="BU52" s="156"/>
      <c r="BV52" s="156"/>
      <c r="BW52" s="157"/>
      <c r="BY52" s="708"/>
      <c r="BZ52" s="123"/>
      <c r="CA52" s="156"/>
      <c r="CB52" s="156"/>
      <c r="CC52" s="156"/>
      <c r="CD52" s="156"/>
      <c r="CE52" s="156"/>
      <c r="CF52" s="156"/>
      <c r="CG52" s="156"/>
      <c r="CH52" s="156"/>
      <c r="CI52" s="156"/>
      <c r="CJ52" s="156"/>
      <c r="CK52" s="156"/>
      <c r="CL52" s="157"/>
      <c r="CN52" s="708"/>
      <c r="CO52" s="123"/>
      <c r="CP52" s="156"/>
      <c r="CQ52" s="156"/>
      <c r="CR52" s="156">
        <f>CR28*$DA$35+$DA$36</f>
        <v>9.9224500000000262</v>
      </c>
      <c r="CS52" s="156">
        <f>CS28*$DA$35+$DA$36</f>
        <v>8.2842400000000112</v>
      </c>
      <c r="CT52" s="156"/>
      <c r="CU52" s="156"/>
      <c r="CV52" s="156"/>
      <c r="CW52" s="156"/>
      <c r="CX52" s="156"/>
      <c r="CY52" s="156"/>
      <c r="CZ52" s="156"/>
      <c r="DA52" s="157"/>
      <c r="DC52" s="708"/>
      <c r="DD52" s="123"/>
      <c r="DE52" s="156"/>
      <c r="DF52" s="156"/>
      <c r="DG52" s="156"/>
      <c r="DH52" s="156"/>
      <c r="DI52" s="156"/>
      <c r="DJ52" s="156"/>
      <c r="DK52" s="156"/>
      <c r="DL52" s="156"/>
      <c r="DM52" s="156"/>
      <c r="DN52" s="156"/>
      <c r="DO52" s="156"/>
      <c r="DP52" s="157"/>
      <c r="DR52" s="708"/>
      <c r="DS52" s="123"/>
      <c r="DT52" s="154">
        <f t="shared" si="95"/>
        <v>6.4716799999999921</v>
      </c>
      <c r="DU52" s="154">
        <f t="shared" si="95"/>
        <v>6.4716799999999921</v>
      </c>
      <c r="DV52" s="154"/>
      <c r="DW52" s="154"/>
      <c r="DX52" s="154"/>
      <c r="DY52" s="154"/>
      <c r="DZ52" s="154"/>
      <c r="EA52" s="154"/>
      <c r="EB52" s="154"/>
      <c r="EC52" s="154"/>
      <c r="ED52" s="156"/>
      <c r="EE52" s="157"/>
      <c r="EG52" s="708"/>
      <c r="EH52" s="123"/>
      <c r="EI52" s="156"/>
      <c r="EJ52" s="156"/>
      <c r="EK52" s="156"/>
      <c r="EL52" s="156"/>
      <c r="EM52" s="156"/>
      <c r="EN52" s="156"/>
      <c r="EO52" s="156"/>
      <c r="EP52" s="156"/>
      <c r="EQ52" s="156"/>
      <c r="ER52" s="156"/>
      <c r="ES52" s="156"/>
      <c r="ET52" s="157"/>
      <c r="EV52" s="708"/>
      <c r="EW52" s="123"/>
      <c r="EX52" s="156"/>
      <c r="EY52" s="156"/>
      <c r="EZ52" s="156"/>
      <c r="FA52" s="156"/>
      <c r="FB52" s="156"/>
      <c r="FC52" s="156"/>
      <c r="FD52" s="156"/>
      <c r="FE52" s="156"/>
      <c r="FF52" s="156"/>
      <c r="FG52" s="156"/>
      <c r="FH52" s="156"/>
      <c r="FI52" s="157"/>
      <c r="FK52" s="708"/>
      <c r="FL52" s="123"/>
      <c r="FM52" s="156"/>
      <c r="FN52" s="156"/>
      <c r="FO52" s="156"/>
      <c r="FP52" s="156"/>
      <c r="FQ52" s="156"/>
      <c r="FR52" s="156"/>
      <c r="FS52" s="156"/>
      <c r="FT52" s="156"/>
      <c r="FU52" s="156"/>
      <c r="FV52" s="156"/>
      <c r="FW52" s="156"/>
      <c r="FX52" s="157"/>
    </row>
    <row r="53" spans="2:180" x14ac:dyDescent="0.25">
      <c r="B53" s="672" t="s">
        <v>122</v>
      </c>
      <c r="C53" s="140" t="s">
        <v>53</v>
      </c>
      <c r="D53" s="141" t="s">
        <v>8</v>
      </c>
      <c r="E53" s="141" t="s">
        <v>54</v>
      </c>
      <c r="F53" s="141" t="s">
        <v>121</v>
      </c>
      <c r="G53" s="145" t="s">
        <v>58</v>
      </c>
      <c r="Q53" s="672" t="s">
        <v>122</v>
      </c>
      <c r="R53" s="140" t="s">
        <v>53</v>
      </c>
      <c r="S53" s="141" t="s">
        <v>8</v>
      </c>
      <c r="T53" s="141" t="s">
        <v>54</v>
      </c>
      <c r="U53" s="141" t="s">
        <v>121</v>
      </c>
      <c r="V53" s="145" t="s">
        <v>58</v>
      </c>
      <c r="AF53" s="672" t="s">
        <v>122</v>
      </c>
      <c r="AG53" s="140" t="s">
        <v>53</v>
      </c>
      <c r="AH53" s="141" t="s">
        <v>8</v>
      </c>
      <c r="AI53" s="141" t="s">
        <v>54</v>
      </c>
      <c r="AJ53" s="141" t="s">
        <v>121</v>
      </c>
      <c r="AK53" s="145" t="s">
        <v>58</v>
      </c>
      <c r="AU53" s="672" t="s">
        <v>122</v>
      </c>
      <c r="AV53" s="140" t="s">
        <v>53</v>
      </c>
      <c r="AW53" s="141" t="s">
        <v>8</v>
      </c>
      <c r="AX53" s="141" t="s">
        <v>54</v>
      </c>
      <c r="AY53" s="141" t="s">
        <v>121</v>
      </c>
      <c r="AZ53" s="145" t="s">
        <v>58</v>
      </c>
      <c r="BJ53" s="667" t="s">
        <v>122</v>
      </c>
      <c r="BK53" s="309" t="s">
        <v>53</v>
      </c>
      <c r="BL53" s="310" t="s">
        <v>8</v>
      </c>
      <c r="BM53" s="310" t="s">
        <v>54</v>
      </c>
      <c r="BN53" s="308" t="s">
        <v>121</v>
      </c>
      <c r="BO53" s="145" t="s">
        <v>58</v>
      </c>
      <c r="BY53" s="649" t="s">
        <v>122</v>
      </c>
      <c r="BZ53" s="347" t="s">
        <v>53</v>
      </c>
      <c r="CA53" s="310" t="s">
        <v>8</v>
      </c>
      <c r="CB53" s="310" t="s">
        <v>54</v>
      </c>
      <c r="CC53" s="308" t="s">
        <v>121</v>
      </c>
      <c r="CD53" s="145" t="s">
        <v>58</v>
      </c>
      <c r="CN53" s="667" t="s">
        <v>122</v>
      </c>
      <c r="CO53" s="309" t="s">
        <v>53</v>
      </c>
      <c r="CP53" s="310" t="s">
        <v>8</v>
      </c>
      <c r="CQ53" s="310" t="s">
        <v>54</v>
      </c>
      <c r="CR53" s="308" t="s">
        <v>121</v>
      </c>
      <c r="CS53" s="145" t="s">
        <v>58</v>
      </c>
      <c r="DC53" s="649" t="s">
        <v>122</v>
      </c>
      <c r="DD53" s="347" t="s">
        <v>53</v>
      </c>
      <c r="DE53" s="310" t="s">
        <v>8</v>
      </c>
      <c r="DF53" s="310" t="s">
        <v>54</v>
      </c>
      <c r="DG53" s="308" t="s">
        <v>121</v>
      </c>
      <c r="DH53" s="145" t="s">
        <v>58</v>
      </c>
      <c r="DR53" s="667" t="s">
        <v>122</v>
      </c>
      <c r="DS53" s="347" t="s">
        <v>53</v>
      </c>
      <c r="DT53" s="310" t="s">
        <v>8</v>
      </c>
      <c r="DU53" s="308" t="s">
        <v>54</v>
      </c>
      <c r="DV53" s="141" t="s">
        <v>121</v>
      </c>
      <c r="DW53" s="145" t="s">
        <v>58</v>
      </c>
      <c r="EG53" s="667" t="s">
        <v>122</v>
      </c>
      <c r="EH53" s="347" t="s">
        <v>53</v>
      </c>
      <c r="EI53" s="310" t="s">
        <v>8</v>
      </c>
      <c r="EJ53" s="308" t="s">
        <v>54</v>
      </c>
      <c r="EK53" s="141" t="s">
        <v>121</v>
      </c>
      <c r="EL53" s="145" t="s">
        <v>58</v>
      </c>
      <c r="EV53" s="649" t="s">
        <v>122</v>
      </c>
      <c r="EW53" s="347" t="s">
        <v>53</v>
      </c>
      <c r="EX53" s="339" t="s">
        <v>8</v>
      </c>
      <c r="EY53" s="141" t="s">
        <v>54</v>
      </c>
      <c r="EZ53" s="339" t="s">
        <v>121</v>
      </c>
      <c r="FA53" s="145" t="s">
        <v>58</v>
      </c>
      <c r="FK53" s="649" t="s">
        <v>122</v>
      </c>
      <c r="FL53" s="347" t="s">
        <v>53</v>
      </c>
      <c r="FM53" s="339" t="s">
        <v>8</v>
      </c>
      <c r="FN53" s="339" t="s">
        <v>54</v>
      </c>
      <c r="FO53" s="141" t="s">
        <v>121</v>
      </c>
      <c r="FP53" s="145" t="s">
        <v>58</v>
      </c>
    </row>
    <row r="54" spans="2:180" ht="15" customHeight="1" x14ac:dyDescent="0.25">
      <c r="B54" s="679"/>
      <c r="C54" s="139" t="s">
        <v>12</v>
      </c>
      <c r="D54" s="142" t="s">
        <v>91</v>
      </c>
      <c r="E54" s="142" t="s">
        <v>79</v>
      </c>
      <c r="F54" s="146">
        <f t="shared" ref="F54:F59" si="117">(AVERAGE(D47:E47)*(0.2*1000))/10</f>
        <v>217.27740000000011</v>
      </c>
      <c r="G54" s="148">
        <f>F54</f>
        <v>217.27740000000011</v>
      </c>
      <c r="Q54" s="679"/>
      <c r="R54" s="747" t="s">
        <v>169</v>
      </c>
      <c r="S54" s="685" t="s">
        <v>170</v>
      </c>
      <c r="T54" s="143" t="s">
        <v>80</v>
      </c>
      <c r="U54" s="143">
        <f>AVERAGE(S47:T47)*(0.2*1000)/10</f>
        <v>205.56240000000003</v>
      </c>
      <c r="V54" s="727">
        <f>AVERAGE(U54:U58)</f>
        <v>267.52715999999981</v>
      </c>
      <c r="AF54" s="679"/>
      <c r="AG54" s="750" t="s">
        <v>181</v>
      </c>
      <c r="AH54" s="683" t="s">
        <v>93</v>
      </c>
      <c r="AI54" s="160" t="s">
        <v>80</v>
      </c>
      <c r="AJ54" s="160">
        <f>AVERAGE(AH47:AI47)*(0.2*1000)/10</f>
        <v>214.64099999999971</v>
      </c>
      <c r="AK54" s="727">
        <f>AVERAGE(AJ54:AJ56)</f>
        <v>215.4399999999996</v>
      </c>
      <c r="AU54" s="679"/>
      <c r="AV54" s="738" t="s">
        <v>206</v>
      </c>
      <c r="AW54" s="685" t="s">
        <v>182</v>
      </c>
      <c r="AX54" s="126" t="s">
        <v>80</v>
      </c>
      <c r="AY54" s="282">
        <f>AVERAGE(AW47:AX47)*(0.2*1000)/10</f>
        <v>298.1507000000002</v>
      </c>
      <c r="AZ54" s="744">
        <f>AVERAGE(AY54:AY58)</f>
        <v>271.57052000000027</v>
      </c>
      <c r="BJ54" s="665"/>
      <c r="BK54" s="738" t="s">
        <v>208</v>
      </c>
      <c r="BL54" s="737" t="s">
        <v>91</v>
      </c>
      <c r="BM54" s="126" t="s">
        <v>94</v>
      </c>
      <c r="BN54" s="126">
        <f>AVERAGE(BL47:BM47)*(0.2*1000)/10</f>
        <v>241.12509999999983</v>
      </c>
      <c r="BO54" s="727">
        <f>AVERAGE(BN54:BN57)</f>
        <v>194.20224999999959</v>
      </c>
      <c r="BY54" s="647"/>
      <c r="BZ54" s="723" t="s">
        <v>227</v>
      </c>
      <c r="CA54" s="683" t="s">
        <v>189</v>
      </c>
      <c r="CB54" s="143" t="s">
        <v>80</v>
      </c>
      <c r="CC54" s="143">
        <f>AVERAGE(CA47:CB47)*(0.2*1000)/10</f>
        <v>229.23599999999993</v>
      </c>
      <c r="CD54" s="727">
        <f>AVERAGE(CC54:CC58)</f>
        <v>240.53040000000018</v>
      </c>
      <c r="CN54" s="665"/>
      <c r="CO54" s="715" t="s">
        <v>235</v>
      </c>
      <c r="CP54" s="715" t="s">
        <v>254</v>
      </c>
      <c r="CQ54" s="282" t="s">
        <v>80</v>
      </c>
      <c r="CR54">
        <f>AVERAGE(CP47:CQ47)*(0.2*1000)/10</f>
        <v>228.87289999999979</v>
      </c>
      <c r="CS54" s="727">
        <f>AVERAGE(CR54:CR58)</f>
        <v>193.76839999999993</v>
      </c>
      <c r="DC54" s="647"/>
      <c r="DD54" s="723" t="s">
        <v>260</v>
      </c>
      <c r="DE54" s="735" t="s">
        <v>286</v>
      </c>
      <c r="DF54" s="160" t="s">
        <v>80</v>
      </c>
      <c r="DG54" s="160">
        <f>AVERAGE(DE47:DF47)*(0.2*1000)/10</f>
        <v>237.75979999999996</v>
      </c>
      <c r="DH54" s="727">
        <f>AVERAGE(DG54:DG58)</f>
        <v>230.22463999999999</v>
      </c>
      <c r="DR54" s="665"/>
      <c r="DS54" s="723" t="s">
        <v>289</v>
      </c>
      <c r="DT54" s="143" t="s">
        <v>80</v>
      </c>
      <c r="DU54" s="733" t="s">
        <v>93</v>
      </c>
      <c r="DV54" s="143">
        <f t="shared" ref="DV54:DV59" si="118">AVERAGE(DT47:DU47)*(0.2*1000)/10</f>
        <v>183.72880000000038</v>
      </c>
      <c r="DW54" s="727">
        <f>AVERAGE(DV54:DV59)</f>
        <v>175.43370000000019</v>
      </c>
      <c r="EG54" s="665"/>
      <c r="EH54" s="723" t="s">
        <v>299</v>
      </c>
      <c r="EI54" s="683" t="s">
        <v>190</v>
      </c>
      <c r="EJ54" s="160" t="s">
        <v>80</v>
      </c>
      <c r="EK54" s="160">
        <f>AVERAGE(EI47:EJ47)*(0.2*1000)/10</f>
        <v>192.77800000000013</v>
      </c>
      <c r="EL54" s="727">
        <f>AVERAGE(EK54:EK58)</f>
        <v>204.5419600000001</v>
      </c>
      <c r="EV54" s="647"/>
      <c r="EW54" s="723" t="s">
        <v>324</v>
      </c>
      <c r="EX54" s="685" t="s">
        <v>330</v>
      </c>
      <c r="EY54" s="160" t="s">
        <v>80</v>
      </c>
      <c r="EZ54" s="282">
        <f>AVERAGE(EX47:EY47)*(0.2*1000)/10</f>
        <v>434.024</v>
      </c>
      <c r="FA54" s="727">
        <f>AVERAGE(EZ54:EZ63)</f>
        <v>319.17440000000028</v>
      </c>
      <c r="FK54" s="647"/>
      <c r="FL54" s="723" t="s">
        <v>333</v>
      </c>
      <c r="FM54" s="683" t="s">
        <v>335</v>
      </c>
      <c r="FN54" s="143" t="s">
        <v>80</v>
      </c>
      <c r="FO54" s="143">
        <f>AVERAGE(FM47:FN47)*(0.2*1000)/10</f>
        <v>274.56799999999959</v>
      </c>
      <c r="FP54" s="727">
        <f>AVERAGE(FO54:FO63)</f>
        <v>255.85353999999978</v>
      </c>
    </row>
    <row r="55" spans="2:180" x14ac:dyDescent="0.25">
      <c r="B55" s="679"/>
      <c r="C55" s="751" t="s">
        <v>13</v>
      </c>
      <c r="D55" s="681" t="s">
        <v>92</v>
      </c>
      <c r="E55" s="143" t="s">
        <v>80</v>
      </c>
      <c r="F55" s="143">
        <f t="shared" si="117"/>
        <v>235.23149999999987</v>
      </c>
      <c r="G55" s="727">
        <f>AVERAGE(F55:F59)</f>
        <v>229.24679999999975</v>
      </c>
      <c r="Q55" s="679"/>
      <c r="R55" s="748"/>
      <c r="S55" s="686"/>
      <c r="T55" s="143" t="s">
        <v>79</v>
      </c>
      <c r="U55" s="143">
        <f>AVERAGE(S48:T48)*(0.2*1000)/10</f>
        <v>317.81739999999957</v>
      </c>
      <c r="V55" s="662"/>
      <c r="AF55" s="679"/>
      <c r="AG55" s="751"/>
      <c r="AH55" s="681"/>
      <c r="AI55" s="143" t="s">
        <v>79</v>
      </c>
      <c r="AJ55" s="143">
        <f>AVERAGE(AH48:AI48)*(0.2*1000)/10</f>
        <v>245.80199999999962</v>
      </c>
      <c r="AK55" s="662"/>
      <c r="AU55" s="679"/>
      <c r="AV55" s="739"/>
      <c r="AW55" s="686"/>
      <c r="AX55" s="30" t="s">
        <v>79</v>
      </c>
      <c r="AY55" s="48">
        <f>AVERAGE(AW48:AX48)*(0.2*1000)/10</f>
        <v>350.26870000000031</v>
      </c>
      <c r="AZ55" s="741"/>
      <c r="BJ55" s="665"/>
      <c r="BK55" s="739"/>
      <c r="BL55" s="715"/>
      <c r="BM55" s="30" t="s">
        <v>209</v>
      </c>
      <c r="BN55" s="30">
        <f>AVERAGE(BL48:BM48)*(0.2*1000)/10</f>
        <v>197.81169999999975</v>
      </c>
      <c r="BO55" s="662"/>
      <c r="BY55" s="647"/>
      <c r="BZ55" s="724"/>
      <c r="CA55" s="681"/>
      <c r="CB55" s="143" t="s">
        <v>79</v>
      </c>
      <c r="CC55" s="143">
        <f>AVERAGE(CA48:CB48)*(0.2*1000)/10</f>
        <v>263.98799999999977</v>
      </c>
      <c r="CD55" s="662"/>
      <c r="CN55" s="665"/>
      <c r="CO55" s="715"/>
      <c r="CP55" s="715"/>
      <c r="CQ55" s="48" t="s">
        <v>79</v>
      </c>
      <c r="CR55">
        <f>AVERAGE(CP48:CQ48)*(0.2*1000)/10</f>
        <v>228.87289999999979</v>
      </c>
      <c r="CS55" s="662"/>
      <c r="DC55" s="647"/>
      <c r="DD55" s="724"/>
      <c r="DE55" s="702"/>
      <c r="DF55" s="143" t="s">
        <v>79</v>
      </c>
      <c r="DG55" s="143">
        <f>AVERAGE(DE48:DF48)*(0.2*1000)/10</f>
        <v>250.31840000000003</v>
      </c>
      <c r="DH55" s="662"/>
      <c r="DR55" s="665"/>
      <c r="DS55" s="724"/>
      <c r="DT55" s="143" t="s">
        <v>79</v>
      </c>
      <c r="DU55" s="731"/>
      <c r="DV55" s="143">
        <f t="shared" si="118"/>
        <v>185.99110000000024</v>
      </c>
      <c r="DW55" s="662"/>
      <c r="EG55" s="665"/>
      <c r="EH55" s="724"/>
      <c r="EI55" s="681"/>
      <c r="EJ55" s="143" t="s">
        <v>79</v>
      </c>
      <c r="EK55" s="143">
        <f>AVERAGE(EI48:EJ48)*(0.2*1000)/10</f>
        <v>185.99110000000024</v>
      </c>
      <c r="EL55" s="662"/>
      <c r="EV55" s="647"/>
      <c r="EW55" s="724"/>
      <c r="EX55" s="686"/>
      <c r="EY55" s="143" t="s">
        <v>79</v>
      </c>
      <c r="EZ55" s="48">
        <f>AVERAGE(EX48:EY48)*(0.2*1000)/10</f>
        <v>310.68200000000019</v>
      </c>
      <c r="FA55" s="662"/>
      <c r="FK55" s="647"/>
      <c r="FL55" s="724"/>
      <c r="FM55" s="681"/>
      <c r="FN55" s="143" t="s">
        <v>79</v>
      </c>
      <c r="FO55" s="143">
        <f>AVERAGE(FM48:FN48)*(0.2*1000)/10</f>
        <v>291.97679999999963</v>
      </c>
      <c r="FP55" s="662"/>
    </row>
    <row r="56" spans="2:180" x14ac:dyDescent="0.25">
      <c r="B56" s="679"/>
      <c r="C56" s="751"/>
      <c r="D56" s="681"/>
      <c r="E56" s="143" t="s">
        <v>79</v>
      </c>
      <c r="F56" s="143">
        <f t="shared" si="117"/>
        <v>217.27739999999966</v>
      </c>
      <c r="G56" s="662"/>
      <c r="Q56" s="679"/>
      <c r="R56" s="748"/>
      <c r="S56" s="686"/>
      <c r="T56" s="143" t="s">
        <v>81</v>
      </c>
      <c r="U56" s="143">
        <f>AVERAGE(S49:T49)*(0.2*1000)/10</f>
        <v>284.14089999999999</v>
      </c>
      <c r="V56" s="662"/>
      <c r="AF56" s="679"/>
      <c r="AG56" s="752"/>
      <c r="AH56" s="682"/>
      <c r="AI56" s="142" t="s">
        <v>81</v>
      </c>
      <c r="AJ56" s="142">
        <f>AVERAGE(AH49:AI49)*(0.2*1000)/10</f>
        <v>185.87699999999955</v>
      </c>
      <c r="AK56" s="728"/>
      <c r="AU56" s="679"/>
      <c r="AV56" s="739"/>
      <c r="AW56" s="686"/>
      <c r="AX56" s="30" t="s">
        <v>81</v>
      </c>
      <c r="AY56" s="48">
        <f>AVERAGE(AW49:AX49)*(0.2*1000)/10</f>
        <v>253.85040000000063</v>
      </c>
      <c r="AZ56" s="741"/>
      <c r="BJ56" s="665"/>
      <c r="BK56" s="739"/>
      <c r="BL56" s="715"/>
      <c r="BM56" s="30" t="s">
        <v>210</v>
      </c>
      <c r="BN56" s="30">
        <f>AVERAGE(BL49:BM49)*(0.2*1000)/10</f>
        <v>176.1549999999994</v>
      </c>
      <c r="BO56" s="662"/>
      <c r="BY56" s="647"/>
      <c r="BZ56" s="724"/>
      <c r="CA56" s="681"/>
      <c r="CB56" s="143" t="s">
        <v>81</v>
      </c>
      <c r="CC56" s="143">
        <f>AVERAGE(CA49:CB49)*(0.2*1000)/10</f>
        <v>237.92400000000029</v>
      </c>
      <c r="CD56" s="662"/>
      <c r="CN56" s="665"/>
      <c r="CO56" s="715"/>
      <c r="CP56" s="715"/>
      <c r="CQ56" s="48" t="s">
        <v>81</v>
      </c>
      <c r="CR56">
        <f>AVERAGE(CP49:CQ49)*(0.2*1000)/10</f>
        <v>193.76840000000016</v>
      </c>
      <c r="CS56" s="662"/>
      <c r="DC56" s="647"/>
      <c r="DD56" s="724"/>
      <c r="DE56" s="702"/>
      <c r="DF56" s="143" t="s">
        <v>81</v>
      </c>
      <c r="DG56" s="143">
        <f>AVERAGE(DE49:DF49)*(0.2*1000)/10</f>
        <v>241.94599999999997</v>
      </c>
      <c r="DH56" s="662"/>
      <c r="DR56" s="665"/>
      <c r="DS56" s="724"/>
      <c r="DT56" s="143" t="s">
        <v>81</v>
      </c>
      <c r="DU56" s="731"/>
      <c r="DV56" s="143">
        <f t="shared" si="118"/>
        <v>190.51570000000027</v>
      </c>
      <c r="DW56" s="662"/>
      <c r="EG56" s="665"/>
      <c r="EH56" s="724"/>
      <c r="EI56" s="681"/>
      <c r="EJ56" s="143" t="s">
        <v>81</v>
      </c>
      <c r="EK56" s="143">
        <f>AVERAGE(EI49:EJ49)*(0.2*1000)/10</f>
        <v>199.56490000000031</v>
      </c>
      <c r="EL56" s="662"/>
      <c r="EV56" s="647"/>
      <c r="EW56" s="724"/>
      <c r="EX56" s="686"/>
      <c r="EY56" s="143" t="s">
        <v>81</v>
      </c>
      <c r="EZ56" s="48">
        <f>AVERAGE(EX49:EY49)*(0.2*1000)/10</f>
        <v>320.79200000000043</v>
      </c>
      <c r="FA56" s="662"/>
      <c r="FK56" s="647"/>
      <c r="FL56" s="724"/>
      <c r="FM56" s="681"/>
      <c r="FN56" s="143" t="s">
        <v>81</v>
      </c>
      <c r="FO56" s="143">
        <f>AVERAGE(FM49:FN49)*(0.2*1000)/10</f>
        <v>300.68119999999965</v>
      </c>
      <c r="FP56" s="662"/>
    </row>
    <row r="57" spans="2:180" x14ac:dyDescent="0.25">
      <c r="B57" s="679"/>
      <c r="C57" s="751"/>
      <c r="D57" s="681"/>
      <c r="E57" s="143" t="s">
        <v>81</v>
      </c>
      <c r="F57" s="143">
        <f t="shared" si="117"/>
        <v>197.32839999999953</v>
      </c>
      <c r="G57" s="662"/>
      <c r="Q57" s="679"/>
      <c r="R57" s="748"/>
      <c r="S57" s="686"/>
      <c r="T57" s="143" t="s">
        <v>82</v>
      </c>
      <c r="U57" s="143">
        <f>AVERAGE(S50:T50)*(0.2*1000)/10</f>
        <v>223.52319999999963</v>
      </c>
      <c r="V57" s="662"/>
      <c r="AF57" s="679"/>
      <c r="AG57" s="647" t="s">
        <v>184</v>
      </c>
      <c r="AH57" s="681" t="s">
        <v>194</v>
      </c>
      <c r="AI57" s="143" t="s">
        <v>79</v>
      </c>
      <c r="AJ57" s="143">
        <f>AVERAGE(AJ47:AK47)*(0.2*1000)/10</f>
        <v>221.83199999999943</v>
      </c>
      <c r="AK57" s="727">
        <f>AVERAGE(AJ57:AJ61)</f>
        <v>227.58479999999949</v>
      </c>
      <c r="AU57" s="679"/>
      <c r="AV57" s="739"/>
      <c r="AW57" s="686"/>
      <c r="AX57" s="30" t="s">
        <v>82</v>
      </c>
      <c r="AY57" s="48">
        <f>AVERAGE(AW50:AX50)*(0.2*1000)/10</f>
        <v>219.97370000000018</v>
      </c>
      <c r="AZ57" s="741"/>
      <c r="BJ57" s="665"/>
      <c r="BK57" s="740"/>
      <c r="BL57" s="720"/>
      <c r="BM57" s="90" t="s">
        <v>211</v>
      </c>
      <c r="BN57" s="90">
        <f>AVERAGE(BL50:BM50)*(0.2*1000)/10</f>
        <v>161.71719999999937</v>
      </c>
      <c r="BO57" s="728"/>
      <c r="BY57" s="647"/>
      <c r="BZ57" s="724"/>
      <c r="CA57" s="681"/>
      <c r="CB57" s="143" t="s">
        <v>82</v>
      </c>
      <c r="CC57" s="143">
        <f>AVERAGE(CA50:CB50)*(0.2*1000)/10</f>
        <v>231.40800000000041</v>
      </c>
      <c r="CD57" s="662"/>
      <c r="CN57" s="665"/>
      <c r="CO57" s="715"/>
      <c r="CP57" s="715"/>
      <c r="CQ57" s="48" t="s">
        <v>82</v>
      </c>
      <c r="CR57">
        <f>AVERAGE(CP50:CQ50)*(0.2*1000)/10</f>
        <v>139.94150000000019</v>
      </c>
      <c r="CS57" s="662"/>
      <c r="DC57" s="647"/>
      <c r="DD57" s="724"/>
      <c r="DE57" s="702"/>
      <c r="DF57" s="143" t="s">
        <v>82</v>
      </c>
      <c r="DG57" s="143">
        <f>AVERAGE(DE50:DF50)*(0.2*1000)/10</f>
        <v>206.36330000000004</v>
      </c>
      <c r="DH57" s="662"/>
      <c r="DR57" s="665"/>
      <c r="DS57" s="724"/>
      <c r="DT57" s="143" t="s">
        <v>82</v>
      </c>
      <c r="DU57" s="731"/>
      <c r="DV57" s="143">
        <f t="shared" si="118"/>
        <v>176.9419000000002</v>
      </c>
      <c r="DW57" s="662"/>
      <c r="EG57" s="665"/>
      <c r="EH57" s="724"/>
      <c r="EI57" s="681"/>
      <c r="EJ57" s="143" t="s">
        <v>82</v>
      </c>
      <c r="EK57" s="143">
        <f>AVERAGE(EI50:EJ50)*(0.2*1000)/10</f>
        <v>219.92559999999986</v>
      </c>
      <c r="EL57" s="662"/>
      <c r="EV57" s="647"/>
      <c r="EW57" s="724"/>
      <c r="EX57" s="686"/>
      <c r="EY57" s="143" t="s">
        <v>82</v>
      </c>
      <c r="EZ57" s="48">
        <f>AVERAGE(EX50:EY50)*(0.2*1000)/10</f>
        <v>343.03400000000022</v>
      </c>
      <c r="FA57" s="662"/>
      <c r="FK57" s="647"/>
      <c r="FL57" s="724"/>
      <c r="FM57" s="681"/>
      <c r="FN57" s="143" t="s">
        <v>82</v>
      </c>
      <c r="FO57" s="143">
        <f>AVERAGE(FM50:FN50)*(0.2*1000)/10</f>
        <v>244.10260000000022</v>
      </c>
      <c r="FP57" s="662"/>
    </row>
    <row r="58" spans="2:180" x14ac:dyDescent="0.25">
      <c r="B58" s="679"/>
      <c r="C58" s="751"/>
      <c r="D58" s="681"/>
      <c r="E58" s="143" t="s">
        <v>82</v>
      </c>
      <c r="F58" s="143">
        <f t="shared" si="117"/>
        <v>265.15499999999975</v>
      </c>
      <c r="G58" s="662"/>
      <c r="Q58" s="679"/>
      <c r="R58" s="749"/>
      <c r="S58" s="688"/>
      <c r="T58" s="142" t="s">
        <v>83</v>
      </c>
      <c r="U58" s="149">
        <f>AVERAGE(S51:T51)*(0.2*1000)/10</f>
        <v>306.59189999999995</v>
      </c>
      <c r="V58" s="728"/>
      <c r="AF58" s="679"/>
      <c r="AG58" s="647"/>
      <c r="AH58" s="681"/>
      <c r="AI58" s="143" t="s">
        <v>81</v>
      </c>
      <c r="AJ58" s="143">
        <f>AVERAGE(AJ48:AK48)*(0.2*1000)/10</f>
        <v>233.81699999999938</v>
      </c>
      <c r="AK58" s="662"/>
      <c r="AU58" s="679"/>
      <c r="AV58" s="739"/>
      <c r="AW58" s="688"/>
      <c r="AX58" s="90" t="s">
        <v>83</v>
      </c>
      <c r="AY58" s="149">
        <f>AVERAGE(AW51:AX51)*(0.2*1000)/10</f>
        <v>235.60910000000007</v>
      </c>
      <c r="AZ58" s="742"/>
      <c r="BJ58" s="665"/>
      <c r="BK58" s="715" t="s">
        <v>225</v>
      </c>
      <c r="BL58" s="715" t="s">
        <v>187</v>
      </c>
      <c r="BM58" s="30" t="s">
        <v>80</v>
      </c>
      <c r="BN58" s="30">
        <f>AVERAGE(BN47:BO47)*(0.2*1000)/10</f>
        <v>173.74869999999959</v>
      </c>
      <c r="BO58" s="727">
        <f>AVERAGE(BN58:BN62)</f>
        <v>167.01105999999953</v>
      </c>
      <c r="BY58" s="647"/>
      <c r="BZ58" s="724"/>
      <c r="CA58" s="681"/>
      <c r="CB58" s="143" t="s">
        <v>83</v>
      </c>
      <c r="CC58" s="143">
        <f>AVERAGE(CA51:CB51)*(0.2*1000)/10</f>
        <v>240.09600000000037</v>
      </c>
      <c r="CD58" s="662"/>
      <c r="CN58" s="665"/>
      <c r="CO58" s="720"/>
      <c r="CP58" s="720"/>
      <c r="CQ58" s="149" t="s">
        <v>83</v>
      </c>
      <c r="CR58" s="60">
        <f>AVERAGE(CP51:CQ51)*(0.2*1000)/10</f>
        <v>177.38629999999972</v>
      </c>
      <c r="CS58" s="728"/>
      <c r="DC58" s="647"/>
      <c r="DD58" s="724"/>
      <c r="DE58" s="736"/>
      <c r="DF58" s="142" t="s">
        <v>83</v>
      </c>
      <c r="DG58" s="142">
        <f>AVERAGE(DE51:DF51)*(0.2*1000)/10</f>
        <v>214.73569999999995</v>
      </c>
      <c r="DH58" s="728"/>
      <c r="DR58" s="665"/>
      <c r="DS58" s="724"/>
      <c r="DT58" s="143" t="s">
        <v>83</v>
      </c>
      <c r="DU58" s="731"/>
      <c r="DV58" s="143">
        <f t="shared" si="118"/>
        <v>185.99110000000024</v>
      </c>
      <c r="DW58" s="662"/>
      <c r="EG58" s="665"/>
      <c r="EH58" s="724"/>
      <c r="EI58" s="682"/>
      <c r="EJ58" s="142" t="s">
        <v>83</v>
      </c>
      <c r="EK58" s="142">
        <f>AVERAGE(EI51:EJ51)*(0.2*1000)/10</f>
        <v>224.4502</v>
      </c>
      <c r="EL58" s="728"/>
      <c r="EV58" s="647"/>
      <c r="EW58" s="724"/>
      <c r="EX58" s="686"/>
      <c r="EY58" s="143" t="s">
        <v>83</v>
      </c>
      <c r="EZ58" s="48">
        <f>AVERAGE(EX51:EY51)*(0.2*1000)/10</f>
        <v>248.0000000000004</v>
      </c>
      <c r="FA58" s="662"/>
      <c r="FK58" s="647"/>
      <c r="FL58" s="724"/>
      <c r="FM58" s="681"/>
      <c r="FN58" s="143" t="s">
        <v>83</v>
      </c>
      <c r="FO58" s="143">
        <f>AVERAGE(FM51:FN51)*(0.2*1000)/10</f>
        <v>233.22210000000001</v>
      </c>
      <c r="FP58" s="662"/>
    </row>
    <row r="59" spans="2:180" x14ac:dyDescent="0.25">
      <c r="B59" s="679"/>
      <c r="C59" s="752"/>
      <c r="D59" s="682"/>
      <c r="E59" s="142" t="s">
        <v>83</v>
      </c>
      <c r="F59" s="149">
        <f t="shared" si="117"/>
        <v>231.24169999999995</v>
      </c>
      <c r="G59" s="728"/>
      <c r="Q59" s="679"/>
      <c r="R59" s="745" t="s">
        <v>175</v>
      </c>
      <c r="S59" s="685" t="s">
        <v>176</v>
      </c>
      <c r="T59" s="143" t="s">
        <v>80</v>
      </c>
      <c r="U59" s="143">
        <f t="shared" ref="U59:U64" si="119">AVERAGE(U47:V47)*(0.2*1000)/10</f>
        <v>254.95459999999952</v>
      </c>
      <c r="V59" s="727">
        <f>AVERAGE(U59:U64)</f>
        <v>280.02488333333315</v>
      </c>
      <c r="AF59" s="679"/>
      <c r="AG59" s="647"/>
      <c r="AH59" s="681"/>
      <c r="AI59" s="143" t="s">
        <v>82</v>
      </c>
      <c r="AJ59" s="143">
        <f>AVERAGE(AJ49:AK49)*(0.2*1000)/10</f>
        <v>221.83199999999943</v>
      </c>
      <c r="AK59" s="662"/>
      <c r="AU59" s="679"/>
      <c r="AV59" s="739"/>
      <c r="AW59" s="715" t="s">
        <v>92</v>
      </c>
      <c r="AX59" s="30" t="s">
        <v>82</v>
      </c>
      <c r="AY59" s="48">
        <f>AVERAGE(AY47:AZ47)*(0.2*1000)/10</f>
        <v>201.73239999999993</v>
      </c>
      <c r="AZ59" s="744">
        <f>AVERAGE(AY59:AY60)</f>
        <v>174.37045000000012</v>
      </c>
      <c r="BJ59" s="665"/>
      <c r="BK59" s="715"/>
      <c r="BL59" s="715"/>
      <c r="BM59" s="30" t="s">
        <v>79</v>
      </c>
      <c r="BN59" s="30">
        <f>AVERAGE(BN48:BO48)*(0.2*1000)/10</f>
        <v>144.87309999999979</v>
      </c>
      <c r="BO59" s="662"/>
      <c r="BY59" s="647"/>
      <c r="BZ59" s="724"/>
      <c r="CA59" s="681" t="s">
        <v>190</v>
      </c>
      <c r="CB59" s="143" t="s">
        <v>94</v>
      </c>
      <c r="CC59" s="143">
        <f>AVERAGE(CC47:CD47)*(0.2*1000)/10</f>
        <v>157.56000000000085</v>
      </c>
      <c r="CD59" s="662">
        <f>AVERAGE(CC59:CC63)</f>
        <v>184.05840000000046</v>
      </c>
      <c r="CN59" s="665"/>
      <c r="CO59" s="715" t="s">
        <v>246</v>
      </c>
      <c r="CP59" s="715" t="s">
        <v>255</v>
      </c>
      <c r="CQ59" s="48" t="s">
        <v>80</v>
      </c>
      <c r="CR59">
        <f t="shared" ref="CR59:CR64" si="120">AVERAGE(CR47:CS47)*(0.2*1000)/10</f>
        <v>172.70570000000049</v>
      </c>
      <c r="CS59" s="662">
        <f>AVERAGE(CR59:CR67)</f>
        <v>183.88713333333348</v>
      </c>
      <c r="DC59" s="647"/>
      <c r="DD59" s="724"/>
      <c r="DE59" s="731" t="s">
        <v>287</v>
      </c>
      <c r="DF59" s="143" t="s">
        <v>94</v>
      </c>
      <c r="DG59" s="143">
        <f>AVERAGE(DG47:DH47)*(0.2*1000)/10</f>
        <v>170.78060000000022</v>
      </c>
      <c r="DH59" s="727">
        <f>AVERAGE(DG59:DG63)</f>
        <v>174.96680000000012</v>
      </c>
      <c r="DR59" s="665"/>
      <c r="DS59" s="725"/>
      <c r="DT59" s="142" t="s">
        <v>94</v>
      </c>
      <c r="DU59" s="734"/>
      <c r="DV59" s="149">
        <f t="shared" si="118"/>
        <v>129.43359999999984</v>
      </c>
      <c r="DW59" s="662"/>
      <c r="EG59" s="665"/>
      <c r="EH59" s="724"/>
      <c r="EI59" s="681" t="s">
        <v>167</v>
      </c>
      <c r="EJ59" s="143" t="s">
        <v>94</v>
      </c>
      <c r="EK59" s="143">
        <f>AVERAGE(EK47:EL47)*(0.2*1000)/10</f>
        <v>204.08950000000033</v>
      </c>
      <c r="EL59" s="727">
        <f>AVERAGE(EK59:EK63)</f>
        <v>205.44688000000025</v>
      </c>
      <c r="EV59" s="647"/>
      <c r="EW59" s="724"/>
      <c r="EX59" s="686"/>
      <c r="EY59" s="143" t="s">
        <v>94</v>
      </c>
      <c r="EZ59" s="48">
        <f>AVERAGE(EZ47:FA47)*(0.2*1000)/10</f>
        <v>324.83600000000052</v>
      </c>
      <c r="FA59" s="662"/>
      <c r="FK59" s="647"/>
      <c r="FL59" s="724"/>
      <c r="FM59" s="681"/>
      <c r="FN59" s="143" t="s">
        <v>94</v>
      </c>
      <c r="FO59" s="143">
        <f>AVERAGE(FO47:FP47)*(0.2*1000)/10</f>
        <v>276.74409999999995</v>
      </c>
      <c r="FP59" s="662"/>
    </row>
    <row r="60" spans="2:180" ht="15" customHeight="1" x14ac:dyDescent="0.25">
      <c r="B60" s="679"/>
      <c r="C60" s="647" t="s">
        <v>70</v>
      </c>
      <c r="D60" s="681" t="s">
        <v>91</v>
      </c>
      <c r="E60" s="143" t="s">
        <v>80</v>
      </c>
      <c r="F60" s="147">
        <f>(AVERAGE(F47:G47)*(0.2*1000))/10</f>
        <v>219.27229999999994</v>
      </c>
      <c r="G60" s="727">
        <f>AVERAGE(F60:F64)</f>
        <v>212.0906599999999</v>
      </c>
      <c r="Q60" s="679"/>
      <c r="R60" s="665"/>
      <c r="S60" s="686"/>
      <c r="T60" s="143" t="s">
        <v>79</v>
      </c>
      <c r="U60" s="143">
        <f t="shared" si="119"/>
        <v>304.34679999999969</v>
      </c>
      <c r="V60" s="662"/>
      <c r="AF60" s="679"/>
      <c r="AG60" s="647"/>
      <c r="AH60" s="681"/>
      <c r="AI60" s="143" t="s">
        <v>83</v>
      </c>
      <c r="AJ60" s="143">
        <f>AVERAGE(AJ50:AK50)*(0.2*1000)/10</f>
        <v>212.24399999999946</v>
      </c>
      <c r="AK60" s="662"/>
      <c r="AU60" s="679"/>
      <c r="AV60" s="740"/>
      <c r="AW60" s="720"/>
      <c r="AX60" s="90" t="s">
        <v>83</v>
      </c>
      <c r="AY60" s="149">
        <f>AVERAGE(AY48:AZ48)*(0.2*1000)/10</f>
        <v>147.00850000000031</v>
      </c>
      <c r="AZ60" s="742"/>
      <c r="BJ60" s="665"/>
      <c r="BK60" s="715"/>
      <c r="BL60" s="715"/>
      <c r="BM60" s="30" t="s">
        <v>81</v>
      </c>
      <c r="BN60" s="30">
        <f>AVERAGE(BN49:BO49)*(0.2*1000)/10</f>
        <v>161.71719999999937</v>
      </c>
      <c r="BO60" s="662"/>
      <c r="BY60" s="647"/>
      <c r="BZ60" s="724"/>
      <c r="CA60" s="681"/>
      <c r="CB60" s="143" t="s">
        <v>209</v>
      </c>
      <c r="CC60" s="143">
        <f>AVERAGE(CC48:CD48)*(0.2*1000)/10</f>
        <v>192.3120000000003</v>
      </c>
      <c r="CD60" s="662"/>
      <c r="CN60" s="665"/>
      <c r="CO60" s="715"/>
      <c r="CP60" s="715"/>
      <c r="CQ60" s="48" t="s">
        <v>79</v>
      </c>
      <c r="CR60">
        <f t="shared" si="120"/>
        <v>217.17139999999972</v>
      </c>
      <c r="CS60" s="662"/>
      <c r="DC60" s="647"/>
      <c r="DD60" s="724"/>
      <c r="DE60" s="731"/>
      <c r="DF60" s="143" t="s">
        <v>209</v>
      </c>
      <c r="DG60" s="143">
        <f>AVERAGE(DG48:DH48)*(0.2*1000)/10</f>
        <v>191.7116</v>
      </c>
      <c r="DH60" s="662"/>
      <c r="DR60" s="665"/>
      <c r="DS60" s="681" t="s">
        <v>293</v>
      </c>
      <c r="DT60" s="160" t="s">
        <v>80</v>
      </c>
      <c r="DU60" s="733" t="s">
        <v>304</v>
      </c>
      <c r="DV60" s="143">
        <f>AVERAGE(DV47:DW47)*(0.2*1000)/10</f>
        <v>170.15500000000031</v>
      </c>
      <c r="DW60" s="662">
        <f>AVERAGE(DV60:DV64)</f>
        <v>194.13538000000028</v>
      </c>
      <c r="EG60" s="665"/>
      <c r="EH60" s="724"/>
      <c r="EI60" s="681"/>
      <c r="EJ60" s="143" t="s">
        <v>209</v>
      </c>
      <c r="EK60" s="143">
        <f>AVERAGE(EK48:EL48)*(0.2*1000)/10</f>
        <v>167.89270000000016</v>
      </c>
      <c r="EL60" s="662"/>
      <c r="EV60" s="647"/>
      <c r="EW60" s="724"/>
      <c r="EX60" s="686"/>
      <c r="EY60" s="143" t="s">
        <v>209</v>
      </c>
      <c r="EZ60" s="48">
        <f>AVERAGE(EZ48:FA48)*(0.2*1000)/10</f>
        <v>349.10000000000053</v>
      </c>
      <c r="FA60" s="662"/>
      <c r="FK60" s="647"/>
      <c r="FL60" s="724"/>
      <c r="FM60" s="681"/>
      <c r="FN60" s="143" t="s">
        <v>209</v>
      </c>
      <c r="FO60" s="143">
        <f>AVERAGE(FO48:FP48)*(0.2*1000)/10</f>
        <v>244.10259999999965</v>
      </c>
      <c r="FP60" s="662"/>
    </row>
    <row r="61" spans="2:180" ht="15.75" thickBot="1" x14ac:dyDescent="0.3">
      <c r="B61" s="679"/>
      <c r="C61" s="647"/>
      <c r="D61" s="681"/>
      <c r="E61" s="143" t="s">
        <v>79</v>
      </c>
      <c r="F61" s="143">
        <f>(AVERAGE(F48:G48)*(0.2*1000))/10</f>
        <v>193.33859999999973</v>
      </c>
      <c r="G61" s="662"/>
      <c r="Q61" s="679"/>
      <c r="R61" s="665"/>
      <c r="S61" s="686"/>
      <c r="T61" s="143" t="s">
        <v>81</v>
      </c>
      <c r="U61" s="143">
        <f t="shared" si="119"/>
        <v>272.91539999999952</v>
      </c>
      <c r="V61" s="662"/>
      <c r="AF61" s="673"/>
      <c r="AG61" s="648"/>
      <c r="AH61" s="684"/>
      <c r="AI61" s="144" t="s">
        <v>94</v>
      </c>
      <c r="AJ61" s="144">
        <f>AVERAGE(AJ51:AK51)*(0.2*1000)/10</f>
        <v>248.1989999999999</v>
      </c>
      <c r="AK61" s="663"/>
      <c r="AU61" s="679"/>
      <c r="AV61" s="715" t="s">
        <v>208</v>
      </c>
      <c r="AW61" s="715" t="s">
        <v>194</v>
      </c>
      <c r="AX61" s="30" t="s">
        <v>80</v>
      </c>
      <c r="AY61" s="48">
        <f>AVERAGE(BA47:BB47)*(0.2*1000)/10</f>
        <v>209.55010000000016</v>
      </c>
      <c r="AZ61" s="744">
        <f>AVERAGE(AY61:AY65)</f>
        <v>191.3088000000001</v>
      </c>
      <c r="BJ61" s="665"/>
      <c r="BK61" s="715"/>
      <c r="BL61" s="715"/>
      <c r="BM61" s="30" t="s">
        <v>82</v>
      </c>
      <c r="BN61" s="30">
        <f>AVERAGE(BN50:BO50)*(0.2*1000)/10</f>
        <v>159.31089999999955</v>
      </c>
      <c r="BO61" s="662"/>
      <c r="BY61" s="647"/>
      <c r="BZ61" s="724"/>
      <c r="CA61" s="681"/>
      <c r="CB61" s="143" t="s">
        <v>210</v>
      </c>
      <c r="CC61" s="143">
        <f>AVERAGE(CC49:CD49)*(0.2*1000)/10</f>
        <v>194.48399999999992</v>
      </c>
      <c r="CD61" s="662"/>
      <c r="CN61" s="665"/>
      <c r="CO61" s="715"/>
      <c r="CP61" s="715"/>
      <c r="CQ61" s="48" t="s">
        <v>81</v>
      </c>
      <c r="CR61">
        <f t="shared" si="120"/>
        <v>226.53259999999992</v>
      </c>
      <c r="CS61" s="662"/>
      <c r="DC61" s="647"/>
      <c r="DD61" s="724"/>
      <c r="DE61" s="731"/>
      <c r="DF61" s="143" t="s">
        <v>210</v>
      </c>
      <c r="DG61" s="143">
        <f>AVERAGE(DG49:DH49)*(0.2*1000)/10</f>
        <v>179.15300000000016</v>
      </c>
      <c r="DH61" s="662"/>
      <c r="DR61" s="665"/>
      <c r="DS61" s="681"/>
      <c r="DT61" s="143" t="s">
        <v>79</v>
      </c>
      <c r="DU61" s="731"/>
      <c r="DV61" s="143">
        <f>AVERAGE(DV48:DW48)*(0.2*1000)/10</f>
        <v>183.72880000000038</v>
      </c>
      <c r="DW61" s="662"/>
      <c r="EG61" s="665"/>
      <c r="EH61" s="724"/>
      <c r="EI61" s="681"/>
      <c r="EJ61" s="143" t="s">
        <v>210</v>
      </c>
      <c r="EK61" s="143">
        <f>AVERAGE(EK49:EL49)*(0.2*1000)/10</f>
        <v>201.82720000000046</v>
      </c>
      <c r="EL61" s="662"/>
      <c r="EV61" s="647"/>
      <c r="EW61" s="724"/>
      <c r="EX61" s="686"/>
      <c r="EY61" s="143" t="s">
        <v>210</v>
      </c>
      <c r="EZ61" s="48">
        <f>AVERAGE(EZ49:FA49)*(0.2*1000)/10</f>
        <v>310.68200000000019</v>
      </c>
      <c r="FA61" s="662"/>
      <c r="FK61" s="647"/>
      <c r="FL61" s="724"/>
      <c r="FM61" s="681"/>
      <c r="FN61" s="143" t="s">
        <v>210</v>
      </c>
      <c r="FO61" s="143">
        <f>AVERAGE(FO49:FP49)*(0.2*1000)/10</f>
        <v>265.86359999999956</v>
      </c>
      <c r="FP61" s="662"/>
    </row>
    <row r="62" spans="2:180" ht="15.75" thickBot="1" x14ac:dyDescent="0.3">
      <c r="B62" s="679"/>
      <c r="C62" s="647"/>
      <c r="D62" s="681"/>
      <c r="E62" s="143" t="s">
        <v>81</v>
      </c>
      <c r="F62" s="143">
        <f>(AVERAGE(F49:G49)*(0.2*1000))/10</f>
        <v>175.38449999999997</v>
      </c>
      <c r="G62" s="662"/>
      <c r="Q62" s="679"/>
      <c r="R62" s="665"/>
      <c r="S62" s="686"/>
      <c r="T62" s="143" t="s">
        <v>82</v>
      </c>
      <c r="U62" s="143">
        <f t="shared" si="119"/>
        <v>279.65069999999969</v>
      </c>
      <c r="V62" s="662"/>
      <c r="AU62" s="679"/>
      <c r="AV62" s="715"/>
      <c r="AW62" s="715"/>
      <c r="AX62" s="30" t="s">
        <v>79</v>
      </c>
      <c r="AY62" s="48">
        <f>AVERAGE(BA48:BB48)*(0.2*1000)/10</f>
        <v>180.88520000000017</v>
      </c>
      <c r="AZ62" s="741"/>
      <c r="BJ62" s="666"/>
      <c r="BK62" s="661"/>
      <c r="BL62" s="661"/>
      <c r="BM62" s="9" t="s">
        <v>83</v>
      </c>
      <c r="BN62" s="9">
        <f>AVERAGE(BN51:BO51)*(0.2*1000)/10</f>
        <v>195.40539999999936</v>
      </c>
      <c r="BO62" s="663"/>
      <c r="BY62" s="647"/>
      <c r="BZ62" s="724"/>
      <c r="CA62" s="681"/>
      <c r="CB62" s="143" t="s">
        <v>211</v>
      </c>
      <c r="CC62" s="143">
        <f>AVERAGE(CC50:CD50)*(0.2*1000)/10</f>
        <v>185.79600000000056</v>
      </c>
      <c r="CD62" s="662"/>
      <c r="CN62" s="665"/>
      <c r="CO62" s="715"/>
      <c r="CP62" s="715"/>
      <c r="CQ62" s="48" t="s">
        <v>82</v>
      </c>
      <c r="CR62">
        <f t="shared" si="120"/>
        <v>161.00420000000042</v>
      </c>
      <c r="CS62" s="662"/>
      <c r="DC62" s="647"/>
      <c r="DD62" s="724"/>
      <c r="DE62" s="731"/>
      <c r="DF62" s="143" t="s">
        <v>211</v>
      </c>
      <c r="DG62" s="143">
        <f>AVERAGE(DG50:DH50)*(0.2*1000)/10</f>
        <v>172.87370000000016</v>
      </c>
      <c r="DH62" s="662"/>
      <c r="DR62" s="665"/>
      <c r="DS62" s="681"/>
      <c r="DT62" s="143" t="s">
        <v>81</v>
      </c>
      <c r="DU62" s="731"/>
      <c r="DV62" s="143">
        <f>AVERAGE(DV49:DW49)*(0.2*1000)/10</f>
        <v>210.8764000000005</v>
      </c>
      <c r="DW62" s="662"/>
      <c r="EG62" s="665"/>
      <c r="EH62" s="724"/>
      <c r="EI62" s="681"/>
      <c r="EJ62" s="143" t="s">
        <v>211</v>
      </c>
      <c r="EK62" s="143">
        <f>AVERAGE(EK50:EL50)*(0.2*1000)/10</f>
        <v>267.43390000000016</v>
      </c>
      <c r="EL62" s="662"/>
      <c r="EV62" s="647"/>
      <c r="EW62" s="724"/>
      <c r="EX62" s="686"/>
      <c r="EY62" s="143" t="s">
        <v>211</v>
      </c>
      <c r="EZ62" s="48">
        <f>AVERAGE(EZ50:FA50)*(0.2*1000)/10</f>
        <v>288.4400000000004</v>
      </c>
      <c r="FA62" s="662"/>
      <c r="FK62" s="647"/>
      <c r="FL62" s="724"/>
      <c r="FM62" s="681"/>
      <c r="FN62" s="143" t="s">
        <v>211</v>
      </c>
      <c r="FO62" s="143">
        <f>AVERAGE(FO50:FP50)*(0.2*1000)/10</f>
        <v>233.22210000000001</v>
      </c>
      <c r="FP62" s="662"/>
    </row>
    <row r="63" spans="2:180" ht="15.75" thickBot="1" x14ac:dyDescent="0.3">
      <c r="B63" s="679"/>
      <c r="C63" s="647"/>
      <c r="D63" s="681"/>
      <c r="E63" s="143" t="s">
        <v>82</v>
      </c>
      <c r="F63" s="143">
        <f>(AVERAGE(F50:G50)*(0.2*1000))/10</f>
        <v>245.20599999999973</v>
      </c>
      <c r="G63" s="662"/>
      <c r="Q63" s="679"/>
      <c r="R63" s="665"/>
      <c r="S63" s="686"/>
      <c r="T63" s="143" t="s">
        <v>83</v>
      </c>
      <c r="U63" s="143">
        <f t="shared" si="119"/>
        <v>268.42520000000007</v>
      </c>
      <c r="V63" s="662"/>
      <c r="AU63" s="679"/>
      <c r="AV63" s="715"/>
      <c r="AW63" s="715"/>
      <c r="AX63" s="30" t="s">
        <v>81</v>
      </c>
      <c r="AY63" s="48">
        <f>AVERAGE(BA49:BB49)*(0.2*1000)/10</f>
        <v>186.09700000000004</v>
      </c>
      <c r="AZ63" s="741"/>
      <c r="BY63" s="647"/>
      <c r="BZ63" s="724"/>
      <c r="CA63" s="681"/>
      <c r="CB63" s="143" t="s">
        <v>212</v>
      </c>
      <c r="CC63" s="143">
        <f>AVERAGE(CC51:CD51)*(0.2*1000)/10</f>
        <v>190.14000000000067</v>
      </c>
      <c r="CD63" s="662"/>
      <c r="CN63" s="665"/>
      <c r="CO63" s="715"/>
      <c r="CP63" s="715"/>
      <c r="CQ63" s="48" t="s">
        <v>83</v>
      </c>
      <c r="CR63">
        <f t="shared" si="120"/>
        <v>224.19229999999999</v>
      </c>
      <c r="CS63" s="662"/>
      <c r="DC63" s="647"/>
      <c r="DD63" s="725"/>
      <c r="DE63" s="734"/>
      <c r="DF63" s="142" t="s">
        <v>212</v>
      </c>
      <c r="DG63" s="142">
        <f>AVERAGE(DG51:DH51)*(0.2*1000)/10</f>
        <v>160.31510000000011</v>
      </c>
      <c r="DH63" s="728"/>
      <c r="DR63" s="665"/>
      <c r="DS63" s="681"/>
      <c r="DT63" s="143" t="s">
        <v>82</v>
      </c>
      <c r="DU63" s="731"/>
      <c r="DV63" s="143">
        <f>AVERAGE(DV50:DW50)*(0.2*1000)/10</f>
        <v>172.41730000000018</v>
      </c>
      <c r="DW63" s="662"/>
      <c r="EG63" s="666"/>
      <c r="EH63" s="726"/>
      <c r="EI63" s="684"/>
      <c r="EJ63" s="144" t="s">
        <v>212</v>
      </c>
      <c r="EK63" s="144">
        <f>AVERAGE(EK51:EL51)*(0.2*1000)/10</f>
        <v>185.99109999999996</v>
      </c>
      <c r="EL63" s="663"/>
      <c r="EV63" s="647"/>
      <c r="EW63" s="725"/>
      <c r="EX63" s="688"/>
      <c r="EY63" s="142" t="s">
        <v>212</v>
      </c>
      <c r="EZ63" s="149">
        <f>AVERAGE(EZ51:FA51)*(0.2*1000)/10</f>
        <v>262.15400000000017</v>
      </c>
      <c r="FA63" s="728"/>
      <c r="FK63" s="648"/>
      <c r="FL63" s="726"/>
      <c r="FM63" s="684"/>
      <c r="FN63" s="144" t="s">
        <v>212</v>
      </c>
      <c r="FO63" s="144">
        <f>AVERAGE(FO51:FP51)*(0.2*1000)/10</f>
        <v>194.05229999999989</v>
      </c>
      <c r="FP63" s="663"/>
    </row>
    <row r="64" spans="2:180" x14ac:dyDescent="0.25">
      <c r="B64" s="679"/>
      <c r="C64" s="650"/>
      <c r="D64" s="682"/>
      <c r="E64" s="142" t="s">
        <v>83</v>
      </c>
      <c r="F64" s="142">
        <f>(AVERAGE(F51:G51)*(0.2*1000))/10</f>
        <v>227.25189999999998</v>
      </c>
      <c r="G64" s="728"/>
      <c r="Q64" s="679"/>
      <c r="R64" s="746"/>
      <c r="S64" s="688"/>
      <c r="T64" s="142" t="s">
        <v>94</v>
      </c>
      <c r="U64" s="149">
        <f t="shared" si="119"/>
        <v>299.85660000000024</v>
      </c>
      <c r="V64" s="728"/>
      <c r="AU64" s="679"/>
      <c r="AV64" s="715"/>
      <c r="AW64" s="715"/>
      <c r="AX64" s="30" t="s">
        <v>82</v>
      </c>
      <c r="AY64" s="48">
        <f>AVERAGE(BA50:BB50)*(0.2*1000)/10</f>
        <v>175.67340000000002</v>
      </c>
      <c r="AZ64" s="741"/>
      <c r="BY64" s="647"/>
      <c r="BZ64" s="681" t="s">
        <v>218</v>
      </c>
      <c r="CA64" s="681" t="s">
        <v>237</v>
      </c>
      <c r="CB64" s="143" t="s">
        <v>80</v>
      </c>
      <c r="CC64" s="143">
        <f>AVERAGE(CE47:CF47)*(0.2*1000)/10</f>
        <v>240.09599999999978</v>
      </c>
      <c r="CD64" s="662">
        <f>AVERAGE(CC64:CC68)</f>
        <v>227.93279999999999</v>
      </c>
      <c r="CN64" s="665"/>
      <c r="CO64" s="715"/>
      <c r="CP64" s="715"/>
      <c r="CQ64" s="48" t="s">
        <v>94</v>
      </c>
      <c r="CR64">
        <f t="shared" si="120"/>
        <v>182.06690000000037</v>
      </c>
      <c r="CS64" s="662"/>
      <c r="DC64" s="647"/>
      <c r="DD64" s="724" t="s">
        <v>284</v>
      </c>
      <c r="DE64" s="685" t="s">
        <v>285</v>
      </c>
      <c r="DF64" s="160" t="s">
        <v>80</v>
      </c>
      <c r="DG64" s="160">
        <f>AVERAGE(DI47:DJ47)*(0.2*1000)/10</f>
        <v>164.50129999999996</v>
      </c>
      <c r="DH64" s="727">
        <f>AVERAGE(DG64:DG68)</f>
        <v>148.59374000000008</v>
      </c>
      <c r="DR64" s="665"/>
      <c r="DS64" s="681"/>
      <c r="DT64" s="142" t="s">
        <v>83</v>
      </c>
      <c r="DU64" s="734"/>
      <c r="DV64" s="149">
        <f>AVERAGE(DV51:DW51)*(0.2*1000)/10</f>
        <v>233.49940000000007</v>
      </c>
      <c r="DW64" s="662"/>
      <c r="EV64" s="647"/>
      <c r="EW64" s="724" t="s">
        <v>328</v>
      </c>
      <c r="EX64" s="686" t="s">
        <v>292</v>
      </c>
      <c r="EY64" s="143" t="s">
        <v>80</v>
      </c>
      <c r="EZ64" s="48">
        <f>AVERAGE(FB47:FC47)*(0.2*1000)/10</f>
        <v>272.26400000000001</v>
      </c>
      <c r="FA64" s="727">
        <f>AVERAGE(EZ64:EZ73)</f>
        <v>278.53220000000005</v>
      </c>
    </row>
    <row r="65" spans="2:157" ht="15.75" customHeight="1" thickBot="1" x14ac:dyDescent="0.3">
      <c r="B65" s="679"/>
      <c r="C65" s="647" t="s">
        <v>78</v>
      </c>
      <c r="D65" s="681" t="s">
        <v>93</v>
      </c>
      <c r="E65" s="143" t="s">
        <v>80</v>
      </c>
      <c r="F65" s="147">
        <f>(AVERAGE(H47:I47)*(0.2*1000))/10</f>
        <v>229.24680000000006</v>
      </c>
      <c r="G65" s="753">
        <f>AVERAGE(F65:F68)</f>
        <v>223.26209999999989</v>
      </c>
      <c r="Q65" s="679"/>
      <c r="R65" s="745" t="s">
        <v>179</v>
      </c>
      <c r="S65" s="685" t="s">
        <v>182</v>
      </c>
      <c r="T65" s="143" t="s">
        <v>80</v>
      </c>
      <c r="U65" s="143">
        <f t="shared" ref="U65:U70" si="121">AVERAGE(W47:X47)*(0.2*1000)/10</f>
        <v>288.63109999999995</v>
      </c>
      <c r="V65" s="727">
        <f>AVERAGE(U65:U70)</f>
        <v>271.41866666666635</v>
      </c>
      <c r="AU65" s="673"/>
      <c r="AV65" s="661"/>
      <c r="AW65" s="661"/>
      <c r="AX65" s="9" t="s">
        <v>83</v>
      </c>
      <c r="AY65" s="49">
        <f>AVERAGE(BA51:BB51)*(0.2*1000)/10</f>
        <v>204.33830000000029</v>
      </c>
      <c r="AZ65" s="693"/>
      <c r="BY65" s="647"/>
      <c r="BZ65" s="681"/>
      <c r="CA65" s="681"/>
      <c r="CB65" s="143" t="s">
        <v>79</v>
      </c>
      <c r="CC65" s="143">
        <f>AVERAGE(CE48:CF48)*(0.2*1000)/10</f>
        <v>246.61199999999994</v>
      </c>
      <c r="CD65" s="662"/>
      <c r="CN65" s="665"/>
      <c r="CO65" s="715"/>
      <c r="CP65" s="715"/>
      <c r="CQ65" s="48" t="s">
        <v>209</v>
      </c>
      <c r="CR65">
        <f>AVERAGE(CT47:CU47)*(0.2*1000)/10</f>
        <v>149.30270000000036</v>
      </c>
      <c r="CS65" s="662"/>
      <c r="DC65" s="647"/>
      <c r="DD65" s="724"/>
      <c r="DE65" s="686"/>
      <c r="DF65" s="143" t="s">
        <v>79</v>
      </c>
      <c r="DG65" s="143">
        <f>AVERAGE(DI48:DJ48)*(0.2*1000)/10</f>
        <v>158.22200000000009</v>
      </c>
      <c r="DH65" s="662"/>
      <c r="DR65" s="665"/>
      <c r="DS65" s="681"/>
      <c r="DT65" s="143" t="s">
        <v>94</v>
      </c>
      <c r="DU65" s="731" t="s">
        <v>300</v>
      </c>
      <c r="DV65" s="143">
        <f>AVERAGE(DX47:DY47)*(0.2*1000)/10</f>
        <v>233.49939999999975</v>
      </c>
      <c r="DW65" s="662">
        <f>AVERAGE(DV65:DV69)</f>
        <v>163.82056000000017</v>
      </c>
      <c r="EV65" s="647"/>
      <c r="EW65" s="724"/>
      <c r="EX65" s="686"/>
      <c r="EY65" s="143" t="s">
        <v>79</v>
      </c>
      <c r="EZ65" s="48">
        <f>AVERAGE(FB48:FC48)*(0.2*1000)/10</f>
        <v>294.50600000000009</v>
      </c>
      <c r="FA65" s="662"/>
    </row>
    <row r="66" spans="2:157" x14ac:dyDescent="0.25">
      <c r="B66" s="679"/>
      <c r="C66" s="647"/>
      <c r="D66" s="681"/>
      <c r="E66" s="143" t="s">
        <v>79</v>
      </c>
      <c r="F66" s="143">
        <f>(AVERAGE(H48:I48)*(0.2*1000))/10</f>
        <v>203.31309999999988</v>
      </c>
      <c r="G66" s="754"/>
      <c r="Q66" s="679"/>
      <c r="R66" s="665"/>
      <c r="S66" s="686"/>
      <c r="T66" s="143" t="s">
        <v>79</v>
      </c>
      <c r="U66" s="143">
        <f t="shared" si="121"/>
        <v>270.6702999999996</v>
      </c>
      <c r="V66" s="662"/>
      <c r="BY66" s="647"/>
      <c r="BZ66" s="681"/>
      <c r="CA66" s="681"/>
      <c r="CB66" s="143" t="s">
        <v>81</v>
      </c>
      <c r="CC66" s="143">
        <f>AVERAGE(CE49:CF49)*(0.2*1000)/10</f>
        <v>237.92400000000004</v>
      </c>
      <c r="CD66" s="662"/>
      <c r="CN66" s="665"/>
      <c r="CO66" s="715"/>
      <c r="CP66" s="715"/>
      <c r="CQ66" s="48" t="s">
        <v>210</v>
      </c>
      <c r="CR66">
        <f>AVERAGE(CT48:CU48)*(0.2*1000)/10</f>
        <v>146.96240000000017</v>
      </c>
      <c r="CS66" s="662"/>
      <c r="DC66" s="647"/>
      <c r="DD66" s="724"/>
      <c r="DE66" s="686"/>
      <c r="DF66" s="143" t="s">
        <v>81</v>
      </c>
      <c r="DG66" s="143">
        <f>AVERAGE(DI49:DJ49)*(0.2*1000)/10</f>
        <v>154.03580000000005</v>
      </c>
      <c r="DH66" s="662"/>
      <c r="DR66" s="665"/>
      <c r="DS66" s="681"/>
      <c r="DT66" s="143" t="s">
        <v>209</v>
      </c>
      <c r="DU66" s="731"/>
      <c r="DV66" s="143">
        <f>AVERAGE(DX48:DY48)*(0.2*1000)/10</f>
        <v>66.089200000000403</v>
      </c>
      <c r="DW66" s="662"/>
      <c r="EV66" s="647"/>
      <c r="EW66" s="724"/>
      <c r="EX66" s="686"/>
      <c r="EY66" s="143" t="s">
        <v>81</v>
      </c>
      <c r="EZ66" s="48">
        <f>AVERAGE(FB49:FC49)*(0.2*1000)/10</f>
        <v>266.19800000000015</v>
      </c>
      <c r="FA66" s="662"/>
    </row>
    <row r="67" spans="2:157" x14ac:dyDescent="0.25">
      <c r="B67" s="679"/>
      <c r="C67" s="647"/>
      <c r="D67" s="681"/>
      <c r="E67" s="143" t="s">
        <v>83</v>
      </c>
      <c r="F67" s="143">
        <f>(AVERAGE(H49:I49)*(0.2*1000))/10</f>
        <v>281.11419999999964</v>
      </c>
      <c r="G67" s="754"/>
      <c r="Q67" s="679"/>
      <c r="R67" s="665"/>
      <c r="S67" s="686"/>
      <c r="T67" s="143" t="s">
        <v>81</v>
      </c>
      <c r="U67" s="143">
        <f t="shared" si="121"/>
        <v>259.44479999999942</v>
      </c>
      <c r="V67" s="662"/>
      <c r="BY67" s="647"/>
      <c r="BZ67" s="681"/>
      <c r="CA67" s="681"/>
      <c r="CB67" s="143" t="s">
        <v>82</v>
      </c>
      <c r="CC67" s="143">
        <f>AVERAGE(CE50:CF50)*(0.2*1000)/10</f>
        <v>216.20400000000018</v>
      </c>
      <c r="CD67" s="662"/>
      <c r="CN67" s="665"/>
      <c r="CO67" s="715"/>
      <c r="CP67" s="715"/>
      <c r="CQ67" s="48" t="s">
        <v>211</v>
      </c>
      <c r="CR67">
        <f>AVERAGE(CT49:CU49)*(0.2*1000)/10</f>
        <v>175.04599999999982</v>
      </c>
      <c r="CS67" s="662"/>
      <c r="DC67" s="647"/>
      <c r="DD67" s="724"/>
      <c r="DE67" s="686"/>
      <c r="DF67" s="143" t="s">
        <v>82</v>
      </c>
      <c r="DG67" s="143">
        <f>AVERAGE(DI50:DJ50)*(0.2*1000)/10</f>
        <v>139.38410000000019</v>
      </c>
      <c r="DH67" s="662"/>
      <c r="DR67" s="665"/>
      <c r="DS67" s="681"/>
      <c r="DT67" s="143" t="s">
        <v>210</v>
      </c>
      <c r="DU67" s="731"/>
      <c r="DV67" s="143">
        <f>AVERAGE(DX49:DY49)*(0.2*1000)/10</f>
        <v>199.56490000000031</v>
      </c>
      <c r="DW67" s="662"/>
      <c r="EV67" s="647"/>
      <c r="EW67" s="724"/>
      <c r="EX67" s="686"/>
      <c r="EY67" s="143" t="s">
        <v>82</v>
      </c>
      <c r="EZ67" s="48">
        <f>AVERAGE(FB50:FC50)*(0.2*1000)/10</f>
        <v>243.95599999999985</v>
      </c>
      <c r="FA67" s="662"/>
    </row>
    <row r="68" spans="2:157" ht="15.75" thickBot="1" x14ac:dyDescent="0.3">
      <c r="B68" s="673"/>
      <c r="C68" s="648"/>
      <c r="D68" s="684"/>
      <c r="E68" s="144" t="s">
        <v>94</v>
      </c>
      <c r="F68" s="144">
        <f>(AVERAGE(H50:I50)*(0.2*1000))/10</f>
        <v>179.37429999999992</v>
      </c>
      <c r="G68" s="755"/>
      <c r="Q68" s="679"/>
      <c r="R68" s="665"/>
      <c r="S68" s="686"/>
      <c r="T68" s="143" t="s">
        <v>82</v>
      </c>
      <c r="U68" s="143">
        <f t="shared" si="121"/>
        <v>266.1800999999997</v>
      </c>
      <c r="V68" s="662"/>
      <c r="BY68" s="647"/>
      <c r="BZ68" s="681"/>
      <c r="CA68" s="681"/>
      <c r="CB68" s="143" t="s">
        <v>83</v>
      </c>
      <c r="CC68" s="143">
        <f>AVERAGE(CE51:CF51)*(0.2*1000)/10</f>
        <v>198.82800000000003</v>
      </c>
      <c r="CD68" s="662"/>
      <c r="CN68" s="666"/>
      <c r="CO68" s="661"/>
      <c r="CP68" s="661"/>
      <c r="CQ68" s="49" t="s">
        <v>212</v>
      </c>
      <c r="CR68" s="2"/>
      <c r="CS68" s="663"/>
      <c r="DC68" s="647"/>
      <c r="DD68" s="724"/>
      <c r="DE68" s="688"/>
      <c r="DF68" s="142" t="s">
        <v>83</v>
      </c>
      <c r="DG68" s="142">
        <f>AVERAGE(DI51:DJ51)*(0.2*1000)/10</f>
        <v>126.82550000000012</v>
      </c>
      <c r="DH68" s="728"/>
      <c r="DR68" s="665"/>
      <c r="DS68" s="681"/>
      <c r="DT68" s="143" t="s">
        <v>211</v>
      </c>
      <c r="DU68" s="731"/>
      <c r="DV68" s="143">
        <f>AVERAGE(DX50:DY50)*(0.2*1000)/10</f>
        <v>152.05660000000023</v>
      </c>
      <c r="DW68" s="662"/>
      <c r="EV68" s="647"/>
      <c r="EW68" s="724"/>
      <c r="EX68" s="686"/>
      <c r="EY68" s="143" t="s">
        <v>83</v>
      </c>
      <c r="EZ68" s="48">
        <f>AVERAGE(FB51:FC51)*(0.2*1000)/10</f>
        <v>262.15400000000017</v>
      </c>
      <c r="FA68" s="662"/>
    </row>
    <row r="69" spans="2:157" x14ac:dyDescent="0.25">
      <c r="Q69" s="679"/>
      <c r="R69" s="665"/>
      <c r="S69" s="686"/>
      <c r="T69" s="143" t="s">
        <v>83</v>
      </c>
      <c r="U69" s="143">
        <f t="shared" si="121"/>
        <v>241.48399999999953</v>
      </c>
      <c r="V69" s="662"/>
      <c r="BY69" s="647"/>
      <c r="BZ69" s="681"/>
      <c r="CA69" s="681" t="s">
        <v>238</v>
      </c>
      <c r="CB69" s="143" t="s">
        <v>94</v>
      </c>
      <c r="CC69" s="143">
        <f>AVERAGE(CG47:CH47)*(0.2*1000)/10</f>
        <v>198.82800000000003</v>
      </c>
      <c r="CD69" s="662">
        <f>AVERAGE(CC69:CC73)</f>
        <v>203.17200000000008</v>
      </c>
      <c r="DC69" s="647"/>
      <c r="DD69" s="724"/>
      <c r="DE69" s="686" t="s">
        <v>86</v>
      </c>
      <c r="DF69" s="143" t="s">
        <v>80</v>
      </c>
      <c r="DG69" s="143">
        <f>AVERAGE(DK47:DL47)*(0.2*1000)/10</f>
        <v>177.05989999999991</v>
      </c>
      <c r="DH69" s="727">
        <f>AVERAGE(DG69:DG72)</f>
        <v>161.36165</v>
      </c>
      <c r="DR69" s="665"/>
      <c r="DS69" s="682"/>
      <c r="DT69" s="142" t="s">
        <v>212</v>
      </c>
      <c r="DU69" s="734"/>
      <c r="DV69" s="149">
        <f>AVERAGE(DX51:DY51)*(0.2*1000)/10</f>
        <v>167.89270000000016</v>
      </c>
      <c r="DW69" s="662"/>
      <c r="EV69" s="647"/>
      <c r="EW69" s="724"/>
      <c r="EX69" s="686"/>
      <c r="EY69" s="143" t="s">
        <v>94</v>
      </c>
      <c r="EZ69" s="48">
        <f>AVERAGE(FD47:FE47)*(0.2*1000)/10</f>
        <v>312.70399999999995</v>
      </c>
      <c r="FA69" s="662"/>
    </row>
    <row r="70" spans="2:157" ht="15" customHeight="1" x14ac:dyDescent="0.25">
      <c r="Q70" s="679"/>
      <c r="R70" s="746"/>
      <c r="S70" s="688"/>
      <c r="T70" s="142" t="s">
        <v>94</v>
      </c>
      <c r="U70" s="142">
        <f t="shared" si="121"/>
        <v>302.10169999999988</v>
      </c>
      <c r="V70" s="728"/>
      <c r="BY70" s="647"/>
      <c r="BZ70" s="681"/>
      <c r="CA70" s="681"/>
      <c r="CB70" s="143" t="s">
        <v>209</v>
      </c>
      <c r="CC70" s="143">
        <f>AVERAGE(CG48:CH48)*(0.2*1000)/10</f>
        <v>194.48400000000049</v>
      </c>
      <c r="CD70" s="662"/>
      <c r="DC70" s="647"/>
      <c r="DD70" s="724"/>
      <c r="DE70" s="686"/>
      <c r="DF70" s="143" t="s">
        <v>79</v>
      </c>
      <c r="DG70" s="143">
        <f>AVERAGE(DK48:DL48)*(0.2*1000)/10</f>
        <v>195.89779999999999</v>
      </c>
      <c r="DH70" s="662"/>
      <c r="DR70" s="665"/>
      <c r="DS70" s="681" t="s">
        <v>298</v>
      </c>
      <c r="DT70" s="160" t="s">
        <v>80</v>
      </c>
      <c r="DU70" s="733" t="s">
        <v>301</v>
      </c>
      <c r="DV70" s="143">
        <f>AVERAGE(DZ47:EA47)*(0.2*1000)/10</f>
        <v>206.35179999999991</v>
      </c>
      <c r="DW70" s="662">
        <f>AVERAGE(DV70:DV74)</f>
        <v>232.59447999999998</v>
      </c>
      <c r="EV70" s="647"/>
      <c r="EW70" s="724"/>
      <c r="EX70" s="686"/>
      <c r="EY70" s="143" t="s">
        <v>209</v>
      </c>
      <c r="EZ70" s="48">
        <f>AVERAGE(FD48:FE48)*(0.2*1000)/10</f>
        <v>280.35199999999992</v>
      </c>
      <c r="FA70" s="662"/>
    </row>
    <row r="71" spans="2:157" x14ac:dyDescent="0.25">
      <c r="Q71" s="679"/>
      <c r="R71" s="745" t="s">
        <v>186</v>
      </c>
      <c r="S71" s="685" t="s">
        <v>187</v>
      </c>
      <c r="T71" s="143" t="s">
        <v>80</v>
      </c>
      <c r="U71" s="143">
        <f t="shared" ref="U71:U76" si="122">AVERAGE(Y47:Z47)*(0.2*1000)/10</f>
        <v>248.21930000000012</v>
      </c>
      <c r="V71" s="727">
        <f>AVERAGE(U71:U76)</f>
        <v>241.85818333333324</v>
      </c>
      <c r="BY71" s="647"/>
      <c r="BZ71" s="681"/>
      <c r="CA71" s="681"/>
      <c r="CB71" s="143" t="s">
        <v>210</v>
      </c>
      <c r="CC71" s="143">
        <f>AVERAGE(CG49:CH49)*(0.2*1000)/10</f>
        <v>205.34399999999977</v>
      </c>
      <c r="CD71" s="662"/>
      <c r="DC71" s="647"/>
      <c r="DD71" s="724"/>
      <c r="DE71" s="686"/>
      <c r="DF71" s="143" t="s">
        <v>81</v>
      </c>
      <c r="DG71" s="143">
        <f>AVERAGE(DK49:DL49)*(0.2*1000)/10</f>
        <v>154.03579999999991</v>
      </c>
      <c r="DH71" s="662"/>
      <c r="DR71" s="665"/>
      <c r="DS71" s="681"/>
      <c r="DT71" s="143" t="s">
        <v>79</v>
      </c>
      <c r="DU71" s="731"/>
      <c r="DV71" s="143">
        <f>AVERAGE(DZ48:EA48)*(0.2*1000)/10</f>
        <v>219.92559999999986</v>
      </c>
      <c r="DW71" s="662"/>
      <c r="EV71" s="647"/>
      <c r="EW71" s="724"/>
      <c r="EX71" s="686"/>
      <c r="EY71" s="143" t="s">
        <v>210</v>
      </c>
      <c r="EZ71" s="48">
        <f>AVERAGE(FD49:FE49)*(0.2*1000)/10</f>
        <v>300.57200000000051</v>
      </c>
      <c r="FA71" s="662"/>
    </row>
    <row r="72" spans="2:157" ht="15.75" thickBot="1" x14ac:dyDescent="0.3">
      <c r="Q72" s="679"/>
      <c r="R72" s="665"/>
      <c r="S72" s="686"/>
      <c r="T72" s="143" t="s">
        <v>79</v>
      </c>
      <c r="U72" s="143">
        <f t="shared" si="122"/>
        <v>232.50360000000001</v>
      </c>
      <c r="V72" s="662"/>
      <c r="BY72" s="647"/>
      <c r="BZ72" s="681"/>
      <c r="CA72" s="681"/>
      <c r="CB72" s="143" t="s">
        <v>211</v>
      </c>
      <c r="CC72" s="143">
        <f>AVERAGE(CG50:CH50)*(0.2*1000)/10</f>
        <v>211.86000000000007</v>
      </c>
      <c r="CD72" s="662"/>
      <c r="DC72" s="648"/>
      <c r="DD72" s="726"/>
      <c r="DE72" s="687"/>
      <c r="DF72" s="144" t="s">
        <v>82</v>
      </c>
      <c r="DG72" s="144">
        <f>AVERAGE(DK50:DL50)*(0.2*1000)/10</f>
        <v>118.45310000000013</v>
      </c>
      <c r="DH72" s="663"/>
      <c r="DR72" s="665"/>
      <c r="DS72" s="681"/>
      <c r="DT72" s="143" t="s">
        <v>81</v>
      </c>
      <c r="DU72" s="731"/>
      <c r="DV72" s="143">
        <f>AVERAGE(DZ49:EA49)*(0.2*1000)/10</f>
        <v>242.54859999999994</v>
      </c>
      <c r="DW72" s="662"/>
      <c r="EV72" s="647"/>
      <c r="EW72" s="724"/>
      <c r="EX72" s="686"/>
      <c r="EY72" s="143" t="s">
        <v>211</v>
      </c>
      <c r="EZ72" s="48">
        <f>AVERAGE(FD50:FE50)*(0.2*1000)/10</f>
        <v>280.35199999999992</v>
      </c>
      <c r="FA72" s="662"/>
    </row>
    <row r="73" spans="2:157" ht="15.75" thickBot="1" x14ac:dyDescent="0.3">
      <c r="Q73" s="679"/>
      <c r="R73" s="665"/>
      <c r="S73" s="686"/>
      <c r="T73" s="143" t="s">
        <v>81</v>
      </c>
      <c r="U73" s="143">
        <f t="shared" si="122"/>
        <v>232.50359999999972</v>
      </c>
      <c r="V73" s="662"/>
      <c r="BY73" s="648"/>
      <c r="BZ73" s="684"/>
      <c r="CA73" s="684"/>
      <c r="CB73" s="144" t="s">
        <v>212</v>
      </c>
      <c r="CC73" s="144">
        <f>AVERAGE(CG51:CH51)*(0.2*1000)/10</f>
        <v>205.34400000000005</v>
      </c>
      <c r="CD73" s="663"/>
      <c r="DR73" s="665"/>
      <c r="DS73" s="681"/>
      <c r="DT73" s="143" t="s">
        <v>82</v>
      </c>
      <c r="DU73" s="731"/>
      <c r="DV73" s="143">
        <f>AVERAGE(DZ50:EA50)*(0.2*1000)/10</f>
        <v>244.81090000000009</v>
      </c>
      <c r="DW73" s="662"/>
      <c r="EV73" s="648"/>
      <c r="EW73" s="726"/>
      <c r="EX73" s="687"/>
      <c r="EY73" s="144" t="s">
        <v>212</v>
      </c>
      <c r="EZ73" s="49">
        <f>AVERAGE(FD51:FE51)*(0.2*1000)/10</f>
        <v>272.26400000000001</v>
      </c>
      <c r="FA73" s="663"/>
    </row>
    <row r="74" spans="2:157" x14ac:dyDescent="0.25">
      <c r="Q74" s="679"/>
      <c r="R74" s="665"/>
      <c r="S74" s="686"/>
      <c r="T74" s="143" t="s">
        <v>82</v>
      </c>
      <c r="U74" s="143">
        <f t="shared" si="122"/>
        <v>219.03299999999999</v>
      </c>
      <c r="V74" s="662"/>
      <c r="DR74" s="665"/>
      <c r="DS74" s="681"/>
      <c r="DT74" s="142" t="s">
        <v>83</v>
      </c>
      <c r="DU74" s="734"/>
      <c r="DV74" s="149">
        <f>AVERAGE(DZ51:EA51)*(0.2*1000)/10</f>
        <v>249.33550000000008</v>
      </c>
      <c r="DW74" s="662"/>
    </row>
    <row r="75" spans="2:157" ht="15" customHeight="1" x14ac:dyDescent="0.25">
      <c r="Q75" s="679"/>
      <c r="R75" s="665"/>
      <c r="S75" s="686"/>
      <c r="T75" s="143" t="s">
        <v>83</v>
      </c>
      <c r="U75" s="143">
        <f t="shared" si="122"/>
        <v>243.72909999999993</v>
      </c>
      <c r="V75" s="662"/>
      <c r="DR75" s="665"/>
      <c r="DS75" s="681"/>
      <c r="DT75" s="143" t="s">
        <v>94</v>
      </c>
      <c r="DU75" s="731" t="s">
        <v>302</v>
      </c>
      <c r="DV75" s="143">
        <f>AVERAGE(EB47:EC47)*(0.2*1000)/10</f>
        <v>172.41730000000018</v>
      </c>
      <c r="DW75" s="662">
        <f>AVERAGE(DV75:DV79)</f>
        <v>168.34516000000013</v>
      </c>
    </row>
    <row r="76" spans="2:157" ht="15.75" thickBot="1" x14ac:dyDescent="0.3">
      <c r="Q76" s="673"/>
      <c r="R76" s="666"/>
      <c r="S76" s="687"/>
      <c r="T76" s="144" t="s">
        <v>94</v>
      </c>
      <c r="U76" s="144">
        <f t="shared" si="122"/>
        <v>275.16049999999979</v>
      </c>
      <c r="V76" s="663"/>
      <c r="DR76" s="665"/>
      <c r="DS76" s="681"/>
      <c r="DT76" s="143" t="s">
        <v>209</v>
      </c>
      <c r="DU76" s="731"/>
      <c r="DV76" s="143">
        <f>AVERAGE(EB48:EC48)*(0.2*1000)/10</f>
        <v>163.36810000000014</v>
      </c>
      <c r="DW76" s="662"/>
    </row>
    <row r="77" spans="2:157" x14ac:dyDescent="0.25">
      <c r="DR77" s="665"/>
      <c r="DS77" s="681"/>
      <c r="DT77" s="143" t="s">
        <v>210</v>
      </c>
      <c r="DU77" s="731"/>
      <c r="DV77" s="143">
        <f>AVERAGE(EB49:EC49)*(0.2*1000)/10</f>
        <v>183.72880000000009</v>
      </c>
      <c r="DW77" s="662"/>
    </row>
    <row r="78" spans="2:157" x14ac:dyDescent="0.25">
      <c r="DR78" s="665"/>
      <c r="DS78" s="681"/>
      <c r="DT78" s="143" t="s">
        <v>211</v>
      </c>
      <c r="DU78" s="731"/>
      <c r="DV78" s="143">
        <f>AVERAGE(EB50:EC50)*(0.2*1000)/10</f>
        <v>158.84350000000012</v>
      </c>
      <c r="DW78" s="662"/>
    </row>
    <row r="79" spans="2:157" ht="15.75" thickBot="1" x14ac:dyDescent="0.3">
      <c r="DR79" s="666"/>
      <c r="DS79" s="684"/>
      <c r="DT79" s="144" t="s">
        <v>212</v>
      </c>
      <c r="DU79" s="732"/>
      <c r="DV79" s="144">
        <f>AVERAGE(EB51:EC51)*(0.2*1000)/10</f>
        <v>163.36810000000014</v>
      </c>
      <c r="DW79" s="663"/>
    </row>
  </sheetData>
  <mergeCells count="171">
    <mergeCell ref="FK2:FK10"/>
    <mergeCell ref="FK11:FK19"/>
    <mergeCell ref="FK20:FK28"/>
    <mergeCell ref="FK29:FK43"/>
    <mergeCell ref="FK44:FK52"/>
    <mergeCell ref="FK53:FK63"/>
    <mergeCell ref="FL54:FL63"/>
    <mergeCell ref="FM54:FM63"/>
    <mergeCell ref="FP54:FP63"/>
    <mergeCell ref="CN53:CN68"/>
    <mergeCell ref="CO54:CO58"/>
    <mergeCell ref="CP54:CP58"/>
    <mergeCell ref="CS54:CS58"/>
    <mergeCell ref="CO59:CO68"/>
    <mergeCell ref="CP59:CP68"/>
    <mergeCell ref="CS59:CS68"/>
    <mergeCell ref="CN2:CN10"/>
    <mergeCell ref="CN11:CN19"/>
    <mergeCell ref="CN20:CN28"/>
    <mergeCell ref="CN29:CN43"/>
    <mergeCell ref="CN44:CN52"/>
    <mergeCell ref="BY53:BY73"/>
    <mergeCell ref="BZ54:BZ63"/>
    <mergeCell ref="CA54:CA58"/>
    <mergeCell ref="CD54:CD58"/>
    <mergeCell ref="CA59:CA63"/>
    <mergeCell ref="BZ64:BZ73"/>
    <mergeCell ref="CA64:CA68"/>
    <mergeCell ref="CA69:CA73"/>
    <mergeCell ref="CD69:CD73"/>
    <mergeCell ref="CD59:CD63"/>
    <mergeCell ref="CD64:CD68"/>
    <mergeCell ref="BY2:BY10"/>
    <mergeCell ref="BY11:BY19"/>
    <mergeCell ref="BY20:BY28"/>
    <mergeCell ref="BY29:BY43"/>
    <mergeCell ref="BY44:BY52"/>
    <mergeCell ref="AF1:AS1"/>
    <mergeCell ref="AF53:AF61"/>
    <mergeCell ref="AG54:AG56"/>
    <mergeCell ref="AH54:AH56"/>
    <mergeCell ref="AK54:AK56"/>
    <mergeCell ref="AG57:AG61"/>
    <mergeCell ref="AH57:AH61"/>
    <mergeCell ref="AK57:AK61"/>
    <mergeCell ref="AF2:AF10"/>
    <mergeCell ref="AF11:AF19"/>
    <mergeCell ref="AF20:AF28"/>
    <mergeCell ref="AF29:AF43"/>
    <mergeCell ref="AF44:AF52"/>
    <mergeCell ref="AU1:BH1"/>
    <mergeCell ref="AU2:AU10"/>
    <mergeCell ref="AU11:AU19"/>
    <mergeCell ref="AU20:AU28"/>
    <mergeCell ref="AU29:AU43"/>
    <mergeCell ref="AZ61:AZ65"/>
    <mergeCell ref="B53:B68"/>
    <mergeCell ref="C55:C59"/>
    <mergeCell ref="D55:D59"/>
    <mergeCell ref="G55:G59"/>
    <mergeCell ref="C60:C64"/>
    <mergeCell ref="D60:D64"/>
    <mergeCell ref="G60:G64"/>
    <mergeCell ref="C65:C68"/>
    <mergeCell ref="D65:D68"/>
    <mergeCell ref="G65:G68"/>
    <mergeCell ref="Q20:Q28"/>
    <mergeCell ref="Q29:Q43"/>
    <mergeCell ref="Q44:Q52"/>
    <mergeCell ref="B44:B52"/>
    <mergeCell ref="B1:O1"/>
    <mergeCell ref="B2:B10"/>
    <mergeCell ref="B11:B19"/>
    <mergeCell ref="B20:B28"/>
    <mergeCell ref="B29:B43"/>
    <mergeCell ref="Q1:AD1"/>
    <mergeCell ref="Q2:Q10"/>
    <mergeCell ref="Q11:Q19"/>
    <mergeCell ref="Q53:Q76"/>
    <mergeCell ref="R54:R58"/>
    <mergeCell ref="S54:S58"/>
    <mergeCell ref="V54:V58"/>
    <mergeCell ref="R59:R64"/>
    <mergeCell ref="S59:S64"/>
    <mergeCell ref="V59:V64"/>
    <mergeCell ref="R65:R70"/>
    <mergeCell ref="S65:S70"/>
    <mergeCell ref="V65:V70"/>
    <mergeCell ref="R71:R76"/>
    <mergeCell ref="S71:S76"/>
    <mergeCell ref="V71:V76"/>
    <mergeCell ref="AZ59:AZ60"/>
    <mergeCell ref="AZ54:AZ58"/>
    <mergeCell ref="AU44:AU52"/>
    <mergeCell ref="AU53:AU65"/>
    <mergeCell ref="AV54:AV60"/>
    <mergeCell ref="AW54:AW58"/>
    <mergeCell ref="AW59:AW60"/>
    <mergeCell ref="AV61:AV65"/>
    <mergeCell ref="AW61:AW65"/>
    <mergeCell ref="BJ1:BW1"/>
    <mergeCell ref="BJ2:BJ10"/>
    <mergeCell ref="BJ11:BJ19"/>
    <mergeCell ref="BJ20:BJ28"/>
    <mergeCell ref="BJ29:BJ43"/>
    <mergeCell ref="BJ44:BJ52"/>
    <mergeCell ref="BJ53:BJ62"/>
    <mergeCell ref="BK54:BK57"/>
    <mergeCell ref="BL54:BL57"/>
    <mergeCell ref="BO54:BO57"/>
    <mergeCell ref="BK58:BK62"/>
    <mergeCell ref="BL58:BL62"/>
    <mergeCell ref="BO58:BO62"/>
    <mergeCell ref="DC2:DC10"/>
    <mergeCell ref="DC11:DC19"/>
    <mergeCell ref="DC20:DC28"/>
    <mergeCell ref="DC29:DC43"/>
    <mergeCell ref="DC44:DC52"/>
    <mergeCell ref="DC53:DC72"/>
    <mergeCell ref="DD54:DD63"/>
    <mergeCell ref="DE54:DE58"/>
    <mergeCell ref="DH54:DH58"/>
    <mergeCell ref="DE59:DE63"/>
    <mergeCell ref="DH59:DH63"/>
    <mergeCell ref="DD64:DD72"/>
    <mergeCell ref="DE64:DE68"/>
    <mergeCell ref="DH64:DH68"/>
    <mergeCell ref="DE69:DE72"/>
    <mergeCell ref="DH69:DH72"/>
    <mergeCell ref="DR2:DR10"/>
    <mergeCell ref="DR11:DR19"/>
    <mergeCell ref="DR20:DR28"/>
    <mergeCell ref="DR29:DR43"/>
    <mergeCell ref="DR44:DR52"/>
    <mergeCell ref="DS54:DS59"/>
    <mergeCell ref="DU54:DU59"/>
    <mergeCell ref="DS60:DS69"/>
    <mergeCell ref="DU60:DU64"/>
    <mergeCell ref="DU65:DU69"/>
    <mergeCell ref="DS70:DS79"/>
    <mergeCell ref="DU70:DU74"/>
    <mergeCell ref="DU75:DU79"/>
    <mergeCell ref="DW60:DW64"/>
    <mergeCell ref="DW54:DW59"/>
    <mergeCell ref="DW65:DW69"/>
    <mergeCell ref="DW70:DW74"/>
    <mergeCell ref="DW75:DW79"/>
    <mergeCell ref="DR53:DR79"/>
    <mergeCell ref="EL54:EL58"/>
    <mergeCell ref="EL59:EL63"/>
    <mergeCell ref="EG2:EG10"/>
    <mergeCell ref="EG11:EG19"/>
    <mergeCell ref="EG20:EG28"/>
    <mergeCell ref="EG29:EG43"/>
    <mergeCell ref="EG44:EG52"/>
    <mergeCell ref="EH54:EH63"/>
    <mergeCell ref="EI54:EI58"/>
    <mergeCell ref="EI59:EI63"/>
    <mergeCell ref="EG53:EG63"/>
    <mergeCell ref="FA64:FA73"/>
    <mergeCell ref="FA54:FA63"/>
    <mergeCell ref="EV2:EV10"/>
    <mergeCell ref="EV11:EV19"/>
    <mergeCell ref="EV20:EV28"/>
    <mergeCell ref="EV29:EV43"/>
    <mergeCell ref="EV44:EV52"/>
    <mergeCell ref="EV53:EV73"/>
    <mergeCell ref="EW54:EW63"/>
    <mergeCell ref="EX54:EX63"/>
    <mergeCell ref="EW64:EW73"/>
    <mergeCell ref="EX64:EX73"/>
  </mergeCells>
  <hyperlinks>
    <hyperlink ref="A1" location="'Table of Contents'!A1" display="Table of Contents" xr:uid="{383BE0B5-4C38-43CA-ABB0-6DB6AD259703}"/>
  </hyperlink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4C8F-DBD8-4147-8DF3-EF68E0089139}">
  <dimension ref="A1:ET65"/>
  <sheetViews>
    <sheetView topLeftCell="R27" workbookViewId="0">
      <selection activeCell="V46" sqref="V46"/>
    </sheetView>
  </sheetViews>
  <sheetFormatPr defaultRowHeight="15" x14ac:dyDescent="0.25"/>
  <cols>
    <col min="2" max="2" width="12.5703125" customWidth="1"/>
    <col min="3" max="3" width="11.42578125" customWidth="1"/>
    <col min="4" max="4" width="12.140625" bestFit="1" customWidth="1"/>
    <col min="17" max="17" width="13.7109375" customWidth="1"/>
    <col min="18" max="18" width="10.85546875" customWidth="1"/>
    <col min="19" max="19" width="10.7109375" customWidth="1"/>
    <col min="26" max="26" width="11.5703125" bestFit="1" customWidth="1"/>
    <col min="33" max="33" width="11.28515625" customWidth="1"/>
    <col min="34" max="34" width="13" customWidth="1"/>
    <col min="35" max="35" width="12.140625" bestFit="1" customWidth="1"/>
    <col min="47" max="47" width="11.42578125" customWidth="1"/>
    <col min="48" max="50" width="12.140625" bestFit="1" customWidth="1"/>
    <col min="62" max="62" width="12.42578125" customWidth="1"/>
    <col min="63" max="63" width="11.5703125" bestFit="1" customWidth="1"/>
    <col min="64" max="64" width="12.140625" bestFit="1" customWidth="1"/>
    <col min="65" max="65" width="11.5703125" bestFit="1" customWidth="1"/>
    <col min="78" max="78" width="10.85546875" customWidth="1"/>
    <col min="79" max="79" width="12.140625" bestFit="1" customWidth="1"/>
    <col min="80" max="80" width="10.5703125" bestFit="1" customWidth="1"/>
    <col min="92" max="92" width="13.140625" customWidth="1"/>
    <col min="93" max="93" width="10.5703125" customWidth="1"/>
    <col min="94" max="94" width="12.140625" bestFit="1" customWidth="1"/>
    <col min="95" max="95" width="11.5703125" bestFit="1" customWidth="1"/>
    <col min="107" max="107" width="13.85546875" customWidth="1"/>
    <col min="108" max="108" width="10.5703125" customWidth="1"/>
    <col min="109" max="109" width="12.140625" bestFit="1" customWidth="1"/>
    <col min="110" max="110" width="11.5703125" bestFit="1" customWidth="1"/>
    <col min="122" max="122" width="11.42578125" customWidth="1"/>
    <col min="123" max="123" width="10.85546875" customWidth="1"/>
    <col min="125" max="125" width="9.5703125" bestFit="1" customWidth="1"/>
    <col min="138" max="138" width="11.42578125" customWidth="1"/>
    <col min="139" max="139" width="12.140625" bestFit="1" customWidth="1"/>
    <col min="140" max="140" width="11.5703125" bestFit="1" customWidth="1"/>
  </cols>
  <sheetData>
    <row r="1" spans="1:150" ht="15.75" thickBot="1" x14ac:dyDescent="0.3">
      <c r="A1" s="356" t="s">
        <v>262</v>
      </c>
      <c r="B1" s="644" t="s">
        <v>113</v>
      </c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6"/>
      <c r="Q1" s="644" t="s">
        <v>203</v>
      </c>
      <c r="R1" s="645"/>
      <c r="S1" s="645"/>
      <c r="T1" s="645"/>
      <c r="U1" s="645"/>
      <c r="V1" s="645"/>
      <c r="W1" s="645"/>
      <c r="X1" s="645"/>
      <c r="Y1" s="645"/>
      <c r="Z1" s="645"/>
      <c r="AA1" s="645"/>
      <c r="AB1" s="645"/>
      <c r="AC1" s="645"/>
      <c r="AD1" s="646"/>
      <c r="AF1" s="644" t="s">
        <v>193</v>
      </c>
      <c r="AG1" s="645"/>
      <c r="AH1" s="645"/>
      <c r="AI1" s="645"/>
      <c r="AJ1" s="645"/>
      <c r="AK1" s="645"/>
      <c r="AL1" s="645"/>
      <c r="AM1" s="645"/>
      <c r="AN1" s="645"/>
      <c r="AO1" s="645"/>
      <c r="AP1" s="645"/>
      <c r="AQ1" s="645"/>
      <c r="AR1" s="645"/>
      <c r="AS1" s="646"/>
      <c r="AU1" s="644" t="s">
        <v>193</v>
      </c>
      <c r="AV1" s="645"/>
      <c r="AW1" s="645"/>
      <c r="AX1" s="645"/>
      <c r="AY1" s="645"/>
      <c r="AZ1" s="645"/>
      <c r="BA1" s="645"/>
      <c r="BB1" s="645"/>
      <c r="BC1" s="645"/>
      <c r="BD1" s="645"/>
      <c r="BE1" s="645"/>
      <c r="BF1" s="645"/>
      <c r="BG1" s="645"/>
      <c r="BH1" s="646"/>
    </row>
    <row r="2" spans="1:150" x14ac:dyDescent="0.25">
      <c r="B2" s="762" t="s">
        <v>37</v>
      </c>
      <c r="C2" s="200"/>
      <c r="D2" s="132">
        <v>1</v>
      </c>
      <c r="E2" s="132">
        <v>2</v>
      </c>
      <c r="F2" s="132">
        <v>3</v>
      </c>
      <c r="G2" s="132">
        <v>4</v>
      </c>
      <c r="H2" s="132">
        <v>5</v>
      </c>
      <c r="I2" s="132">
        <v>6</v>
      </c>
      <c r="J2" s="132">
        <v>7</v>
      </c>
      <c r="K2" s="132">
        <v>8</v>
      </c>
      <c r="L2" s="132">
        <v>9</v>
      </c>
      <c r="M2" s="132">
        <v>10</v>
      </c>
      <c r="N2" s="132">
        <v>11</v>
      </c>
      <c r="O2" s="133">
        <v>12</v>
      </c>
      <c r="Q2" s="649" t="s">
        <v>37</v>
      </c>
      <c r="R2" s="150"/>
      <c r="S2" s="132">
        <v>1</v>
      </c>
      <c r="T2" s="132">
        <v>2</v>
      </c>
      <c r="U2" s="132">
        <v>3</v>
      </c>
      <c r="V2" s="132">
        <v>4</v>
      </c>
      <c r="W2" s="132">
        <v>5</v>
      </c>
      <c r="X2" s="132">
        <v>6</v>
      </c>
      <c r="Y2" s="132">
        <v>7</v>
      </c>
      <c r="Z2" s="132">
        <v>8</v>
      </c>
      <c r="AA2" s="132">
        <v>9</v>
      </c>
      <c r="AB2" s="132">
        <v>10</v>
      </c>
      <c r="AC2" s="132">
        <v>11</v>
      </c>
      <c r="AD2" s="133">
        <v>12</v>
      </c>
      <c r="AF2" s="649" t="s">
        <v>37</v>
      </c>
      <c r="AG2" s="150"/>
      <c r="AH2" s="132">
        <v>1</v>
      </c>
      <c r="AI2" s="132">
        <v>2</v>
      </c>
      <c r="AJ2" s="132">
        <v>3</v>
      </c>
      <c r="AK2" s="132">
        <v>4</v>
      </c>
      <c r="AL2" s="132">
        <v>5</v>
      </c>
      <c r="AM2" s="132">
        <v>6</v>
      </c>
      <c r="AN2" s="132">
        <v>7</v>
      </c>
      <c r="AO2" s="132">
        <v>8</v>
      </c>
      <c r="AP2" s="132">
        <v>9</v>
      </c>
      <c r="AQ2" s="132">
        <v>10</v>
      </c>
      <c r="AR2" s="132">
        <v>11</v>
      </c>
      <c r="AS2" s="133">
        <v>12</v>
      </c>
      <c r="AU2" s="649" t="s">
        <v>37</v>
      </c>
      <c r="AV2" s="150"/>
      <c r="AW2" s="132">
        <v>1</v>
      </c>
      <c r="AX2" s="132">
        <v>2</v>
      </c>
      <c r="AY2" s="132">
        <v>3</v>
      </c>
      <c r="AZ2" s="132">
        <v>4</v>
      </c>
      <c r="BA2" s="132">
        <v>5</v>
      </c>
      <c r="BB2" s="132">
        <v>6</v>
      </c>
      <c r="BC2" s="132">
        <v>7</v>
      </c>
      <c r="BD2" s="132">
        <v>8</v>
      </c>
      <c r="BE2" s="132">
        <v>9</v>
      </c>
      <c r="BF2" s="132">
        <v>10</v>
      </c>
      <c r="BG2" s="132">
        <v>11</v>
      </c>
      <c r="BH2" s="133">
        <v>12</v>
      </c>
      <c r="BJ2" s="649" t="s">
        <v>37</v>
      </c>
      <c r="BK2" s="200"/>
      <c r="BL2" s="132">
        <v>1</v>
      </c>
      <c r="BM2" s="132">
        <v>2</v>
      </c>
      <c r="BN2" s="132">
        <v>3</v>
      </c>
      <c r="BO2" s="132">
        <v>4</v>
      </c>
      <c r="BP2" s="132">
        <v>5</v>
      </c>
      <c r="BQ2" s="132">
        <v>6</v>
      </c>
      <c r="BR2" s="132">
        <v>7</v>
      </c>
      <c r="BS2" s="132">
        <v>8</v>
      </c>
      <c r="BT2" s="132">
        <v>9</v>
      </c>
      <c r="BU2" s="132">
        <v>10</v>
      </c>
      <c r="BV2" s="132">
        <v>11</v>
      </c>
      <c r="BW2" s="133">
        <v>12</v>
      </c>
      <c r="BY2" s="649" t="s">
        <v>37</v>
      </c>
      <c r="BZ2" s="200"/>
      <c r="CA2" s="132">
        <v>1</v>
      </c>
      <c r="CB2" s="132">
        <v>2</v>
      </c>
      <c r="CC2" s="132">
        <v>3</v>
      </c>
      <c r="CD2" s="132">
        <v>4</v>
      </c>
      <c r="CE2" s="132">
        <v>5</v>
      </c>
      <c r="CF2" s="132">
        <v>6</v>
      </c>
      <c r="CG2" s="132">
        <v>7</v>
      </c>
      <c r="CH2" s="132">
        <v>8</v>
      </c>
      <c r="CI2" s="132">
        <v>9</v>
      </c>
      <c r="CJ2" s="132">
        <v>10</v>
      </c>
      <c r="CK2" s="132">
        <v>11</v>
      </c>
      <c r="CL2" s="133">
        <v>12</v>
      </c>
      <c r="CN2" s="649" t="s">
        <v>37</v>
      </c>
      <c r="CO2" s="200"/>
      <c r="CP2" s="132">
        <v>1</v>
      </c>
      <c r="CQ2" s="132">
        <v>2</v>
      </c>
      <c r="CR2" s="132">
        <v>3</v>
      </c>
      <c r="CS2" s="132">
        <v>4</v>
      </c>
      <c r="CT2" s="132">
        <v>5</v>
      </c>
      <c r="CU2" s="132">
        <v>6</v>
      </c>
      <c r="CV2" s="132">
        <v>7</v>
      </c>
      <c r="CW2" s="132">
        <v>8</v>
      </c>
      <c r="CX2" s="132">
        <v>9</v>
      </c>
      <c r="CY2" s="132">
        <v>10</v>
      </c>
      <c r="CZ2" s="132">
        <v>11</v>
      </c>
      <c r="DA2" s="133">
        <v>12</v>
      </c>
      <c r="DC2" s="649" t="s">
        <v>37</v>
      </c>
      <c r="DD2" s="150"/>
      <c r="DE2" s="132">
        <v>1</v>
      </c>
      <c r="DF2" s="132">
        <v>2</v>
      </c>
      <c r="DG2" s="132">
        <v>3</v>
      </c>
      <c r="DH2" s="132">
        <v>4</v>
      </c>
      <c r="DI2" s="132">
        <v>5</v>
      </c>
      <c r="DJ2" s="132">
        <v>6</v>
      </c>
      <c r="DK2" s="132">
        <v>7</v>
      </c>
      <c r="DL2" s="132">
        <v>8</v>
      </c>
      <c r="DM2" s="132">
        <v>9</v>
      </c>
      <c r="DN2" s="132">
        <v>10</v>
      </c>
      <c r="DO2" s="132">
        <v>11</v>
      </c>
      <c r="DP2" s="133">
        <v>12</v>
      </c>
      <c r="DR2" s="649" t="s">
        <v>37</v>
      </c>
      <c r="DS2" s="211"/>
      <c r="DT2" s="81">
        <v>1</v>
      </c>
      <c r="DU2" s="81">
        <v>2</v>
      </c>
      <c r="DV2" s="81">
        <v>3</v>
      </c>
      <c r="DW2" s="81">
        <v>4</v>
      </c>
      <c r="DX2" s="81">
        <v>5</v>
      </c>
      <c r="DY2" s="81">
        <v>6</v>
      </c>
      <c r="DZ2" s="81">
        <v>7</v>
      </c>
      <c r="EA2" s="81">
        <v>8</v>
      </c>
      <c r="EB2" s="81">
        <v>9</v>
      </c>
      <c r="EC2" s="81">
        <v>10</v>
      </c>
      <c r="ED2" s="81">
        <v>11</v>
      </c>
      <c r="EE2" s="81">
        <v>12</v>
      </c>
      <c r="EG2" s="649" t="s">
        <v>37</v>
      </c>
      <c r="EH2" s="211"/>
      <c r="EI2" s="81">
        <v>1</v>
      </c>
      <c r="EJ2" s="81">
        <v>2</v>
      </c>
      <c r="EK2" s="81">
        <v>3</v>
      </c>
      <c r="EL2" s="81">
        <v>4</v>
      </c>
      <c r="EM2" s="81">
        <v>5</v>
      </c>
      <c r="EN2" s="81">
        <v>6</v>
      </c>
      <c r="EO2" s="81">
        <v>7</v>
      </c>
      <c r="EP2" s="81">
        <v>8</v>
      </c>
      <c r="EQ2" s="81">
        <v>9</v>
      </c>
      <c r="ER2" s="81">
        <v>10</v>
      </c>
      <c r="ES2" s="81">
        <v>11</v>
      </c>
      <c r="ET2" s="81">
        <v>12</v>
      </c>
    </row>
    <row r="3" spans="1:150" x14ac:dyDescent="0.25">
      <c r="B3" s="763"/>
      <c r="C3" s="81" t="s">
        <v>44</v>
      </c>
      <c r="D3" s="18">
        <v>5.3999999999999999E-2</v>
      </c>
      <c r="E3" s="18">
        <v>4.4999999999999998E-2</v>
      </c>
      <c r="F3" s="18">
        <v>5.2999999999999999E-2</v>
      </c>
      <c r="G3" s="18">
        <v>5.2999999999999999E-2</v>
      </c>
      <c r="H3" s="18">
        <v>5.5E-2</v>
      </c>
      <c r="I3" s="18">
        <v>6.3E-2</v>
      </c>
      <c r="J3" s="18">
        <v>5.3999999999999999E-2</v>
      </c>
      <c r="K3" s="18">
        <v>0.05</v>
      </c>
      <c r="L3" s="18">
        <v>5.0999999999999997E-2</v>
      </c>
      <c r="M3" s="18">
        <v>5.8999999999999997E-2</v>
      </c>
      <c r="N3" s="18">
        <v>3.9E-2</v>
      </c>
      <c r="O3" s="39">
        <v>5.8999999999999997E-2</v>
      </c>
      <c r="Q3" s="647"/>
      <c r="R3" s="122" t="s">
        <v>44</v>
      </c>
      <c r="S3" s="18">
        <v>4.8000000000000001E-2</v>
      </c>
      <c r="T3" s="18">
        <v>4.8000000000000001E-2</v>
      </c>
      <c r="U3" s="18">
        <v>4.8000000000000001E-2</v>
      </c>
      <c r="V3" s="18">
        <v>4.8000000000000001E-2</v>
      </c>
      <c r="W3" s="18">
        <v>4.8000000000000001E-2</v>
      </c>
      <c r="X3" s="18">
        <v>4.8000000000000001E-2</v>
      </c>
      <c r="Y3" s="18">
        <v>4.8000000000000001E-2</v>
      </c>
      <c r="Z3" s="18">
        <v>4.9000000000000002E-2</v>
      </c>
      <c r="AA3" s="18">
        <v>4.9000000000000002E-2</v>
      </c>
      <c r="AB3" s="18">
        <v>4.9000000000000002E-2</v>
      </c>
      <c r="AC3" s="18">
        <v>4.8000000000000001E-2</v>
      </c>
      <c r="AD3" s="39">
        <v>4.8000000000000001E-2</v>
      </c>
      <c r="AF3" s="647"/>
      <c r="AG3" s="122" t="s">
        <v>44</v>
      </c>
      <c r="AH3" s="18">
        <v>4.8000000000000001E-2</v>
      </c>
      <c r="AI3" s="18">
        <v>0.25900000000000001</v>
      </c>
      <c r="AJ3" s="18">
        <v>4.8000000000000001E-2</v>
      </c>
      <c r="AK3" s="18">
        <v>4.8000000000000001E-2</v>
      </c>
      <c r="AL3" s="18">
        <v>4.9000000000000002E-2</v>
      </c>
      <c r="AM3" s="18">
        <v>4.8000000000000001E-2</v>
      </c>
      <c r="AN3" s="18">
        <v>4.9000000000000002E-2</v>
      </c>
      <c r="AO3" s="18">
        <v>4.9000000000000002E-2</v>
      </c>
      <c r="AP3" s="18">
        <v>0.05</v>
      </c>
      <c r="AQ3" s="18">
        <v>4.9000000000000002E-2</v>
      </c>
      <c r="AR3" s="18">
        <v>4.9000000000000002E-2</v>
      </c>
      <c r="AS3" s="39">
        <v>4.9000000000000002E-2</v>
      </c>
      <c r="AU3" s="647"/>
      <c r="AV3" s="122" t="s">
        <v>44</v>
      </c>
      <c r="AW3" s="18">
        <v>5.8999999999999997E-2</v>
      </c>
      <c r="AX3" s="18">
        <v>4.1000000000000002E-2</v>
      </c>
      <c r="AY3" s="18">
        <v>0.05</v>
      </c>
      <c r="AZ3" s="18">
        <v>5.0999999999999997E-2</v>
      </c>
      <c r="BA3" s="18">
        <v>0.05</v>
      </c>
      <c r="BB3" s="18">
        <v>5.2999999999999999E-2</v>
      </c>
      <c r="BC3" s="18">
        <v>0.05</v>
      </c>
      <c r="BD3" s="18">
        <v>6.0999999999999999E-2</v>
      </c>
      <c r="BE3" s="18">
        <v>0.05</v>
      </c>
      <c r="BF3" s="18">
        <v>0.05</v>
      </c>
      <c r="BG3" s="18">
        <v>0.05</v>
      </c>
      <c r="BH3" s="39">
        <v>3.7999999999999999E-2</v>
      </c>
      <c r="BJ3" s="647"/>
      <c r="BK3" s="81" t="s">
        <v>44</v>
      </c>
      <c r="BL3" s="18">
        <v>0.05</v>
      </c>
      <c r="BM3" s="18">
        <v>4.9000000000000002E-2</v>
      </c>
      <c r="BN3" s="18">
        <v>3.7999999999999999E-2</v>
      </c>
      <c r="BO3" s="18">
        <v>0.05</v>
      </c>
      <c r="BP3" s="18">
        <v>5.2999999999999999E-2</v>
      </c>
      <c r="BQ3" s="18">
        <v>0.05</v>
      </c>
      <c r="BR3" s="18">
        <v>4.9000000000000002E-2</v>
      </c>
      <c r="BS3" s="18">
        <v>3.7999999999999999E-2</v>
      </c>
      <c r="BT3" s="18">
        <v>5.1999999999999998E-2</v>
      </c>
      <c r="BU3" s="18">
        <v>5.0999999999999997E-2</v>
      </c>
      <c r="BV3" s="18">
        <v>0.05</v>
      </c>
      <c r="BW3" s="39">
        <v>9.9000000000000005E-2</v>
      </c>
      <c r="BY3" s="647"/>
      <c r="BZ3" s="81" t="s">
        <v>44</v>
      </c>
      <c r="CA3" s="18">
        <v>5.1999999999999998E-2</v>
      </c>
      <c r="CB3" s="18">
        <v>4.7E-2</v>
      </c>
      <c r="CC3" s="18">
        <v>0.05</v>
      </c>
      <c r="CD3" s="18">
        <v>5.0999999999999997E-2</v>
      </c>
      <c r="CE3" s="18">
        <v>5.0999999999999997E-2</v>
      </c>
      <c r="CF3" s="18">
        <v>0.05</v>
      </c>
      <c r="CG3" s="18">
        <v>5.0999999999999997E-2</v>
      </c>
      <c r="CH3" s="18">
        <v>3.7999999999999999E-2</v>
      </c>
      <c r="CI3" s="18">
        <v>3.7999999999999999E-2</v>
      </c>
      <c r="CJ3" s="18">
        <v>3.7999999999999999E-2</v>
      </c>
      <c r="CK3" s="18">
        <v>3.6999999999999998E-2</v>
      </c>
      <c r="CL3" s="39">
        <v>3.7999999999999999E-2</v>
      </c>
      <c r="CN3" s="647"/>
      <c r="CO3" s="81" t="s">
        <v>44</v>
      </c>
      <c r="CP3" s="18">
        <v>4.9000000000000002E-2</v>
      </c>
      <c r="CQ3" s="18">
        <v>4.8000000000000001E-2</v>
      </c>
      <c r="CR3" s="18">
        <v>5.3999999999999999E-2</v>
      </c>
      <c r="CS3" s="18">
        <v>0.05</v>
      </c>
      <c r="CT3" s="18">
        <v>0.05</v>
      </c>
      <c r="CU3" s="18">
        <v>0.05</v>
      </c>
      <c r="CV3" s="18">
        <v>4.9000000000000002E-2</v>
      </c>
      <c r="CW3" s="18">
        <v>4.9000000000000002E-2</v>
      </c>
      <c r="CX3" s="18">
        <v>4.8000000000000001E-2</v>
      </c>
      <c r="CY3" s="18">
        <v>4.8000000000000001E-2</v>
      </c>
      <c r="CZ3" s="18">
        <v>4.9000000000000002E-2</v>
      </c>
      <c r="DA3" s="39">
        <v>0.05</v>
      </c>
      <c r="DC3" s="647"/>
      <c r="DD3" s="122" t="s">
        <v>44</v>
      </c>
      <c r="DE3" s="18">
        <v>5.0999999999999997E-2</v>
      </c>
      <c r="DF3" s="18">
        <v>5.2999999999999999E-2</v>
      </c>
      <c r="DG3" s="18">
        <v>5.1999999999999998E-2</v>
      </c>
      <c r="DH3" s="18">
        <v>0.05</v>
      </c>
      <c r="DI3" s="18">
        <v>0.05</v>
      </c>
      <c r="DJ3" s="18">
        <v>5.0999999999999997E-2</v>
      </c>
      <c r="DK3" s="18">
        <v>5.0999999999999997E-2</v>
      </c>
      <c r="DL3" s="18">
        <v>4.9000000000000002E-2</v>
      </c>
      <c r="DM3" s="18">
        <v>0.05</v>
      </c>
      <c r="DN3" s="18">
        <v>5.2999999999999999E-2</v>
      </c>
      <c r="DO3" s="18">
        <v>5.6000000000000001E-2</v>
      </c>
      <c r="DP3" s="39">
        <v>5.1999999999999998E-2</v>
      </c>
      <c r="DR3" s="647"/>
      <c r="DS3" s="81" t="s">
        <v>44</v>
      </c>
      <c r="DT3" s="18">
        <v>5.8999999999999997E-2</v>
      </c>
      <c r="DU3" s="18">
        <v>4.8000000000000001E-2</v>
      </c>
      <c r="DV3" s="18">
        <v>4.8000000000000001E-2</v>
      </c>
      <c r="DW3" s="18">
        <v>5.5E-2</v>
      </c>
      <c r="DX3" s="18">
        <v>4.8000000000000001E-2</v>
      </c>
      <c r="DY3" s="18">
        <v>0.05</v>
      </c>
      <c r="DZ3" s="18">
        <v>4.8000000000000001E-2</v>
      </c>
      <c r="EA3" s="18">
        <v>4.8000000000000001E-2</v>
      </c>
      <c r="EB3" s="18">
        <v>4.8000000000000001E-2</v>
      </c>
      <c r="EC3" s="18">
        <v>4.8000000000000001E-2</v>
      </c>
      <c r="ED3" s="18">
        <v>4.8000000000000001E-2</v>
      </c>
      <c r="EE3" s="18">
        <v>0.10100000000000001</v>
      </c>
      <c r="EG3" s="647"/>
      <c r="EH3" s="81" t="s">
        <v>44</v>
      </c>
      <c r="EI3" s="18">
        <v>0.05</v>
      </c>
      <c r="EJ3" s="18">
        <v>4.8000000000000001E-2</v>
      </c>
      <c r="EK3" s="18">
        <v>4.8000000000000001E-2</v>
      </c>
      <c r="EL3" s="18">
        <v>4.8000000000000001E-2</v>
      </c>
      <c r="EM3" s="18">
        <v>4.8000000000000001E-2</v>
      </c>
      <c r="EN3" s="18">
        <v>4.8000000000000001E-2</v>
      </c>
      <c r="EO3" s="18">
        <v>4.8000000000000001E-2</v>
      </c>
      <c r="EP3" s="18">
        <v>4.8000000000000001E-2</v>
      </c>
      <c r="EQ3" s="18">
        <v>4.8000000000000001E-2</v>
      </c>
      <c r="ER3" s="18">
        <v>4.8000000000000001E-2</v>
      </c>
      <c r="ES3" s="18">
        <v>4.8000000000000001E-2</v>
      </c>
      <c r="ET3" s="18">
        <v>6.2E-2</v>
      </c>
    </row>
    <row r="4" spans="1:150" x14ac:dyDescent="0.25">
      <c r="B4" s="763"/>
      <c r="C4" s="81" t="s">
        <v>45</v>
      </c>
      <c r="D4" s="18">
        <v>5.5E-2</v>
      </c>
      <c r="E4" s="18">
        <v>7.2999999999999995E-2</v>
      </c>
      <c r="F4" s="120">
        <v>0.34100000000000003</v>
      </c>
      <c r="G4" s="120">
        <v>0.57199999999999995</v>
      </c>
      <c r="H4" s="83">
        <v>0.95899999999999996</v>
      </c>
      <c r="I4" s="82">
        <v>1.321</v>
      </c>
      <c r="J4" s="82">
        <v>1.137</v>
      </c>
      <c r="K4" s="121">
        <v>1.8169999999999999</v>
      </c>
      <c r="L4" s="37">
        <v>3.1440000000000001</v>
      </c>
      <c r="M4" s="199" t="s">
        <v>171</v>
      </c>
      <c r="N4" s="20">
        <v>3.8759999999999999</v>
      </c>
      <c r="O4" s="39">
        <v>4.2000000000000003E-2</v>
      </c>
      <c r="Q4" s="647"/>
      <c r="R4" s="122" t="s">
        <v>45</v>
      </c>
      <c r="S4" s="18">
        <v>4.8000000000000001E-2</v>
      </c>
      <c r="T4" s="18">
        <v>5.8999999999999997E-2</v>
      </c>
      <c r="U4" s="120">
        <v>0.314</v>
      </c>
      <c r="V4" s="17">
        <v>0.53100000000000003</v>
      </c>
      <c r="W4" s="83">
        <v>0.76200000000000001</v>
      </c>
      <c r="X4" s="82">
        <v>0.93200000000000005</v>
      </c>
      <c r="Y4" s="82">
        <v>1.006</v>
      </c>
      <c r="Z4" s="121">
        <v>1.3340000000000001</v>
      </c>
      <c r="AA4" s="20">
        <v>2.823</v>
      </c>
      <c r="AB4" s="199" t="s">
        <v>171</v>
      </c>
      <c r="AC4" s="199" t="s">
        <v>171</v>
      </c>
      <c r="AD4" s="39">
        <v>4.9000000000000002E-2</v>
      </c>
      <c r="AF4" s="647"/>
      <c r="AG4" s="122" t="s">
        <v>45</v>
      </c>
      <c r="AH4" s="18">
        <v>4.8000000000000001E-2</v>
      </c>
      <c r="AI4" s="18">
        <v>6.5000000000000002E-2</v>
      </c>
      <c r="AJ4" s="18">
        <v>0.30399999999999999</v>
      </c>
      <c r="AK4" s="120">
        <v>0.48</v>
      </c>
      <c r="AL4" s="17">
        <v>0.74399999999999999</v>
      </c>
      <c r="AM4" s="83">
        <v>0.95599999999999996</v>
      </c>
      <c r="AN4" s="83">
        <v>0.91</v>
      </c>
      <c r="AO4" s="21">
        <v>1.48</v>
      </c>
      <c r="AP4" s="34">
        <v>2.4220000000000002</v>
      </c>
      <c r="AQ4" s="20">
        <v>3.677</v>
      </c>
      <c r="AR4" s="199" t="s">
        <v>171</v>
      </c>
      <c r="AS4" s="39">
        <v>4.9000000000000002E-2</v>
      </c>
      <c r="AU4" s="647"/>
      <c r="AV4" s="122" t="s">
        <v>45</v>
      </c>
      <c r="AW4" s="18">
        <v>0.13</v>
      </c>
      <c r="AX4" s="18">
        <v>6.3E-2</v>
      </c>
      <c r="AY4" s="18">
        <v>0.216</v>
      </c>
      <c r="AZ4" s="120">
        <v>0.34300000000000003</v>
      </c>
      <c r="BA4" s="17">
        <v>0.64</v>
      </c>
      <c r="BB4" s="83">
        <v>0.84699999999999998</v>
      </c>
      <c r="BC4" s="17">
        <v>0.7</v>
      </c>
      <c r="BD4" s="21">
        <v>1.264</v>
      </c>
      <c r="BE4" s="34">
        <v>2.2749999999999999</v>
      </c>
      <c r="BF4" s="20">
        <v>3.2909999999999999</v>
      </c>
      <c r="BG4" s="199" t="s">
        <v>171</v>
      </c>
      <c r="BH4" s="39">
        <v>0.05</v>
      </c>
      <c r="BJ4" s="647"/>
      <c r="BK4" s="81" t="s">
        <v>45</v>
      </c>
      <c r="BL4" s="18">
        <v>5.1999999999999998E-2</v>
      </c>
      <c r="BM4" s="18">
        <v>5.1999999999999998E-2</v>
      </c>
      <c r="BN4" s="18">
        <v>0.28199999999999997</v>
      </c>
      <c r="BO4" s="120">
        <v>0.39400000000000002</v>
      </c>
      <c r="BP4" s="17">
        <v>0.61399999999999999</v>
      </c>
      <c r="BQ4" s="83">
        <v>0.92600000000000005</v>
      </c>
      <c r="BR4" s="82">
        <v>1.1100000000000001</v>
      </c>
      <c r="BS4" s="19">
        <v>2.1440000000000001</v>
      </c>
      <c r="BT4" s="20">
        <v>3.7679999999999998</v>
      </c>
      <c r="BU4" s="199" t="s">
        <v>171</v>
      </c>
      <c r="BV4" s="199" t="s">
        <v>171</v>
      </c>
      <c r="BW4" s="39">
        <v>4.8000000000000001E-2</v>
      </c>
      <c r="BY4" s="647"/>
      <c r="BZ4" s="81" t="s">
        <v>45</v>
      </c>
      <c r="CA4" s="18">
        <v>6.2E-2</v>
      </c>
      <c r="CB4" s="18">
        <v>6.6000000000000003E-2</v>
      </c>
      <c r="CC4" s="18">
        <v>0.223</v>
      </c>
      <c r="CD4" s="120">
        <v>0.39800000000000002</v>
      </c>
      <c r="CE4" s="17">
        <v>0.59899999999999998</v>
      </c>
      <c r="CF4" s="83">
        <v>0.85599999999999998</v>
      </c>
      <c r="CG4" s="82">
        <v>0.96799999999999997</v>
      </c>
      <c r="CH4" s="35">
        <v>1.8859999999999999</v>
      </c>
      <c r="CI4" s="20">
        <v>3.1440000000000001</v>
      </c>
      <c r="CJ4" s="199" t="s">
        <v>171</v>
      </c>
      <c r="CK4" s="199" t="s">
        <v>171</v>
      </c>
      <c r="CL4" s="39">
        <v>0.05</v>
      </c>
      <c r="CN4" s="647"/>
      <c r="CO4" s="81" t="s">
        <v>45</v>
      </c>
      <c r="CP4" s="18">
        <v>4.9000000000000002E-2</v>
      </c>
      <c r="CQ4" s="18">
        <v>6.6000000000000003E-2</v>
      </c>
      <c r="CR4" s="18">
        <v>0.185</v>
      </c>
      <c r="CS4" s="120">
        <v>0.32800000000000001</v>
      </c>
      <c r="CT4" s="17">
        <v>0.49199999999999999</v>
      </c>
      <c r="CU4" s="83">
        <v>0.71</v>
      </c>
      <c r="CV4" s="83">
        <v>0.878</v>
      </c>
      <c r="CW4" s="19">
        <v>1.641</v>
      </c>
      <c r="CX4" s="20">
        <v>3.0459999999999998</v>
      </c>
      <c r="CY4" s="199" t="s">
        <v>171</v>
      </c>
      <c r="CZ4" s="199" t="s">
        <v>171</v>
      </c>
      <c r="DA4" s="39">
        <v>5.0999999999999997E-2</v>
      </c>
      <c r="DC4" s="647"/>
      <c r="DD4" s="122" t="s">
        <v>45</v>
      </c>
      <c r="DE4" s="18">
        <v>5.0999999999999997E-2</v>
      </c>
      <c r="DF4" s="18">
        <v>6.5000000000000002E-2</v>
      </c>
      <c r="DG4" s="18">
        <v>0.26300000000000001</v>
      </c>
      <c r="DH4" s="120">
        <v>0.38100000000000001</v>
      </c>
      <c r="DI4" s="17">
        <v>0.755</v>
      </c>
      <c r="DJ4" s="83">
        <v>0.93400000000000005</v>
      </c>
      <c r="DK4" s="82">
        <v>1.163</v>
      </c>
      <c r="DL4" s="19">
        <v>2.0470000000000002</v>
      </c>
      <c r="DM4" s="20">
        <v>3.7679999999999998</v>
      </c>
      <c r="DN4" s="199" t="s">
        <v>171</v>
      </c>
      <c r="DO4" s="199" t="s">
        <v>171</v>
      </c>
      <c r="DP4" s="39">
        <v>4.9000000000000002E-2</v>
      </c>
      <c r="DR4" s="647"/>
      <c r="DS4" s="81" t="s">
        <v>45</v>
      </c>
      <c r="DT4" s="18">
        <v>4.9000000000000002E-2</v>
      </c>
      <c r="DU4" s="18">
        <v>6.7000000000000004E-2</v>
      </c>
      <c r="DV4" s="120">
        <v>0.27600000000000002</v>
      </c>
      <c r="DW4" s="120">
        <v>0.41199999999999998</v>
      </c>
      <c r="DX4" s="83">
        <v>0.81699999999999995</v>
      </c>
      <c r="DY4" s="21">
        <v>1.0820000000000001</v>
      </c>
      <c r="DZ4" s="121">
        <v>1.3420000000000001</v>
      </c>
      <c r="EA4" s="37">
        <v>2.391</v>
      </c>
      <c r="EB4" s="199" t="s">
        <v>171</v>
      </c>
      <c r="EC4" s="199" t="s">
        <v>171</v>
      </c>
      <c r="ED4" s="199" t="s">
        <v>171</v>
      </c>
      <c r="EE4" s="18">
        <v>0.05</v>
      </c>
      <c r="EG4" s="647"/>
      <c r="EH4" s="81" t="s">
        <v>45</v>
      </c>
      <c r="EI4" s="18">
        <v>4.9000000000000002E-2</v>
      </c>
      <c r="EJ4" s="18">
        <v>6.3E-2</v>
      </c>
      <c r="EK4" s="18">
        <v>0.20699999999999999</v>
      </c>
      <c r="EL4" s="120">
        <v>0.432</v>
      </c>
      <c r="EM4" s="83">
        <v>0.751</v>
      </c>
      <c r="EN4" s="21">
        <v>1.109</v>
      </c>
      <c r="EO4" s="121">
        <v>1.4610000000000001</v>
      </c>
      <c r="EP4" s="20">
        <v>2.6880000000000002</v>
      </c>
      <c r="EQ4" s="199" t="s">
        <v>171</v>
      </c>
      <c r="ER4" s="199" t="s">
        <v>171</v>
      </c>
      <c r="ES4" s="199" t="s">
        <v>171</v>
      </c>
      <c r="ET4" s="18">
        <v>4.9000000000000002E-2</v>
      </c>
    </row>
    <row r="5" spans="1:150" x14ac:dyDescent="0.25">
      <c r="B5" s="763"/>
      <c r="C5" s="81" t="s">
        <v>46</v>
      </c>
      <c r="D5" s="18">
        <v>5.7000000000000002E-2</v>
      </c>
      <c r="E5" s="18">
        <v>6.0999999999999999E-2</v>
      </c>
      <c r="F5" s="18">
        <v>0.29299999999999998</v>
      </c>
      <c r="G5" s="120">
        <v>0.48099999999999998</v>
      </c>
      <c r="H5" s="17">
        <v>0.81599999999999995</v>
      </c>
      <c r="I5" s="83">
        <v>1.1200000000000001</v>
      </c>
      <c r="J5" s="83">
        <v>0.998</v>
      </c>
      <c r="K5" s="121">
        <v>1.704</v>
      </c>
      <c r="L5" s="38">
        <v>3.0470000000000002</v>
      </c>
      <c r="M5" s="199" t="s">
        <v>171</v>
      </c>
      <c r="N5" s="199" t="s">
        <v>171</v>
      </c>
      <c r="O5" s="39">
        <v>0.06</v>
      </c>
      <c r="Q5" s="647"/>
      <c r="R5" s="122" t="s">
        <v>46</v>
      </c>
      <c r="S5" s="18">
        <v>4.8000000000000001E-2</v>
      </c>
      <c r="T5" s="18">
        <v>6.6000000000000003E-2</v>
      </c>
      <c r="U5" s="82">
        <v>0.84699999999999998</v>
      </c>
      <c r="V5" s="17">
        <v>0.46100000000000002</v>
      </c>
      <c r="W5" s="83">
        <v>0.68700000000000006</v>
      </c>
      <c r="X5" s="82">
        <v>0.91600000000000004</v>
      </c>
      <c r="Y5" s="82">
        <v>0.85599999999999998</v>
      </c>
      <c r="Z5" s="121">
        <v>1.383</v>
      </c>
      <c r="AA5" s="36">
        <v>2.4630000000000001</v>
      </c>
      <c r="AB5" s="199" t="s">
        <v>171</v>
      </c>
      <c r="AC5" s="199" t="s">
        <v>171</v>
      </c>
      <c r="AD5" s="39">
        <v>4.9000000000000002E-2</v>
      </c>
      <c r="AF5" s="647"/>
      <c r="AG5" s="122" t="s">
        <v>46</v>
      </c>
      <c r="AH5" s="18">
        <v>4.8000000000000001E-2</v>
      </c>
      <c r="AI5" s="18">
        <v>6.5000000000000002E-2</v>
      </c>
      <c r="AJ5" s="18">
        <v>0.28100000000000003</v>
      </c>
      <c r="AK5" s="120">
        <v>0.442</v>
      </c>
      <c r="AL5" s="17">
        <v>0.68100000000000005</v>
      </c>
      <c r="AM5" s="83">
        <v>0.89400000000000002</v>
      </c>
      <c r="AN5" s="83">
        <v>0.84499999999999997</v>
      </c>
      <c r="AO5" s="21">
        <v>1.3779999999999999</v>
      </c>
      <c r="AP5" s="34">
        <v>2.52</v>
      </c>
      <c r="AQ5" s="20">
        <v>3.4569999999999999</v>
      </c>
      <c r="AR5" s="199" t="s">
        <v>171</v>
      </c>
      <c r="AS5" s="39">
        <v>4.9000000000000002E-2</v>
      </c>
      <c r="AU5" s="647"/>
      <c r="AV5" s="122" t="s">
        <v>46</v>
      </c>
      <c r="AW5" s="18">
        <v>6.0999999999999999E-2</v>
      </c>
      <c r="AX5" s="18">
        <v>6.3E-2</v>
      </c>
      <c r="AY5" s="18">
        <v>0.19900000000000001</v>
      </c>
      <c r="AZ5" s="120">
        <v>0.31</v>
      </c>
      <c r="BA5" s="17">
        <v>0.57099999999999995</v>
      </c>
      <c r="BB5" s="83">
        <v>0.83</v>
      </c>
      <c r="BC5" s="17">
        <v>0.64100000000000001</v>
      </c>
      <c r="BD5" s="82">
        <v>1.157</v>
      </c>
      <c r="BE5" s="35">
        <v>2.0449999999999999</v>
      </c>
      <c r="BF5" s="36">
        <v>2.88</v>
      </c>
      <c r="BG5" s="199" t="s">
        <v>171</v>
      </c>
      <c r="BH5" s="39">
        <v>6.0999999999999999E-2</v>
      </c>
      <c r="BJ5" s="647"/>
      <c r="BK5" s="81" t="s">
        <v>46</v>
      </c>
      <c r="BL5" s="18">
        <v>4.2999999999999997E-2</v>
      </c>
      <c r="BM5" s="18">
        <v>5.3999999999999999E-2</v>
      </c>
      <c r="BN5" s="18">
        <v>0.21199999999999999</v>
      </c>
      <c r="BO5" s="120">
        <v>0.36699999999999999</v>
      </c>
      <c r="BP5" s="120">
        <v>0.53400000000000003</v>
      </c>
      <c r="BQ5" s="17">
        <v>0.80600000000000005</v>
      </c>
      <c r="BR5" s="83">
        <v>1.002</v>
      </c>
      <c r="BS5" s="121">
        <v>1.8660000000000001</v>
      </c>
      <c r="BT5" s="36">
        <v>3.3860000000000001</v>
      </c>
      <c r="BU5" s="199" t="s">
        <v>171</v>
      </c>
      <c r="BV5" s="199" t="s">
        <v>171</v>
      </c>
      <c r="BW5" s="39">
        <v>4.8000000000000001E-2</v>
      </c>
      <c r="BY5" s="647"/>
      <c r="BZ5" s="81" t="s">
        <v>46</v>
      </c>
      <c r="CA5" s="18">
        <v>5.2999999999999999E-2</v>
      </c>
      <c r="CB5" s="18">
        <v>6.8000000000000005E-2</v>
      </c>
      <c r="CC5" s="18">
        <v>0.20599999999999999</v>
      </c>
      <c r="CD5" s="120">
        <v>0.378</v>
      </c>
      <c r="CE5" s="17">
        <v>0.55800000000000005</v>
      </c>
      <c r="CF5" s="83">
        <v>0.77700000000000002</v>
      </c>
      <c r="CG5" s="83">
        <v>0.83599999999999997</v>
      </c>
      <c r="CH5" s="19">
        <v>1.677</v>
      </c>
      <c r="CI5" s="20">
        <v>2.9409999999999998</v>
      </c>
      <c r="CJ5" s="199" t="s">
        <v>171</v>
      </c>
      <c r="CK5" s="199" t="s">
        <v>171</v>
      </c>
      <c r="CL5" s="39">
        <v>6.4000000000000001E-2</v>
      </c>
      <c r="CN5" s="647"/>
      <c r="CO5" s="81" t="s">
        <v>46</v>
      </c>
      <c r="CP5" s="18">
        <v>5.1999999999999998E-2</v>
      </c>
      <c r="CQ5" s="18">
        <v>6.5000000000000002E-2</v>
      </c>
      <c r="CR5" s="18">
        <v>0.182</v>
      </c>
      <c r="CS5" s="120">
        <v>0.30499999999999999</v>
      </c>
      <c r="CT5" s="17">
        <v>0.47799999999999998</v>
      </c>
      <c r="CU5" s="83">
        <v>0.70299999999999996</v>
      </c>
      <c r="CV5" s="83">
        <v>0.86099999999999999</v>
      </c>
      <c r="CW5" s="19">
        <v>1.6359999999999999</v>
      </c>
      <c r="CX5" s="20">
        <v>2.8730000000000002</v>
      </c>
      <c r="CY5" s="199" t="s">
        <v>171</v>
      </c>
      <c r="CZ5" s="199" t="s">
        <v>171</v>
      </c>
      <c r="DA5" s="39">
        <v>0.05</v>
      </c>
      <c r="DC5" s="647"/>
      <c r="DD5" s="122" t="s">
        <v>46</v>
      </c>
      <c r="DE5" s="18">
        <v>5.5E-2</v>
      </c>
      <c r="DF5" s="18">
        <v>6.3E-2</v>
      </c>
      <c r="DG5" s="18">
        <v>0.29499999999999998</v>
      </c>
      <c r="DH5" s="120">
        <v>0.377</v>
      </c>
      <c r="DI5" s="17">
        <v>0.73199999999999998</v>
      </c>
      <c r="DJ5" s="83">
        <v>0.91900000000000004</v>
      </c>
      <c r="DK5" s="82">
        <v>1.1379999999999999</v>
      </c>
      <c r="DL5" s="19">
        <v>2.0009999999999999</v>
      </c>
      <c r="DM5" s="20">
        <v>3.62</v>
      </c>
      <c r="DN5" s="199" t="s">
        <v>171</v>
      </c>
      <c r="DO5" s="199" t="s">
        <v>171</v>
      </c>
      <c r="DP5" s="39">
        <v>0.05</v>
      </c>
      <c r="DR5" s="647"/>
      <c r="DS5" s="81" t="s">
        <v>46</v>
      </c>
      <c r="DT5" s="18">
        <v>7.2999999999999995E-2</v>
      </c>
      <c r="DU5" s="18">
        <v>6.4000000000000001E-2</v>
      </c>
      <c r="DV5" s="120">
        <v>0.26200000000000001</v>
      </c>
      <c r="DW5" s="120">
        <v>0.39100000000000001</v>
      </c>
      <c r="DX5" s="83">
        <v>0.80100000000000005</v>
      </c>
      <c r="DY5" s="82">
        <v>1.0369999999999999</v>
      </c>
      <c r="DZ5" s="121">
        <v>1.292</v>
      </c>
      <c r="EA5" s="37">
        <v>2.3740000000000001</v>
      </c>
      <c r="EB5" s="199" t="s">
        <v>171</v>
      </c>
      <c r="EC5" s="199" t="s">
        <v>171</v>
      </c>
      <c r="ED5" s="199" t="s">
        <v>171</v>
      </c>
      <c r="EE5" s="18">
        <v>0.128</v>
      </c>
      <c r="EG5" s="647"/>
      <c r="EH5" s="81" t="s">
        <v>46</v>
      </c>
      <c r="EI5" s="18">
        <v>8.2000000000000003E-2</v>
      </c>
      <c r="EJ5" s="18">
        <v>6.5000000000000002E-2</v>
      </c>
      <c r="EK5" s="18">
        <v>0.19900000000000001</v>
      </c>
      <c r="EL5" s="120">
        <v>0.41799999999999998</v>
      </c>
      <c r="EM5" s="83">
        <v>0.70699999999999996</v>
      </c>
      <c r="EN5" s="21">
        <v>1.06</v>
      </c>
      <c r="EO5" s="121">
        <v>1.4059999999999999</v>
      </c>
      <c r="EP5" s="37">
        <v>2.4140000000000001</v>
      </c>
      <c r="EQ5" s="199" t="s">
        <v>171</v>
      </c>
      <c r="ER5" s="199" t="s">
        <v>171</v>
      </c>
      <c r="ES5" s="199" t="s">
        <v>171</v>
      </c>
      <c r="ET5" s="18">
        <v>5.1999999999999998E-2</v>
      </c>
    </row>
    <row r="6" spans="1:150" x14ac:dyDescent="0.25">
      <c r="B6" s="763"/>
      <c r="C6" s="81" t="s">
        <v>47</v>
      </c>
      <c r="D6" s="18">
        <v>0.191</v>
      </c>
      <c r="E6" s="21">
        <v>1.4750000000000001</v>
      </c>
      <c r="F6" s="82">
        <v>1.3740000000000001</v>
      </c>
      <c r="G6" s="82">
        <v>1.383</v>
      </c>
      <c r="H6" s="21">
        <v>1.419</v>
      </c>
      <c r="I6" s="21">
        <v>1.526</v>
      </c>
      <c r="J6" s="82">
        <v>1.204</v>
      </c>
      <c r="K6" s="82">
        <v>1.2729999999999999</v>
      </c>
      <c r="L6" s="82">
        <v>1.228</v>
      </c>
      <c r="M6" s="82">
        <v>1.284</v>
      </c>
      <c r="N6" s="21">
        <v>1.514</v>
      </c>
      <c r="O6" s="39">
        <v>9.2999999999999999E-2</v>
      </c>
      <c r="Q6" s="647"/>
      <c r="R6" s="122" t="s">
        <v>47</v>
      </c>
      <c r="S6" s="18">
        <v>4.8000000000000001E-2</v>
      </c>
      <c r="T6" s="34">
        <v>1.9019999999999999</v>
      </c>
      <c r="U6" s="19">
        <v>1.595</v>
      </c>
      <c r="V6" s="34">
        <v>1.8460000000000001</v>
      </c>
      <c r="W6" s="19">
        <v>1.4810000000000001</v>
      </c>
      <c r="X6" s="21">
        <v>1.131</v>
      </c>
      <c r="Y6" s="19">
        <v>1.5069999999999999</v>
      </c>
      <c r="Z6" s="121">
        <v>1.272</v>
      </c>
      <c r="AA6" s="21">
        <v>1.22</v>
      </c>
      <c r="AB6" s="35">
        <v>1.7050000000000001</v>
      </c>
      <c r="AC6" s="121">
        <v>1.3009999999999999</v>
      </c>
      <c r="AD6" s="39">
        <v>4.9000000000000002E-2</v>
      </c>
      <c r="AF6" s="647"/>
      <c r="AG6" s="122" t="s">
        <v>47</v>
      </c>
      <c r="AH6" s="18">
        <v>4.8000000000000001E-2</v>
      </c>
      <c r="AI6" s="121">
        <v>1.667</v>
      </c>
      <c r="AJ6" s="82">
        <v>1.3069999999999999</v>
      </c>
      <c r="AK6" s="21">
        <v>1.56</v>
      </c>
      <c r="AL6" s="21">
        <v>1.417</v>
      </c>
      <c r="AM6" s="83">
        <v>0.95199999999999996</v>
      </c>
      <c r="AN6" s="21">
        <v>1.536</v>
      </c>
      <c r="AO6" s="21">
        <v>1.5509999999999999</v>
      </c>
      <c r="AP6" s="21">
        <v>1.534</v>
      </c>
      <c r="AQ6" s="21">
        <v>1.417</v>
      </c>
      <c r="AR6" s="18">
        <v>4.9000000000000002E-2</v>
      </c>
      <c r="AS6" s="39">
        <v>4.9000000000000002E-2</v>
      </c>
      <c r="AU6" s="647"/>
      <c r="AV6" s="122" t="s">
        <v>47</v>
      </c>
      <c r="AW6" s="18">
        <v>0.20599999999999999</v>
      </c>
      <c r="AX6" s="35">
        <v>2.0470000000000002</v>
      </c>
      <c r="AY6" s="35">
        <v>1.9830000000000001</v>
      </c>
      <c r="AZ6" s="35">
        <v>1.921</v>
      </c>
      <c r="BA6" s="17">
        <v>0.68899999999999995</v>
      </c>
      <c r="BB6" s="35">
        <v>1.99</v>
      </c>
      <c r="BC6" s="34">
        <v>2.177</v>
      </c>
      <c r="BD6" s="82">
        <v>1.125</v>
      </c>
      <c r="BE6" s="35">
        <v>1.956</v>
      </c>
      <c r="BF6" s="121">
        <v>1.4830000000000001</v>
      </c>
      <c r="BG6" s="21">
        <v>1.399</v>
      </c>
      <c r="BH6" s="39">
        <v>5.0999999999999997E-2</v>
      </c>
      <c r="BJ6" s="647"/>
      <c r="BK6" s="81" t="s">
        <v>47</v>
      </c>
      <c r="BL6" s="18">
        <v>5.1999999999999998E-2</v>
      </c>
      <c r="BM6" s="34">
        <v>2.6</v>
      </c>
      <c r="BN6" s="34">
        <v>2.637</v>
      </c>
      <c r="BO6" s="38">
        <v>2.726</v>
      </c>
      <c r="BP6" s="38">
        <v>2.7360000000000002</v>
      </c>
      <c r="BQ6" s="34">
        <v>2.5569999999999999</v>
      </c>
      <c r="BR6" s="38">
        <v>2.81</v>
      </c>
      <c r="BS6" s="38">
        <v>2.72</v>
      </c>
      <c r="BT6" s="35">
        <v>2.3090000000000002</v>
      </c>
      <c r="BU6" s="38">
        <v>2.883</v>
      </c>
      <c r="BV6" s="34">
        <v>2.4590000000000001</v>
      </c>
      <c r="BW6" s="39">
        <v>3.9E-2</v>
      </c>
      <c r="BY6" s="647"/>
      <c r="BZ6" s="81" t="s">
        <v>47</v>
      </c>
      <c r="CA6" s="18">
        <v>0.06</v>
      </c>
      <c r="CB6" s="38">
        <v>2.3879999999999999</v>
      </c>
      <c r="CC6" s="38">
        <v>2.4140000000000001</v>
      </c>
      <c r="CD6" s="38">
        <v>2.3250000000000002</v>
      </c>
      <c r="CE6" s="34">
        <v>2.2370000000000001</v>
      </c>
      <c r="CF6" s="34">
        <v>2.08</v>
      </c>
      <c r="CG6" s="38">
        <v>2.3730000000000002</v>
      </c>
      <c r="CH6" s="34">
        <v>2.2450000000000001</v>
      </c>
      <c r="CI6" s="38">
        <v>2.3679999999999999</v>
      </c>
      <c r="CJ6" s="34">
        <v>2.2290000000000001</v>
      </c>
      <c r="CK6" s="34">
        <v>2.0710000000000002</v>
      </c>
      <c r="CL6" s="39">
        <v>3.6999999999999998E-2</v>
      </c>
      <c r="CN6" s="647"/>
      <c r="CO6" s="81" t="s">
        <v>47</v>
      </c>
      <c r="CP6" s="18">
        <v>5.7000000000000002E-2</v>
      </c>
      <c r="CQ6" s="34">
        <v>2.0510000000000002</v>
      </c>
      <c r="CR6" s="35">
        <v>1.766</v>
      </c>
      <c r="CS6" s="35">
        <v>1.879</v>
      </c>
      <c r="CT6" s="35">
        <v>1.7969999999999999</v>
      </c>
      <c r="CU6" s="35">
        <v>1.7949999999999999</v>
      </c>
      <c r="CV6" s="19">
        <v>1.6479999999999999</v>
      </c>
      <c r="CW6" s="34">
        <v>1.978</v>
      </c>
      <c r="CX6" s="34">
        <v>2.0299999999999998</v>
      </c>
      <c r="CY6" s="38">
        <v>2.266</v>
      </c>
      <c r="CZ6" s="18">
        <v>0.05</v>
      </c>
      <c r="DA6" s="39">
        <v>4.9000000000000002E-2</v>
      </c>
      <c r="DC6" s="647"/>
      <c r="DD6" s="122" t="s">
        <v>47</v>
      </c>
      <c r="DE6" s="18">
        <v>5.0999999999999997E-2</v>
      </c>
      <c r="DF6" s="121">
        <v>1.879</v>
      </c>
      <c r="DG6" s="19">
        <v>2.081</v>
      </c>
      <c r="DH6" s="19">
        <v>2.1080000000000001</v>
      </c>
      <c r="DI6" s="34">
        <v>2.4569999999999999</v>
      </c>
      <c r="DJ6" s="19">
        <v>2.0550000000000002</v>
      </c>
      <c r="DK6" s="19">
        <v>2.06</v>
      </c>
      <c r="DL6" s="18">
        <v>9.4E-2</v>
      </c>
      <c r="DM6" s="19">
        <v>2.0430000000000001</v>
      </c>
      <c r="DN6" s="121">
        <v>1.861</v>
      </c>
      <c r="DO6" s="121">
        <v>1.859</v>
      </c>
      <c r="DP6" s="39">
        <v>5.0999999999999997E-2</v>
      </c>
      <c r="DR6" s="647"/>
      <c r="DS6" s="81" t="s">
        <v>47</v>
      </c>
      <c r="DT6" s="18">
        <v>4.8000000000000001E-2</v>
      </c>
      <c r="DU6" s="36">
        <v>2.6480000000000001</v>
      </c>
      <c r="DV6" s="37">
        <v>2.4380000000000002</v>
      </c>
      <c r="DW6" s="38">
        <v>2.2349999999999999</v>
      </c>
      <c r="DX6" s="36">
        <v>2.5470000000000002</v>
      </c>
      <c r="DY6" s="20">
        <v>2.8879999999999999</v>
      </c>
      <c r="DZ6" s="38">
        <v>2.266</v>
      </c>
      <c r="EA6" s="38">
        <v>2.2549999999999999</v>
      </c>
      <c r="EB6" s="37">
        <v>2.4460000000000002</v>
      </c>
      <c r="EC6" s="37">
        <v>2.3079999999999998</v>
      </c>
      <c r="ED6" s="20">
        <v>2.7229999999999999</v>
      </c>
      <c r="EE6" s="18">
        <v>5.1999999999999998E-2</v>
      </c>
      <c r="EG6" s="647"/>
      <c r="EH6" s="81" t="s">
        <v>47</v>
      </c>
      <c r="EI6" s="18">
        <v>0.153</v>
      </c>
      <c r="EJ6" s="35">
        <v>1.839</v>
      </c>
      <c r="EK6" s="34">
        <v>2.0030000000000001</v>
      </c>
      <c r="EL6" s="38">
        <v>2.073</v>
      </c>
      <c r="EM6" s="37">
        <v>2.367</v>
      </c>
      <c r="EN6" s="38">
        <v>2.1800000000000002</v>
      </c>
      <c r="EO6" s="37">
        <v>2.44</v>
      </c>
      <c r="EP6" s="37">
        <v>2.4350000000000001</v>
      </c>
      <c r="EQ6" s="35">
        <v>1.736</v>
      </c>
      <c r="ER6" s="36">
        <v>2.496</v>
      </c>
      <c r="ES6" s="37">
        <v>2.419</v>
      </c>
      <c r="ET6" s="18">
        <v>0.17699999999999999</v>
      </c>
    </row>
    <row r="7" spans="1:150" x14ac:dyDescent="0.25">
      <c r="B7" s="763"/>
      <c r="C7" s="81" t="s">
        <v>48</v>
      </c>
      <c r="D7" s="18">
        <v>7.5999999999999998E-2</v>
      </c>
      <c r="E7" s="21">
        <v>1.637</v>
      </c>
      <c r="F7" s="21">
        <v>1.4990000000000001</v>
      </c>
      <c r="G7" s="21">
        <v>1.49</v>
      </c>
      <c r="H7" s="21">
        <v>1.4990000000000001</v>
      </c>
      <c r="I7" s="121">
        <v>1.6930000000000001</v>
      </c>
      <c r="J7" s="21">
        <v>1.454</v>
      </c>
      <c r="K7" s="21">
        <v>1.59</v>
      </c>
      <c r="L7" s="21">
        <v>1.522</v>
      </c>
      <c r="M7" s="21">
        <v>1.651</v>
      </c>
      <c r="N7" s="121">
        <v>1.7929999999999999</v>
      </c>
      <c r="O7" s="39">
        <v>7.0999999999999994E-2</v>
      </c>
      <c r="Q7" s="647"/>
      <c r="R7" s="122" t="s">
        <v>48</v>
      </c>
      <c r="S7" s="18">
        <v>4.8000000000000001E-2</v>
      </c>
      <c r="T7" s="34">
        <v>1.9870000000000001</v>
      </c>
      <c r="U7" s="34">
        <v>1.8660000000000001</v>
      </c>
      <c r="V7" s="34">
        <v>1.847</v>
      </c>
      <c r="W7" s="19">
        <v>1.48</v>
      </c>
      <c r="X7" s="21">
        <v>1.1679999999999999</v>
      </c>
      <c r="Y7" s="19">
        <v>1.577</v>
      </c>
      <c r="Z7" s="121">
        <v>1.349</v>
      </c>
      <c r="AA7" s="121">
        <v>1.327</v>
      </c>
      <c r="AB7" s="34">
        <v>1.881</v>
      </c>
      <c r="AC7" s="121">
        <v>1.375</v>
      </c>
      <c r="AD7" s="39">
        <v>0.05</v>
      </c>
      <c r="AF7" s="647"/>
      <c r="AG7" s="122" t="s">
        <v>48</v>
      </c>
      <c r="AH7" s="18">
        <v>4.8000000000000001E-2</v>
      </c>
      <c r="AI7" s="121">
        <v>1.798</v>
      </c>
      <c r="AJ7" s="21">
        <v>1.411</v>
      </c>
      <c r="AK7" s="121">
        <v>1.6220000000000001</v>
      </c>
      <c r="AL7" s="21">
        <v>1.494</v>
      </c>
      <c r="AM7" s="83">
        <v>1.0069999999999999</v>
      </c>
      <c r="AN7" s="21">
        <v>1.512</v>
      </c>
      <c r="AO7" s="21">
        <v>1.6020000000000001</v>
      </c>
      <c r="AP7" s="21">
        <v>1.4970000000000001</v>
      </c>
      <c r="AQ7" s="21">
        <v>1.4430000000000001</v>
      </c>
      <c r="AR7" s="18">
        <v>4.9000000000000002E-2</v>
      </c>
      <c r="AS7" s="39">
        <v>0.05</v>
      </c>
      <c r="AU7" s="647"/>
      <c r="AV7" s="122" t="s">
        <v>48</v>
      </c>
      <c r="AW7" s="18">
        <v>0.17399999999999999</v>
      </c>
      <c r="AX7" s="35">
        <v>2.089</v>
      </c>
      <c r="AY7" s="35">
        <v>2.0129999999999999</v>
      </c>
      <c r="AZ7" s="35">
        <v>1.9219999999999999</v>
      </c>
      <c r="BA7" s="83">
        <v>0.753</v>
      </c>
      <c r="BB7" s="35">
        <v>2.121</v>
      </c>
      <c r="BC7" s="34">
        <v>2.3479999999999999</v>
      </c>
      <c r="BD7" s="21">
        <v>1.232</v>
      </c>
      <c r="BE7" s="35">
        <v>2.0449999999999999</v>
      </c>
      <c r="BF7" s="121">
        <v>1.5449999999999999</v>
      </c>
      <c r="BG7" s="121">
        <v>1.4419999999999999</v>
      </c>
      <c r="BH7" s="39">
        <v>0.05</v>
      </c>
      <c r="BJ7" s="647"/>
      <c r="BK7" s="81" t="s">
        <v>48</v>
      </c>
      <c r="BL7" s="18">
        <v>0.05</v>
      </c>
      <c r="BM7" s="34">
        <v>2.5870000000000002</v>
      </c>
      <c r="BN7" s="34">
        <v>2.5680000000000001</v>
      </c>
      <c r="BO7" s="37">
        <v>3.0049999999999999</v>
      </c>
      <c r="BP7" s="34">
        <v>2.6960000000000002</v>
      </c>
      <c r="BQ7" s="34">
        <v>2.512</v>
      </c>
      <c r="BR7" s="38">
        <v>2.7410000000000001</v>
      </c>
      <c r="BS7" s="34">
        <v>2.6859999999999999</v>
      </c>
      <c r="BT7" s="35">
        <v>2.35</v>
      </c>
      <c r="BU7" s="37">
        <v>2.9940000000000002</v>
      </c>
      <c r="BV7" s="34">
        <v>2.4969999999999999</v>
      </c>
      <c r="BW7" s="39">
        <v>3.5000000000000003E-2</v>
      </c>
      <c r="BY7" s="647"/>
      <c r="BZ7" s="81" t="s">
        <v>48</v>
      </c>
      <c r="CA7" s="18">
        <v>6.6000000000000003E-2</v>
      </c>
      <c r="CB7" s="38">
        <v>2.4700000000000002</v>
      </c>
      <c r="CC7" s="38">
        <v>2.4159999999999999</v>
      </c>
      <c r="CD7" s="38">
        <v>2.4670000000000001</v>
      </c>
      <c r="CE7" s="38">
        <v>2.3199999999999998</v>
      </c>
      <c r="CF7" s="38">
        <v>2.3140000000000001</v>
      </c>
      <c r="CG7" s="36">
        <v>2.7240000000000002</v>
      </c>
      <c r="CH7" s="37">
        <v>2.5310000000000001</v>
      </c>
      <c r="CI7" s="37">
        <v>2.5750000000000002</v>
      </c>
      <c r="CJ7" s="38">
        <v>2.464</v>
      </c>
      <c r="CK7" s="38">
        <v>2.3319999999999999</v>
      </c>
      <c r="CL7" s="39">
        <v>4.8000000000000001E-2</v>
      </c>
      <c r="CN7" s="647"/>
      <c r="CO7" s="81" t="s">
        <v>48</v>
      </c>
      <c r="CP7" s="18">
        <v>5.2999999999999999E-2</v>
      </c>
      <c r="CQ7" s="34">
        <v>2.0510000000000002</v>
      </c>
      <c r="CR7" s="19">
        <v>1.7350000000000001</v>
      </c>
      <c r="CS7" s="35">
        <v>1.8280000000000001</v>
      </c>
      <c r="CT7" s="35">
        <v>1.7689999999999999</v>
      </c>
      <c r="CU7" s="19">
        <v>1.716</v>
      </c>
      <c r="CV7" s="19">
        <v>1.613</v>
      </c>
      <c r="CW7" s="35">
        <v>1.915</v>
      </c>
      <c r="CX7" s="34">
        <v>1.978</v>
      </c>
      <c r="CY7" s="38">
        <v>2.1909999999999998</v>
      </c>
      <c r="CZ7" s="18">
        <v>4.1000000000000002E-2</v>
      </c>
      <c r="DA7" s="39">
        <v>0.04</v>
      </c>
      <c r="DC7" s="647"/>
      <c r="DD7" s="122" t="s">
        <v>48</v>
      </c>
      <c r="DE7" s="18">
        <v>5.1999999999999998E-2</v>
      </c>
      <c r="DF7" s="121">
        <v>1.831</v>
      </c>
      <c r="DG7" s="19">
        <v>2.0390000000000001</v>
      </c>
      <c r="DH7" s="19">
        <v>2.0139999999999998</v>
      </c>
      <c r="DI7" s="35">
        <v>2.2069999999999999</v>
      </c>
      <c r="DJ7" s="19">
        <v>2.0129999999999999</v>
      </c>
      <c r="DK7" s="19">
        <v>2.0870000000000002</v>
      </c>
      <c r="DL7" s="18">
        <v>9.0999999999999998E-2</v>
      </c>
      <c r="DM7" s="35">
        <v>2.198</v>
      </c>
      <c r="DN7" s="19">
        <v>1.984</v>
      </c>
      <c r="DO7" s="19">
        <v>2.0059999999999998</v>
      </c>
      <c r="DP7" s="39">
        <v>4.9000000000000002E-2</v>
      </c>
      <c r="DR7" s="647"/>
      <c r="DS7" s="81" t="s">
        <v>48</v>
      </c>
      <c r="DT7" s="18">
        <v>4.8000000000000001E-2</v>
      </c>
      <c r="DU7" s="36">
        <v>2.5779999999999998</v>
      </c>
      <c r="DV7" s="37">
        <v>2.4159999999999999</v>
      </c>
      <c r="DW7" s="38">
        <v>2.2000000000000002</v>
      </c>
      <c r="DX7" s="36">
        <v>2.484</v>
      </c>
      <c r="DY7" s="20">
        <v>2.863</v>
      </c>
      <c r="DZ7" s="38">
        <v>2.2360000000000002</v>
      </c>
      <c r="EA7" s="36">
        <v>2.5289999999999999</v>
      </c>
      <c r="EB7" s="37">
        <v>2.4359999999999999</v>
      </c>
      <c r="EC7" s="37">
        <v>2.3580000000000001</v>
      </c>
      <c r="ED7" s="20">
        <v>2.6970000000000001</v>
      </c>
      <c r="EE7" s="18">
        <v>8.8999999999999996E-2</v>
      </c>
      <c r="EG7" s="647"/>
      <c r="EH7" s="81" t="s">
        <v>48</v>
      </c>
      <c r="EI7" s="18">
        <v>0.05</v>
      </c>
      <c r="EJ7" s="34">
        <v>2.0350000000000001</v>
      </c>
      <c r="EK7" s="38">
        <v>2.1469999999999998</v>
      </c>
      <c r="EL7" s="38">
        <v>2.2410000000000001</v>
      </c>
      <c r="EM7" s="37">
        <v>2.4710000000000001</v>
      </c>
      <c r="EN7" s="38">
        <v>2.2360000000000002</v>
      </c>
      <c r="EO7" s="36">
        <v>2.5510000000000002</v>
      </c>
      <c r="EP7" s="36">
        <v>2.476</v>
      </c>
      <c r="EQ7" s="35">
        <v>1.7809999999999999</v>
      </c>
      <c r="ER7" s="36">
        <v>2.5369999999999999</v>
      </c>
      <c r="ES7" s="37">
        <v>2.4159999999999999</v>
      </c>
      <c r="ET7" s="18">
        <v>5.1999999999999998E-2</v>
      </c>
    </row>
    <row r="8" spans="1:150" x14ac:dyDescent="0.25">
      <c r="B8" s="763"/>
      <c r="C8" s="81" t="s">
        <v>49</v>
      </c>
      <c r="D8" s="18">
        <v>6.0999999999999999E-2</v>
      </c>
      <c r="E8" s="121">
        <v>1.796</v>
      </c>
      <c r="F8" s="21">
        <v>1.44</v>
      </c>
      <c r="G8" s="82">
        <v>1.1930000000000001</v>
      </c>
      <c r="H8" s="82">
        <v>1.19</v>
      </c>
      <c r="I8" s="21">
        <v>1.534</v>
      </c>
      <c r="J8" s="18">
        <v>6.2E-2</v>
      </c>
      <c r="K8" s="18">
        <v>5.1999999999999998E-2</v>
      </c>
      <c r="L8" s="18">
        <v>8.5000000000000006E-2</v>
      </c>
      <c r="M8" s="18">
        <v>7.5999999999999998E-2</v>
      </c>
      <c r="N8" s="18">
        <v>0.05</v>
      </c>
      <c r="O8" s="39">
        <v>5.3999999999999999E-2</v>
      </c>
      <c r="Q8" s="647"/>
      <c r="R8" s="122" t="s">
        <v>49</v>
      </c>
      <c r="S8" s="18">
        <v>4.9000000000000002E-2</v>
      </c>
      <c r="T8" s="19">
        <v>1.488</v>
      </c>
      <c r="U8" s="34">
        <v>1.927</v>
      </c>
      <c r="V8" s="121">
        <v>1.397</v>
      </c>
      <c r="W8" s="19">
        <v>1.611</v>
      </c>
      <c r="X8" s="19">
        <v>1.5009999999999999</v>
      </c>
      <c r="Y8" s="19">
        <v>1.4730000000000001</v>
      </c>
      <c r="Z8" s="21">
        <v>1.1060000000000001</v>
      </c>
      <c r="AA8" s="18">
        <v>5.7000000000000002E-2</v>
      </c>
      <c r="AB8" s="18">
        <v>4.9000000000000002E-2</v>
      </c>
      <c r="AC8" s="18">
        <v>4.9000000000000002E-2</v>
      </c>
      <c r="AD8" s="39">
        <v>4.9000000000000002E-2</v>
      </c>
      <c r="AF8" s="647"/>
      <c r="AG8" s="122" t="s">
        <v>49</v>
      </c>
      <c r="AH8" s="18">
        <v>4.9000000000000002E-2</v>
      </c>
      <c r="AI8" s="121">
        <v>1.75</v>
      </c>
      <c r="AJ8" s="121">
        <v>1.7609999999999999</v>
      </c>
      <c r="AK8" s="21">
        <v>1.5529999999999999</v>
      </c>
      <c r="AL8" s="82">
        <v>1.2669999999999999</v>
      </c>
      <c r="AM8" s="82">
        <v>1.214</v>
      </c>
      <c r="AN8" s="18">
        <v>0.112</v>
      </c>
      <c r="AO8" s="18">
        <v>5.1999999999999998E-2</v>
      </c>
      <c r="AP8" s="18">
        <v>5.5E-2</v>
      </c>
      <c r="AQ8" s="18">
        <v>5.0999999999999997E-2</v>
      </c>
      <c r="AR8" s="18">
        <v>0.16600000000000001</v>
      </c>
      <c r="AS8" s="39">
        <v>4.9000000000000002E-2</v>
      </c>
      <c r="AU8" s="647"/>
      <c r="AV8" s="122" t="s">
        <v>49</v>
      </c>
      <c r="AW8" s="18">
        <v>0.214</v>
      </c>
      <c r="AX8" s="19">
        <v>1.734</v>
      </c>
      <c r="AY8" s="19">
        <v>1.766</v>
      </c>
      <c r="AZ8" s="121">
        <v>1.5549999999999999</v>
      </c>
      <c r="BA8" s="21">
        <v>1.2629999999999999</v>
      </c>
      <c r="BB8" s="21">
        <v>1.2989999999999999</v>
      </c>
      <c r="BC8" s="21">
        <v>1.39</v>
      </c>
      <c r="BD8" s="82">
        <v>1.145</v>
      </c>
      <c r="BE8" s="21">
        <v>1.431</v>
      </c>
      <c r="BF8" s="121">
        <v>1.52</v>
      </c>
      <c r="BG8" s="82">
        <v>1.0820000000000001</v>
      </c>
      <c r="BH8" s="39">
        <v>0.05</v>
      </c>
      <c r="BJ8" s="647"/>
      <c r="BK8" s="81" t="s">
        <v>49</v>
      </c>
      <c r="BL8" s="18">
        <v>3.6999999999999998E-2</v>
      </c>
      <c r="BM8" s="34">
        <v>2.4460000000000002</v>
      </c>
      <c r="BN8" s="35">
        <v>2.3809999999999998</v>
      </c>
      <c r="BO8" s="34">
        <v>2.59</v>
      </c>
      <c r="BP8" s="35">
        <v>2.4209999999999998</v>
      </c>
      <c r="BQ8" s="35">
        <v>2.1779999999999999</v>
      </c>
      <c r="BR8" s="34">
        <v>2.6379999999999999</v>
      </c>
      <c r="BS8" s="34">
        <v>2.6120000000000001</v>
      </c>
      <c r="BT8" s="38">
        <v>2.8250000000000002</v>
      </c>
      <c r="BU8" s="34">
        <v>2.5350000000000001</v>
      </c>
      <c r="BV8" s="38">
        <v>2.7519999999999998</v>
      </c>
      <c r="BW8" s="39">
        <v>0.26100000000000001</v>
      </c>
      <c r="BY8" s="647"/>
      <c r="BZ8" s="81" t="s">
        <v>49</v>
      </c>
      <c r="CA8" s="18">
        <v>7.3999999999999996E-2</v>
      </c>
      <c r="CB8" s="38">
        <v>2.4369999999999998</v>
      </c>
      <c r="CC8" s="35">
        <v>2.008</v>
      </c>
      <c r="CD8" s="38">
        <v>2.4689999999999999</v>
      </c>
      <c r="CE8" s="37">
        <v>2.609</v>
      </c>
      <c r="CF8" s="18">
        <v>0.04</v>
      </c>
      <c r="CG8" s="18">
        <v>3.7999999999999999E-2</v>
      </c>
      <c r="CH8" s="18">
        <v>0.04</v>
      </c>
      <c r="CI8" s="18">
        <v>4.1000000000000002E-2</v>
      </c>
      <c r="CJ8" s="18">
        <v>2.8000000000000001E-2</v>
      </c>
      <c r="CK8" s="18">
        <v>4.1000000000000002E-2</v>
      </c>
      <c r="CL8" s="39">
        <v>4.9000000000000002E-2</v>
      </c>
      <c r="CN8" s="647"/>
      <c r="CO8" s="81" t="s">
        <v>49</v>
      </c>
      <c r="CP8" s="18">
        <v>4.2000000000000003E-2</v>
      </c>
      <c r="CQ8" s="35">
        <v>1.8180000000000001</v>
      </c>
      <c r="CR8" s="19">
        <v>1.7030000000000001</v>
      </c>
      <c r="CS8" s="19">
        <v>1.71</v>
      </c>
      <c r="CT8" s="34">
        <v>2.056</v>
      </c>
      <c r="CU8" s="19">
        <v>1.595</v>
      </c>
      <c r="CV8" s="121">
        <v>1.4570000000000001</v>
      </c>
      <c r="CW8" s="18">
        <v>4.4999999999999998E-2</v>
      </c>
      <c r="CX8" s="18">
        <v>0.13800000000000001</v>
      </c>
      <c r="CY8" s="18">
        <v>7.6999999999999999E-2</v>
      </c>
      <c r="CZ8" s="18">
        <v>4.9000000000000002E-2</v>
      </c>
      <c r="DA8" s="39">
        <v>5.0999999999999997E-2</v>
      </c>
      <c r="DC8" s="647"/>
      <c r="DD8" s="122" t="s">
        <v>49</v>
      </c>
      <c r="DE8" s="18">
        <v>4.4999999999999998E-2</v>
      </c>
      <c r="DF8" s="35">
        <v>2.3279999999999998</v>
      </c>
      <c r="DG8" s="34">
        <v>2.597</v>
      </c>
      <c r="DH8" s="34">
        <v>2.5449999999999999</v>
      </c>
      <c r="DI8" s="35">
        <v>2.4089999999999998</v>
      </c>
      <c r="DJ8" s="34">
        <v>2.4729999999999999</v>
      </c>
      <c r="DK8" s="35">
        <v>2.3759999999999999</v>
      </c>
      <c r="DL8" s="35">
        <v>2.2799999999999998</v>
      </c>
      <c r="DM8" s="19">
        <v>2.133</v>
      </c>
      <c r="DN8" s="19">
        <v>2.0470000000000002</v>
      </c>
      <c r="DO8" s="19">
        <v>2.1429999999999998</v>
      </c>
      <c r="DP8" s="39">
        <v>6.3E-2</v>
      </c>
      <c r="DR8" s="647"/>
      <c r="DS8" s="81" t="s">
        <v>49</v>
      </c>
      <c r="DT8" s="18">
        <v>4.9000000000000002E-2</v>
      </c>
      <c r="DU8" s="37">
        <v>2.403</v>
      </c>
      <c r="DV8" s="38">
        <v>2.093</v>
      </c>
      <c r="DW8" s="38">
        <v>2.1800000000000002</v>
      </c>
      <c r="DX8" s="37">
        <v>2.323</v>
      </c>
      <c r="DY8" s="38">
        <v>2.1549999999999998</v>
      </c>
      <c r="DZ8" s="38">
        <v>2.141</v>
      </c>
      <c r="EA8" s="36">
        <v>2.5310000000000001</v>
      </c>
      <c r="EB8" s="38">
        <v>2.1669999999999998</v>
      </c>
      <c r="EC8" s="38">
        <v>2.1869999999999998</v>
      </c>
      <c r="ED8" s="36">
        <v>2.6019999999999999</v>
      </c>
      <c r="EE8" s="18">
        <v>5.0999999999999997E-2</v>
      </c>
      <c r="EG8" s="647"/>
      <c r="EH8" s="81" t="s">
        <v>49</v>
      </c>
      <c r="EI8" s="18">
        <v>4.9000000000000002E-2</v>
      </c>
      <c r="EJ8" s="37">
        <v>2.4460000000000002</v>
      </c>
      <c r="EK8" s="38">
        <v>2.2309999999999999</v>
      </c>
      <c r="EL8" s="36">
        <v>2.4969999999999999</v>
      </c>
      <c r="EM8" s="36">
        <v>2.6219999999999999</v>
      </c>
      <c r="EN8" s="37">
        <v>2.456</v>
      </c>
      <c r="EO8" s="20">
        <v>2.8239999999999998</v>
      </c>
      <c r="EP8" s="37">
        <v>2.39</v>
      </c>
      <c r="EQ8" s="20">
        <v>2.7080000000000002</v>
      </c>
      <c r="ER8" s="36">
        <v>2.5609999999999999</v>
      </c>
      <c r="ES8" s="37">
        <v>2.407</v>
      </c>
      <c r="ET8" s="18">
        <v>4.9000000000000002E-2</v>
      </c>
    </row>
    <row r="9" spans="1:150" x14ac:dyDescent="0.25">
      <c r="B9" s="763"/>
      <c r="C9" s="81" t="s">
        <v>50</v>
      </c>
      <c r="D9" s="18">
        <v>5.8999999999999997E-2</v>
      </c>
      <c r="E9" s="121">
        <v>1.8149999999999999</v>
      </c>
      <c r="F9" s="21">
        <v>1.4950000000000001</v>
      </c>
      <c r="G9" s="82">
        <v>1.2829999999999999</v>
      </c>
      <c r="H9" s="82">
        <v>1.3520000000000001</v>
      </c>
      <c r="I9" s="21">
        <v>1.58</v>
      </c>
      <c r="J9" s="18">
        <v>0.05</v>
      </c>
      <c r="K9" s="18">
        <v>7.4999999999999997E-2</v>
      </c>
      <c r="L9" s="18">
        <v>0.114</v>
      </c>
      <c r="M9" s="18">
        <v>7.4999999999999997E-2</v>
      </c>
      <c r="N9" s="18">
        <v>6.0999999999999999E-2</v>
      </c>
      <c r="O9" s="39">
        <v>0.05</v>
      </c>
      <c r="Q9" s="647"/>
      <c r="R9" s="122" t="s">
        <v>50</v>
      </c>
      <c r="S9" s="18">
        <v>4.9000000000000002E-2</v>
      </c>
      <c r="T9" s="19">
        <v>1.591</v>
      </c>
      <c r="U9" s="38">
        <v>2.0609999999999999</v>
      </c>
      <c r="V9" s="19">
        <v>1.478</v>
      </c>
      <c r="W9" s="19">
        <v>1.6259999999999999</v>
      </c>
      <c r="X9" s="19">
        <v>1.526</v>
      </c>
      <c r="Y9" s="19">
        <v>1.4490000000000001</v>
      </c>
      <c r="Z9" s="21">
        <v>1.101</v>
      </c>
      <c r="AA9" s="18">
        <v>0.05</v>
      </c>
      <c r="AB9" s="18">
        <v>4.9000000000000002E-2</v>
      </c>
      <c r="AC9" s="18">
        <v>0.05</v>
      </c>
      <c r="AD9" s="39">
        <v>0.05</v>
      </c>
      <c r="AF9" s="647"/>
      <c r="AG9" s="122" t="s">
        <v>50</v>
      </c>
      <c r="AH9" s="18">
        <v>4.9000000000000002E-2</v>
      </c>
      <c r="AI9" s="121">
        <v>1.669</v>
      </c>
      <c r="AJ9" s="121">
        <v>1.694</v>
      </c>
      <c r="AK9" s="21">
        <v>1.4910000000000001</v>
      </c>
      <c r="AL9" s="82">
        <v>1.1850000000000001</v>
      </c>
      <c r="AM9" s="82">
        <v>1.3220000000000001</v>
      </c>
      <c r="AN9" s="18">
        <v>8.8999999999999996E-2</v>
      </c>
      <c r="AO9" s="18">
        <v>0.191</v>
      </c>
      <c r="AP9" s="18">
        <v>6.6000000000000003E-2</v>
      </c>
      <c r="AQ9" s="18">
        <v>0.16600000000000001</v>
      </c>
      <c r="AR9" s="18">
        <v>5.0999999999999997E-2</v>
      </c>
      <c r="AS9" s="39">
        <v>4.9000000000000002E-2</v>
      </c>
      <c r="AU9" s="647"/>
      <c r="AV9" s="122" t="s">
        <v>50</v>
      </c>
      <c r="AW9" s="18">
        <v>0.19800000000000001</v>
      </c>
      <c r="AX9" s="19">
        <v>1.831</v>
      </c>
      <c r="AY9" s="19">
        <v>1.821</v>
      </c>
      <c r="AZ9" s="19">
        <v>1.6759999999999999</v>
      </c>
      <c r="BA9" s="21">
        <v>1.417</v>
      </c>
      <c r="BB9" s="21">
        <v>1.3680000000000001</v>
      </c>
      <c r="BC9" s="121">
        <v>1.48</v>
      </c>
      <c r="BD9" s="82">
        <v>1.1659999999999999</v>
      </c>
      <c r="BE9" s="121">
        <v>1.4670000000000001</v>
      </c>
      <c r="BF9" s="121">
        <v>1.6180000000000001</v>
      </c>
      <c r="BG9" s="21">
        <v>1.206</v>
      </c>
      <c r="BH9" s="39">
        <v>0.14399999999999999</v>
      </c>
      <c r="BJ9" s="647"/>
      <c r="BK9" s="81" t="s">
        <v>50</v>
      </c>
      <c r="BL9" s="18">
        <v>0.05</v>
      </c>
      <c r="BM9" s="34">
        <v>2.5059999999999998</v>
      </c>
      <c r="BN9" s="34">
        <v>2.5249999999999999</v>
      </c>
      <c r="BO9" s="34">
        <v>2.6059999999999999</v>
      </c>
      <c r="BP9" s="34">
        <v>2.5110000000000001</v>
      </c>
      <c r="BQ9" s="35">
        <v>2.3050000000000002</v>
      </c>
      <c r="BR9" s="34">
        <v>2.6030000000000002</v>
      </c>
      <c r="BS9" s="34">
        <v>2.6259999999999999</v>
      </c>
      <c r="BT9" s="38">
        <v>2.8260000000000001</v>
      </c>
      <c r="BU9" s="34">
        <v>2.4590000000000001</v>
      </c>
      <c r="BV9" s="34">
        <v>2.6680000000000001</v>
      </c>
      <c r="BW9" s="39">
        <v>4.2000000000000003E-2</v>
      </c>
      <c r="BY9" s="647"/>
      <c r="BZ9" s="81" t="s">
        <v>50</v>
      </c>
      <c r="CA9" s="18">
        <v>8.5000000000000006E-2</v>
      </c>
      <c r="CB9" s="38">
        <v>2.4649999999999999</v>
      </c>
      <c r="CC9" s="34">
        <v>2.1259999999999999</v>
      </c>
      <c r="CD9" s="37">
        <v>2.4830000000000001</v>
      </c>
      <c r="CE9" s="37">
        <v>2.6779999999999999</v>
      </c>
      <c r="CF9" s="18">
        <v>5.5E-2</v>
      </c>
      <c r="CG9" s="18">
        <v>8.1000000000000003E-2</v>
      </c>
      <c r="CH9" s="18">
        <v>6.5000000000000002E-2</v>
      </c>
      <c r="CI9" s="18">
        <v>0.23599999999999999</v>
      </c>
      <c r="CJ9" s="18">
        <v>7.0000000000000007E-2</v>
      </c>
      <c r="CK9" s="18">
        <v>7.3999999999999996E-2</v>
      </c>
      <c r="CL9" s="39">
        <v>0.115</v>
      </c>
      <c r="CN9" s="647"/>
      <c r="CO9" s="81" t="s">
        <v>50</v>
      </c>
      <c r="CP9" s="18">
        <v>0.05</v>
      </c>
      <c r="CQ9" s="35">
        <v>1.835</v>
      </c>
      <c r="CR9" s="19">
        <v>1.732</v>
      </c>
      <c r="CS9" s="19">
        <v>1.7569999999999999</v>
      </c>
      <c r="CT9" s="34">
        <v>2.1019999999999999</v>
      </c>
      <c r="CU9" s="19">
        <v>1.6439999999999999</v>
      </c>
      <c r="CV9" s="121">
        <v>1.5349999999999999</v>
      </c>
      <c r="CW9" s="18">
        <v>7.9000000000000001E-2</v>
      </c>
      <c r="CX9" s="18">
        <v>5.6000000000000001E-2</v>
      </c>
      <c r="CY9" s="18">
        <v>4.9000000000000002E-2</v>
      </c>
      <c r="CZ9" s="18">
        <v>4.9000000000000002E-2</v>
      </c>
      <c r="DA9" s="39">
        <v>0.05</v>
      </c>
      <c r="DC9" s="647"/>
      <c r="DD9" s="122" t="s">
        <v>50</v>
      </c>
      <c r="DE9" s="18">
        <v>0.105</v>
      </c>
      <c r="DF9" s="35">
        <v>2.2730000000000001</v>
      </c>
      <c r="DG9" s="34">
        <v>2.57</v>
      </c>
      <c r="DH9" s="34">
        <v>2.5339999999999998</v>
      </c>
      <c r="DI9" s="35">
        <v>2.371</v>
      </c>
      <c r="DJ9" s="34">
        <v>2.4409999999999998</v>
      </c>
      <c r="DK9" s="35">
        <v>2.3860000000000001</v>
      </c>
      <c r="DL9" s="35">
        <v>2.246</v>
      </c>
      <c r="DM9" s="19">
        <v>2.1150000000000002</v>
      </c>
      <c r="DN9" s="19">
        <v>2.0710000000000002</v>
      </c>
      <c r="DO9" s="35">
        <v>2.1720000000000002</v>
      </c>
      <c r="DP9" s="39">
        <v>9.5000000000000001E-2</v>
      </c>
      <c r="DR9" s="647"/>
      <c r="DS9" s="81" t="s">
        <v>50</v>
      </c>
      <c r="DT9" s="18">
        <v>4.9000000000000002E-2</v>
      </c>
      <c r="DU9" s="37">
        <v>2.3959999999999999</v>
      </c>
      <c r="DV9" s="38">
        <v>2.09</v>
      </c>
      <c r="DW9" s="38">
        <v>2.1629999999999998</v>
      </c>
      <c r="DX9" s="37">
        <v>2.3319999999999999</v>
      </c>
      <c r="DY9" s="38">
        <v>2.1509999999999998</v>
      </c>
      <c r="DZ9" s="38">
        <v>2.14</v>
      </c>
      <c r="EA9" s="37">
        <v>2.4430000000000001</v>
      </c>
      <c r="EB9" s="38">
        <v>2.1589999999999998</v>
      </c>
      <c r="EC9" s="38">
        <v>2.2240000000000002</v>
      </c>
      <c r="ED9" s="36">
        <v>2.5739999999999998</v>
      </c>
      <c r="EE9" s="18">
        <v>4.9000000000000002E-2</v>
      </c>
      <c r="EG9" s="647"/>
      <c r="EH9" s="81" t="s">
        <v>50</v>
      </c>
      <c r="EI9" s="18">
        <v>0.05</v>
      </c>
      <c r="EJ9" s="36">
        <v>2.6110000000000002</v>
      </c>
      <c r="EK9" s="37">
        <v>2.3090000000000002</v>
      </c>
      <c r="EL9" s="36">
        <v>2.548</v>
      </c>
      <c r="EM9" s="20">
        <v>2.7029999999999998</v>
      </c>
      <c r="EN9" s="37">
        <v>2.4470000000000001</v>
      </c>
      <c r="EO9" s="20">
        <v>2.8759999999999999</v>
      </c>
      <c r="EP9" s="37">
        <v>2.3769999999999998</v>
      </c>
      <c r="EQ9" s="20">
        <v>2.7610000000000001</v>
      </c>
      <c r="ER9" s="36">
        <v>2.5750000000000002</v>
      </c>
      <c r="ES9" s="36">
        <v>2.4849999999999999</v>
      </c>
      <c r="ET9" s="18">
        <v>0.05</v>
      </c>
    </row>
    <row r="10" spans="1:150" ht="15.75" thickBot="1" x14ac:dyDescent="0.3">
      <c r="B10" s="764"/>
      <c r="C10" s="201" t="s">
        <v>51</v>
      </c>
      <c r="D10" s="40">
        <v>6.9000000000000006E-2</v>
      </c>
      <c r="E10" s="40">
        <v>5.0999999999999997E-2</v>
      </c>
      <c r="F10" s="40">
        <v>4.9000000000000002E-2</v>
      </c>
      <c r="G10" s="40">
        <v>4.9000000000000002E-2</v>
      </c>
      <c r="H10" s="40">
        <v>5.2999999999999999E-2</v>
      </c>
      <c r="I10" s="40">
        <v>5.8999999999999997E-2</v>
      </c>
      <c r="J10" s="40">
        <v>0.10299999999999999</v>
      </c>
      <c r="K10" s="40">
        <v>9.7000000000000003E-2</v>
      </c>
      <c r="L10" s="40">
        <v>8.3000000000000004E-2</v>
      </c>
      <c r="M10" s="40">
        <v>7.3999999999999996E-2</v>
      </c>
      <c r="N10" s="40">
        <v>6.4000000000000001E-2</v>
      </c>
      <c r="O10" s="41">
        <v>0.251</v>
      </c>
      <c r="Q10" s="648"/>
      <c r="R10" s="123" t="s">
        <v>51</v>
      </c>
      <c r="S10" s="40">
        <v>4.9000000000000002E-2</v>
      </c>
      <c r="T10" s="40">
        <v>4.9000000000000002E-2</v>
      </c>
      <c r="U10" s="40">
        <v>4.9000000000000002E-2</v>
      </c>
      <c r="V10" s="40">
        <v>4.9000000000000002E-2</v>
      </c>
      <c r="W10" s="40">
        <v>4.9000000000000002E-2</v>
      </c>
      <c r="X10" s="40">
        <v>8.4000000000000005E-2</v>
      </c>
      <c r="Y10" s="40">
        <v>5.7000000000000002E-2</v>
      </c>
      <c r="Z10" s="40">
        <v>4.9000000000000002E-2</v>
      </c>
      <c r="AA10" s="40">
        <v>4.9000000000000002E-2</v>
      </c>
      <c r="AB10" s="40">
        <v>4.9000000000000002E-2</v>
      </c>
      <c r="AC10" s="40">
        <v>4.9000000000000002E-2</v>
      </c>
      <c r="AD10" s="41">
        <v>4.9000000000000002E-2</v>
      </c>
      <c r="AF10" s="648"/>
      <c r="AG10" s="123" t="s">
        <v>51</v>
      </c>
      <c r="AH10" s="40">
        <v>4.9000000000000002E-2</v>
      </c>
      <c r="AI10" s="40">
        <v>4.9000000000000002E-2</v>
      </c>
      <c r="AJ10" s="40">
        <v>0.05</v>
      </c>
      <c r="AK10" s="40">
        <v>4.8000000000000001E-2</v>
      </c>
      <c r="AL10" s="40">
        <v>4.9000000000000002E-2</v>
      </c>
      <c r="AM10" s="40">
        <v>4.9000000000000002E-2</v>
      </c>
      <c r="AN10" s="40">
        <v>9.7000000000000003E-2</v>
      </c>
      <c r="AO10" s="40">
        <v>5.2999999999999999E-2</v>
      </c>
      <c r="AP10" s="40">
        <v>5.8999999999999997E-2</v>
      </c>
      <c r="AQ10" s="40">
        <v>5.0999999999999997E-2</v>
      </c>
      <c r="AR10" s="40">
        <v>5.0999999999999997E-2</v>
      </c>
      <c r="AS10" s="41">
        <v>4.9000000000000002E-2</v>
      </c>
      <c r="AU10" s="648"/>
      <c r="AV10" s="123" t="s">
        <v>51</v>
      </c>
      <c r="AW10" s="40">
        <v>5.1999999999999998E-2</v>
      </c>
      <c r="AX10" s="40">
        <v>0.10299999999999999</v>
      </c>
      <c r="AY10" s="40">
        <v>0.20699999999999999</v>
      </c>
      <c r="AZ10" s="40">
        <v>0.05</v>
      </c>
      <c r="BA10" s="40">
        <v>6.6000000000000003E-2</v>
      </c>
      <c r="BB10" s="40">
        <v>0.16400000000000001</v>
      </c>
      <c r="BC10" s="40">
        <v>0.05</v>
      </c>
      <c r="BD10" s="40">
        <v>5.3999999999999999E-2</v>
      </c>
      <c r="BE10" s="40">
        <v>8.1000000000000003E-2</v>
      </c>
      <c r="BF10" s="40">
        <v>5.0999999999999997E-2</v>
      </c>
      <c r="BG10" s="40">
        <v>0.18</v>
      </c>
      <c r="BH10" s="41">
        <v>0.16500000000000001</v>
      </c>
      <c r="BJ10" s="648"/>
      <c r="BK10" s="201" t="s">
        <v>51</v>
      </c>
      <c r="BL10" s="40">
        <v>0.217</v>
      </c>
      <c r="BM10" s="40">
        <v>0.13900000000000001</v>
      </c>
      <c r="BN10" s="40">
        <v>5.2999999999999999E-2</v>
      </c>
      <c r="BO10" s="40">
        <v>7.2999999999999995E-2</v>
      </c>
      <c r="BP10" s="40">
        <v>7.5999999999999998E-2</v>
      </c>
      <c r="BQ10" s="40">
        <v>8.1000000000000003E-2</v>
      </c>
      <c r="BR10" s="40">
        <v>0.1</v>
      </c>
      <c r="BS10" s="40">
        <v>4.1000000000000002E-2</v>
      </c>
      <c r="BT10" s="40">
        <v>9.7000000000000003E-2</v>
      </c>
      <c r="BU10" s="40">
        <v>0.10100000000000001</v>
      </c>
      <c r="BV10" s="40">
        <v>5.8000000000000003E-2</v>
      </c>
      <c r="BW10" s="41">
        <v>6.9000000000000006E-2</v>
      </c>
      <c r="BY10" s="648"/>
      <c r="BZ10" s="201" t="s">
        <v>51</v>
      </c>
      <c r="CA10" s="40">
        <v>0.11600000000000001</v>
      </c>
      <c r="CB10" s="40">
        <v>8.4000000000000005E-2</v>
      </c>
      <c r="CC10" s="40">
        <v>5.8000000000000003E-2</v>
      </c>
      <c r="CD10" s="40">
        <v>4.9000000000000002E-2</v>
      </c>
      <c r="CE10" s="40">
        <v>0.06</v>
      </c>
      <c r="CF10" s="40">
        <v>8.5000000000000006E-2</v>
      </c>
      <c r="CG10" s="40">
        <v>5.8000000000000003E-2</v>
      </c>
      <c r="CH10" s="40">
        <v>3.7999999999999999E-2</v>
      </c>
      <c r="CI10" s="40">
        <v>9.0999999999999998E-2</v>
      </c>
      <c r="CJ10" s="40">
        <v>3.9E-2</v>
      </c>
      <c r="CK10" s="40">
        <v>6.0999999999999999E-2</v>
      </c>
      <c r="CL10" s="41">
        <v>7.0999999999999994E-2</v>
      </c>
      <c r="CN10" s="648"/>
      <c r="CO10" s="201" t="s">
        <v>51</v>
      </c>
      <c r="CP10" s="40">
        <v>5.2999999999999999E-2</v>
      </c>
      <c r="CQ10" s="40">
        <v>0.05</v>
      </c>
      <c r="CR10" s="40">
        <v>4.9000000000000002E-2</v>
      </c>
      <c r="CS10" s="40">
        <v>4.9000000000000002E-2</v>
      </c>
      <c r="CT10" s="40">
        <v>5.6000000000000001E-2</v>
      </c>
      <c r="CU10" s="40">
        <v>6.5000000000000002E-2</v>
      </c>
      <c r="CV10" s="40">
        <v>8.6999999999999994E-2</v>
      </c>
      <c r="CW10" s="40">
        <v>7.0999999999999994E-2</v>
      </c>
      <c r="CX10" s="40">
        <v>4.9000000000000002E-2</v>
      </c>
      <c r="CY10" s="40">
        <v>0.05</v>
      </c>
      <c r="CZ10" s="40">
        <v>0.05</v>
      </c>
      <c r="DA10" s="41">
        <v>0.05</v>
      </c>
      <c r="DC10" s="648"/>
      <c r="DD10" s="123" t="s">
        <v>51</v>
      </c>
      <c r="DE10" s="40">
        <v>4.7E-2</v>
      </c>
      <c r="DF10" s="40">
        <v>4.1000000000000002E-2</v>
      </c>
      <c r="DG10" s="40">
        <v>9.0999999999999998E-2</v>
      </c>
      <c r="DH10" s="40">
        <v>8.2000000000000003E-2</v>
      </c>
      <c r="DI10" s="40">
        <v>0.112</v>
      </c>
      <c r="DJ10" s="40">
        <v>9.8000000000000004E-2</v>
      </c>
      <c r="DK10" s="40">
        <v>0.04</v>
      </c>
      <c r="DL10" s="40">
        <v>0.11</v>
      </c>
      <c r="DM10" s="40">
        <v>0.108</v>
      </c>
      <c r="DN10" s="40">
        <v>0.08</v>
      </c>
      <c r="DO10" s="40">
        <v>8.4000000000000005E-2</v>
      </c>
      <c r="DP10" s="41">
        <v>5.5E-2</v>
      </c>
      <c r="DR10" s="648"/>
      <c r="DS10" s="81" t="s">
        <v>51</v>
      </c>
      <c r="DT10" s="18">
        <v>0.05</v>
      </c>
      <c r="DU10" s="18">
        <v>4.9000000000000002E-2</v>
      </c>
      <c r="DV10" s="18">
        <v>4.8000000000000001E-2</v>
      </c>
      <c r="DW10" s="18">
        <v>4.8000000000000001E-2</v>
      </c>
      <c r="DX10" s="18">
        <v>4.9000000000000002E-2</v>
      </c>
      <c r="DY10" s="18">
        <v>5.1999999999999998E-2</v>
      </c>
      <c r="DZ10" s="18">
        <v>4.9000000000000002E-2</v>
      </c>
      <c r="EA10" s="18">
        <v>4.8000000000000001E-2</v>
      </c>
      <c r="EB10" s="18">
        <v>4.9000000000000002E-2</v>
      </c>
      <c r="EC10" s="18">
        <v>5.0999999999999997E-2</v>
      </c>
      <c r="ED10" s="18">
        <v>0.05</v>
      </c>
      <c r="EE10" s="18">
        <v>6.2E-2</v>
      </c>
      <c r="EG10" s="648"/>
      <c r="EH10" s="81" t="s">
        <v>51</v>
      </c>
      <c r="EI10" s="18">
        <v>5.8999999999999997E-2</v>
      </c>
      <c r="EJ10" s="18">
        <v>4.9000000000000002E-2</v>
      </c>
      <c r="EK10" s="18">
        <v>4.8000000000000001E-2</v>
      </c>
      <c r="EL10" s="18">
        <v>0.05</v>
      </c>
      <c r="EM10" s="18">
        <v>4.9000000000000002E-2</v>
      </c>
      <c r="EN10" s="18">
        <v>6.9000000000000006E-2</v>
      </c>
      <c r="EO10" s="18">
        <v>4.9000000000000002E-2</v>
      </c>
      <c r="EP10" s="18">
        <v>4.9000000000000002E-2</v>
      </c>
      <c r="EQ10" s="18">
        <v>0.05</v>
      </c>
      <c r="ER10" s="18">
        <v>0.05</v>
      </c>
      <c r="ES10" s="18">
        <v>0.05</v>
      </c>
      <c r="ET10" s="18">
        <v>5.3999999999999999E-2</v>
      </c>
    </row>
    <row r="11" spans="1:150" ht="15.75" thickBot="1" x14ac:dyDescent="0.3">
      <c r="B11" s="644" t="s">
        <v>115</v>
      </c>
      <c r="C11" s="645"/>
      <c r="D11" s="645"/>
      <c r="E11" s="645"/>
      <c r="F11" s="645"/>
      <c r="G11" s="645"/>
      <c r="H11" s="645"/>
      <c r="I11" s="645">
        <f>AVERAGE(D3:D10,E3:N3,O3:O10,E10:N10,J8:N9)</f>
        <v>6.9695652173913047E-2</v>
      </c>
      <c r="J11" s="645"/>
      <c r="K11" s="645"/>
      <c r="L11" s="645"/>
      <c r="M11" s="645"/>
      <c r="N11" s="645"/>
      <c r="O11" s="646"/>
      <c r="Q11" s="644" t="s">
        <v>115</v>
      </c>
      <c r="R11" s="645"/>
      <c r="S11" s="645"/>
      <c r="T11" s="645"/>
      <c r="U11" s="645"/>
      <c r="V11" s="645"/>
      <c r="W11" s="645"/>
      <c r="X11" s="645">
        <f>AVERAGE(S3:S10,T3:AC3,AD3:AD10,T10:AC10,AA8:AC9)</f>
        <v>4.9999999999999982E-2</v>
      </c>
      <c r="Y11" s="645"/>
      <c r="Z11" s="645"/>
      <c r="AA11" s="645"/>
      <c r="AB11" s="645"/>
      <c r="AC11" s="645"/>
      <c r="AD11" s="646"/>
      <c r="AF11" s="644" t="s">
        <v>115</v>
      </c>
      <c r="AG11" s="645"/>
      <c r="AH11" s="645"/>
      <c r="AI11" s="645"/>
      <c r="AJ11" s="645"/>
      <c r="AK11" s="645"/>
      <c r="AL11" s="645"/>
      <c r="AM11" s="645">
        <f>AVERAGE(AH3:AH10,AI3:AR3,AS3:AS10,AI10:AR10,AR6:AR7)</f>
        <v>5.6105263157894714E-2</v>
      </c>
      <c r="AN11" s="645"/>
      <c r="AO11" s="645"/>
      <c r="AP11" s="645"/>
      <c r="AQ11" s="645"/>
      <c r="AR11" s="645"/>
      <c r="AS11" s="646"/>
      <c r="AU11" s="644" t="s">
        <v>115</v>
      </c>
      <c r="AV11" s="645"/>
      <c r="AW11" s="645"/>
      <c r="AX11" s="645"/>
      <c r="AY11" s="645"/>
      <c r="AZ11" s="645"/>
      <c r="BA11" s="645"/>
      <c r="BB11" s="645">
        <f>AVERAGE(AW10:BH10,AW3:BH3,BH4:BH9,AW4:AW9)</f>
        <v>8.9305555555555541E-2</v>
      </c>
      <c r="BC11" s="645"/>
      <c r="BD11" s="645"/>
      <c r="BE11" s="645"/>
      <c r="BF11" s="645"/>
      <c r="BG11" s="645"/>
      <c r="BH11" s="646"/>
      <c r="BJ11" s="644" t="s">
        <v>115</v>
      </c>
      <c r="BK11" s="645"/>
      <c r="BL11" s="645"/>
      <c r="BM11" s="645"/>
      <c r="BN11" s="645"/>
      <c r="BO11" s="645"/>
      <c r="BP11" s="645"/>
      <c r="BQ11" s="645">
        <f>AVERAGE(BL3:BL10,BM10:BW10,BW3:BW9,BM3:BV3)</f>
        <v>6.9194444444444406E-2</v>
      </c>
      <c r="BR11" s="645"/>
      <c r="BS11" s="645"/>
      <c r="BT11" s="645"/>
      <c r="BU11" s="645"/>
      <c r="BV11" s="645"/>
      <c r="BW11" s="646"/>
      <c r="BY11" s="644" t="s">
        <v>115</v>
      </c>
      <c r="BZ11" s="645"/>
      <c r="CA11" s="645"/>
      <c r="CB11" s="645"/>
      <c r="CC11" s="645"/>
      <c r="CD11" s="645"/>
      <c r="CE11" s="645"/>
      <c r="CF11" s="645">
        <f>AVERAGE(CA3:CA10,CB10:CL10,CL3:CL9,CB3:CK3,CF8:CK9)</f>
        <v>6.0895833333333309E-2</v>
      </c>
      <c r="CG11" s="645"/>
      <c r="CH11" s="645"/>
      <c r="CI11" s="645"/>
      <c r="CJ11" s="645"/>
      <c r="CK11" s="645"/>
      <c r="CL11" s="646"/>
      <c r="CN11" s="644" t="s">
        <v>115</v>
      </c>
      <c r="CO11" s="645"/>
      <c r="CP11" s="645"/>
      <c r="CQ11" s="645"/>
      <c r="CR11" s="645"/>
      <c r="CS11" s="645"/>
      <c r="CT11" s="645"/>
      <c r="CU11" s="645">
        <f>AVERAGE(CP3:CP10,CQ10:DA10,CQ3:DA3,DA4:DA9,CZ6:CZ9,CW8:CY9)</f>
        <v>5.434782608695652E-2</v>
      </c>
      <c r="CV11" s="645"/>
      <c r="CW11" s="645"/>
      <c r="CX11" s="645"/>
      <c r="CY11" s="645"/>
      <c r="CZ11" s="645"/>
      <c r="DA11" s="646"/>
      <c r="DC11" s="644" t="s">
        <v>115</v>
      </c>
      <c r="DD11" s="645"/>
      <c r="DE11" s="645"/>
      <c r="DF11" s="645"/>
      <c r="DG11" s="645"/>
      <c r="DH11" s="645"/>
      <c r="DI11" s="645"/>
      <c r="DJ11" s="645">
        <f>AVERAGE(DE3:DE10,DF3:DP3,DF10:DP10,DP4:DP9)</f>
        <v>6.3388888888888925E-2</v>
      </c>
      <c r="DK11" s="645"/>
      <c r="DL11" s="645"/>
      <c r="DM11" s="645"/>
      <c r="DN11" s="645"/>
      <c r="DO11" s="645"/>
      <c r="DP11" s="646"/>
      <c r="DR11" s="644" t="s">
        <v>115</v>
      </c>
      <c r="DS11" s="645"/>
      <c r="DT11" s="645"/>
      <c r="DU11" s="645"/>
      <c r="DV11" s="645"/>
      <c r="DW11" s="645"/>
      <c r="DX11" s="645"/>
      <c r="DY11" s="645">
        <f>AVERAGE(DT3:DT10,DU3:EE3,DU10:EE10,EE4:EE9)</f>
        <v>5.525E-2</v>
      </c>
      <c r="DZ11" s="645"/>
      <c r="EA11" s="645"/>
      <c r="EB11" s="645"/>
      <c r="EC11" s="645"/>
      <c r="ED11" s="645"/>
      <c r="EE11" s="646"/>
      <c r="EG11" s="644" t="s">
        <v>115</v>
      </c>
      <c r="EH11" s="645"/>
      <c r="EI11" s="645"/>
      <c r="EJ11" s="645"/>
      <c r="EK11" s="645"/>
      <c r="EL11" s="645"/>
      <c r="EM11" s="645"/>
      <c r="EN11" s="645">
        <f>AVERAGE(EI3:EI10,EJ3:ET3,EJ10:ET10,ET4:ET9)</f>
        <v>5.7777777777777782E-2</v>
      </c>
      <c r="EO11" s="645"/>
      <c r="EP11" s="645"/>
      <c r="EQ11" s="645"/>
      <c r="ER11" s="645"/>
      <c r="ES11" s="645"/>
      <c r="ET11" s="646"/>
    </row>
    <row r="12" spans="1:150" x14ac:dyDescent="0.25">
      <c r="B12" s="706" t="s">
        <v>116</v>
      </c>
      <c r="C12" s="131"/>
      <c r="D12" s="132">
        <v>1</v>
      </c>
      <c r="E12" s="132">
        <v>2</v>
      </c>
      <c r="F12" s="132">
        <v>3</v>
      </c>
      <c r="G12" s="132">
        <v>4</v>
      </c>
      <c r="H12" s="132">
        <v>5</v>
      </c>
      <c r="I12" s="132">
        <v>6</v>
      </c>
      <c r="J12" s="132">
        <v>7</v>
      </c>
      <c r="K12" s="132">
        <v>8</v>
      </c>
      <c r="L12" s="132">
        <v>9</v>
      </c>
      <c r="M12" s="132">
        <v>10</v>
      </c>
      <c r="N12" s="132">
        <v>11</v>
      </c>
      <c r="O12" s="133">
        <v>12</v>
      </c>
      <c r="Q12" s="698" t="s">
        <v>116</v>
      </c>
      <c r="R12" s="150"/>
      <c r="S12" s="132">
        <v>1</v>
      </c>
      <c r="T12" s="132">
        <v>2</v>
      </c>
      <c r="U12" s="132">
        <v>3</v>
      </c>
      <c r="V12" s="132">
        <v>4</v>
      </c>
      <c r="W12" s="132">
        <v>5</v>
      </c>
      <c r="X12" s="132">
        <v>6</v>
      </c>
      <c r="Y12" s="132">
        <v>7</v>
      </c>
      <c r="Z12" s="132">
        <v>8</v>
      </c>
      <c r="AA12" s="132">
        <v>9</v>
      </c>
      <c r="AB12" s="132">
        <v>10</v>
      </c>
      <c r="AC12" s="132">
        <v>11</v>
      </c>
      <c r="AD12" s="133">
        <v>12</v>
      </c>
      <c r="AF12" s="698" t="s">
        <v>116</v>
      </c>
      <c r="AG12" s="150"/>
      <c r="AH12" s="132">
        <v>1</v>
      </c>
      <c r="AI12" s="132">
        <v>2</v>
      </c>
      <c r="AJ12" s="132">
        <v>3</v>
      </c>
      <c r="AK12" s="132">
        <v>4</v>
      </c>
      <c r="AL12" s="132">
        <v>5</v>
      </c>
      <c r="AM12" s="132">
        <v>6</v>
      </c>
      <c r="AN12" s="132">
        <v>7</v>
      </c>
      <c r="AO12" s="132">
        <v>8</v>
      </c>
      <c r="AP12" s="132">
        <v>9</v>
      </c>
      <c r="AQ12" s="132">
        <v>10</v>
      </c>
      <c r="AR12" s="132">
        <v>11</v>
      </c>
      <c r="AS12" s="133">
        <v>12</v>
      </c>
      <c r="AU12" s="698" t="s">
        <v>116</v>
      </c>
      <c r="AV12" s="150"/>
      <c r="AW12" s="132">
        <v>1</v>
      </c>
      <c r="AX12" s="132">
        <v>2</v>
      </c>
      <c r="AY12" s="132">
        <v>3</v>
      </c>
      <c r="AZ12" s="132">
        <v>4</v>
      </c>
      <c r="BA12" s="132">
        <v>5</v>
      </c>
      <c r="BB12" s="132">
        <v>6</v>
      </c>
      <c r="BC12" s="132">
        <v>7</v>
      </c>
      <c r="BD12" s="132">
        <v>8</v>
      </c>
      <c r="BE12" s="132">
        <v>9</v>
      </c>
      <c r="BF12" s="132">
        <v>10</v>
      </c>
      <c r="BG12" s="132">
        <v>11</v>
      </c>
      <c r="BH12" s="133">
        <v>12</v>
      </c>
      <c r="BJ12" s="698" t="s">
        <v>116</v>
      </c>
      <c r="BK12" s="200"/>
      <c r="BL12" s="132">
        <v>1</v>
      </c>
      <c r="BM12" s="132">
        <v>2</v>
      </c>
      <c r="BN12" s="132">
        <v>3</v>
      </c>
      <c r="BO12" s="132">
        <v>4</v>
      </c>
      <c r="BP12" s="132">
        <v>5</v>
      </c>
      <c r="BQ12" s="132">
        <v>6</v>
      </c>
      <c r="BR12" s="132">
        <v>7</v>
      </c>
      <c r="BS12" s="132">
        <v>8</v>
      </c>
      <c r="BT12" s="132">
        <v>9</v>
      </c>
      <c r="BU12" s="132">
        <v>10</v>
      </c>
      <c r="BV12" s="132">
        <v>11</v>
      </c>
      <c r="BW12" s="133">
        <v>12</v>
      </c>
      <c r="BY12" s="698" t="s">
        <v>116</v>
      </c>
      <c r="BZ12" s="200"/>
      <c r="CA12" s="132">
        <v>1</v>
      </c>
      <c r="CB12" s="132">
        <v>2</v>
      </c>
      <c r="CC12" s="132">
        <v>3</v>
      </c>
      <c r="CD12" s="132">
        <v>4</v>
      </c>
      <c r="CE12" s="132">
        <v>5</v>
      </c>
      <c r="CF12" s="132">
        <v>6</v>
      </c>
      <c r="CG12" s="132">
        <v>7</v>
      </c>
      <c r="CH12" s="132">
        <v>8</v>
      </c>
      <c r="CI12" s="132">
        <v>9</v>
      </c>
      <c r="CJ12" s="132">
        <v>10</v>
      </c>
      <c r="CK12" s="132">
        <v>11</v>
      </c>
      <c r="CL12" s="133">
        <v>12</v>
      </c>
      <c r="CN12" s="698" t="s">
        <v>116</v>
      </c>
      <c r="CO12" s="200"/>
      <c r="CP12" s="132">
        <v>1</v>
      </c>
      <c r="CQ12" s="132">
        <v>2</v>
      </c>
      <c r="CR12" s="132">
        <v>3</v>
      </c>
      <c r="CS12" s="132">
        <v>4</v>
      </c>
      <c r="CT12" s="132">
        <v>5</v>
      </c>
      <c r="CU12" s="132">
        <v>6</v>
      </c>
      <c r="CV12" s="132">
        <v>7</v>
      </c>
      <c r="CW12" s="132">
        <v>8</v>
      </c>
      <c r="CX12" s="132">
        <v>9</v>
      </c>
      <c r="CY12" s="132">
        <v>10</v>
      </c>
      <c r="CZ12" s="132">
        <v>11</v>
      </c>
      <c r="DA12" s="133">
        <v>12</v>
      </c>
      <c r="DC12" s="698" t="s">
        <v>116</v>
      </c>
      <c r="DD12" s="150"/>
      <c r="DE12" s="132">
        <v>1</v>
      </c>
      <c r="DF12" s="132">
        <v>2</v>
      </c>
      <c r="DG12" s="132">
        <v>3</v>
      </c>
      <c r="DH12" s="132">
        <v>4</v>
      </c>
      <c r="DI12" s="132">
        <v>5</v>
      </c>
      <c r="DJ12" s="132">
        <v>6</v>
      </c>
      <c r="DK12" s="132">
        <v>7</v>
      </c>
      <c r="DL12" s="132">
        <v>8</v>
      </c>
      <c r="DM12" s="132">
        <v>9</v>
      </c>
      <c r="DN12" s="132">
        <v>10</v>
      </c>
      <c r="DO12" s="132">
        <v>11</v>
      </c>
      <c r="DP12" s="133">
        <v>12</v>
      </c>
      <c r="DR12" s="698" t="s">
        <v>116</v>
      </c>
      <c r="DS12" s="150"/>
      <c r="DT12" s="132">
        <v>1</v>
      </c>
      <c r="DU12" s="132">
        <v>2</v>
      </c>
      <c r="DV12" s="132">
        <v>3</v>
      </c>
      <c r="DW12" s="132">
        <v>4</v>
      </c>
      <c r="DX12" s="132">
        <v>5</v>
      </c>
      <c r="DY12" s="132">
        <v>6</v>
      </c>
      <c r="DZ12" s="132">
        <v>7</v>
      </c>
      <c r="EA12" s="132">
        <v>8</v>
      </c>
      <c r="EB12" s="132">
        <v>9</v>
      </c>
      <c r="EC12" s="132">
        <v>10</v>
      </c>
      <c r="ED12" s="132">
        <v>11</v>
      </c>
      <c r="EE12" s="133">
        <v>12</v>
      </c>
      <c r="EG12" s="698" t="s">
        <v>116</v>
      </c>
      <c r="EH12" s="150"/>
      <c r="EI12" s="132">
        <v>1</v>
      </c>
      <c r="EJ12" s="132">
        <v>2</v>
      </c>
      <c r="EK12" s="132">
        <v>3</v>
      </c>
      <c r="EL12" s="132">
        <v>4</v>
      </c>
      <c r="EM12" s="132">
        <v>5</v>
      </c>
      <c r="EN12" s="132">
        <v>6</v>
      </c>
      <c r="EO12" s="132">
        <v>7</v>
      </c>
      <c r="EP12" s="132">
        <v>8</v>
      </c>
      <c r="EQ12" s="132">
        <v>9</v>
      </c>
      <c r="ER12" s="132">
        <v>10</v>
      </c>
      <c r="ES12" s="132">
        <v>11</v>
      </c>
      <c r="ET12" s="133">
        <v>12</v>
      </c>
    </row>
    <row r="13" spans="1:150" x14ac:dyDescent="0.25">
      <c r="B13" s="707"/>
      <c r="C13" s="45" t="s">
        <v>44</v>
      </c>
      <c r="D13" s="18">
        <f>D3-$I$11</f>
        <v>-1.5695652173913048E-2</v>
      </c>
      <c r="E13" s="18">
        <f t="shared" ref="E13:O13" si="0">E3-$I$11</f>
        <v>-2.4695652173913049E-2</v>
      </c>
      <c r="F13" s="18">
        <f t="shared" si="0"/>
        <v>-1.6695652173913049E-2</v>
      </c>
      <c r="G13" s="18">
        <f t="shared" si="0"/>
        <v>-1.6695652173913049E-2</v>
      </c>
      <c r="H13" s="18">
        <f t="shared" si="0"/>
        <v>-1.4695652173913047E-2</v>
      </c>
      <c r="I13" s="18">
        <f t="shared" si="0"/>
        <v>-6.695652173913047E-3</v>
      </c>
      <c r="J13" s="18">
        <f t="shared" si="0"/>
        <v>-1.5695652173913048E-2</v>
      </c>
      <c r="K13" s="18">
        <f t="shared" si="0"/>
        <v>-1.9695652173913045E-2</v>
      </c>
      <c r="L13" s="18">
        <f t="shared" si="0"/>
        <v>-1.8695652173913051E-2</v>
      </c>
      <c r="M13" s="18">
        <f t="shared" si="0"/>
        <v>-1.0695652173913051E-2</v>
      </c>
      <c r="N13" s="18">
        <f t="shared" si="0"/>
        <v>-3.0695652173913048E-2</v>
      </c>
      <c r="O13" s="39">
        <f t="shared" si="0"/>
        <v>-1.0695652173913051E-2</v>
      </c>
      <c r="Q13" s="699"/>
      <c r="R13" s="122" t="s">
        <v>44</v>
      </c>
      <c r="S13" s="18">
        <f>S3-$X$11</f>
        <v>-1.999999999999981E-3</v>
      </c>
      <c r="T13" s="18">
        <f t="shared" ref="T13:AD13" si="1">T3-$X$11</f>
        <v>-1.999999999999981E-3</v>
      </c>
      <c r="U13" s="18">
        <f t="shared" si="1"/>
        <v>-1.999999999999981E-3</v>
      </c>
      <c r="V13" s="18">
        <f t="shared" si="1"/>
        <v>-1.999999999999981E-3</v>
      </c>
      <c r="W13" s="18">
        <f t="shared" si="1"/>
        <v>-1.999999999999981E-3</v>
      </c>
      <c r="X13" s="18">
        <f t="shared" si="1"/>
        <v>-1.999999999999981E-3</v>
      </c>
      <c r="Y13" s="18">
        <f t="shared" si="1"/>
        <v>-1.999999999999981E-3</v>
      </c>
      <c r="Z13" s="18">
        <f t="shared" si="1"/>
        <v>-9.9999999999998007E-4</v>
      </c>
      <c r="AA13" s="18">
        <f t="shared" si="1"/>
        <v>-9.9999999999998007E-4</v>
      </c>
      <c r="AB13" s="18">
        <f t="shared" si="1"/>
        <v>-9.9999999999998007E-4</v>
      </c>
      <c r="AC13" s="18">
        <f t="shared" si="1"/>
        <v>-1.999999999999981E-3</v>
      </c>
      <c r="AD13" s="39">
        <f t="shared" si="1"/>
        <v>-1.999999999999981E-3</v>
      </c>
      <c r="AF13" s="699"/>
      <c r="AG13" s="122" t="s">
        <v>44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39"/>
      <c r="AU13" s="699"/>
      <c r="AV13" s="122" t="s">
        <v>44</v>
      </c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39"/>
      <c r="BJ13" s="699"/>
      <c r="BK13" s="81" t="s">
        <v>44</v>
      </c>
      <c r="BL13" s="18">
        <f>BL3-$BQ$11</f>
        <v>-1.9194444444444403E-2</v>
      </c>
      <c r="BM13" s="18">
        <f t="shared" ref="BM13:BW13" si="2">BM3-$BQ$11</f>
        <v>-2.0194444444444404E-2</v>
      </c>
      <c r="BN13" s="18">
        <f t="shared" si="2"/>
        <v>-3.1194444444444407E-2</v>
      </c>
      <c r="BO13" s="18">
        <f t="shared" si="2"/>
        <v>-1.9194444444444403E-2</v>
      </c>
      <c r="BP13" s="18">
        <f t="shared" si="2"/>
        <v>-1.6194444444444407E-2</v>
      </c>
      <c r="BQ13" s="18">
        <f t="shared" si="2"/>
        <v>-1.9194444444444403E-2</v>
      </c>
      <c r="BR13" s="18">
        <f t="shared" si="2"/>
        <v>-2.0194444444444404E-2</v>
      </c>
      <c r="BS13" s="18">
        <f t="shared" si="2"/>
        <v>-3.1194444444444407E-2</v>
      </c>
      <c r="BT13" s="18">
        <f t="shared" si="2"/>
        <v>-1.7194444444444408E-2</v>
      </c>
      <c r="BU13" s="18">
        <f t="shared" si="2"/>
        <v>-1.8194444444444409E-2</v>
      </c>
      <c r="BV13" s="18">
        <f t="shared" si="2"/>
        <v>-1.9194444444444403E-2</v>
      </c>
      <c r="BW13" s="39">
        <f t="shared" si="2"/>
        <v>2.9805555555555599E-2</v>
      </c>
      <c r="BY13" s="699"/>
      <c r="BZ13" s="81" t="s">
        <v>44</v>
      </c>
      <c r="CA13" s="18">
        <f>CA3-$CF$11</f>
        <v>-8.8958333333333112E-3</v>
      </c>
      <c r="CB13" s="18">
        <f t="shared" ref="CB13:CL13" si="3">CB3-$CF$11</f>
        <v>-1.3895833333333309E-2</v>
      </c>
      <c r="CC13" s="18">
        <f t="shared" si="3"/>
        <v>-1.0895833333333306E-2</v>
      </c>
      <c r="CD13" s="18">
        <f t="shared" si="3"/>
        <v>-9.8958333333333121E-3</v>
      </c>
      <c r="CE13" s="18">
        <f t="shared" si="3"/>
        <v>-9.8958333333333121E-3</v>
      </c>
      <c r="CF13" s="18">
        <f t="shared" si="3"/>
        <v>-1.0895833333333306E-2</v>
      </c>
      <c r="CG13" s="18">
        <f t="shared" si="3"/>
        <v>-9.8958333333333121E-3</v>
      </c>
      <c r="CH13" s="18">
        <f t="shared" si="3"/>
        <v>-2.289583333333331E-2</v>
      </c>
      <c r="CI13" s="18">
        <f t="shared" si="3"/>
        <v>-2.289583333333331E-2</v>
      </c>
      <c r="CJ13" s="18">
        <f t="shared" si="3"/>
        <v>-2.289583333333331E-2</v>
      </c>
      <c r="CK13" s="18">
        <f t="shared" si="3"/>
        <v>-2.3895833333333311E-2</v>
      </c>
      <c r="CL13" s="39">
        <f t="shared" si="3"/>
        <v>-2.289583333333331E-2</v>
      </c>
      <c r="CN13" s="699"/>
      <c r="CO13" s="81" t="s">
        <v>44</v>
      </c>
      <c r="CP13" s="18">
        <f>CP3-$CU$11</f>
        <v>-5.3478260869565183E-3</v>
      </c>
      <c r="CQ13" s="18">
        <f t="shared" ref="CQ13:DA13" si="4">CQ3-$CU$11</f>
        <v>-6.3478260869565192E-3</v>
      </c>
      <c r="CR13" s="18">
        <f t="shared" si="4"/>
        <v>-3.4782608695652084E-4</v>
      </c>
      <c r="CS13" s="18">
        <f t="shared" si="4"/>
        <v>-4.3478260869565175E-3</v>
      </c>
      <c r="CT13" s="18">
        <f t="shared" si="4"/>
        <v>-4.3478260869565175E-3</v>
      </c>
      <c r="CU13" s="18">
        <f t="shared" si="4"/>
        <v>-4.3478260869565175E-3</v>
      </c>
      <c r="CV13" s="18">
        <f t="shared" si="4"/>
        <v>-5.3478260869565183E-3</v>
      </c>
      <c r="CW13" s="18">
        <f t="shared" si="4"/>
        <v>-5.3478260869565183E-3</v>
      </c>
      <c r="CX13" s="18">
        <f t="shared" si="4"/>
        <v>-6.3478260869565192E-3</v>
      </c>
      <c r="CY13" s="18">
        <f t="shared" si="4"/>
        <v>-6.3478260869565192E-3</v>
      </c>
      <c r="CZ13" s="18">
        <f t="shared" si="4"/>
        <v>-5.3478260869565183E-3</v>
      </c>
      <c r="DA13" s="39">
        <f t="shared" si="4"/>
        <v>-4.3478260869565175E-3</v>
      </c>
      <c r="DC13" s="699"/>
      <c r="DD13" s="122" t="s">
        <v>44</v>
      </c>
      <c r="DE13" s="18">
        <f>DE3-$DJ$11</f>
        <v>-1.2388888888888928E-2</v>
      </c>
      <c r="DF13" s="18">
        <f t="shared" ref="DF13:DP13" si="5">DF3-$DJ$11</f>
        <v>-1.0388888888888927E-2</v>
      </c>
      <c r="DG13" s="18">
        <f t="shared" si="5"/>
        <v>-1.1388888888888928E-2</v>
      </c>
      <c r="DH13" s="18">
        <f t="shared" si="5"/>
        <v>-1.3388888888888922E-2</v>
      </c>
      <c r="DI13" s="18">
        <f t="shared" si="5"/>
        <v>-1.3388888888888922E-2</v>
      </c>
      <c r="DJ13" s="18">
        <f t="shared" si="5"/>
        <v>-1.2388888888888928E-2</v>
      </c>
      <c r="DK13" s="18">
        <f t="shared" si="5"/>
        <v>-1.2388888888888928E-2</v>
      </c>
      <c r="DL13" s="18">
        <f t="shared" si="5"/>
        <v>-1.4388888888888923E-2</v>
      </c>
      <c r="DM13" s="18">
        <f t="shared" si="5"/>
        <v>-1.3388888888888922E-2</v>
      </c>
      <c r="DN13" s="18">
        <f t="shared" si="5"/>
        <v>-1.0388888888888927E-2</v>
      </c>
      <c r="DO13" s="18">
        <f t="shared" si="5"/>
        <v>-7.388888888888924E-3</v>
      </c>
      <c r="DP13" s="39">
        <f t="shared" si="5"/>
        <v>-1.1388888888888928E-2</v>
      </c>
      <c r="DR13" s="699"/>
      <c r="DS13" s="122" t="s">
        <v>44</v>
      </c>
      <c r="DT13" s="18">
        <f>DT3-$DY$11</f>
        <v>3.7499999999999964E-3</v>
      </c>
      <c r="DU13" s="18">
        <f t="shared" ref="DU13:EE13" si="6">DU3-$DY$11</f>
        <v>-7.2499999999999995E-3</v>
      </c>
      <c r="DV13" s="18">
        <f t="shared" si="6"/>
        <v>-7.2499999999999995E-3</v>
      </c>
      <c r="DW13" s="18">
        <f t="shared" si="6"/>
        <v>-2.5000000000000022E-4</v>
      </c>
      <c r="DX13" s="18">
        <f t="shared" si="6"/>
        <v>-7.2499999999999995E-3</v>
      </c>
      <c r="DY13" s="18">
        <f t="shared" si="6"/>
        <v>-5.2499999999999977E-3</v>
      </c>
      <c r="DZ13" s="18">
        <f t="shared" si="6"/>
        <v>-7.2499999999999995E-3</v>
      </c>
      <c r="EA13" s="18">
        <f t="shared" si="6"/>
        <v>-7.2499999999999995E-3</v>
      </c>
      <c r="EB13" s="18">
        <f t="shared" si="6"/>
        <v>-7.2499999999999995E-3</v>
      </c>
      <c r="EC13" s="18">
        <f t="shared" si="6"/>
        <v>-7.2499999999999995E-3</v>
      </c>
      <c r="ED13" s="18">
        <f t="shared" si="6"/>
        <v>-7.2499999999999995E-3</v>
      </c>
      <c r="EE13" s="39">
        <f t="shared" si="6"/>
        <v>4.5750000000000006E-2</v>
      </c>
      <c r="EG13" s="699"/>
      <c r="EH13" s="122" t="s">
        <v>44</v>
      </c>
      <c r="EI13" s="18">
        <f>EI3-$EN$11</f>
        <v>-7.7777777777777793E-3</v>
      </c>
      <c r="EJ13" s="18">
        <f t="shared" ref="EJ13:ET13" si="7">EJ3-$EN$11</f>
        <v>-9.7777777777777811E-3</v>
      </c>
      <c r="EK13" s="18">
        <f t="shared" si="7"/>
        <v>-9.7777777777777811E-3</v>
      </c>
      <c r="EL13" s="18">
        <f t="shared" si="7"/>
        <v>-9.7777777777777811E-3</v>
      </c>
      <c r="EM13" s="18">
        <f t="shared" si="7"/>
        <v>-9.7777777777777811E-3</v>
      </c>
      <c r="EN13" s="18">
        <f t="shared" si="7"/>
        <v>-9.7777777777777811E-3</v>
      </c>
      <c r="EO13" s="18">
        <f t="shared" si="7"/>
        <v>-9.7777777777777811E-3</v>
      </c>
      <c r="EP13" s="18">
        <f t="shared" si="7"/>
        <v>-9.7777777777777811E-3</v>
      </c>
      <c r="EQ13" s="18">
        <f t="shared" si="7"/>
        <v>-9.7777777777777811E-3</v>
      </c>
      <c r="ER13" s="18">
        <f t="shared" si="7"/>
        <v>-9.7777777777777811E-3</v>
      </c>
      <c r="ES13" s="18">
        <f t="shared" si="7"/>
        <v>-9.7777777777777811E-3</v>
      </c>
      <c r="ET13" s="39">
        <f t="shared" si="7"/>
        <v>4.2222222222222175E-3</v>
      </c>
    </row>
    <row r="14" spans="1:150" x14ac:dyDescent="0.25">
      <c r="B14" s="707"/>
      <c r="C14" s="45" t="s">
        <v>45</v>
      </c>
      <c r="D14" s="18">
        <f t="shared" ref="D14:D20" si="8">D4-$I$11</f>
        <v>-1.4695652173913047E-2</v>
      </c>
      <c r="E14" s="18">
        <f t="shared" ref="E14:O14" si="9">E4-$I$11</f>
        <v>3.304347826086948E-3</v>
      </c>
      <c r="F14" s="120">
        <f t="shared" si="9"/>
        <v>0.27130434782608698</v>
      </c>
      <c r="G14" s="120">
        <f t="shared" si="9"/>
        <v>0.50230434782608691</v>
      </c>
      <c r="H14" s="83">
        <f t="shared" si="9"/>
        <v>0.88930434782608692</v>
      </c>
      <c r="I14" s="82">
        <f t="shared" si="9"/>
        <v>1.2513043478260868</v>
      </c>
      <c r="J14" s="82">
        <f t="shared" si="9"/>
        <v>1.0673043478260871</v>
      </c>
      <c r="K14" s="121">
        <f t="shared" si="9"/>
        <v>1.7473043478260868</v>
      </c>
      <c r="L14" s="37">
        <f t="shared" si="9"/>
        <v>3.0743043478260872</v>
      </c>
      <c r="M14" s="199" t="e">
        <f t="shared" si="9"/>
        <v>#VALUE!</v>
      </c>
      <c r="N14" s="20">
        <f t="shared" si="9"/>
        <v>3.806304347826087</v>
      </c>
      <c r="O14" s="39">
        <f t="shared" si="9"/>
        <v>-2.7695652173913045E-2</v>
      </c>
      <c r="Q14" s="699"/>
      <c r="R14" s="122" t="s">
        <v>45</v>
      </c>
      <c r="S14" s="18">
        <f t="shared" ref="S14:S20" si="10">S4-$X$11</f>
        <v>-1.999999999999981E-3</v>
      </c>
      <c r="T14" s="18">
        <f t="shared" ref="T14:AD14" si="11">T4-$X$11</f>
        <v>9.0000000000000149E-3</v>
      </c>
      <c r="U14" s="120">
        <f t="shared" si="11"/>
        <v>0.26400000000000001</v>
      </c>
      <c r="V14" s="120">
        <f t="shared" si="11"/>
        <v>0.48100000000000004</v>
      </c>
      <c r="W14" s="83">
        <f t="shared" si="11"/>
        <v>0.71200000000000008</v>
      </c>
      <c r="X14" s="82">
        <f t="shared" si="11"/>
        <v>0.88200000000000012</v>
      </c>
      <c r="Y14" s="82">
        <f t="shared" si="11"/>
        <v>0.95600000000000007</v>
      </c>
      <c r="Z14" s="121">
        <f t="shared" si="11"/>
        <v>1.284</v>
      </c>
      <c r="AA14" s="37">
        <f t="shared" si="11"/>
        <v>2.7730000000000001</v>
      </c>
      <c r="AB14" s="281"/>
      <c r="AC14" s="281"/>
      <c r="AD14" s="39">
        <f t="shared" si="11"/>
        <v>-9.9999999999998007E-4</v>
      </c>
      <c r="AF14" s="699"/>
      <c r="AG14" s="122" t="s">
        <v>45</v>
      </c>
      <c r="AH14" s="18"/>
      <c r="AI14" s="18">
        <f t="shared" ref="AI14:AR19" si="12">AI4-$AM$11</f>
        <v>8.8947368421052886E-3</v>
      </c>
      <c r="AJ14" s="18">
        <f t="shared" si="12"/>
        <v>0.24789473684210528</v>
      </c>
      <c r="AK14" s="120">
        <f t="shared" si="12"/>
        <v>0.42389473684210527</v>
      </c>
      <c r="AL14" s="17">
        <f t="shared" si="12"/>
        <v>0.68789473684210534</v>
      </c>
      <c r="AM14" s="83">
        <f t="shared" si="12"/>
        <v>0.8998947368421053</v>
      </c>
      <c r="AN14" s="83">
        <f t="shared" si="12"/>
        <v>0.85389473684210526</v>
      </c>
      <c r="AO14" s="21">
        <f t="shared" si="12"/>
        <v>1.4238947368421053</v>
      </c>
      <c r="AP14" s="34">
        <f t="shared" si="12"/>
        <v>2.3658947368421055</v>
      </c>
      <c r="AQ14" s="20">
        <f t="shared" si="12"/>
        <v>3.6208947368421054</v>
      </c>
      <c r="AR14" s="199" t="e">
        <f t="shared" si="12"/>
        <v>#VALUE!</v>
      </c>
      <c r="AS14" s="39"/>
      <c r="AU14" s="699"/>
      <c r="AV14" s="122" t="s">
        <v>45</v>
      </c>
      <c r="AW14" s="18"/>
      <c r="AX14" s="18">
        <f t="shared" ref="AX14:BG14" si="13">AX4-$BB$11</f>
        <v>-2.630555555555554E-2</v>
      </c>
      <c r="AY14" s="18">
        <f t="shared" si="13"/>
        <v>0.12669444444444444</v>
      </c>
      <c r="AZ14" s="120">
        <f t="shared" si="13"/>
        <v>0.2536944444444445</v>
      </c>
      <c r="BA14" s="17">
        <f t="shared" si="13"/>
        <v>0.55069444444444449</v>
      </c>
      <c r="BB14" s="83">
        <f t="shared" si="13"/>
        <v>0.75769444444444445</v>
      </c>
      <c r="BC14" s="17">
        <f t="shared" si="13"/>
        <v>0.61069444444444443</v>
      </c>
      <c r="BD14" s="21">
        <f t="shared" si="13"/>
        <v>1.1746944444444445</v>
      </c>
      <c r="BE14" s="34">
        <f t="shared" si="13"/>
        <v>2.1856944444444442</v>
      </c>
      <c r="BF14" s="20">
        <f t="shared" si="13"/>
        <v>3.2016944444444442</v>
      </c>
      <c r="BG14" s="199" t="e">
        <f t="shared" si="13"/>
        <v>#VALUE!</v>
      </c>
      <c r="BH14" s="39"/>
      <c r="BJ14" s="699"/>
      <c r="BK14" s="81" t="s">
        <v>45</v>
      </c>
      <c r="BL14" s="18">
        <f t="shared" ref="BL14:BW20" si="14">BL4-$BQ$11</f>
        <v>-1.7194444444444408E-2</v>
      </c>
      <c r="BM14" s="18">
        <f t="shared" si="14"/>
        <v>-1.7194444444444408E-2</v>
      </c>
      <c r="BN14" s="18">
        <f t="shared" si="14"/>
        <v>0.21280555555555558</v>
      </c>
      <c r="BO14" s="18">
        <f t="shared" si="14"/>
        <v>0.32480555555555563</v>
      </c>
      <c r="BP14" s="18">
        <f t="shared" si="14"/>
        <v>0.54480555555555554</v>
      </c>
      <c r="BQ14" s="18">
        <f t="shared" si="14"/>
        <v>0.8568055555555556</v>
      </c>
      <c r="BR14" s="18">
        <f t="shared" si="14"/>
        <v>1.0408055555555558</v>
      </c>
      <c r="BS14" s="18">
        <f t="shared" si="14"/>
        <v>2.0748055555555558</v>
      </c>
      <c r="BT14" s="18">
        <f t="shared" si="14"/>
        <v>3.6988055555555555</v>
      </c>
      <c r="BU14" s="18" t="e">
        <f t="shared" si="14"/>
        <v>#VALUE!</v>
      </c>
      <c r="BV14" s="18" t="e">
        <f t="shared" si="14"/>
        <v>#VALUE!</v>
      </c>
      <c r="BW14" s="39">
        <f t="shared" si="14"/>
        <v>-2.1194444444444405E-2</v>
      </c>
      <c r="BY14" s="699"/>
      <c r="BZ14" s="81" t="s">
        <v>45</v>
      </c>
      <c r="CA14" s="18">
        <f t="shared" ref="CA14:CA20" si="15">CA4-$CF$11</f>
        <v>1.1041666666666908E-3</v>
      </c>
      <c r="CB14" s="18">
        <f t="shared" ref="CB14:CL14" si="16">CB4-$CF$11</f>
        <v>5.1041666666666943E-3</v>
      </c>
      <c r="CC14" s="18">
        <f t="shared" si="16"/>
        <v>0.16210416666666669</v>
      </c>
      <c r="CD14" s="18">
        <f t="shared" si="16"/>
        <v>0.3371041666666667</v>
      </c>
      <c r="CE14" s="18">
        <f t="shared" si="16"/>
        <v>0.53810416666666672</v>
      </c>
      <c r="CF14" s="18">
        <f t="shared" si="16"/>
        <v>0.79510416666666672</v>
      </c>
      <c r="CG14" s="18">
        <f t="shared" si="16"/>
        <v>0.90710416666666671</v>
      </c>
      <c r="CH14" s="18">
        <f t="shared" si="16"/>
        <v>1.8251041666666665</v>
      </c>
      <c r="CI14" s="18">
        <f t="shared" si="16"/>
        <v>3.0831041666666668</v>
      </c>
      <c r="CJ14" s="18" t="e">
        <f t="shared" si="16"/>
        <v>#VALUE!</v>
      </c>
      <c r="CK14" s="18" t="e">
        <f t="shared" si="16"/>
        <v>#VALUE!</v>
      </c>
      <c r="CL14" s="39">
        <f t="shared" si="16"/>
        <v>-1.0895833333333306E-2</v>
      </c>
      <c r="CN14" s="699"/>
      <c r="CO14" s="81" t="s">
        <v>45</v>
      </c>
      <c r="CP14" s="18">
        <f t="shared" ref="CP14:CP20" si="17">CP4-$CU$11</f>
        <v>-5.3478260869565183E-3</v>
      </c>
      <c r="CQ14" s="18">
        <f t="shared" ref="CQ14:DA14" si="18">CQ4-$CU$11</f>
        <v>1.1652173913043483E-2</v>
      </c>
      <c r="CR14" s="18">
        <f t="shared" si="18"/>
        <v>0.13065217391304348</v>
      </c>
      <c r="CS14" s="18">
        <f t="shared" si="18"/>
        <v>0.27365217391304347</v>
      </c>
      <c r="CT14" s="18">
        <f t="shared" si="18"/>
        <v>0.43765217391304345</v>
      </c>
      <c r="CU14" s="18">
        <f t="shared" si="18"/>
        <v>0.65565217391304342</v>
      </c>
      <c r="CV14" s="18">
        <f t="shared" si="18"/>
        <v>0.82365217391304346</v>
      </c>
      <c r="CW14" s="18">
        <f t="shared" si="18"/>
        <v>1.5866521739130435</v>
      </c>
      <c r="CX14" s="18">
        <f t="shared" si="18"/>
        <v>2.9916521739130433</v>
      </c>
      <c r="CY14" s="18" t="e">
        <f t="shared" si="18"/>
        <v>#VALUE!</v>
      </c>
      <c r="CZ14" s="18" t="e">
        <f t="shared" si="18"/>
        <v>#VALUE!</v>
      </c>
      <c r="DA14" s="39">
        <f t="shared" si="18"/>
        <v>-3.3478260869565235E-3</v>
      </c>
      <c r="DC14" s="699"/>
      <c r="DD14" s="122" t="s">
        <v>45</v>
      </c>
      <c r="DE14" s="18">
        <f t="shared" ref="DE14:DE20" si="19">DE4-$DJ$11</f>
        <v>-1.2388888888888928E-2</v>
      </c>
      <c r="DF14" s="18">
        <f t="shared" ref="DF14:DP14" si="20">DF4-$DJ$11</f>
        <v>1.6111111111110771E-3</v>
      </c>
      <c r="DG14" s="18">
        <f t="shared" si="20"/>
        <v>0.19961111111111107</v>
      </c>
      <c r="DH14" s="18">
        <f t="shared" si="20"/>
        <v>0.31761111111111107</v>
      </c>
      <c r="DI14" s="18">
        <f t="shared" si="20"/>
        <v>0.69161111111111107</v>
      </c>
      <c r="DJ14" s="18">
        <f t="shared" si="20"/>
        <v>0.87061111111111111</v>
      </c>
      <c r="DK14" s="18">
        <f t="shared" si="20"/>
        <v>1.0996111111111111</v>
      </c>
      <c r="DL14" s="18">
        <f t="shared" si="20"/>
        <v>1.9836111111111112</v>
      </c>
      <c r="DM14" s="18">
        <f t="shared" si="20"/>
        <v>3.7046111111111109</v>
      </c>
      <c r="DN14" s="18" t="e">
        <f t="shared" si="20"/>
        <v>#VALUE!</v>
      </c>
      <c r="DO14" s="18" t="e">
        <f t="shared" si="20"/>
        <v>#VALUE!</v>
      </c>
      <c r="DP14" s="39">
        <f t="shared" si="20"/>
        <v>-1.4388888888888923E-2</v>
      </c>
      <c r="DR14" s="699"/>
      <c r="DS14" s="122" t="s">
        <v>45</v>
      </c>
      <c r="DT14" s="18">
        <f t="shared" ref="DT14:DT20" si="21">DT4-$DY$11</f>
        <v>-6.2499999999999986E-3</v>
      </c>
      <c r="DU14" s="18">
        <f t="shared" ref="DU14:EE14" si="22">DU4-$DY$11</f>
        <v>1.1750000000000003E-2</v>
      </c>
      <c r="DV14" s="18">
        <f t="shared" si="22"/>
        <v>0.22075000000000003</v>
      </c>
      <c r="DW14" s="18">
        <f t="shared" si="22"/>
        <v>0.35674999999999996</v>
      </c>
      <c r="DX14" s="18">
        <f t="shared" si="22"/>
        <v>0.76174999999999993</v>
      </c>
      <c r="DY14" s="18">
        <f t="shared" si="22"/>
        <v>1.0267500000000001</v>
      </c>
      <c r="DZ14" s="18">
        <f t="shared" si="22"/>
        <v>1.2867500000000001</v>
      </c>
      <c r="EA14" s="18">
        <f t="shared" si="22"/>
        <v>2.33575</v>
      </c>
      <c r="EB14" s="18" t="e">
        <f t="shared" si="22"/>
        <v>#VALUE!</v>
      </c>
      <c r="EC14" s="18" t="e">
        <f t="shared" si="22"/>
        <v>#VALUE!</v>
      </c>
      <c r="ED14" s="18" t="e">
        <f t="shared" si="22"/>
        <v>#VALUE!</v>
      </c>
      <c r="EE14" s="39">
        <f t="shared" si="22"/>
        <v>-5.2499999999999977E-3</v>
      </c>
      <c r="EG14" s="699"/>
      <c r="EH14" s="122" t="s">
        <v>45</v>
      </c>
      <c r="EI14" s="18">
        <f t="shared" ref="EI14:EI20" si="23">EI4-$EN$11</f>
        <v>-8.7777777777777802E-3</v>
      </c>
      <c r="EJ14" s="18">
        <f t="shared" ref="EJ14:ET14" si="24">EJ4-$EN$11</f>
        <v>5.2222222222222184E-3</v>
      </c>
      <c r="EK14" s="18">
        <f t="shared" si="24"/>
        <v>0.1492222222222222</v>
      </c>
      <c r="EL14" s="18">
        <f t="shared" si="24"/>
        <v>0.37422222222222223</v>
      </c>
      <c r="EM14" s="18">
        <f t="shared" si="24"/>
        <v>0.69322222222222218</v>
      </c>
      <c r="EN14" s="18">
        <f t="shared" si="24"/>
        <v>1.0512222222222223</v>
      </c>
      <c r="EO14" s="18">
        <f t="shared" si="24"/>
        <v>1.4032222222222224</v>
      </c>
      <c r="EP14" s="18">
        <f t="shared" si="24"/>
        <v>2.6302222222222222</v>
      </c>
      <c r="EQ14" s="18" t="e">
        <f t="shared" si="24"/>
        <v>#VALUE!</v>
      </c>
      <c r="ER14" s="18" t="e">
        <f t="shared" si="24"/>
        <v>#VALUE!</v>
      </c>
      <c r="ES14" s="18" t="e">
        <f t="shared" si="24"/>
        <v>#VALUE!</v>
      </c>
      <c r="ET14" s="39">
        <f t="shared" si="24"/>
        <v>-8.7777777777777802E-3</v>
      </c>
    </row>
    <row r="15" spans="1:150" x14ac:dyDescent="0.25">
      <c r="B15" s="707"/>
      <c r="C15" s="45" t="s">
        <v>46</v>
      </c>
      <c r="D15" s="18">
        <f t="shared" si="8"/>
        <v>-1.2695652173913045E-2</v>
      </c>
      <c r="E15" s="18">
        <f t="shared" ref="E15:O15" si="25">E5-$I$11</f>
        <v>-8.6956521739130488E-3</v>
      </c>
      <c r="F15" s="18">
        <f t="shared" si="25"/>
        <v>0.22330434782608694</v>
      </c>
      <c r="G15" s="120">
        <f t="shared" si="25"/>
        <v>0.41130434782608694</v>
      </c>
      <c r="H15" s="17">
        <f t="shared" si="25"/>
        <v>0.7463043478260869</v>
      </c>
      <c r="I15" s="83">
        <f t="shared" si="25"/>
        <v>1.0503043478260872</v>
      </c>
      <c r="J15" s="83">
        <f t="shared" si="25"/>
        <v>0.92830434782608695</v>
      </c>
      <c r="K15" s="121">
        <f t="shared" si="25"/>
        <v>1.6343043478260868</v>
      </c>
      <c r="L15" s="38">
        <f t="shared" si="25"/>
        <v>2.9773043478260872</v>
      </c>
      <c r="M15" s="199" t="e">
        <f t="shared" si="25"/>
        <v>#VALUE!</v>
      </c>
      <c r="N15" s="199" t="e">
        <f t="shared" si="25"/>
        <v>#VALUE!</v>
      </c>
      <c r="O15" s="39">
        <f t="shared" si="25"/>
        <v>-9.6956521739130497E-3</v>
      </c>
      <c r="Q15" s="699"/>
      <c r="R15" s="122" t="s">
        <v>46</v>
      </c>
      <c r="S15" s="18">
        <f t="shared" si="10"/>
        <v>-1.999999999999981E-3</v>
      </c>
      <c r="T15" s="18">
        <f t="shared" ref="T15:AD15" si="26">T5-$X$11</f>
        <v>1.6000000000000021E-2</v>
      </c>
      <c r="U15" s="18">
        <f t="shared" si="26"/>
        <v>0.79700000000000004</v>
      </c>
      <c r="V15" s="120">
        <f t="shared" si="26"/>
        <v>0.41100000000000003</v>
      </c>
      <c r="W15" s="17">
        <f t="shared" si="26"/>
        <v>0.63700000000000012</v>
      </c>
      <c r="X15" s="83">
        <f t="shared" si="26"/>
        <v>0.8660000000000001</v>
      </c>
      <c r="Y15" s="83">
        <f t="shared" si="26"/>
        <v>0.80600000000000005</v>
      </c>
      <c r="Z15" s="121">
        <f t="shared" si="26"/>
        <v>1.333</v>
      </c>
      <c r="AA15" s="38">
        <f t="shared" si="26"/>
        <v>2.4130000000000003</v>
      </c>
      <c r="AB15" s="281"/>
      <c r="AC15" s="281"/>
      <c r="AD15" s="39">
        <f t="shared" si="26"/>
        <v>-9.9999999999998007E-4</v>
      </c>
      <c r="AF15" s="699"/>
      <c r="AG15" s="122" t="s">
        <v>46</v>
      </c>
      <c r="AH15" s="18"/>
      <c r="AI15" s="18">
        <f t="shared" si="12"/>
        <v>8.8947368421052886E-3</v>
      </c>
      <c r="AJ15" s="18">
        <f t="shared" si="12"/>
        <v>0.22489473684210531</v>
      </c>
      <c r="AK15" s="120">
        <f t="shared" si="12"/>
        <v>0.38589473684210529</v>
      </c>
      <c r="AL15" s="17">
        <f t="shared" si="12"/>
        <v>0.62489473684210539</v>
      </c>
      <c r="AM15" s="83">
        <f t="shared" si="12"/>
        <v>0.83789473684210525</v>
      </c>
      <c r="AN15" s="83">
        <f t="shared" si="12"/>
        <v>0.78889473684210532</v>
      </c>
      <c r="AO15" s="21">
        <f t="shared" si="12"/>
        <v>1.3218947368421052</v>
      </c>
      <c r="AP15" s="34">
        <f t="shared" si="12"/>
        <v>2.4638947368421054</v>
      </c>
      <c r="AQ15" s="20">
        <f t="shared" si="12"/>
        <v>3.4008947368421052</v>
      </c>
      <c r="AR15" s="199" t="e">
        <f t="shared" si="12"/>
        <v>#VALUE!</v>
      </c>
      <c r="AS15" s="39"/>
      <c r="AU15" s="699"/>
      <c r="AV15" s="122" t="s">
        <v>46</v>
      </c>
      <c r="AW15" s="18"/>
      <c r="AX15" s="18">
        <f t="shared" ref="AX15:BG15" si="27">AX5-$BB$11</f>
        <v>-2.630555555555554E-2</v>
      </c>
      <c r="AY15" s="18">
        <f t="shared" si="27"/>
        <v>0.10969444444444447</v>
      </c>
      <c r="AZ15" s="120">
        <f t="shared" si="27"/>
        <v>0.22069444444444447</v>
      </c>
      <c r="BA15" s="17">
        <f t="shared" si="27"/>
        <v>0.48169444444444443</v>
      </c>
      <c r="BB15" s="83">
        <f t="shared" si="27"/>
        <v>0.74069444444444443</v>
      </c>
      <c r="BC15" s="17">
        <f t="shared" si="27"/>
        <v>0.55169444444444449</v>
      </c>
      <c r="BD15" s="82">
        <f t="shared" si="27"/>
        <v>1.0676944444444445</v>
      </c>
      <c r="BE15" s="35">
        <f t="shared" si="27"/>
        <v>1.9556944444444444</v>
      </c>
      <c r="BF15" s="36">
        <f t="shared" si="27"/>
        <v>2.7906944444444441</v>
      </c>
      <c r="BG15" s="199" t="e">
        <f t="shared" si="27"/>
        <v>#VALUE!</v>
      </c>
      <c r="BH15" s="39"/>
      <c r="BJ15" s="699"/>
      <c r="BK15" s="81" t="s">
        <v>46</v>
      </c>
      <c r="BL15" s="18">
        <f t="shared" si="14"/>
        <v>-2.6194444444444409E-2</v>
      </c>
      <c r="BM15" s="18">
        <f t="shared" si="14"/>
        <v>-1.5194444444444406E-2</v>
      </c>
      <c r="BN15" s="18">
        <f t="shared" si="14"/>
        <v>0.14280555555555557</v>
      </c>
      <c r="BO15" s="18">
        <f t="shared" si="14"/>
        <v>0.2978055555555556</v>
      </c>
      <c r="BP15" s="18">
        <f t="shared" si="14"/>
        <v>0.46480555555555564</v>
      </c>
      <c r="BQ15" s="18">
        <f t="shared" si="14"/>
        <v>0.7368055555555556</v>
      </c>
      <c r="BR15" s="18">
        <f t="shared" si="14"/>
        <v>0.93280555555555555</v>
      </c>
      <c r="BS15" s="18">
        <f t="shared" si="14"/>
        <v>1.7968055555555558</v>
      </c>
      <c r="BT15" s="18">
        <f t="shared" si="14"/>
        <v>3.3168055555555558</v>
      </c>
      <c r="BU15" s="18" t="e">
        <f t="shared" si="14"/>
        <v>#VALUE!</v>
      </c>
      <c r="BV15" s="18" t="e">
        <f t="shared" si="14"/>
        <v>#VALUE!</v>
      </c>
      <c r="BW15" s="39">
        <f t="shared" si="14"/>
        <v>-2.1194444444444405E-2</v>
      </c>
      <c r="BY15" s="699"/>
      <c r="BZ15" s="81" t="s">
        <v>46</v>
      </c>
      <c r="CA15" s="18">
        <f t="shared" si="15"/>
        <v>-7.8958333333333103E-3</v>
      </c>
      <c r="CB15" s="18">
        <f t="shared" ref="CB15:CL15" si="28">CB5-$CF$11</f>
        <v>7.1041666666666961E-3</v>
      </c>
      <c r="CC15" s="18">
        <f t="shared" si="28"/>
        <v>0.14510416666666667</v>
      </c>
      <c r="CD15" s="18">
        <f t="shared" si="28"/>
        <v>0.31710416666666669</v>
      </c>
      <c r="CE15" s="18">
        <f t="shared" si="28"/>
        <v>0.49710416666666674</v>
      </c>
      <c r="CF15" s="18">
        <f t="shared" si="28"/>
        <v>0.71610416666666676</v>
      </c>
      <c r="CG15" s="18">
        <f t="shared" si="28"/>
        <v>0.77510416666666671</v>
      </c>
      <c r="CH15" s="18">
        <f t="shared" si="28"/>
        <v>1.6161041666666667</v>
      </c>
      <c r="CI15" s="18">
        <f t="shared" si="28"/>
        <v>2.8801041666666665</v>
      </c>
      <c r="CJ15" s="18" t="e">
        <f t="shared" si="28"/>
        <v>#VALUE!</v>
      </c>
      <c r="CK15" s="18" t="e">
        <f t="shared" si="28"/>
        <v>#VALUE!</v>
      </c>
      <c r="CL15" s="39">
        <f t="shared" si="28"/>
        <v>3.1041666666666926E-3</v>
      </c>
      <c r="CN15" s="699"/>
      <c r="CO15" s="81" t="s">
        <v>46</v>
      </c>
      <c r="CP15" s="18">
        <f t="shared" si="17"/>
        <v>-2.3478260869565226E-3</v>
      </c>
      <c r="CQ15" s="18">
        <f t="shared" ref="CQ15:DA15" si="29">CQ5-$CU$11</f>
        <v>1.0652173913043482E-2</v>
      </c>
      <c r="CR15" s="18">
        <f t="shared" si="29"/>
        <v>0.12765217391304348</v>
      </c>
      <c r="CS15" s="18">
        <f t="shared" si="29"/>
        <v>0.25065217391304345</v>
      </c>
      <c r="CT15" s="18">
        <f t="shared" si="29"/>
        <v>0.42365217391304344</v>
      </c>
      <c r="CU15" s="18">
        <f t="shared" si="29"/>
        <v>0.64865217391304342</v>
      </c>
      <c r="CV15" s="18">
        <f t="shared" si="29"/>
        <v>0.80665217391304345</v>
      </c>
      <c r="CW15" s="18">
        <f t="shared" si="29"/>
        <v>1.5816521739130434</v>
      </c>
      <c r="CX15" s="18">
        <f t="shared" si="29"/>
        <v>2.8186521739130437</v>
      </c>
      <c r="CY15" s="18" t="e">
        <f t="shared" si="29"/>
        <v>#VALUE!</v>
      </c>
      <c r="CZ15" s="18" t="e">
        <f t="shared" si="29"/>
        <v>#VALUE!</v>
      </c>
      <c r="DA15" s="39">
        <f t="shared" si="29"/>
        <v>-4.3478260869565175E-3</v>
      </c>
      <c r="DC15" s="699"/>
      <c r="DD15" s="122" t="s">
        <v>46</v>
      </c>
      <c r="DE15" s="18">
        <f t="shared" si="19"/>
        <v>-8.3888888888889249E-3</v>
      </c>
      <c r="DF15" s="18">
        <f t="shared" ref="DF15:DP15" si="30">DF5-$DJ$11</f>
        <v>-3.888888888889247E-4</v>
      </c>
      <c r="DG15" s="18">
        <f t="shared" si="30"/>
        <v>0.23161111111111105</v>
      </c>
      <c r="DH15" s="18">
        <f t="shared" si="30"/>
        <v>0.31361111111111106</v>
      </c>
      <c r="DI15" s="18">
        <f t="shared" si="30"/>
        <v>0.66861111111111104</v>
      </c>
      <c r="DJ15" s="18">
        <f t="shared" si="30"/>
        <v>0.8556111111111111</v>
      </c>
      <c r="DK15" s="18">
        <f t="shared" si="30"/>
        <v>1.074611111111111</v>
      </c>
      <c r="DL15" s="18">
        <f t="shared" si="30"/>
        <v>1.937611111111111</v>
      </c>
      <c r="DM15" s="18">
        <f t="shared" si="30"/>
        <v>3.5566111111111112</v>
      </c>
      <c r="DN15" s="18" t="e">
        <f t="shared" si="30"/>
        <v>#VALUE!</v>
      </c>
      <c r="DO15" s="18" t="e">
        <f t="shared" si="30"/>
        <v>#VALUE!</v>
      </c>
      <c r="DP15" s="39">
        <f t="shared" si="30"/>
        <v>-1.3388888888888922E-2</v>
      </c>
      <c r="DR15" s="699"/>
      <c r="DS15" s="122" t="s">
        <v>46</v>
      </c>
      <c r="DT15" s="18">
        <f t="shared" si="21"/>
        <v>1.7749999999999995E-2</v>
      </c>
      <c r="DU15" s="18">
        <f t="shared" ref="DU15:EE15" si="31">DU5-$DY$11</f>
        <v>8.7500000000000008E-3</v>
      </c>
      <c r="DV15" s="18">
        <f t="shared" si="31"/>
        <v>0.20675000000000002</v>
      </c>
      <c r="DW15" s="18">
        <f t="shared" si="31"/>
        <v>0.33574999999999999</v>
      </c>
      <c r="DX15" s="18">
        <f t="shared" si="31"/>
        <v>0.74575000000000002</v>
      </c>
      <c r="DY15" s="18">
        <f t="shared" si="31"/>
        <v>0.9817499999999999</v>
      </c>
      <c r="DZ15" s="18">
        <f t="shared" si="31"/>
        <v>1.23675</v>
      </c>
      <c r="EA15" s="18">
        <f t="shared" si="31"/>
        <v>2.3187500000000001</v>
      </c>
      <c r="EB15" s="18" t="e">
        <f t="shared" si="31"/>
        <v>#VALUE!</v>
      </c>
      <c r="EC15" s="18" t="e">
        <f t="shared" si="31"/>
        <v>#VALUE!</v>
      </c>
      <c r="ED15" s="18" t="e">
        <f t="shared" si="31"/>
        <v>#VALUE!</v>
      </c>
      <c r="EE15" s="39">
        <f t="shared" si="31"/>
        <v>7.2750000000000009E-2</v>
      </c>
      <c r="EG15" s="699"/>
      <c r="EH15" s="122" t="s">
        <v>46</v>
      </c>
      <c r="EI15" s="18">
        <f t="shared" si="23"/>
        <v>2.4222222222222221E-2</v>
      </c>
      <c r="EJ15" s="18">
        <f t="shared" ref="EJ15:ET15" si="32">EJ5-$EN$11</f>
        <v>7.2222222222222202E-3</v>
      </c>
      <c r="EK15" s="18">
        <f t="shared" si="32"/>
        <v>0.14122222222222222</v>
      </c>
      <c r="EL15" s="18">
        <f t="shared" si="32"/>
        <v>0.36022222222222222</v>
      </c>
      <c r="EM15" s="18">
        <f t="shared" si="32"/>
        <v>0.64922222222222215</v>
      </c>
      <c r="EN15" s="18">
        <f t="shared" si="32"/>
        <v>1.0022222222222223</v>
      </c>
      <c r="EO15" s="18">
        <f t="shared" si="32"/>
        <v>1.3482222222222222</v>
      </c>
      <c r="EP15" s="18">
        <f t="shared" si="32"/>
        <v>2.3562222222222222</v>
      </c>
      <c r="EQ15" s="18" t="e">
        <f t="shared" si="32"/>
        <v>#VALUE!</v>
      </c>
      <c r="ER15" s="18" t="e">
        <f t="shared" si="32"/>
        <v>#VALUE!</v>
      </c>
      <c r="ES15" s="18" t="e">
        <f t="shared" si="32"/>
        <v>#VALUE!</v>
      </c>
      <c r="ET15" s="39">
        <f t="shared" si="32"/>
        <v>-5.7777777777777845E-3</v>
      </c>
    </row>
    <row r="16" spans="1:150" x14ac:dyDescent="0.25">
      <c r="B16" s="707"/>
      <c r="C16" s="45" t="s">
        <v>47</v>
      </c>
      <c r="D16" s="18">
        <f t="shared" si="8"/>
        <v>0.12130434782608696</v>
      </c>
      <c r="E16" s="21">
        <f t="shared" ref="E16:O16" si="33">E6-$I$11</f>
        <v>1.4053043478260872</v>
      </c>
      <c r="F16" s="82">
        <f t="shared" si="33"/>
        <v>1.3043043478260872</v>
      </c>
      <c r="G16" s="82">
        <f t="shared" si="33"/>
        <v>1.3133043478260871</v>
      </c>
      <c r="H16" s="21">
        <f t="shared" si="33"/>
        <v>1.3493043478260871</v>
      </c>
      <c r="I16" s="21">
        <f t="shared" si="33"/>
        <v>1.4563043478260869</v>
      </c>
      <c r="J16" s="82">
        <f t="shared" si="33"/>
        <v>1.1343043478260868</v>
      </c>
      <c r="K16" s="82">
        <f t="shared" si="33"/>
        <v>1.2033043478260868</v>
      </c>
      <c r="L16" s="82">
        <f t="shared" si="33"/>
        <v>1.1583043478260868</v>
      </c>
      <c r="M16" s="82">
        <f t="shared" si="33"/>
        <v>1.2143043478260869</v>
      </c>
      <c r="N16" s="21">
        <f t="shared" si="33"/>
        <v>1.4443043478260869</v>
      </c>
      <c r="O16" s="39">
        <f t="shared" si="33"/>
        <v>2.3304347826086952E-2</v>
      </c>
      <c r="Q16" s="699"/>
      <c r="R16" s="122" t="s">
        <v>47</v>
      </c>
      <c r="S16" s="18">
        <f t="shared" si="10"/>
        <v>-1.999999999999981E-3</v>
      </c>
      <c r="T16" s="21">
        <f t="shared" ref="T16:AD16" si="34">T6-$X$11</f>
        <v>1.8519999999999999</v>
      </c>
      <c r="U16" s="82">
        <f t="shared" si="34"/>
        <v>1.5449999999999999</v>
      </c>
      <c r="V16" s="82">
        <f t="shared" si="34"/>
        <v>1.796</v>
      </c>
      <c r="W16" s="21">
        <f t="shared" si="34"/>
        <v>1.431</v>
      </c>
      <c r="X16" s="21">
        <f t="shared" si="34"/>
        <v>1.081</v>
      </c>
      <c r="Y16" s="82">
        <f t="shared" si="34"/>
        <v>1.4569999999999999</v>
      </c>
      <c r="Z16" s="82">
        <f t="shared" si="34"/>
        <v>1.222</v>
      </c>
      <c r="AA16" s="82">
        <f t="shared" si="34"/>
        <v>1.17</v>
      </c>
      <c r="AB16" s="82">
        <f t="shared" si="34"/>
        <v>1.655</v>
      </c>
      <c r="AC16" s="21">
        <f t="shared" si="34"/>
        <v>1.2509999999999999</v>
      </c>
      <c r="AD16" s="39">
        <f t="shared" si="34"/>
        <v>-9.9999999999998007E-4</v>
      </c>
      <c r="AF16" s="699"/>
      <c r="AG16" s="122" t="s">
        <v>47</v>
      </c>
      <c r="AH16" s="18"/>
      <c r="AI16" s="121">
        <f t="shared" si="12"/>
        <v>1.6108947368421054</v>
      </c>
      <c r="AJ16" s="82">
        <f t="shared" si="12"/>
        <v>1.2508947368421053</v>
      </c>
      <c r="AK16" s="21">
        <f t="shared" si="12"/>
        <v>1.5038947368421054</v>
      </c>
      <c r="AL16" s="21">
        <f t="shared" si="12"/>
        <v>1.3608947368421054</v>
      </c>
      <c r="AM16" s="83">
        <f t="shared" si="12"/>
        <v>0.8958947368421053</v>
      </c>
      <c r="AN16" s="21">
        <f t="shared" si="12"/>
        <v>1.4798947368421054</v>
      </c>
      <c r="AO16" s="21">
        <f t="shared" si="12"/>
        <v>1.4948947368421053</v>
      </c>
      <c r="AP16" s="21">
        <f t="shared" si="12"/>
        <v>1.4778947368421054</v>
      </c>
      <c r="AQ16" s="21">
        <f t="shared" si="12"/>
        <v>1.3608947368421054</v>
      </c>
      <c r="AR16" s="18">
        <f t="shared" si="12"/>
        <v>-7.1052631578947117E-3</v>
      </c>
      <c r="AS16" s="39"/>
      <c r="AU16" s="699"/>
      <c r="AV16" s="122" t="s">
        <v>47</v>
      </c>
      <c r="AW16" s="18"/>
      <c r="AX16" s="35">
        <f t="shared" ref="AX16:BG16" si="35">AX6-$BB$11</f>
        <v>1.9576944444444446</v>
      </c>
      <c r="AY16" s="35">
        <f t="shared" si="35"/>
        <v>1.8936944444444446</v>
      </c>
      <c r="AZ16" s="35">
        <f t="shared" si="35"/>
        <v>1.8316944444444445</v>
      </c>
      <c r="BA16" s="17">
        <f t="shared" si="35"/>
        <v>0.59969444444444442</v>
      </c>
      <c r="BB16" s="35">
        <f t="shared" si="35"/>
        <v>1.9006944444444445</v>
      </c>
      <c r="BC16" s="34">
        <f t="shared" si="35"/>
        <v>2.0876944444444443</v>
      </c>
      <c r="BD16" s="82">
        <f t="shared" si="35"/>
        <v>1.0356944444444445</v>
      </c>
      <c r="BE16" s="35">
        <f t="shared" si="35"/>
        <v>1.8666944444444444</v>
      </c>
      <c r="BF16" s="121">
        <f t="shared" si="35"/>
        <v>1.3936944444444446</v>
      </c>
      <c r="BG16" s="21">
        <f t="shared" si="35"/>
        <v>1.3096944444444445</v>
      </c>
      <c r="BH16" s="39"/>
      <c r="BJ16" s="699"/>
      <c r="BK16" s="81" t="s">
        <v>47</v>
      </c>
      <c r="BL16" s="18">
        <f t="shared" si="14"/>
        <v>-1.7194444444444408E-2</v>
      </c>
      <c r="BM16" s="18">
        <f t="shared" si="14"/>
        <v>2.5308055555555558</v>
      </c>
      <c r="BN16" s="18">
        <f t="shared" si="14"/>
        <v>2.5678055555555557</v>
      </c>
      <c r="BO16" s="18">
        <f t="shared" si="14"/>
        <v>2.6568055555555556</v>
      </c>
      <c r="BP16" s="18">
        <f t="shared" si="14"/>
        <v>2.6668055555555559</v>
      </c>
      <c r="BQ16" s="18">
        <f t="shared" si="14"/>
        <v>2.4878055555555556</v>
      </c>
      <c r="BR16" s="18">
        <f t="shared" si="14"/>
        <v>2.7408055555555557</v>
      </c>
      <c r="BS16" s="18">
        <f t="shared" si="14"/>
        <v>2.6508055555555559</v>
      </c>
      <c r="BT16" s="18">
        <f t="shared" si="14"/>
        <v>2.2398055555555558</v>
      </c>
      <c r="BU16" s="18">
        <f t="shared" si="14"/>
        <v>2.8138055555555557</v>
      </c>
      <c r="BV16" s="18">
        <f t="shared" si="14"/>
        <v>2.3898055555555557</v>
      </c>
      <c r="BW16" s="39">
        <f t="shared" si="14"/>
        <v>-3.0194444444444406E-2</v>
      </c>
      <c r="BY16" s="699"/>
      <c r="BZ16" s="81" t="s">
        <v>47</v>
      </c>
      <c r="CA16" s="18">
        <f t="shared" si="15"/>
        <v>-8.95833333333311E-4</v>
      </c>
      <c r="CB16" s="18">
        <f t="shared" ref="CB16:CL16" si="36">CB6-$CF$11</f>
        <v>2.3271041666666665</v>
      </c>
      <c r="CC16" s="18">
        <f t="shared" si="36"/>
        <v>2.3531041666666668</v>
      </c>
      <c r="CD16" s="18">
        <f t="shared" si="36"/>
        <v>2.2641041666666668</v>
      </c>
      <c r="CE16" s="18">
        <f t="shared" si="36"/>
        <v>2.1761041666666667</v>
      </c>
      <c r="CF16" s="18">
        <f t="shared" si="36"/>
        <v>2.0191041666666667</v>
      </c>
      <c r="CG16" s="18">
        <f t="shared" si="36"/>
        <v>2.3121041666666668</v>
      </c>
      <c r="CH16" s="18">
        <f t="shared" si="36"/>
        <v>2.1841041666666667</v>
      </c>
      <c r="CI16" s="18">
        <f t="shared" si="36"/>
        <v>2.3071041666666665</v>
      </c>
      <c r="CJ16" s="18">
        <f t="shared" si="36"/>
        <v>2.1681041666666667</v>
      </c>
      <c r="CK16" s="18">
        <f t="shared" si="36"/>
        <v>2.0101041666666668</v>
      </c>
      <c r="CL16" s="39">
        <f t="shared" si="36"/>
        <v>-2.3895833333333311E-2</v>
      </c>
      <c r="CN16" s="699"/>
      <c r="CO16" s="81" t="s">
        <v>47</v>
      </c>
      <c r="CP16" s="18">
        <f t="shared" si="17"/>
        <v>2.6521739130434818E-3</v>
      </c>
      <c r="CQ16" s="18">
        <f t="shared" ref="CQ16:DA16" si="37">CQ6-$CU$11</f>
        <v>1.9966521739130436</v>
      </c>
      <c r="CR16" s="18">
        <f t="shared" si="37"/>
        <v>1.7116521739130435</v>
      </c>
      <c r="CS16" s="18">
        <f t="shared" si="37"/>
        <v>1.8246521739130435</v>
      </c>
      <c r="CT16" s="18">
        <f t="shared" si="37"/>
        <v>1.7426521739130434</v>
      </c>
      <c r="CU16" s="18">
        <f t="shared" si="37"/>
        <v>1.7406521739130434</v>
      </c>
      <c r="CV16" s="18">
        <f t="shared" si="37"/>
        <v>1.5936521739130434</v>
      </c>
      <c r="CW16" s="18">
        <f t="shared" si="37"/>
        <v>1.9236521739130434</v>
      </c>
      <c r="CX16" s="18">
        <f t="shared" si="37"/>
        <v>1.9756521739130433</v>
      </c>
      <c r="CY16" s="18">
        <f t="shared" si="37"/>
        <v>2.2116521739130435</v>
      </c>
      <c r="CZ16" s="18">
        <f t="shared" si="37"/>
        <v>-4.3478260869565175E-3</v>
      </c>
      <c r="DA16" s="39">
        <f t="shared" si="37"/>
        <v>-5.3478260869565183E-3</v>
      </c>
      <c r="DC16" s="699"/>
      <c r="DD16" s="122" t="s">
        <v>47</v>
      </c>
      <c r="DE16" s="18">
        <f t="shared" si="19"/>
        <v>-1.2388888888888928E-2</v>
      </c>
      <c r="DF16" s="18">
        <f t="shared" ref="DF16:DP16" si="38">DF6-$DJ$11</f>
        <v>1.8156111111111111</v>
      </c>
      <c r="DG16" s="18">
        <f t="shared" si="38"/>
        <v>2.017611111111111</v>
      </c>
      <c r="DH16" s="18">
        <f t="shared" si="38"/>
        <v>2.0446111111111112</v>
      </c>
      <c r="DI16" s="18">
        <f t="shared" si="38"/>
        <v>2.3936111111111109</v>
      </c>
      <c r="DJ16" s="18">
        <f t="shared" si="38"/>
        <v>1.9916111111111112</v>
      </c>
      <c r="DK16" s="18">
        <f t="shared" si="38"/>
        <v>1.9966111111111111</v>
      </c>
      <c r="DL16" s="18">
        <f t="shared" si="38"/>
        <v>3.0611111111111075E-2</v>
      </c>
      <c r="DM16" s="18">
        <f t="shared" si="38"/>
        <v>1.9796111111111112</v>
      </c>
      <c r="DN16" s="18">
        <f t="shared" si="38"/>
        <v>1.797611111111111</v>
      </c>
      <c r="DO16" s="18">
        <f t="shared" si="38"/>
        <v>1.795611111111111</v>
      </c>
      <c r="DP16" s="39">
        <f t="shared" si="38"/>
        <v>-1.2388888888888928E-2</v>
      </c>
      <c r="DR16" s="699"/>
      <c r="DS16" s="122" t="s">
        <v>47</v>
      </c>
      <c r="DT16" s="18">
        <f t="shared" si="21"/>
        <v>-7.2499999999999995E-3</v>
      </c>
      <c r="DU16" s="18">
        <f t="shared" ref="DU16:EE16" si="39">DU6-$DY$11</f>
        <v>2.5927500000000001</v>
      </c>
      <c r="DV16" s="18">
        <f t="shared" si="39"/>
        <v>2.3827500000000001</v>
      </c>
      <c r="DW16" s="18">
        <f t="shared" si="39"/>
        <v>2.1797499999999999</v>
      </c>
      <c r="DX16" s="18">
        <f t="shared" si="39"/>
        <v>2.4917500000000001</v>
      </c>
      <c r="DY16" s="18">
        <f t="shared" si="39"/>
        <v>2.8327499999999999</v>
      </c>
      <c r="DZ16" s="18">
        <f t="shared" si="39"/>
        <v>2.21075</v>
      </c>
      <c r="EA16" s="18">
        <f t="shared" si="39"/>
        <v>2.1997499999999999</v>
      </c>
      <c r="EB16" s="18">
        <f t="shared" si="39"/>
        <v>2.3907500000000002</v>
      </c>
      <c r="EC16" s="18">
        <f t="shared" si="39"/>
        <v>2.2527499999999998</v>
      </c>
      <c r="ED16" s="18">
        <f t="shared" si="39"/>
        <v>2.6677499999999998</v>
      </c>
      <c r="EE16" s="39">
        <f t="shared" si="39"/>
        <v>-3.2500000000000029E-3</v>
      </c>
      <c r="EG16" s="699"/>
      <c r="EH16" s="122" t="s">
        <v>47</v>
      </c>
      <c r="EI16" s="18">
        <f t="shared" si="23"/>
        <v>9.5222222222222208E-2</v>
      </c>
      <c r="EJ16" s="18">
        <f t="shared" ref="EJ16:ET16" si="40">EJ6-$EN$11</f>
        <v>1.7812222222222223</v>
      </c>
      <c r="EK16" s="18">
        <f t="shared" si="40"/>
        <v>1.9452222222222224</v>
      </c>
      <c r="EL16" s="18">
        <f t="shared" si="40"/>
        <v>2.015222222222222</v>
      </c>
      <c r="EM16" s="18">
        <f t="shared" si="40"/>
        <v>2.3092222222222221</v>
      </c>
      <c r="EN16" s="18">
        <f t="shared" si="40"/>
        <v>2.1222222222222222</v>
      </c>
      <c r="EO16" s="18">
        <f t="shared" si="40"/>
        <v>2.382222222222222</v>
      </c>
      <c r="EP16" s="18">
        <f t="shared" si="40"/>
        <v>2.3772222222222221</v>
      </c>
      <c r="EQ16" s="18">
        <f t="shared" si="40"/>
        <v>1.6782222222222223</v>
      </c>
      <c r="ER16" s="18">
        <f t="shared" si="40"/>
        <v>2.4382222222222221</v>
      </c>
      <c r="ES16" s="18">
        <f t="shared" si="40"/>
        <v>2.3612222222222221</v>
      </c>
      <c r="ET16" s="39">
        <f t="shared" si="40"/>
        <v>0.1192222222222222</v>
      </c>
    </row>
    <row r="17" spans="2:150" x14ac:dyDescent="0.25">
      <c r="B17" s="707"/>
      <c r="C17" s="45" t="s">
        <v>48</v>
      </c>
      <c r="D17" s="18">
        <f t="shared" si="8"/>
        <v>6.3043478260869507E-3</v>
      </c>
      <c r="E17" s="21">
        <f t="shared" ref="E17:O17" si="41">E7-$I$11</f>
        <v>1.5673043478260871</v>
      </c>
      <c r="F17" s="21">
        <f t="shared" si="41"/>
        <v>1.4293043478260872</v>
      </c>
      <c r="G17" s="21">
        <f t="shared" si="41"/>
        <v>1.4203043478260868</v>
      </c>
      <c r="H17" s="21">
        <f t="shared" si="41"/>
        <v>1.4293043478260872</v>
      </c>
      <c r="I17" s="121">
        <f t="shared" si="41"/>
        <v>1.6233043478260871</v>
      </c>
      <c r="J17" s="21">
        <f t="shared" si="41"/>
        <v>1.3843043478260868</v>
      </c>
      <c r="K17" s="21">
        <f t="shared" si="41"/>
        <v>1.5203043478260869</v>
      </c>
      <c r="L17" s="21">
        <f t="shared" si="41"/>
        <v>1.4523043478260869</v>
      </c>
      <c r="M17" s="21">
        <f t="shared" si="41"/>
        <v>1.5813043478260869</v>
      </c>
      <c r="N17" s="121">
        <f t="shared" si="41"/>
        <v>1.7233043478260868</v>
      </c>
      <c r="O17" s="39">
        <f t="shared" si="41"/>
        <v>1.3043478260869462E-3</v>
      </c>
      <c r="Q17" s="699"/>
      <c r="R17" s="122" t="s">
        <v>48</v>
      </c>
      <c r="S17" s="18">
        <f t="shared" si="10"/>
        <v>-1.999999999999981E-3</v>
      </c>
      <c r="T17" s="21">
        <f t="shared" ref="T17:AD17" si="42">T7-$X$11</f>
        <v>1.9370000000000001</v>
      </c>
      <c r="U17" s="21">
        <f t="shared" si="42"/>
        <v>1.8160000000000001</v>
      </c>
      <c r="V17" s="21">
        <f t="shared" si="42"/>
        <v>1.7969999999999999</v>
      </c>
      <c r="W17" s="21">
        <f t="shared" si="42"/>
        <v>1.43</v>
      </c>
      <c r="X17" s="121">
        <f t="shared" si="42"/>
        <v>1.1179999999999999</v>
      </c>
      <c r="Y17" s="21">
        <f t="shared" si="42"/>
        <v>1.5269999999999999</v>
      </c>
      <c r="Z17" s="21">
        <f t="shared" si="42"/>
        <v>1.2989999999999999</v>
      </c>
      <c r="AA17" s="21">
        <f t="shared" si="42"/>
        <v>1.2769999999999999</v>
      </c>
      <c r="AB17" s="21">
        <f t="shared" si="42"/>
        <v>1.831</v>
      </c>
      <c r="AC17" s="121">
        <f t="shared" si="42"/>
        <v>1.325</v>
      </c>
      <c r="AD17" s="39">
        <f t="shared" si="42"/>
        <v>0</v>
      </c>
      <c r="AF17" s="699"/>
      <c r="AG17" s="122" t="s">
        <v>48</v>
      </c>
      <c r="AH17" s="18"/>
      <c r="AI17" s="121">
        <f t="shared" si="12"/>
        <v>1.7418947368421054</v>
      </c>
      <c r="AJ17" s="21">
        <f t="shared" si="12"/>
        <v>1.3548947368421054</v>
      </c>
      <c r="AK17" s="121">
        <f t="shared" si="12"/>
        <v>1.5658947368421055</v>
      </c>
      <c r="AL17" s="21">
        <f t="shared" si="12"/>
        <v>1.4378947368421053</v>
      </c>
      <c r="AM17" s="83">
        <f t="shared" si="12"/>
        <v>0.95089473684210524</v>
      </c>
      <c r="AN17" s="21">
        <f t="shared" si="12"/>
        <v>1.4558947368421054</v>
      </c>
      <c r="AO17" s="21">
        <f t="shared" si="12"/>
        <v>1.5458947368421054</v>
      </c>
      <c r="AP17" s="21">
        <f t="shared" si="12"/>
        <v>1.4408947368421055</v>
      </c>
      <c r="AQ17" s="21">
        <f t="shared" si="12"/>
        <v>1.3868947368421054</v>
      </c>
      <c r="AR17" s="18">
        <f t="shared" si="12"/>
        <v>-7.1052631578947117E-3</v>
      </c>
      <c r="AS17" s="39"/>
      <c r="AU17" s="699"/>
      <c r="AV17" s="122" t="s">
        <v>48</v>
      </c>
      <c r="AW17" s="18"/>
      <c r="AX17" s="35">
        <f t="shared" ref="AX17:BG17" si="43">AX7-$BB$11</f>
        <v>1.9996944444444444</v>
      </c>
      <c r="AY17" s="35">
        <f t="shared" si="43"/>
        <v>1.9236944444444444</v>
      </c>
      <c r="AZ17" s="35">
        <f t="shared" si="43"/>
        <v>1.8326944444444444</v>
      </c>
      <c r="BA17" s="83">
        <f t="shared" si="43"/>
        <v>0.66369444444444448</v>
      </c>
      <c r="BB17" s="35">
        <f t="shared" si="43"/>
        <v>2.0316944444444442</v>
      </c>
      <c r="BC17" s="34">
        <f t="shared" si="43"/>
        <v>2.2586944444444441</v>
      </c>
      <c r="BD17" s="21">
        <f t="shared" si="43"/>
        <v>1.1426944444444445</v>
      </c>
      <c r="BE17" s="35">
        <f t="shared" si="43"/>
        <v>1.9556944444444444</v>
      </c>
      <c r="BF17" s="121">
        <f t="shared" si="43"/>
        <v>1.4556944444444444</v>
      </c>
      <c r="BG17" s="121">
        <f t="shared" si="43"/>
        <v>1.3526944444444444</v>
      </c>
      <c r="BH17" s="39"/>
      <c r="BJ17" s="699"/>
      <c r="BK17" s="81" t="s">
        <v>48</v>
      </c>
      <c r="BL17" s="18">
        <f t="shared" si="14"/>
        <v>-1.9194444444444403E-2</v>
      </c>
      <c r="BM17" s="18">
        <f t="shared" si="14"/>
        <v>2.5178055555555559</v>
      </c>
      <c r="BN17" s="18">
        <f t="shared" si="14"/>
        <v>2.4988055555555557</v>
      </c>
      <c r="BO17" s="18">
        <f t="shared" si="14"/>
        <v>2.9358055555555556</v>
      </c>
      <c r="BP17" s="18">
        <f t="shared" si="14"/>
        <v>2.6268055555555558</v>
      </c>
      <c r="BQ17" s="18">
        <f t="shared" si="14"/>
        <v>2.4428055555555557</v>
      </c>
      <c r="BR17" s="18">
        <f t="shared" si="14"/>
        <v>2.6718055555555558</v>
      </c>
      <c r="BS17" s="18">
        <f t="shared" si="14"/>
        <v>2.6168055555555556</v>
      </c>
      <c r="BT17" s="18">
        <f t="shared" si="14"/>
        <v>2.2808055555555558</v>
      </c>
      <c r="BU17" s="18">
        <f t="shared" si="14"/>
        <v>2.9248055555555559</v>
      </c>
      <c r="BV17" s="18">
        <f t="shared" si="14"/>
        <v>2.4278055555555556</v>
      </c>
      <c r="BW17" s="39">
        <f t="shared" si="14"/>
        <v>-3.4194444444444402E-2</v>
      </c>
      <c r="BY17" s="699"/>
      <c r="BZ17" s="81" t="s">
        <v>48</v>
      </c>
      <c r="CA17" s="18">
        <f t="shared" si="15"/>
        <v>5.1041666666666943E-3</v>
      </c>
      <c r="CB17" s="18">
        <f t="shared" ref="CB17:CL17" si="44">CB7-$CF$11</f>
        <v>2.4091041666666668</v>
      </c>
      <c r="CC17" s="18">
        <f t="shared" si="44"/>
        <v>2.3551041666666666</v>
      </c>
      <c r="CD17" s="18">
        <f t="shared" si="44"/>
        <v>2.4061041666666667</v>
      </c>
      <c r="CE17" s="18">
        <f t="shared" si="44"/>
        <v>2.2591041666666665</v>
      </c>
      <c r="CF17" s="18">
        <f t="shared" si="44"/>
        <v>2.2531041666666667</v>
      </c>
      <c r="CG17" s="18">
        <f t="shared" si="44"/>
        <v>2.6631041666666668</v>
      </c>
      <c r="CH17" s="18">
        <f t="shared" si="44"/>
        <v>2.4701041666666668</v>
      </c>
      <c r="CI17" s="18">
        <f t="shared" si="44"/>
        <v>2.5141041666666668</v>
      </c>
      <c r="CJ17" s="18">
        <f t="shared" si="44"/>
        <v>2.4031041666666666</v>
      </c>
      <c r="CK17" s="18">
        <f t="shared" si="44"/>
        <v>2.2711041666666665</v>
      </c>
      <c r="CL17" s="39">
        <f t="shared" si="44"/>
        <v>-1.2895833333333308E-2</v>
      </c>
      <c r="CN17" s="699"/>
      <c r="CO17" s="81" t="s">
        <v>48</v>
      </c>
      <c r="CP17" s="18">
        <f t="shared" si="17"/>
        <v>-1.3478260869565217E-3</v>
      </c>
      <c r="CQ17" s="18">
        <f t="shared" ref="CQ17:DA17" si="45">CQ7-$CU$11</f>
        <v>1.9966521739130436</v>
      </c>
      <c r="CR17" s="18">
        <f t="shared" si="45"/>
        <v>1.6806521739130436</v>
      </c>
      <c r="CS17" s="18">
        <f t="shared" si="45"/>
        <v>1.7736521739130435</v>
      </c>
      <c r="CT17" s="18">
        <f t="shared" si="45"/>
        <v>1.7146521739130434</v>
      </c>
      <c r="CU17" s="18">
        <f t="shared" si="45"/>
        <v>1.6616521739130434</v>
      </c>
      <c r="CV17" s="18">
        <f t="shared" si="45"/>
        <v>1.5586521739130434</v>
      </c>
      <c r="CW17" s="18">
        <f t="shared" si="45"/>
        <v>1.8606521739130435</v>
      </c>
      <c r="CX17" s="18">
        <f t="shared" si="45"/>
        <v>1.9236521739130434</v>
      </c>
      <c r="CY17" s="18">
        <f t="shared" si="45"/>
        <v>2.1366521739130433</v>
      </c>
      <c r="CZ17" s="18">
        <f t="shared" si="45"/>
        <v>-1.3347826086956519E-2</v>
      </c>
      <c r="DA17" s="39">
        <f t="shared" si="45"/>
        <v>-1.4347826086956519E-2</v>
      </c>
      <c r="DC17" s="699"/>
      <c r="DD17" s="122" t="s">
        <v>48</v>
      </c>
      <c r="DE17" s="18">
        <f t="shared" si="19"/>
        <v>-1.1388888888888928E-2</v>
      </c>
      <c r="DF17" s="18">
        <f t="shared" ref="DF17:DP17" si="46">DF7-$DJ$11</f>
        <v>1.767611111111111</v>
      </c>
      <c r="DG17" s="18">
        <f t="shared" si="46"/>
        <v>1.9756111111111112</v>
      </c>
      <c r="DH17" s="18">
        <f t="shared" si="46"/>
        <v>1.9506111111111109</v>
      </c>
      <c r="DI17" s="18">
        <f t="shared" si="46"/>
        <v>2.1436111111111109</v>
      </c>
      <c r="DJ17" s="18">
        <f t="shared" si="46"/>
        <v>1.949611111111111</v>
      </c>
      <c r="DK17" s="18">
        <f t="shared" si="46"/>
        <v>2.0236111111111112</v>
      </c>
      <c r="DL17" s="18">
        <f t="shared" si="46"/>
        <v>2.7611111111111072E-2</v>
      </c>
      <c r="DM17" s="18">
        <f t="shared" si="46"/>
        <v>2.134611111111111</v>
      </c>
      <c r="DN17" s="18">
        <f t="shared" si="46"/>
        <v>1.920611111111111</v>
      </c>
      <c r="DO17" s="18">
        <f t="shared" si="46"/>
        <v>1.9426111111111108</v>
      </c>
      <c r="DP17" s="39">
        <f t="shared" si="46"/>
        <v>-1.4388888888888923E-2</v>
      </c>
      <c r="DR17" s="699"/>
      <c r="DS17" s="122" t="s">
        <v>48</v>
      </c>
      <c r="DT17" s="18">
        <f t="shared" si="21"/>
        <v>-7.2499999999999995E-3</v>
      </c>
      <c r="DU17" s="18">
        <f t="shared" ref="DU17:EE17" si="47">DU7-$DY$11</f>
        <v>2.5227499999999998</v>
      </c>
      <c r="DV17" s="18">
        <f t="shared" si="47"/>
        <v>2.3607499999999999</v>
      </c>
      <c r="DW17" s="18">
        <f t="shared" si="47"/>
        <v>2.1447500000000002</v>
      </c>
      <c r="DX17" s="18">
        <f t="shared" si="47"/>
        <v>2.42875</v>
      </c>
      <c r="DY17" s="18">
        <f t="shared" si="47"/>
        <v>2.80775</v>
      </c>
      <c r="DZ17" s="18">
        <f t="shared" si="47"/>
        <v>2.1807500000000002</v>
      </c>
      <c r="EA17" s="18">
        <f t="shared" si="47"/>
        <v>2.4737499999999999</v>
      </c>
      <c r="EB17" s="18">
        <f t="shared" si="47"/>
        <v>2.3807499999999999</v>
      </c>
      <c r="EC17" s="18">
        <f t="shared" si="47"/>
        <v>2.3027500000000001</v>
      </c>
      <c r="ED17" s="18">
        <f t="shared" si="47"/>
        <v>2.64175</v>
      </c>
      <c r="EE17" s="39">
        <f t="shared" si="47"/>
        <v>3.3749999999999995E-2</v>
      </c>
      <c r="EG17" s="699"/>
      <c r="EH17" s="122" t="s">
        <v>48</v>
      </c>
      <c r="EI17" s="18">
        <f t="shared" si="23"/>
        <v>-7.7777777777777793E-3</v>
      </c>
      <c r="EJ17" s="18">
        <f t="shared" ref="EJ17:ET17" si="48">EJ7-$EN$11</f>
        <v>1.9772222222222224</v>
      </c>
      <c r="EK17" s="18">
        <f t="shared" si="48"/>
        <v>2.0892222222222219</v>
      </c>
      <c r="EL17" s="18">
        <f t="shared" si="48"/>
        <v>2.1832222222222222</v>
      </c>
      <c r="EM17" s="18">
        <f t="shared" si="48"/>
        <v>2.4132222222222222</v>
      </c>
      <c r="EN17" s="18">
        <f t="shared" si="48"/>
        <v>2.1782222222222223</v>
      </c>
      <c r="EO17" s="18">
        <f t="shared" si="48"/>
        <v>2.4932222222222222</v>
      </c>
      <c r="EP17" s="18">
        <f t="shared" si="48"/>
        <v>2.4182222222222221</v>
      </c>
      <c r="EQ17" s="18">
        <f t="shared" si="48"/>
        <v>1.7232222222222222</v>
      </c>
      <c r="ER17" s="18">
        <f t="shared" si="48"/>
        <v>2.479222222222222</v>
      </c>
      <c r="ES17" s="18">
        <f t="shared" si="48"/>
        <v>2.358222222222222</v>
      </c>
      <c r="ET17" s="39">
        <f t="shared" si="48"/>
        <v>-5.7777777777777845E-3</v>
      </c>
    </row>
    <row r="18" spans="2:150" x14ac:dyDescent="0.25">
      <c r="B18" s="707"/>
      <c r="C18" s="45" t="s">
        <v>49</v>
      </c>
      <c r="D18" s="18">
        <f t="shared" si="8"/>
        <v>-8.6956521739130488E-3</v>
      </c>
      <c r="E18" s="121">
        <f t="shared" ref="E18:O18" si="49">E8-$I$11</f>
        <v>1.7263043478260869</v>
      </c>
      <c r="F18" s="21">
        <f t="shared" si="49"/>
        <v>1.370304347826087</v>
      </c>
      <c r="G18" s="82">
        <f t="shared" si="49"/>
        <v>1.1233043478260871</v>
      </c>
      <c r="H18" s="82">
        <f t="shared" si="49"/>
        <v>1.120304347826087</v>
      </c>
      <c r="I18" s="21">
        <f t="shared" si="49"/>
        <v>1.4643043478260869</v>
      </c>
      <c r="J18" s="18">
        <f t="shared" si="49"/>
        <v>-7.6956521739130479E-3</v>
      </c>
      <c r="K18" s="18">
        <f t="shared" si="49"/>
        <v>-1.769565217391305E-2</v>
      </c>
      <c r="L18" s="18">
        <f t="shared" si="49"/>
        <v>1.5304347826086959E-2</v>
      </c>
      <c r="M18" s="18">
        <f t="shared" si="49"/>
        <v>6.3043478260869507E-3</v>
      </c>
      <c r="N18" s="18">
        <f t="shared" si="49"/>
        <v>-1.9695652173913045E-2</v>
      </c>
      <c r="O18" s="39">
        <f t="shared" si="49"/>
        <v>-1.5695652173913048E-2</v>
      </c>
      <c r="Q18" s="699"/>
      <c r="R18" s="122" t="s">
        <v>49</v>
      </c>
      <c r="S18" s="18">
        <f t="shared" si="10"/>
        <v>-9.9999999999998007E-4</v>
      </c>
      <c r="T18" s="121">
        <f t="shared" ref="T18:AD18" si="50">T8-$X$11</f>
        <v>1.4379999999999999</v>
      </c>
      <c r="U18" s="21">
        <f t="shared" si="50"/>
        <v>1.877</v>
      </c>
      <c r="V18" s="82">
        <f t="shared" si="50"/>
        <v>1.347</v>
      </c>
      <c r="W18" s="82">
        <f t="shared" si="50"/>
        <v>1.5609999999999999</v>
      </c>
      <c r="X18" s="21">
        <f t="shared" si="50"/>
        <v>1.4509999999999998</v>
      </c>
      <c r="Y18" s="18">
        <f t="shared" si="50"/>
        <v>1.423</v>
      </c>
      <c r="Z18" s="18">
        <f t="shared" si="50"/>
        <v>1.056</v>
      </c>
      <c r="AA18" s="18">
        <f t="shared" si="50"/>
        <v>7.0000000000000201E-3</v>
      </c>
      <c r="AB18" s="18">
        <f t="shared" si="50"/>
        <v>-9.9999999999998007E-4</v>
      </c>
      <c r="AC18" s="18">
        <f t="shared" si="50"/>
        <v>-9.9999999999998007E-4</v>
      </c>
      <c r="AD18" s="39">
        <f t="shared" si="50"/>
        <v>-9.9999999999998007E-4</v>
      </c>
      <c r="AF18" s="699"/>
      <c r="AG18" s="122" t="s">
        <v>49</v>
      </c>
      <c r="AH18" s="18"/>
      <c r="AI18" s="121">
        <f t="shared" si="12"/>
        <v>1.6938947368421053</v>
      </c>
      <c r="AJ18" s="121">
        <f t="shared" si="12"/>
        <v>1.7048947368421052</v>
      </c>
      <c r="AK18" s="21">
        <f t="shared" si="12"/>
        <v>1.4968947368421053</v>
      </c>
      <c r="AL18" s="82">
        <f t="shared" si="12"/>
        <v>1.2108947368421052</v>
      </c>
      <c r="AM18" s="82">
        <f t="shared" si="12"/>
        <v>1.1578947368421053</v>
      </c>
      <c r="AN18" s="18"/>
      <c r="AO18" s="18"/>
      <c r="AP18" s="18"/>
      <c r="AQ18" s="18"/>
      <c r="AR18" s="18"/>
      <c r="AS18" s="39"/>
      <c r="AU18" s="699"/>
      <c r="AV18" s="122" t="s">
        <v>49</v>
      </c>
      <c r="AW18" s="18"/>
      <c r="AX18" s="19">
        <f t="shared" ref="AX18:BG18" si="51">AX8-$BB$11</f>
        <v>1.6446944444444445</v>
      </c>
      <c r="AY18" s="19">
        <f t="shared" si="51"/>
        <v>1.6766944444444445</v>
      </c>
      <c r="AZ18" s="121">
        <f t="shared" si="51"/>
        <v>1.4656944444444444</v>
      </c>
      <c r="BA18" s="21">
        <f t="shared" si="51"/>
        <v>1.1736944444444444</v>
      </c>
      <c r="BB18" s="21">
        <f t="shared" si="51"/>
        <v>1.2096944444444444</v>
      </c>
      <c r="BC18" s="21">
        <f t="shared" si="51"/>
        <v>1.3006944444444444</v>
      </c>
      <c r="BD18" s="82">
        <f t="shared" si="51"/>
        <v>1.0556944444444445</v>
      </c>
      <c r="BE18" s="21">
        <f t="shared" si="51"/>
        <v>1.3416944444444445</v>
      </c>
      <c r="BF18" s="121">
        <f t="shared" si="51"/>
        <v>1.4306944444444445</v>
      </c>
      <c r="BG18" s="82">
        <f t="shared" si="51"/>
        <v>0.99269444444444455</v>
      </c>
      <c r="BH18" s="39"/>
      <c r="BJ18" s="699"/>
      <c r="BK18" s="81" t="s">
        <v>49</v>
      </c>
      <c r="BL18" s="18">
        <f t="shared" si="14"/>
        <v>-3.2194444444444408E-2</v>
      </c>
      <c r="BM18" s="18">
        <f t="shared" si="14"/>
        <v>2.3768055555555558</v>
      </c>
      <c r="BN18" s="18">
        <f t="shared" si="14"/>
        <v>2.3118055555555554</v>
      </c>
      <c r="BO18" s="18">
        <f t="shared" si="14"/>
        <v>2.5208055555555555</v>
      </c>
      <c r="BP18" s="18">
        <f t="shared" si="14"/>
        <v>2.3518055555555555</v>
      </c>
      <c r="BQ18" s="18">
        <f t="shared" si="14"/>
        <v>2.1088055555555556</v>
      </c>
      <c r="BR18" s="18">
        <f t="shared" si="14"/>
        <v>2.5688055555555556</v>
      </c>
      <c r="BS18" s="18">
        <f t="shared" si="14"/>
        <v>2.5428055555555558</v>
      </c>
      <c r="BT18" s="18">
        <f t="shared" si="14"/>
        <v>2.7558055555555558</v>
      </c>
      <c r="BU18" s="18">
        <f t="shared" si="14"/>
        <v>2.4658055555555558</v>
      </c>
      <c r="BV18" s="18">
        <f t="shared" si="14"/>
        <v>2.6828055555555554</v>
      </c>
      <c r="BW18" s="39">
        <f t="shared" si="14"/>
        <v>0.19180555555555562</v>
      </c>
      <c r="BY18" s="699"/>
      <c r="BZ18" s="81" t="s">
        <v>49</v>
      </c>
      <c r="CA18" s="18">
        <f t="shared" si="15"/>
        <v>1.3104166666666688E-2</v>
      </c>
      <c r="CB18" s="18">
        <f t="shared" ref="CB18:CL18" si="52">CB8-$CF$11</f>
        <v>2.3761041666666665</v>
      </c>
      <c r="CC18" s="18">
        <f t="shared" si="52"/>
        <v>1.9471041666666666</v>
      </c>
      <c r="CD18" s="18">
        <f t="shared" si="52"/>
        <v>2.4081041666666665</v>
      </c>
      <c r="CE18" s="18">
        <f t="shared" si="52"/>
        <v>2.5481041666666666</v>
      </c>
      <c r="CF18" s="18">
        <f t="shared" si="52"/>
        <v>-2.0895833333333308E-2</v>
      </c>
      <c r="CG18" s="18">
        <f t="shared" si="52"/>
        <v>-2.289583333333331E-2</v>
      </c>
      <c r="CH18" s="18">
        <f t="shared" si="52"/>
        <v>-2.0895833333333308E-2</v>
      </c>
      <c r="CI18" s="18">
        <f t="shared" si="52"/>
        <v>-1.9895833333333307E-2</v>
      </c>
      <c r="CJ18" s="18">
        <f t="shared" si="52"/>
        <v>-3.2895833333333305E-2</v>
      </c>
      <c r="CK18" s="18">
        <f t="shared" si="52"/>
        <v>-1.9895833333333307E-2</v>
      </c>
      <c r="CL18" s="39">
        <f t="shared" si="52"/>
        <v>-1.1895833333333307E-2</v>
      </c>
      <c r="CN18" s="699"/>
      <c r="CO18" s="81" t="s">
        <v>49</v>
      </c>
      <c r="CP18" s="18">
        <f t="shared" si="17"/>
        <v>-1.2347826086956518E-2</v>
      </c>
      <c r="CQ18" s="18">
        <f t="shared" ref="CQ18:DA18" si="53">CQ8-$CU$11</f>
        <v>1.7636521739130435</v>
      </c>
      <c r="CR18" s="18">
        <f t="shared" si="53"/>
        <v>1.6486521739130435</v>
      </c>
      <c r="CS18" s="18">
        <f t="shared" si="53"/>
        <v>1.6556521739130434</v>
      </c>
      <c r="CT18" s="18">
        <f t="shared" si="53"/>
        <v>2.0016521739130435</v>
      </c>
      <c r="CU18" s="18">
        <f t="shared" si="53"/>
        <v>1.5406521739130434</v>
      </c>
      <c r="CV18" s="18">
        <f t="shared" si="53"/>
        <v>1.4026521739130435</v>
      </c>
      <c r="CW18" s="18">
        <f t="shared" si="53"/>
        <v>-9.3478260869565219E-3</v>
      </c>
      <c r="CX18" s="18">
        <f t="shared" si="53"/>
        <v>8.3652173913043498E-2</v>
      </c>
      <c r="CY18" s="18">
        <f t="shared" si="53"/>
        <v>2.2652173913043479E-2</v>
      </c>
      <c r="CZ18" s="18">
        <f t="shared" si="53"/>
        <v>-5.3478260869565183E-3</v>
      </c>
      <c r="DA18" s="39">
        <f t="shared" si="53"/>
        <v>-3.3478260869565235E-3</v>
      </c>
      <c r="DC18" s="699"/>
      <c r="DD18" s="122" t="s">
        <v>49</v>
      </c>
      <c r="DE18" s="18">
        <f t="shared" si="19"/>
        <v>-1.8388888888888927E-2</v>
      </c>
      <c r="DF18" s="18">
        <f t="shared" ref="DF18:DP18" si="54">DF8-$DJ$11</f>
        <v>2.2646111111111109</v>
      </c>
      <c r="DG18" s="18">
        <f t="shared" si="54"/>
        <v>2.533611111111111</v>
      </c>
      <c r="DH18" s="18">
        <f t="shared" si="54"/>
        <v>2.481611111111111</v>
      </c>
      <c r="DI18" s="18">
        <f t="shared" si="54"/>
        <v>2.3456111111111109</v>
      </c>
      <c r="DJ18" s="18">
        <f t="shared" si="54"/>
        <v>2.4096111111111109</v>
      </c>
      <c r="DK18" s="18">
        <f t="shared" si="54"/>
        <v>2.312611111111111</v>
      </c>
      <c r="DL18" s="18">
        <f t="shared" si="54"/>
        <v>2.2166111111111109</v>
      </c>
      <c r="DM18" s="18">
        <f t="shared" si="54"/>
        <v>2.0696111111111111</v>
      </c>
      <c r="DN18" s="18">
        <f t="shared" si="54"/>
        <v>1.9836111111111112</v>
      </c>
      <c r="DO18" s="18">
        <f t="shared" si="54"/>
        <v>2.0796111111111109</v>
      </c>
      <c r="DP18" s="39">
        <f t="shared" si="54"/>
        <v>-3.888888888889247E-4</v>
      </c>
      <c r="DR18" s="699"/>
      <c r="DS18" s="122" t="s">
        <v>49</v>
      </c>
      <c r="DT18" s="18">
        <f t="shared" si="21"/>
        <v>-6.2499999999999986E-3</v>
      </c>
      <c r="DU18" s="18">
        <f t="shared" ref="DU18:EE18" si="55">DU8-$DY$11</f>
        <v>2.34775</v>
      </c>
      <c r="DV18" s="18">
        <f t="shared" si="55"/>
        <v>2.03775</v>
      </c>
      <c r="DW18" s="18">
        <f t="shared" si="55"/>
        <v>2.1247500000000001</v>
      </c>
      <c r="DX18" s="18">
        <f t="shared" si="55"/>
        <v>2.2677499999999999</v>
      </c>
      <c r="DY18" s="18">
        <f t="shared" si="55"/>
        <v>2.0997499999999998</v>
      </c>
      <c r="DZ18" s="18">
        <f t="shared" si="55"/>
        <v>2.08575</v>
      </c>
      <c r="EA18" s="18">
        <f t="shared" si="55"/>
        <v>2.4757500000000001</v>
      </c>
      <c r="EB18" s="18">
        <f t="shared" si="55"/>
        <v>2.1117499999999998</v>
      </c>
      <c r="EC18" s="18">
        <f t="shared" si="55"/>
        <v>2.1317499999999998</v>
      </c>
      <c r="ED18" s="18">
        <f t="shared" si="55"/>
        <v>2.5467499999999998</v>
      </c>
      <c r="EE18" s="39">
        <f t="shared" si="55"/>
        <v>-4.2500000000000038E-3</v>
      </c>
      <c r="EG18" s="699"/>
      <c r="EH18" s="122" t="s">
        <v>49</v>
      </c>
      <c r="EI18" s="18">
        <f t="shared" si="23"/>
        <v>-8.7777777777777802E-3</v>
      </c>
      <c r="EJ18" s="18">
        <f t="shared" ref="EJ18:ET18" si="56">EJ8-$EN$11</f>
        <v>2.3882222222222222</v>
      </c>
      <c r="EK18" s="18">
        <f t="shared" si="56"/>
        <v>2.1732222222222219</v>
      </c>
      <c r="EL18" s="18">
        <f t="shared" si="56"/>
        <v>2.439222222222222</v>
      </c>
      <c r="EM18" s="18">
        <f t="shared" si="56"/>
        <v>2.564222222222222</v>
      </c>
      <c r="EN18" s="18">
        <f t="shared" si="56"/>
        <v>2.398222222222222</v>
      </c>
      <c r="EO18" s="18">
        <f t="shared" si="56"/>
        <v>2.7662222222222219</v>
      </c>
      <c r="EP18" s="18">
        <f t="shared" si="56"/>
        <v>2.3322222222222222</v>
      </c>
      <c r="EQ18" s="18">
        <f t="shared" si="56"/>
        <v>2.6502222222222223</v>
      </c>
      <c r="ER18" s="18">
        <f t="shared" si="56"/>
        <v>2.503222222222222</v>
      </c>
      <c r="ES18" s="18">
        <f t="shared" si="56"/>
        <v>2.3492222222222221</v>
      </c>
      <c r="ET18" s="39">
        <f t="shared" si="56"/>
        <v>-8.7777777777777802E-3</v>
      </c>
    </row>
    <row r="19" spans="2:150" x14ac:dyDescent="0.25">
      <c r="B19" s="707"/>
      <c r="C19" s="45" t="s">
        <v>50</v>
      </c>
      <c r="D19" s="18">
        <f t="shared" si="8"/>
        <v>-1.0695652173913051E-2</v>
      </c>
      <c r="E19" s="121">
        <f t="shared" ref="E19:O19" si="57">E9-$I$11</f>
        <v>1.745304347826087</v>
      </c>
      <c r="F19" s="21">
        <f t="shared" si="57"/>
        <v>1.4253043478260872</v>
      </c>
      <c r="G19" s="82">
        <f t="shared" si="57"/>
        <v>1.213304347826087</v>
      </c>
      <c r="H19" s="82">
        <f t="shared" si="57"/>
        <v>1.2823043478260869</v>
      </c>
      <c r="I19" s="21">
        <f t="shared" si="57"/>
        <v>1.5103043478260871</v>
      </c>
      <c r="J19" s="18">
        <f t="shared" si="57"/>
        <v>-1.9695652173913045E-2</v>
      </c>
      <c r="K19" s="18">
        <f t="shared" si="57"/>
        <v>5.3043478260869498E-3</v>
      </c>
      <c r="L19" s="18">
        <f t="shared" si="57"/>
        <v>4.4304347826086957E-2</v>
      </c>
      <c r="M19" s="18">
        <f t="shared" si="57"/>
        <v>5.3043478260869498E-3</v>
      </c>
      <c r="N19" s="18">
        <f t="shared" si="57"/>
        <v>-8.6956521739130488E-3</v>
      </c>
      <c r="O19" s="39">
        <f t="shared" si="57"/>
        <v>-1.9695652173913045E-2</v>
      </c>
      <c r="Q19" s="699"/>
      <c r="R19" s="122" t="s">
        <v>50</v>
      </c>
      <c r="S19" s="18">
        <f t="shared" si="10"/>
        <v>-9.9999999999998007E-4</v>
      </c>
      <c r="T19" s="121">
        <f t="shared" ref="T19:AD19" si="58">T9-$X$11</f>
        <v>1.5409999999999999</v>
      </c>
      <c r="U19" s="21">
        <f t="shared" si="58"/>
        <v>2.0110000000000001</v>
      </c>
      <c r="V19" s="82">
        <f t="shared" si="58"/>
        <v>1.4279999999999999</v>
      </c>
      <c r="W19" s="82">
        <f t="shared" si="58"/>
        <v>1.5759999999999998</v>
      </c>
      <c r="X19" s="21">
        <f t="shared" si="58"/>
        <v>1.476</v>
      </c>
      <c r="Y19" s="18">
        <f t="shared" si="58"/>
        <v>1.399</v>
      </c>
      <c r="Z19" s="18">
        <f t="shared" si="58"/>
        <v>1.0509999999999999</v>
      </c>
      <c r="AA19" s="18">
        <f t="shared" si="58"/>
        <v>0</v>
      </c>
      <c r="AB19" s="18">
        <f t="shared" si="58"/>
        <v>-9.9999999999998007E-4</v>
      </c>
      <c r="AC19" s="18">
        <f t="shared" si="58"/>
        <v>0</v>
      </c>
      <c r="AD19" s="39">
        <f t="shared" si="58"/>
        <v>0</v>
      </c>
      <c r="AF19" s="699"/>
      <c r="AG19" s="122" t="s">
        <v>50</v>
      </c>
      <c r="AH19" s="18"/>
      <c r="AI19" s="121">
        <f t="shared" si="12"/>
        <v>1.6128947368421054</v>
      </c>
      <c r="AJ19" s="121">
        <f t="shared" si="12"/>
        <v>1.6378947368421053</v>
      </c>
      <c r="AK19" s="21">
        <f t="shared" si="12"/>
        <v>1.4348947368421054</v>
      </c>
      <c r="AL19" s="82">
        <f t="shared" si="12"/>
        <v>1.1288947368421054</v>
      </c>
      <c r="AM19" s="82">
        <f t="shared" si="12"/>
        <v>1.2658947368421054</v>
      </c>
      <c r="AN19" s="18"/>
      <c r="AO19" s="18"/>
      <c r="AP19" s="18"/>
      <c r="AQ19" s="18"/>
      <c r="AR19" s="18"/>
      <c r="AS19" s="39"/>
      <c r="AU19" s="699"/>
      <c r="AV19" s="122" t="s">
        <v>50</v>
      </c>
      <c r="AW19" s="18"/>
      <c r="AX19" s="19">
        <f t="shared" ref="AX19:BG19" si="59">AX9-$BB$11</f>
        <v>1.7416944444444444</v>
      </c>
      <c r="AY19" s="19">
        <f t="shared" si="59"/>
        <v>1.7316944444444444</v>
      </c>
      <c r="AZ19" s="19">
        <f t="shared" si="59"/>
        <v>1.5866944444444444</v>
      </c>
      <c r="BA19" s="21">
        <f t="shared" si="59"/>
        <v>1.3276944444444445</v>
      </c>
      <c r="BB19" s="21">
        <f t="shared" si="59"/>
        <v>1.2786944444444446</v>
      </c>
      <c r="BC19" s="121">
        <f t="shared" si="59"/>
        <v>1.3906944444444445</v>
      </c>
      <c r="BD19" s="82">
        <f t="shared" si="59"/>
        <v>1.0766944444444444</v>
      </c>
      <c r="BE19" s="121">
        <f t="shared" si="59"/>
        <v>1.3776944444444446</v>
      </c>
      <c r="BF19" s="121">
        <f t="shared" si="59"/>
        <v>1.5286944444444446</v>
      </c>
      <c r="BG19" s="21">
        <f t="shared" si="59"/>
        <v>1.1166944444444444</v>
      </c>
      <c r="BH19" s="39"/>
      <c r="BJ19" s="699"/>
      <c r="BK19" s="81" t="s">
        <v>50</v>
      </c>
      <c r="BL19" s="18">
        <f t="shared" si="14"/>
        <v>-1.9194444444444403E-2</v>
      </c>
      <c r="BM19" s="18">
        <f t="shared" si="14"/>
        <v>2.4368055555555554</v>
      </c>
      <c r="BN19" s="18">
        <f t="shared" si="14"/>
        <v>2.4558055555555556</v>
      </c>
      <c r="BO19" s="18">
        <f t="shared" si="14"/>
        <v>2.5368055555555555</v>
      </c>
      <c r="BP19" s="18">
        <f t="shared" si="14"/>
        <v>2.4418055555555558</v>
      </c>
      <c r="BQ19" s="18">
        <f t="shared" si="14"/>
        <v>2.2358055555555558</v>
      </c>
      <c r="BR19" s="18">
        <f t="shared" si="14"/>
        <v>2.5338055555555559</v>
      </c>
      <c r="BS19" s="18">
        <f t="shared" si="14"/>
        <v>2.5568055555555556</v>
      </c>
      <c r="BT19" s="18">
        <f t="shared" si="14"/>
        <v>2.7568055555555557</v>
      </c>
      <c r="BU19" s="18">
        <f t="shared" si="14"/>
        <v>2.3898055555555557</v>
      </c>
      <c r="BV19" s="18">
        <f t="shared" si="14"/>
        <v>2.5988055555555558</v>
      </c>
      <c r="BW19" s="39">
        <f t="shared" si="14"/>
        <v>-2.7194444444444403E-2</v>
      </c>
      <c r="BY19" s="699"/>
      <c r="BZ19" s="81" t="s">
        <v>50</v>
      </c>
      <c r="CA19" s="18">
        <f t="shared" si="15"/>
        <v>2.4104166666666697E-2</v>
      </c>
      <c r="CB19" s="18">
        <f t="shared" ref="CB19:CL19" si="60">CB9-$CF$11</f>
        <v>2.4041041666666665</v>
      </c>
      <c r="CC19" s="18">
        <f t="shared" si="60"/>
        <v>2.0651041666666665</v>
      </c>
      <c r="CD19" s="18">
        <f t="shared" si="60"/>
        <v>2.4221041666666667</v>
      </c>
      <c r="CE19" s="18">
        <f t="shared" si="60"/>
        <v>2.6171041666666666</v>
      </c>
      <c r="CF19" s="18">
        <f t="shared" si="60"/>
        <v>-5.8958333333333085E-3</v>
      </c>
      <c r="CG19" s="18">
        <f t="shared" si="60"/>
        <v>2.0104166666666694E-2</v>
      </c>
      <c r="CH19" s="18">
        <f t="shared" si="60"/>
        <v>4.1041666666666934E-3</v>
      </c>
      <c r="CI19" s="18">
        <f t="shared" si="60"/>
        <v>0.17510416666666667</v>
      </c>
      <c r="CJ19" s="18">
        <f t="shared" si="60"/>
        <v>9.1041666666666979E-3</v>
      </c>
      <c r="CK19" s="18">
        <f t="shared" si="60"/>
        <v>1.3104166666666688E-2</v>
      </c>
      <c r="CL19" s="39">
        <f t="shared" si="60"/>
        <v>5.4104166666666696E-2</v>
      </c>
      <c r="CN19" s="699"/>
      <c r="CO19" s="81" t="s">
        <v>50</v>
      </c>
      <c r="CP19" s="18">
        <f t="shared" si="17"/>
        <v>-4.3478260869565175E-3</v>
      </c>
      <c r="CQ19" s="18">
        <f t="shared" ref="CQ19:DA19" si="61">CQ9-$CU$11</f>
        <v>1.7806521739130434</v>
      </c>
      <c r="CR19" s="18">
        <f t="shared" si="61"/>
        <v>1.6776521739130434</v>
      </c>
      <c r="CS19" s="18">
        <f t="shared" si="61"/>
        <v>1.7026521739130434</v>
      </c>
      <c r="CT19" s="18">
        <f t="shared" si="61"/>
        <v>2.0476521739130433</v>
      </c>
      <c r="CU19" s="18">
        <f t="shared" si="61"/>
        <v>1.5896521739130434</v>
      </c>
      <c r="CV19" s="18">
        <f t="shared" si="61"/>
        <v>1.4806521739130434</v>
      </c>
      <c r="CW19" s="18">
        <f t="shared" si="61"/>
        <v>2.4652173913043481E-2</v>
      </c>
      <c r="CX19" s="18">
        <f t="shared" si="61"/>
        <v>1.6521739130434809E-3</v>
      </c>
      <c r="CY19" s="18">
        <f t="shared" si="61"/>
        <v>-5.3478260869565183E-3</v>
      </c>
      <c r="CZ19" s="18">
        <f t="shared" si="61"/>
        <v>-5.3478260869565183E-3</v>
      </c>
      <c r="DA19" s="39">
        <f t="shared" si="61"/>
        <v>-4.3478260869565175E-3</v>
      </c>
      <c r="DC19" s="699"/>
      <c r="DD19" s="122" t="s">
        <v>50</v>
      </c>
      <c r="DE19" s="18">
        <f t="shared" si="19"/>
        <v>4.1611111111111071E-2</v>
      </c>
      <c r="DF19" s="18">
        <f t="shared" ref="DF19:DP19" si="62">DF9-$DJ$11</f>
        <v>2.2096111111111112</v>
      </c>
      <c r="DG19" s="18">
        <f t="shared" si="62"/>
        <v>2.5066111111111109</v>
      </c>
      <c r="DH19" s="18">
        <f t="shared" si="62"/>
        <v>2.4706111111111109</v>
      </c>
      <c r="DI19" s="18">
        <f t="shared" si="62"/>
        <v>2.3076111111111111</v>
      </c>
      <c r="DJ19" s="18">
        <f t="shared" si="62"/>
        <v>2.3776111111111109</v>
      </c>
      <c r="DK19" s="18">
        <f t="shared" si="62"/>
        <v>2.3226111111111112</v>
      </c>
      <c r="DL19" s="18">
        <f t="shared" si="62"/>
        <v>2.1826111111111111</v>
      </c>
      <c r="DM19" s="18">
        <f t="shared" si="62"/>
        <v>2.0516111111111113</v>
      </c>
      <c r="DN19" s="18">
        <f t="shared" si="62"/>
        <v>2.0076111111111112</v>
      </c>
      <c r="DO19" s="18">
        <f t="shared" si="62"/>
        <v>2.1086111111111112</v>
      </c>
      <c r="DP19" s="39">
        <f t="shared" si="62"/>
        <v>3.1611111111111076E-2</v>
      </c>
      <c r="DR19" s="699"/>
      <c r="DS19" s="122" t="s">
        <v>50</v>
      </c>
      <c r="DT19" s="18">
        <f t="shared" si="21"/>
        <v>-6.2499999999999986E-3</v>
      </c>
      <c r="DU19" s="18">
        <f t="shared" ref="DU19:EE19" si="63">DU9-$DY$11</f>
        <v>2.3407499999999999</v>
      </c>
      <c r="DV19" s="18">
        <f t="shared" si="63"/>
        <v>2.0347499999999998</v>
      </c>
      <c r="DW19" s="18">
        <f t="shared" si="63"/>
        <v>2.1077499999999998</v>
      </c>
      <c r="DX19" s="18">
        <f t="shared" si="63"/>
        <v>2.2767499999999998</v>
      </c>
      <c r="DY19" s="18">
        <f t="shared" si="63"/>
        <v>2.0957499999999998</v>
      </c>
      <c r="DZ19" s="18">
        <f t="shared" si="63"/>
        <v>2.0847500000000001</v>
      </c>
      <c r="EA19" s="18">
        <f t="shared" si="63"/>
        <v>2.38775</v>
      </c>
      <c r="EB19" s="18">
        <f t="shared" si="63"/>
        <v>2.1037499999999998</v>
      </c>
      <c r="EC19" s="18">
        <f t="shared" si="63"/>
        <v>2.1687500000000002</v>
      </c>
      <c r="ED19" s="18">
        <f t="shared" si="63"/>
        <v>2.5187499999999998</v>
      </c>
      <c r="EE19" s="39">
        <f t="shared" si="63"/>
        <v>-6.2499999999999986E-3</v>
      </c>
      <c r="EG19" s="699"/>
      <c r="EH19" s="122" t="s">
        <v>50</v>
      </c>
      <c r="EI19" s="18">
        <f t="shared" si="23"/>
        <v>-7.7777777777777793E-3</v>
      </c>
      <c r="EJ19" s="18">
        <f t="shared" ref="EJ19:ET19" si="64">EJ9-$EN$11</f>
        <v>2.5532222222222223</v>
      </c>
      <c r="EK19" s="18">
        <f t="shared" si="64"/>
        <v>2.2512222222222222</v>
      </c>
      <c r="EL19" s="18">
        <f t="shared" si="64"/>
        <v>2.4902222222222221</v>
      </c>
      <c r="EM19" s="18">
        <f t="shared" si="64"/>
        <v>2.6452222222222219</v>
      </c>
      <c r="EN19" s="18">
        <f t="shared" si="64"/>
        <v>2.3892222222222221</v>
      </c>
      <c r="EO19" s="18">
        <f t="shared" si="64"/>
        <v>2.818222222222222</v>
      </c>
      <c r="EP19" s="18">
        <f t="shared" si="64"/>
        <v>2.3192222222222219</v>
      </c>
      <c r="EQ19" s="18">
        <f t="shared" si="64"/>
        <v>2.7032222222222222</v>
      </c>
      <c r="ER19" s="18">
        <f t="shared" si="64"/>
        <v>2.5172222222222222</v>
      </c>
      <c r="ES19" s="18">
        <f t="shared" si="64"/>
        <v>2.4272222222222219</v>
      </c>
      <c r="ET19" s="39">
        <f t="shared" si="64"/>
        <v>-7.7777777777777793E-3</v>
      </c>
    </row>
    <row r="20" spans="2:150" ht="15.75" thickBot="1" x14ac:dyDescent="0.3">
      <c r="B20" s="708"/>
      <c r="C20" s="46" t="s">
        <v>51</v>
      </c>
      <c r="D20" s="40">
        <f t="shared" si="8"/>
        <v>-6.9565217391304168E-4</v>
      </c>
      <c r="E20" s="40">
        <f t="shared" ref="E20:O20" si="65">E10-$I$11</f>
        <v>-1.8695652173913051E-2</v>
      </c>
      <c r="F20" s="40">
        <f t="shared" si="65"/>
        <v>-2.0695652173913046E-2</v>
      </c>
      <c r="G20" s="40">
        <f t="shared" si="65"/>
        <v>-2.0695652173913046E-2</v>
      </c>
      <c r="H20" s="40">
        <f t="shared" si="65"/>
        <v>-1.6695652173913049E-2</v>
      </c>
      <c r="I20" s="40">
        <f t="shared" si="65"/>
        <v>-1.0695652173913051E-2</v>
      </c>
      <c r="J20" s="40">
        <f t="shared" si="65"/>
        <v>3.3304347826086947E-2</v>
      </c>
      <c r="K20" s="40">
        <f t="shared" si="65"/>
        <v>2.7304347826086955E-2</v>
      </c>
      <c r="L20" s="40">
        <f t="shared" si="65"/>
        <v>1.3304347826086957E-2</v>
      </c>
      <c r="M20" s="40">
        <f t="shared" si="65"/>
        <v>4.3043478260869489E-3</v>
      </c>
      <c r="N20" s="40">
        <f t="shared" si="65"/>
        <v>-5.6956521739130461E-3</v>
      </c>
      <c r="O20" s="41">
        <f t="shared" si="65"/>
        <v>0.18130434782608695</v>
      </c>
      <c r="Q20" s="700"/>
      <c r="R20" s="123" t="s">
        <v>51</v>
      </c>
      <c r="S20" s="40">
        <f t="shared" si="10"/>
        <v>-9.9999999999998007E-4</v>
      </c>
      <c r="T20" s="40">
        <f t="shared" ref="T20:AD20" si="66">T10-$X$11</f>
        <v>-9.9999999999998007E-4</v>
      </c>
      <c r="U20" s="40">
        <f t="shared" si="66"/>
        <v>-9.9999999999998007E-4</v>
      </c>
      <c r="V20" s="40">
        <f t="shared" si="66"/>
        <v>-9.9999999999998007E-4</v>
      </c>
      <c r="W20" s="40">
        <f t="shared" si="66"/>
        <v>-9.9999999999998007E-4</v>
      </c>
      <c r="X20" s="40">
        <f t="shared" si="66"/>
        <v>3.4000000000000023E-2</v>
      </c>
      <c r="Y20" s="40">
        <f t="shared" si="66"/>
        <v>7.0000000000000201E-3</v>
      </c>
      <c r="Z20" s="40">
        <f t="shared" si="66"/>
        <v>-9.9999999999998007E-4</v>
      </c>
      <c r="AA20" s="40">
        <f t="shared" si="66"/>
        <v>-9.9999999999998007E-4</v>
      </c>
      <c r="AB20" s="40">
        <f t="shared" si="66"/>
        <v>-9.9999999999998007E-4</v>
      </c>
      <c r="AC20" s="40">
        <f t="shared" si="66"/>
        <v>-9.9999999999998007E-4</v>
      </c>
      <c r="AD20" s="41">
        <f t="shared" si="66"/>
        <v>-9.9999999999998007E-4</v>
      </c>
      <c r="AF20" s="700"/>
      <c r="AG20" s="123" t="s">
        <v>51</v>
      </c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1"/>
      <c r="AU20" s="700"/>
      <c r="AV20" s="123" t="s">
        <v>51</v>
      </c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1"/>
      <c r="BJ20" s="700"/>
      <c r="BK20" s="201" t="s">
        <v>51</v>
      </c>
      <c r="BL20" s="40">
        <f t="shared" si="14"/>
        <v>0.14780555555555558</v>
      </c>
      <c r="BM20" s="40">
        <f t="shared" si="14"/>
        <v>6.9805555555555607E-2</v>
      </c>
      <c r="BN20" s="40">
        <f t="shared" si="14"/>
        <v>-1.6194444444444407E-2</v>
      </c>
      <c r="BO20" s="40">
        <f t="shared" si="14"/>
        <v>3.8055555555555898E-3</v>
      </c>
      <c r="BP20" s="40">
        <f t="shared" si="14"/>
        <v>6.8055555555555924E-3</v>
      </c>
      <c r="BQ20" s="40">
        <f t="shared" si="14"/>
        <v>1.1805555555555597E-2</v>
      </c>
      <c r="BR20" s="40">
        <f t="shared" si="14"/>
        <v>3.08055555555556E-2</v>
      </c>
      <c r="BS20" s="40">
        <f t="shared" si="14"/>
        <v>-2.8194444444444404E-2</v>
      </c>
      <c r="BT20" s="40">
        <f t="shared" si="14"/>
        <v>2.7805555555555597E-2</v>
      </c>
      <c r="BU20" s="40">
        <f t="shared" si="14"/>
        <v>3.1805555555555601E-2</v>
      </c>
      <c r="BV20" s="40">
        <f t="shared" si="14"/>
        <v>-1.1194444444444403E-2</v>
      </c>
      <c r="BW20" s="41">
        <f t="shared" si="14"/>
        <v>-1.944444444443999E-4</v>
      </c>
      <c r="BY20" s="700"/>
      <c r="BZ20" s="201" t="s">
        <v>51</v>
      </c>
      <c r="CA20" s="40">
        <f t="shared" si="15"/>
        <v>5.5104166666666697E-2</v>
      </c>
      <c r="CB20" s="40">
        <f t="shared" ref="CB20:CL20" si="67">CB10-$CF$11</f>
        <v>2.3104166666666696E-2</v>
      </c>
      <c r="CC20" s="40">
        <f t="shared" si="67"/>
        <v>-2.8958333333333058E-3</v>
      </c>
      <c r="CD20" s="40">
        <f t="shared" si="67"/>
        <v>-1.1895833333333307E-2</v>
      </c>
      <c r="CE20" s="40">
        <f t="shared" si="67"/>
        <v>-8.95833333333311E-4</v>
      </c>
      <c r="CF20" s="40">
        <f t="shared" si="67"/>
        <v>2.4104166666666697E-2</v>
      </c>
      <c r="CG20" s="40">
        <f t="shared" si="67"/>
        <v>-2.8958333333333058E-3</v>
      </c>
      <c r="CH20" s="40">
        <f t="shared" si="67"/>
        <v>-2.289583333333331E-2</v>
      </c>
      <c r="CI20" s="40">
        <f t="shared" si="67"/>
        <v>3.0104166666666689E-2</v>
      </c>
      <c r="CJ20" s="40">
        <f t="shared" si="67"/>
        <v>-2.1895833333333309E-2</v>
      </c>
      <c r="CK20" s="40">
        <f t="shared" si="67"/>
        <v>1.0416666666668989E-4</v>
      </c>
      <c r="CL20" s="41">
        <f t="shared" si="67"/>
        <v>1.0104166666666685E-2</v>
      </c>
      <c r="CN20" s="700"/>
      <c r="CO20" s="201" t="s">
        <v>51</v>
      </c>
      <c r="CP20" s="40">
        <f t="shared" si="17"/>
        <v>-1.3478260869565217E-3</v>
      </c>
      <c r="CQ20" s="40">
        <f t="shared" ref="CQ20:DA20" si="68">CQ10-$CU$11</f>
        <v>-4.3478260869565175E-3</v>
      </c>
      <c r="CR20" s="40">
        <f t="shared" si="68"/>
        <v>-5.3478260869565183E-3</v>
      </c>
      <c r="CS20" s="40">
        <f t="shared" si="68"/>
        <v>-5.3478260869565183E-3</v>
      </c>
      <c r="CT20" s="40">
        <f t="shared" si="68"/>
        <v>1.6521739130434809E-3</v>
      </c>
      <c r="CU20" s="40">
        <f t="shared" si="68"/>
        <v>1.0652173913043482E-2</v>
      </c>
      <c r="CV20" s="40">
        <f t="shared" si="68"/>
        <v>3.2652173913043474E-2</v>
      </c>
      <c r="CW20" s="40">
        <f t="shared" si="68"/>
        <v>1.6652173913043473E-2</v>
      </c>
      <c r="CX20" s="40">
        <f t="shared" si="68"/>
        <v>-5.3478260869565183E-3</v>
      </c>
      <c r="CY20" s="40">
        <f t="shared" si="68"/>
        <v>-4.3478260869565175E-3</v>
      </c>
      <c r="CZ20" s="40">
        <f t="shared" si="68"/>
        <v>-4.3478260869565175E-3</v>
      </c>
      <c r="DA20" s="41">
        <f t="shared" si="68"/>
        <v>-4.3478260869565175E-3</v>
      </c>
      <c r="DC20" s="700"/>
      <c r="DD20" s="123" t="s">
        <v>51</v>
      </c>
      <c r="DE20" s="40">
        <f t="shared" si="19"/>
        <v>-1.6388888888888925E-2</v>
      </c>
      <c r="DF20" s="40">
        <f t="shared" ref="DF20:DP20" si="69">DF10-$DJ$11</f>
        <v>-2.2388888888888923E-2</v>
      </c>
      <c r="DG20" s="40">
        <f t="shared" si="69"/>
        <v>2.7611111111111072E-2</v>
      </c>
      <c r="DH20" s="40">
        <f t="shared" si="69"/>
        <v>1.8611111111111078E-2</v>
      </c>
      <c r="DI20" s="40">
        <f t="shared" si="69"/>
        <v>4.8611111111111077E-2</v>
      </c>
      <c r="DJ20" s="40">
        <f t="shared" si="69"/>
        <v>3.4611111111111079E-2</v>
      </c>
      <c r="DK20" s="40">
        <f t="shared" si="69"/>
        <v>-2.3388888888888924E-2</v>
      </c>
      <c r="DL20" s="40">
        <f t="shared" si="69"/>
        <v>4.6611111111111075E-2</v>
      </c>
      <c r="DM20" s="40">
        <f t="shared" si="69"/>
        <v>4.4611111111111074E-2</v>
      </c>
      <c r="DN20" s="40">
        <f t="shared" si="69"/>
        <v>1.6611111111111077E-2</v>
      </c>
      <c r="DO20" s="40">
        <f t="shared" si="69"/>
        <v>2.061111111111108E-2</v>
      </c>
      <c r="DP20" s="41">
        <f t="shared" si="69"/>
        <v>-8.3888888888889249E-3</v>
      </c>
      <c r="DR20" s="700"/>
      <c r="DS20" s="123" t="s">
        <v>51</v>
      </c>
      <c r="DT20" s="40">
        <f t="shared" si="21"/>
        <v>-5.2499999999999977E-3</v>
      </c>
      <c r="DU20" s="40">
        <f t="shared" ref="DU20:EE20" si="70">DU10-$DY$11</f>
        <v>-6.2499999999999986E-3</v>
      </c>
      <c r="DV20" s="40">
        <f t="shared" si="70"/>
        <v>-7.2499999999999995E-3</v>
      </c>
      <c r="DW20" s="40">
        <f t="shared" si="70"/>
        <v>-7.2499999999999995E-3</v>
      </c>
      <c r="DX20" s="40">
        <f t="shared" si="70"/>
        <v>-6.2499999999999986E-3</v>
      </c>
      <c r="DY20" s="40">
        <f t="shared" si="70"/>
        <v>-3.2500000000000029E-3</v>
      </c>
      <c r="DZ20" s="40">
        <f t="shared" si="70"/>
        <v>-6.2499999999999986E-3</v>
      </c>
      <c r="EA20" s="40">
        <f t="shared" si="70"/>
        <v>-7.2499999999999995E-3</v>
      </c>
      <c r="EB20" s="40">
        <f t="shared" si="70"/>
        <v>-6.2499999999999986E-3</v>
      </c>
      <c r="EC20" s="40">
        <f t="shared" si="70"/>
        <v>-4.2500000000000038E-3</v>
      </c>
      <c r="ED20" s="40">
        <f t="shared" si="70"/>
        <v>-5.2499999999999977E-3</v>
      </c>
      <c r="EE20" s="41">
        <f t="shared" si="70"/>
        <v>6.7499999999999991E-3</v>
      </c>
      <c r="EG20" s="700"/>
      <c r="EH20" s="123" t="s">
        <v>51</v>
      </c>
      <c r="EI20" s="40">
        <f t="shared" si="23"/>
        <v>1.2222222222222148E-3</v>
      </c>
      <c r="EJ20" s="40">
        <f t="shared" ref="EJ20:ET20" si="71">EJ10-$EN$11</f>
        <v>-8.7777777777777802E-3</v>
      </c>
      <c r="EK20" s="40">
        <f t="shared" si="71"/>
        <v>-9.7777777777777811E-3</v>
      </c>
      <c r="EL20" s="40">
        <f t="shared" si="71"/>
        <v>-7.7777777777777793E-3</v>
      </c>
      <c r="EM20" s="40">
        <f t="shared" si="71"/>
        <v>-8.7777777777777802E-3</v>
      </c>
      <c r="EN20" s="40">
        <f t="shared" si="71"/>
        <v>1.1222222222222224E-2</v>
      </c>
      <c r="EO20" s="40">
        <f t="shared" si="71"/>
        <v>-8.7777777777777802E-3</v>
      </c>
      <c r="EP20" s="40">
        <f t="shared" si="71"/>
        <v>-8.7777777777777802E-3</v>
      </c>
      <c r="EQ20" s="40">
        <f t="shared" si="71"/>
        <v>-7.7777777777777793E-3</v>
      </c>
      <c r="ER20" s="40">
        <f t="shared" si="71"/>
        <v>-7.7777777777777793E-3</v>
      </c>
      <c r="ES20" s="40">
        <f t="shared" si="71"/>
        <v>-7.7777777777777793E-3</v>
      </c>
      <c r="ET20" s="41">
        <f t="shared" si="71"/>
        <v>-3.7777777777777827E-3</v>
      </c>
    </row>
    <row r="21" spans="2:150" x14ac:dyDescent="0.25">
      <c r="B21" s="706" t="s">
        <v>117</v>
      </c>
      <c r="C21" s="71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25"/>
      <c r="Q21" s="706" t="s">
        <v>117</v>
      </c>
      <c r="R21" s="71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25"/>
      <c r="AF21" s="706" t="s">
        <v>117</v>
      </c>
      <c r="AG21" s="71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25"/>
      <c r="AU21" s="706" t="s">
        <v>117</v>
      </c>
      <c r="AV21" s="71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25"/>
      <c r="BJ21" s="706" t="s">
        <v>117</v>
      </c>
      <c r="BK21" s="71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25"/>
      <c r="BY21" s="706" t="s">
        <v>117</v>
      </c>
      <c r="BZ21" s="71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25"/>
      <c r="CN21" s="706" t="s">
        <v>117</v>
      </c>
      <c r="CO21" s="71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25"/>
      <c r="DC21" s="706" t="s">
        <v>117</v>
      </c>
      <c r="DD21" s="71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25"/>
      <c r="DR21" s="706" t="s">
        <v>117</v>
      </c>
      <c r="DS21" s="71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25"/>
      <c r="EG21" s="706" t="s">
        <v>117</v>
      </c>
      <c r="EH21" s="71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25"/>
    </row>
    <row r="22" spans="2:150" x14ac:dyDescent="0.25">
      <c r="B22" s="707"/>
      <c r="C22" s="72"/>
      <c r="O22" s="27"/>
      <c r="Q22" s="707"/>
      <c r="R22" s="72"/>
      <c r="AD22" s="27"/>
      <c r="AF22" s="707"/>
      <c r="AG22" s="72"/>
      <c r="AS22" s="27"/>
      <c r="AU22" s="707"/>
      <c r="AV22" s="72"/>
      <c r="BH22" s="27"/>
      <c r="BJ22" s="707"/>
      <c r="BK22" s="72"/>
      <c r="BW22" s="27"/>
      <c r="BY22" s="707"/>
      <c r="BZ22" s="72"/>
      <c r="CL22" s="27"/>
      <c r="CN22" s="707"/>
      <c r="CO22" s="72"/>
      <c r="DA22" s="27"/>
      <c r="DC22" s="707"/>
      <c r="DD22" s="72"/>
      <c r="DP22" s="27"/>
      <c r="DR22" s="707"/>
      <c r="DS22" s="72"/>
      <c r="EE22" s="27"/>
      <c r="EG22" s="707"/>
      <c r="EH22" s="72"/>
      <c r="ET22" s="27"/>
    </row>
    <row r="23" spans="2:150" x14ac:dyDescent="0.25">
      <c r="B23" s="707"/>
      <c r="C23" s="159"/>
      <c r="D23" s="159">
        <v>0</v>
      </c>
      <c r="O23" s="27"/>
      <c r="Q23" s="707"/>
      <c r="R23" s="159"/>
      <c r="S23" s="159">
        <v>0</v>
      </c>
      <c r="AD23" s="27"/>
      <c r="AF23" s="707"/>
      <c r="AG23" s="159"/>
      <c r="AH23" s="159">
        <v>0</v>
      </c>
      <c r="AS23" s="27"/>
      <c r="AU23" s="707"/>
      <c r="AV23" s="159">
        <f>AVERAGE(AX14:AX15)</f>
        <v>-2.630555555555554E-2</v>
      </c>
      <c r="AW23" s="159">
        <v>0</v>
      </c>
      <c r="BH23" s="27"/>
      <c r="BJ23" s="707"/>
      <c r="BK23" s="159">
        <f>AVERAGE(BM14:BM15)</f>
        <v>-1.6194444444444407E-2</v>
      </c>
      <c r="BL23" s="159">
        <v>0</v>
      </c>
      <c r="BW23" s="27"/>
      <c r="BY23" s="707"/>
      <c r="BZ23" s="159">
        <f>AVERAGE(CB14:CB15)</f>
        <v>6.1041666666666952E-3</v>
      </c>
      <c r="CA23" s="159">
        <v>0</v>
      </c>
      <c r="CL23" s="27"/>
      <c r="CN23" s="707"/>
      <c r="CO23" s="159">
        <f>AVERAGE(CQ14:CQ15)</f>
        <v>1.1152173913043482E-2</v>
      </c>
      <c r="CP23" s="159">
        <v>0</v>
      </c>
      <c r="DA23" s="27"/>
      <c r="DC23" s="707"/>
      <c r="DD23" s="159">
        <f>AVERAGE(DF14:DF15)</f>
        <v>6.1111111111107619E-4</v>
      </c>
      <c r="DE23" s="159">
        <v>0</v>
      </c>
      <c r="DP23" s="27"/>
      <c r="DR23" s="707"/>
      <c r="DS23" s="159">
        <f>AVERAGE(DU14:DU15)</f>
        <v>1.0250000000000002E-2</v>
      </c>
      <c r="DT23" s="159">
        <v>0</v>
      </c>
      <c r="EE23" s="27"/>
      <c r="EG23" s="707"/>
      <c r="EH23" s="159">
        <f>AVERAGE(EJ14:EJ15)</f>
        <v>6.2222222222222193E-3</v>
      </c>
      <c r="EI23" s="159">
        <v>0</v>
      </c>
      <c r="ET23" s="27"/>
    </row>
    <row r="24" spans="2:150" x14ac:dyDescent="0.25">
      <c r="B24" s="707"/>
      <c r="C24" s="159">
        <f>AVERAGE(F14:F15)</f>
        <v>0.24730434782608696</v>
      </c>
      <c r="D24" s="159">
        <v>2</v>
      </c>
      <c r="O24" s="27"/>
      <c r="Q24" s="707"/>
      <c r="R24" s="159">
        <v>0.26400000000000001</v>
      </c>
      <c r="S24" s="159">
        <v>2</v>
      </c>
      <c r="AD24" s="27"/>
      <c r="AF24" s="707"/>
      <c r="AG24" s="159">
        <v>0.26400000000000001</v>
      </c>
      <c r="AH24" s="159">
        <v>2</v>
      </c>
      <c r="AS24" s="27"/>
      <c r="AU24" s="707"/>
      <c r="AV24" s="159">
        <f>AVERAGE(AY14:AY15)</f>
        <v>0.11819444444444446</v>
      </c>
      <c r="AW24" s="159">
        <v>2</v>
      </c>
      <c r="BH24" s="27"/>
      <c r="BJ24" s="707"/>
      <c r="BK24" s="159">
        <f>AVERAGE(BN14:BN15)</f>
        <v>0.17780555555555558</v>
      </c>
      <c r="BL24" s="159">
        <v>2</v>
      </c>
      <c r="BW24" s="27"/>
      <c r="BY24" s="707"/>
      <c r="BZ24" s="159">
        <f>AVERAGE(CC14:CC15)</f>
        <v>0.15360416666666668</v>
      </c>
      <c r="CA24" s="159">
        <v>2</v>
      </c>
      <c r="CL24" s="27"/>
      <c r="CN24" s="707"/>
      <c r="CO24" s="159">
        <f>AVERAGE(CR14:CR15)</f>
        <v>0.12915217391304348</v>
      </c>
      <c r="CP24" s="159">
        <v>2</v>
      </c>
      <c r="DA24" s="27"/>
      <c r="DC24" s="707"/>
      <c r="DD24" s="159">
        <f>AVERAGE(DG14:DG15)</f>
        <v>0.21561111111111106</v>
      </c>
      <c r="DE24" s="159">
        <v>2</v>
      </c>
      <c r="DP24" s="27"/>
      <c r="DR24" s="707"/>
      <c r="DS24" s="159">
        <f>AVERAGE(DV14:DV15)</f>
        <v>0.21375000000000002</v>
      </c>
      <c r="DT24" s="159">
        <v>2</v>
      </c>
      <c r="EE24" s="27"/>
      <c r="EG24" s="707"/>
      <c r="EH24" s="159">
        <f>AVERAGE(EK14:EK15)</f>
        <v>0.1452222222222222</v>
      </c>
      <c r="EI24" s="159">
        <v>2</v>
      </c>
      <c r="ET24" s="27"/>
    </row>
    <row r="25" spans="2:150" x14ac:dyDescent="0.25">
      <c r="B25" s="707"/>
      <c r="C25" s="159">
        <f>AVERAGE(G14:G15)</f>
        <v>0.45680434782608692</v>
      </c>
      <c r="D25" s="159">
        <v>4</v>
      </c>
      <c r="O25" s="27"/>
      <c r="Q25" s="707"/>
      <c r="R25" s="159">
        <f>AVERAGE(V14:V15)</f>
        <v>0.44600000000000006</v>
      </c>
      <c r="S25" s="159">
        <v>4</v>
      </c>
      <c r="AD25" s="27"/>
      <c r="AF25" s="707"/>
      <c r="AG25" s="159">
        <f>AVERAGE(AK14:AK15)</f>
        <v>0.40489473684210531</v>
      </c>
      <c r="AH25" s="159">
        <v>4</v>
      </c>
      <c r="AS25" s="27"/>
      <c r="AU25" s="707"/>
      <c r="AV25" s="159">
        <f>AVERAGE(AZ14:AZ15)</f>
        <v>0.23719444444444449</v>
      </c>
      <c r="AW25" s="159">
        <v>4</v>
      </c>
      <c r="BH25" s="27"/>
      <c r="BJ25" s="707"/>
      <c r="BK25" s="159">
        <f>AVERAGE(BO14:BO15)</f>
        <v>0.31130555555555561</v>
      </c>
      <c r="BL25" s="159">
        <v>4</v>
      </c>
      <c r="BW25" s="27"/>
      <c r="BY25" s="707"/>
      <c r="BZ25" s="159">
        <f>AVERAGE(CD14:CD15)</f>
        <v>0.3271041666666667</v>
      </c>
      <c r="CA25" s="159">
        <v>4</v>
      </c>
      <c r="CL25" s="27"/>
      <c r="CN25" s="707"/>
      <c r="CO25" s="159">
        <f>AVERAGE(CS14:CS15)</f>
        <v>0.26215217391304346</v>
      </c>
      <c r="CP25" s="159">
        <v>4</v>
      </c>
      <c r="DA25" s="27"/>
      <c r="DC25" s="707"/>
      <c r="DD25" s="159">
        <f>AVERAGE(DH14:DH15)</f>
        <v>0.31561111111111106</v>
      </c>
      <c r="DE25" s="159">
        <v>4</v>
      </c>
      <c r="DP25" s="27"/>
      <c r="DR25" s="707"/>
      <c r="DS25" s="159">
        <f>AVERAGE(DW14:DW15)</f>
        <v>0.34624999999999995</v>
      </c>
      <c r="DT25" s="159">
        <v>4</v>
      </c>
      <c r="EE25" s="27"/>
      <c r="EG25" s="707"/>
      <c r="EH25" s="159">
        <f>AVERAGE(EL14:EL15)</f>
        <v>0.36722222222222223</v>
      </c>
      <c r="EI25" s="159">
        <v>4</v>
      </c>
      <c r="ET25" s="27"/>
    </row>
    <row r="26" spans="2:150" x14ac:dyDescent="0.25">
      <c r="B26" s="707"/>
      <c r="C26" s="159">
        <f>AVERAGE(H14:H15)</f>
        <v>0.81780434782608691</v>
      </c>
      <c r="D26" s="159">
        <v>8</v>
      </c>
      <c r="N26" t="s">
        <v>118</v>
      </c>
      <c r="O26" s="27">
        <v>23.103000000000002</v>
      </c>
      <c r="Q26" s="707"/>
      <c r="R26" s="159">
        <f>AVERAGE(W14:W15)</f>
        <v>0.6745000000000001</v>
      </c>
      <c r="S26" s="159">
        <v>8</v>
      </c>
      <c r="AC26" t="s">
        <v>118</v>
      </c>
      <c r="AD26" s="27">
        <v>27.835000000000001</v>
      </c>
      <c r="AF26" s="707"/>
      <c r="AG26" s="159">
        <f>AVERAGE(AL14:AL15)</f>
        <v>0.65639473684210536</v>
      </c>
      <c r="AH26" s="159">
        <v>8</v>
      </c>
      <c r="AR26" t="s">
        <v>118</v>
      </c>
      <c r="AS26" s="27">
        <v>30.701000000000001</v>
      </c>
      <c r="AU26" s="707"/>
      <c r="AV26" s="159">
        <f>AVERAGE(BA14:BA15)</f>
        <v>0.5161944444444444</v>
      </c>
      <c r="AW26" s="159">
        <v>8</v>
      </c>
      <c r="BG26" t="s">
        <v>118</v>
      </c>
      <c r="BH26" s="27">
        <v>33.652999999999999</v>
      </c>
      <c r="BJ26" s="707"/>
      <c r="BK26" s="159">
        <f>AVERAGE(BP14:BP15)</f>
        <v>0.50480555555555562</v>
      </c>
      <c r="BL26" s="159">
        <v>8</v>
      </c>
      <c r="BV26" t="s">
        <v>118</v>
      </c>
      <c r="BW26" s="27">
        <v>18.266999999999999</v>
      </c>
      <c r="BY26" s="707"/>
      <c r="BZ26" s="159">
        <f>AVERAGE(CE14:CE15)</f>
        <v>0.51760416666666675</v>
      </c>
      <c r="CA26" s="159">
        <v>8</v>
      </c>
      <c r="CK26" t="s">
        <v>118</v>
      </c>
      <c r="CL26" s="27">
        <v>21.600999999999999</v>
      </c>
      <c r="CN26" s="707"/>
      <c r="CO26" s="159">
        <f>AVERAGE(CT14:CT15)</f>
        <v>0.43065217391304345</v>
      </c>
      <c r="CP26" s="159">
        <v>8</v>
      </c>
      <c r="CZ26" t="s">
        <v>118</v>
      </c>
      <c r="DA26" s="27">
        <v>22.164000000000001</v>
      </c>
      <c r="DC26" s="707"/>
      <c r="DD26" s="159">
        <f>AVERAGE(DI14:DI15)</f>
        <v>0.68011111111111111</v>
      </c>
      <c r="DE26" s="159">
        <v>8</v>
      </c>
      <c r="DO26" t="s">
        <v>118</v>
      </c>
      <c r="DP26" s="27">
        <v>17.928999999999998</v>
      </c>
      <c r="DR26" s="707"/>
      <c r="DS26" s="159">
        <f>AVERAGE(DX14:DX15)</f>
        <v>0.75374999999999992</v>
      </c>
      <c r="DT26" s="159">
        <v>8</v>
      </c>
      <c r="ED26" t="s">
        <v>118</v>
      </c>
      <c r="EE26" s="27">
        <v>13.872</v>
      </c>
      <c r="EG26" s="707"/>
      <c r="EH26" s="159">
        <f>AVERAGE(EM14:EM15)</f>
        <v>0.67122222222222216</v>
      </c>
      <c r="EI26" s="159">
        <v>8</v>
      </c>
      <c r="ES26" t="s">
        <v>118</v>
      </c>
      <c r="ET26" s="27">
        <v>12.707000000000001</v>
      </c>
    </row>
    <row r="27" spans="2:150" x14ac:dyDescent="0.25">
      <c r="B27" s="707"/>
      <c r="C27" s="159"/>
      <c r="D27" s="159">
        <v>12</v>
      </c>
      <c r="N27" t="s">
        <v>119</v>
      </c>
      <c r="O27" s="27">
        <v>-6.8632999999999997</v>
      </c>
      <c r="Q27" s="707"/>
      <c r="R27" s="159"/>
      <c r="S27" s="159">
        <v>12</v>
      </c>
      <c r="AC27" t="s">
        <v>119</v>
      </c>
      <c r="AD27" s="27">
        <v>-7.6101000000000001</v>
      </c>
      <c r="AF27" s="707"/>
      <c r="AG27" s="159"/>
      <c r="AH27" s="159">
        <v>12</v>
      </c>
      <c r="AR27" t="s">
        <v>119</v>
      </c>
      <c r="AS27" s="27">
        <v>-9.14</v>
      </c>
      <c r="AU27" s="707"/>
      <c r="AV27" s="159"/>
      <c r="AW27" s="159">
        <v>12</v>
      </c>
      <c r="BG27" t="s">
        <v>119</v>
      </c>
      <c r="BH27" s="27">
        <v>-3.7814999999999999</v>
      </c>
      <c r="BJ27" s="707"/>
      <c r="BK27" s="159">
        <f>AVERAGE(BQ14:BQ15)</f>
        <v>0.79680555555555554</v>
      </c>
      <c r="BL27" s="159">
        <v>12</v>
      </c>
      <c r="BV27" t="s">
        <v>119</v>
      </c>
      <c r="BW27" s="27">
        <v>-1.4853000000000001</v>
      </c>
      <c r="BY27" s="707"/>
      <c r="BZ27" s="159">
        <f>AVERAGE(CF14:CF15)</f>
        <v>0.75560416666666674</v>
      </c>
      <c r="CA27" s="159">
        <v>12</v>
      </c>
      <c r="CK27" t="s">
        <v>119</v>
      </c>
      <c r="CL27" s="27">
        <v>-2.4695</v>
      </c>
      <c r="CN27" s="707"/>
      <c r="CO27" s="159">
        <f>AVERAGE(CU14:CU15)</f>
        <v>0.65215217391304336</v>
      </c>
      <c r="CP27" s="159">
        <v>12</v>
      </c>
      <c r="CZ27" t="s">
        <v>119</v>
      </c>
      <c r="DA27" s="27">
        <v>-1.5606</v>
      </c>
      <c r="DC27" s="707"/>
      <c r="DD27" s="159">
        <f>AVERAGE(DJ14:DJ15)</f>
        <v>0.86311111111111116</v>
      </c>
      <c r="DE27" s="159">
        <v>12</v>
      </c>
      <c r="DO27" t="s">
        <v>119</v>
      </c>
      <c r="DP27" s="27">
        <v>-2.3677000000000001</v>
      </c>
      <c r="DR27" s="707"/>
      <c r="DS27" s="159">
        <f>AVERAGE(DY14:DY15)</f>
        <v>1.0042499999999999</v>
      </c>
      <c r="DT27" s="159">
        <v>12</v>
      </c>
      <c r="ED27" t="s">
        <v>119</v>
      </c>
      <c r="EE27" s="27">
        <v>-1.1551</v>
      </c>
      <c r="EG27" s="707"/>
      <c r="EH27" s="159">
        <f>AVERAGE(EN14:EN15)</f>
        <v>1.0267222222222223</v>
      </c>
      <c r="EI27" s="159">
        <v>12</v>
      </c>
      <c r="ES27" t="s">
        <v>119</v>
      </c>
      <c r="ET27" s="27">
        <v>-0.4753</v>
      </c>
    </row>
    <row r="28" spans="2:150" x14ac:dyDescent="0.25">
      <c r="B28" s="707"/>
      <c r="C28" s="159">
        <f>AVERAGE(J14:J15)</f>
        <v>0.99780434782608696</v>
      </c>
      <c r="D28" s="159">
        <v>16</v>
      </c>
      <c r="O28" s="27"/>
      <c r="Q28" s="707"/>
      <c r="R28" s="159">
        <f>AVERAGE(Y14:Y15)</f>
        <v>0.88100000000000001</v>
      </c>
      <c r="S28" s="159">
        <v>16</v>
      </c>
      <c r="AD28" s="27"/>
      <c r="AF28" s="707"/>
      <c r="AG28" s="159">
        <f>AVERAGE(AN14:AN15)</f>
        <v>0.82139473684210529</v>
      </c>
      <c r="AH28" s="159">
        <v>16</v>
      </c>
      <c r="AS28" s="27"/>
      <c r="AU28" s="707"/>
      <c r="AV28" s="159">
        <f>AVERAGE(BC14:BC15)</f>
        <v>0.58119444444444446</v>
      </c>
      <c r="AW28" s="159">
        <v>16</v>
      </c>
      <c r="BH28" s="27"/>
      <c r="BJ28" s="707"/>
      <c r="BK28" s="159">
        <f>AVERAGE(BR14:BR15)</f>
        <v>0.98680555555555571</v>
      </c>
      <c r="BL28" s="159">
        <v>16</v>
      </c>
      <c r="BW28" s="27"/>
      <c r="BY28" s="707"/>
      <c r="BZ28" s="159">
        <f>AVERAGE(CG14:CG15)</f>
        <v>0.84110416666666676</v>
      </c>
      <c r="CA28" s="159">
        <v>16</v>
      </c>
      <c r="CL28" s="27"/>
      <c r="CN28" s="707"/>
      <c r="CO28" s="159">
        <f>AVERAGE(CV14:CV15)</f>
        <v>0.8151521739130434</v>
      </c>
      <c r="CP28" s="159">
        <v>16</v>
      </c>
      <c r="DA28" s="27"/>
      <c r="DC28" s="707"/>
      <c r="DD28" s="159">
        <f>AVERAGE(DK14:DK15)</f>
        <v>1.0871111111111111</v>
      </c>
      <c r="DE28" s="159">
        <v>16</v>
      </c>
      <c r="DP28" s="27"/>
      <c r="DR28" s="707"/>
      <c r="DS28" s="159">
        <f>AVERAGE(DZ14:DZ15)</f>
        <v>1.2617500000000001</v>
      </c>
      <c r="DT28" s="159">
        <v>16</v>
      </c>
      <c r="EE28" s="27"/>
      <c r="EG28" s="707"/>
      <c r="EH28" s="159">
        <f>AVERAGE(EO14:EO15)</f>
        <v>1.3757222222222223</v>
      </c>
      <c r="EI28" s="159">
        <v>16</v>
      </c>
      <c r="ET28" s="27"/>
    </row>
    <row r="29" spans="2:150" x14ac:dyDescent="0.25">
      <c r="B29" s="707"/>
      <c r="C29" s="159">
        <f>AVERAGE(K14:K15)</f>
        <v>1.6908043478260868</v>
      </c>
      <c r="D29" s="159">
        <v>32</v>
      </c>
      <c r="O29" s="27"/>
      <c r="Q29" s="707"/>
      <c r="R29" s="159">
        <f>AVERAGE(Z14:Z15)</f>
        <v>1.3085</v>
      </c>
      <c r="S29" s="159">
        <v>32</v>
      </c>
      <c r="AD29" s="27"/>
      <c r="AF29" s="707"/>
      <c r="AG29" s="159">
        <f>AVERAGE(AO14:AO15)</f>
        <v>1.3728947368421052</v>
      </c>
      <c r="AH29" s="159">
        <v>32</v>
      </c>
      <c r="AS29" s="27"/>
      <c r="AU29" s="707"/>
      <c r="AV29" s="159">
        <f>AVERAGE(BD14:BD15)</f>
        <v>1.1211944444444444</v>
      </c>
      <c r="AW29" s="159">
        <v>32</v>
      </c>
      <c r="BH29" s="27"/>
      <c r="BJ29" s="707"/>
      <c r="BK29" s="159">
        <f>AVERAGE(BS14:BS15)</f>
        <v>1.9358055555555558</v>
      </c>
      <c r="BL29" s="159">
        <v>32</v>
      </c>
      <c r="BW29" s="27"/>
      <c r="BY29" s="707"/>
      <c r="BZ29" s="159">
        <f>AVERAGE(CH14:CH15)</f>
        <v>1.7206041666666665</v>
      </c>
      <c r="CA29" s="159">
        <v>32</v>
      </c>
      <c r="CL29" s="27"/>
      <c r="CN29" s="707"/>
      <c r="CO29" s="159">
        <f>AVERAGE(CW14:CW15)</f>
        <v>1.5841521739130435</v>
      </c>
      <c r="CP29" s="159">
        <v>32</v>
      </c>
      <c r="DA29" s="27"/>
      <c r="DC29" s="707"/>
      <c r="DD29" s="159">
        <f>AVERAGE(DL14:DL15)</f>
        <v>1.9606111111111111</v>
      </c>
      <c r="DE29" s="159">
        <v>32</v>
      </c>
      <c r="DP29" s="27"/>
      <c r="DR29" s="707"/>
      <c r="DS29" s="159">
        <f>AVERAGE(EA14:EA15)</f>
        <v>2.3272500000000003</v>
      </c>
      <c r="DT29" s="159">
        <v>32</v>
      </c>
      <c r="EE29" s="27"/>
      <c r="EG29" s="707"/>
      <c r="EH29" s="159">
        <f>AVERAGE(EP14:EP15)</f>
        <v>2.4932222222222222</v>
      </c>
      <c r="EI29" s="159">
        <v>32</v>
      </c>
      <c r="ET29" s="27"/>
    </row>
    <row r="30" spans="2:150" x14ac:dyDescent="0.25">
      <c r="B30" s="707"/>
      <c r="C30" s="159">
        <f>AVERAGE(L14:L15)</f>
        <v>3.025804347826087</v>
      </c>
      <c r="D30" s="159">
        <v>64</v>
      </c>
      <c r="O30" s="27"/>
      <c r="Q30" s="707"/>
      <c r="R30" s="159">
        <f>AVERAGE(AA14:AA15)</f>
        <v>2.593</v>
      </c>
      <c r="S30" s="159">
        <v>64</v>
      </c>
      <c r="AD30" s="27"/>
      <c r="AF30" s="707"/>
      <c r="AG30" s="159">
        <f>AVERAGE(AP14:AP15)</f>
        <v>2.4148947368421054</v>
      </c>
      <c r="AH30" s="159">
        <v>64</v>
      </c>
      <c r="AS30" s="27"/>
      <c r="AU30" s="707"/>
      <c r="AV30" s="159">
        <f>AVERAGE(BE14:BE15)</f>
        <v>2.0706944444444444</v>
      </c>
      <c r="AW30" s="159">
        <v>64</v>
      </c>
      <c r="BH30" s="27"/>
      <c r="BJ30" s="707"/>
      <c r="BK30" s="159">
        <f>AVERAGE(BT14:BT15)</f>
        <v>3.5078055555555556</v>
      </c>
      <c r="BL30" s="159">
        <v>64</v>
      </c>
      <c r="BW30" s="27"/>
      <c r="BY30" s="707"/>
      <c r="BZ30" s="159">
        <f>AVERAGE(CI14:CI15)</f>
        <v>2.9816041666666666</v>
      </c>
      <c r="CA30" s="159">
        <v>64</v>
      </c>
      <c r="CL30" s="27"/>
      <c r="CN30" s="707"/>
      <c r="CO30" s="159">
        <f>AVERAGE(CX14:CX15)</f>
        <v>2.9051521739130433</v>
      </c>
      <c r="CP30" s="159">
        <v>64</v>
      </c>
      <c r="DA30" s="27"/>
      <c r="DC30" s="707"/>
      <c r="DD30" s="159">
        <f>AVERAGE(DM14:DM15)</f>
        <v>3.630611111111111</v>
      </c>
      <c r="DE30" s="159">
        <v>64</v>
      </c>
      <c r="DP30" s="27"/>
      <c r="DR30" s="707"/>
      <c r="DS30" s="159"/>
      <c r="DT30" s="159">
        <v>64</v>
      </c>
      <c r="EE30" s="27"/>
      <c r="EG30" s="707"/>
      <c r="EH30" s="159"/>
      <c r="EI30" s="159">
        <v>64</v>
      </c>
      <c r="ET30" s="27"/>
    </row>
    <row r="31" spans="2:150" x14ac:dyDescent="0.25">
      <c r="B31" s="707"/>
      <c r="D31" s="159">
        <v>100</v>
      </c>
      <c r="O31" s="27"/>
      <c r="Q31" s="707"/>
      <c r="S31" s="159">
        <v>100</v>
      </c>
      <c r="AD31" s="27"/>
      <c r="AF31" s="707"/>
      <c r="AG31">
        <f>AVERAGE(AQ14:AQ15)</f>
        <v>3.5108947368421051</v>
      </c>
      <c r="AH31" s="159">
        <v>100</v>
      </c>
      <c r="AS31" s="27"/>
      <c r="AU31" s="707"/>
      <c r="AV31">
        <f>AVERAGE(BF14:BF15)</f>
        <v>2.9961944444444439</v>
      </c>
      <c r="AW31" s="159">
        <v>100</v>
      </c>
      <c r="BH31" s="27"/>
      <c r="BJ31" s="707"/>
      <c r="BL31" s="159">
        <v>100</v>
      </c>
      <c r="BW31" s="27"/>
      <c r="BY31" s="707"/>
      <c r="CA31" s="159">
        <v>100</v>
      </c>
      <c r="CL31" s="27"/>
      <c r="CN31" s="707"/>
      <c r="CP31" s="159">
        <v>100</v>
      </c>
      <c r="DA31" s="27"/>
      <c r="DC31" s="707"/>
      <c r="DE31" s="159">
        <v>100</v>
      </c>
      <c r="DP31" s="27"/>
      <c r="DR31" s="707"/>
      <c r="DT31" s="159">
        <v>100</v>
      </c>
      <c r="EE31" s="27"/>
      <c r="EG31" s="707"/>
      <c r="EI31" s="159">
        <v>100</v>
      </c>
      <c r="ET31" s="27"/>
    </row>
    <row r="32" spans="2:150" x14ac:dyDescent="0.25">
      <c r="B32" s="707"/>
      <c r="C32" s="159"/>
      <c r="D32" s="159">
        <v>128</v>
      </c>
      <c r="O32" s="27"/>
      <c r="Q32" s="707"/>
      <c r="R32" s="159"/>
      <c r="S32" s="159">
        <v>128</v>
      </c>
      <c r="AD32" s="27"/>
      <c r="AF32" s="707"/>
      <c r="AG32" s="159"/>
      <c r="AH32" s="159">
        <v>128</v>
      </c>
      <c r="AS32" s="27"/>
      <c r="AU32" s="707"/>
      <c r="AV32" s="159"/>
      <c r="AW32" s="159">
        <v>128</v>
      </c>
      <c r="BH32" s="27"/>
      <c r="BJ32" s="707"/>
      <c r="BK32" s="159"/>
      <c r="BL32" s="159">
        <v>128</v>
      </c>
      <c r="BW32" s="27"/>
      <c r="BY32" s="707"/>
      <c r="BZ32" s="159"/>
      <c r="CA32" s="159">
        <v>128</v>
      </c>
      <c r="CL32" s="27"/>
      <c r="CN32" s="707"/>
      <c r="CO32" s="159"/>
      <c r="CP32" s="159">
        <v>128</v>
      </c>
      <c r="DA32" s="27"/>
      <c r="DC32" s="707"/>
      <c r="DD32" s="159"/>
      <c r="DE32" s="159">
        <v>128</v>
      </c>
      <c r="DP32" s="27"/>
      <c r="DR32" s="707"/>
      <c r="DS32" s="159"/>
      <c r="DT32" s="159">
        <v>128</v>
      </c>
      <c r="EE32" s="27"/>
      <c r="EG32" s="707"/>
      <c r="EH32" s="159"/>
      <c r="EI32" s="159">
        <v>128</v>
      </c>
      <c r="ET32" s="27"/>
    </row>
    <row r="33" spans="2:150" x14ac:dyDescent="0.25">
      <c r="B33" s="707"/>
      <c r="C33" s="72"/>
      <c r="O33" s="27"/>
      <c r="Q33" s="707"/>
      <c r="R33" s="72"/>
      <c r="AD33" s="27"/>
      <c r="AF33" s="707"/>
      <c r="AG33" s="72"/>
      <c r="AS33" s="27"/>
      <c r="AU33" s="707"/>
      <c r="AV33" s="72"/>
      <c r="BH33" s="27"/>
      <c r="BJ33" s="707"/>
      <c r="BK33" s="72"/>
      <c r="BW33" s="27"/>
      <c r="BY33" s="707"/>
      <c r="BZ33" s="72"/>
      <c r="CL33" s="27"/>
      <c r="CN33" s="707"/>
      <c r="CO33" s="72"/>
      <c r="DA33" s="27"/>
      <c r="DC33" s="707"/>
      <c r="DD33" s="72"/>
      <c r="DP33" s="27"/>
      <c r="DR33" s="707"/>
      <c r="DS33" s="72"/>
      <c r="EE33" s="27"/>
      <c r="EG33" s="707"/>
      <c r="EH33" s="72"/>
      <c r="ET33" s="27"/>
    </row>
    <row r="34" spans="2:150" x14ac:dyDescent="0.25">
      <c r="B34" s="707"/>
      <c r="C34" s="72"/>
      <c r="O34" s="27"/>
      <c r="Q34" s="707"/>
      <c r="R34" s="72"/>
      <c r="AD34" s="27"/>
      <c r="AF34" s="707"/>
      <c r="AG34" s="72"/>
      <c r="AS34" s="27"/>
      <c r="AU34" s="707"/>
      <c r="AV34" s="72"/>
      <c r="BH34" s="27"/>
      <c r="BJ34" s="707"/>
      <c r="BK34" s="72"/>
      <c r="BW34" s="27"/>
      <c r="BY34" s="707"/>
      <c r="BZ34" s="72"/>
      <c r="CL34" s="27"/>
      <c r="CN34" s="707"/>
      <c r="CO34" s="72"/>
      <c r="DA34" s="27"/>
      <c r="DC34" s="707"/>
      <c r="DD34" s="72"/>
      <c r="DP34" s="27"/>
      <c r="DR34" s="707"/>
      <c r="DS34" s="72"/>
      <c r="EE34" s="27"/>
      <c r="EG34" s="707"/>
      <c r="EH34" s="72"/>
      <c r="ET34" s="27"/>
    </row>
    <row r="35" spans="2:150" ht="15.75" thickBot="1" x14ac:dyDescent="0.3">
      <c r="B35" s="708"/>
      <c r="C35" s="7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8"/>
      <c r="Q35" s="708"/>
      <c r="R35" s="73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8"/>
      <c r="AF35" s="708"/>
      <c r="AG35" s="73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8"/>
      <c r="AU35" s="708"/>
      <c r="AV35" s="73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8"/>
      <c r="BJ35" s="708"/>
      <c r="BK35" s="73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8"/>
      <c r="BY35" s="708"/>
      <c r="BZ35" s="73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8"/>
      <c r="CN35" s="708"/>
      <c r="CO35" s="73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8"/>
      <c r="DC35" s="708"/>
      <c r="DD35" s="73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8"/>
      <c r="DR35" s="708"/>
      <c r="DS35" s="73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8"/>
      <c r="EG35" s="708"/>
      <c r="EH35" s="73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8"/>
    </row>
    <row r="36" spans="2:150" x14ac:dyDescent="0.25">
      <c r="B36" s="698" t="s">
        <v>172</v>
      </c>
      <c r="C36" s="150"/>
      <c r="D36" s="132">
        <v>1</v>
      </c>
      <c r="E36" s="132">
        <v>2</v>
      </c>
      <c r="F36" s="132">
        <v>3</v>
      </c>
      <c r="G36" s="132">
        <v>4</v>
      </c>
      <c r="H36" s="132">
        <v>5</v>
      </c>
      <c r="I36" s="132">
        <v>6</v>
      </c>
      <c r="J36" s="132">
        <v>7</v>
      </c>
      <c r="K36" s="132">
        <v>8</v>
      </c>
      <c r="L36" s="132">
        <v>9</v>
      </c>
      <c r="M36" s="132">
        <v>10</v>
      </c>
      <c r="N36" s="132">
        <v>11</v>
      </c>
      <c r="O36" s="133">
        <v>12</v>
      </c>
      <c r="Q36" s="712" t="s">
        <v>172</v>
      </c>
      <c r="R36" s="200"/>
      <c r="S36" s="132">
        <v>1</v>
      </c>
      <c r="T36" s="132">
        <v>2</v>
      </c>
      <c r="U36" s="132">
        <v>3</v>
      </c>
      <c r="V36" s="132">
        <v>4</v>
      </c>
      <c r="W36" s="132">
        <v>5</v>
      </c>
      <c r="X36" s="132">
        <v>6</v>
      </c>
      <c r="Y36" s="132">
        <v>7</v>
      </c>
      <c r="Z36" s="132">
        <v>8</v>
      </c>
      <c r="AA36" s="132">
        <v>9</v>
      </c>
      <c r="AB36" s="132">
        <v>10</v>
      </c>
      <c r="AC36" s="132">
        <v>11</v>
      </c>
      <c r="AD36" s="133">
        <v>12</v>
      </c>
      <c r="AF36" s="712" t="s">
        <v>172</v>
      </c>
      <c r="AG36" s="200"/>
      <c r="AH36" s="132">
        <v>1</v>
      </c>
      <c r="AI36" s="132">
        <v>2</v>
      </c>
      <c r="AJ36" s="132">
        <v>3</v>
      </c>
      <c r="AK36" s="132">
        <v>4</v>
      </c>
      <c r="AL36" s="132">
        <v>5</v>
      </c>
      <c r="AM36" s="132">
        <v>6</v>
      </c>
      <c r="AN36" s="132">
        <v>7</v>
      </c>
      <c r="AO36" s="132">
        <v>8</v>
      </c>
      <c r="AP36" s="132">
        <v>9</v>
      </c>
      <c r="AQ36" s="132">
        <v>10</v>
      </c>
      <c r="AR36" s="132">
        <v>11</v>
      </c>
      <c r="AS36" s="133">
        <v>12</v>
      </c>
      <c r="AU36" s="712" t="s">
        <v>172</v>
      </c>
      <c r="AV36" s="200"/>
      <c r="AW36" s="132">
        <v>1</v>
      </c>
      <c r="AX36" s="132">
        <v>2</v>
      </c>
      <c r="AY36" s="132">
        <v>3</v>
      </c>
      <c r="AZ36" s="132">
        <v>4</v>
      </c>
      <c r="BA36" s="132">
        <v>5</v>
      </c>
      <c r="BB36" s="132">
        <v>6</v>
      </c>
      <c r="BC36" s="132">
        <v>7</v>
      </c>
      <c r="BD36" s="132">
        <v>8</v>
      </c>
      <c r="BE36" s="132">
        <v>9</v>
      </c>
      <c r="BF36" s="132">
        <v>10</v>
      </c>
      <c r="BG36" s="132">
        <v>11</v>
      </c>
      <c r="BH36" s="133">
        <v>12</v>
      </c>
      <c r="BJ36" s="712" t="s">
        <v>172</v>
      </c>
      <c r="BK36" s="200"/>
      <c r="BL36" s="132">
        <v>1</v>
      </c>
      <c r="BM36" s="132">
        <v>2</v>
      </c>
      <c r="BN36" s="132">
        <v>3</v>
      </c>
      <c r="BO36" s="132">
        <v>4</v>
      </c>
      <c r="BP36" s="132">
        <v>5</v>
      </c>
      <c r="BQ36" s="132">
        <v>6</v>
      </c>
      <c r="BR36" s="132">
        <v>7</v>
      </c>
      <c r="BS36" s="132">
        <v>8</v>
      </c>
      <c r="BT36" s="132">
        <v>9</v>
      </c>
      <c r="BU36" s="132">
        <v>10</v>
      </c>
      <c r="BV36" s="132">
        <v>11</v>
      </c>
      <c r="BW36" s="133">
        <v>12</v>
      </c>
      <c r="BY36" s="712" t="s">
        <v>172</v>
      </c>
      <c r="BZ36" s="200"/>
      <c r="CA36" s="132">
        <v>1</v>
      </c>
      <c r="CB36" s="132">
        <v>2</v>
      </c>
      <c r="CC36" s="132">
        <v>3</v>
      </c>
      <c r="CD36" s="132">
        <v>4</v>
      </c>
      <c r="CE36" s="132">
        <v>5</v>
      </c>
      <c r="CF36" s="132">
        <v>6</v>
      </c>
      <c r="CG36" s="132">
        <v>7</v>
      </c>
      <c r="CH36" s="132">
        <v>8</v>
      </c>
      <c r="CI36" s="132">
        <v>9</v>
      </c>
      <c r="CJ36" s="132">
        <v>10</v>
      </c>
      <c r="CK36" s="132">
        <v>11</v>
      </c>
      <c r="CL36" s="133">
        <v>12</v>
      </c>
      <c r="CN36" s="712" t="s">
        <v>172</v>
      </c>
      <c r="CO36" s="200"/>
      <c r="CP36" s="132">
        <v>1</v>
      </c>
      <c r="CQ36" s="132">
        <v>2</v>
      </c>
      <c r="CR36" s="132">
        <v>3</v>
      </c>
      <c r="CS36" s="132">
        <v>4</v>
      </c>
      <c r="CT36" s="132">
        <v>5</v>
      </c>
      <c r="CU36" s="132">
        <v>6</v>
      </c>
      <c r="CV36" s="132">
        <v>7</v>
      </c>
      <c r="CW36" s="132">
        <v>8</v>
      </c>
      <c r="CX36" s="132">
        <v>9</v>
      </c>
      <c r="CY36" s="132">
        <v>10</v>
      </c>
      <c r="CZ36" s="132">
        <v>11</v>
      </c>
      <c r="DA36" s="133">
        <v>12</v>
      </c>
      <c r="DC36" s="698" t="s">
        <v>172</v>
      </c>
      <c r="DD36" s="150"/>
      <c r="DE36" s="132">
        <v>1</v>
      </c>
      <c r="DF36" s="132">
        <v>2</v>
      </c>
      <c r="DG36" s="132">
        <v>3</v>
      </c>
      <c r="DH36" s="132">
        <v>4</v>
      </c>
      <c r="DI36" s="132">
        <v>5</v>
      </c>
      <c r="DJ36" s="132">
        <v>6</v>
      </c>
      <c r="DK36" s="132">
        <v>7</v>
      </c>
      <c r="DL36" s="132">
        <v>8</v>
      </c>
      <c r="DM36" s="132">
        <v>9</v>
      </c>
      <c r="DN36" s="132">
        <v>10</v>
      </c>
      <c r="DO36" s="132">
        <v>11</v>
      </c>
      <c r="DP36" s="133">
        <v>12</v>
      </c>
      <c r="DR36" s="698" t="s">
        <v>172</v>
      </c>
      <c r="DS36" s="150"/>
      <c r="DT36" s="132">
        <v>1</v>
      </c>
      <c r="DU36" s="132">
        <v>2</v>
      </c>
      <c r="DV36" s="132">
        <v>3</v>
      </c>
      <c r="DW36" s="132">
        <v>4</v>
      </c>
      <c r="DX36" s="132">
        <v>5</v>
      </c>
      <c r="DY36" s="132">
        <v>6</v>
      </c>
      <c r="DZ36" s="132">
        <v>7</v>
      </c>
      <c r="EA36" s="132">
        <v>8</v>
      </c>
      <c r="EB36" s="132">
        <v>9</v>
      </c>
      <c r="EC36" s="132">
        <v>10</v>
      </c>
      <c r="ED36" s="132">
        <v>11</v>
      </c>
      <c r="EE36" s="133">
        <v>12</v>
      </c>
      <c r="EG36" s="698" t="s">
        <v>172</v>
      </c>
      <c r="EH36" s="150"/>
      <c r="EI36" s="132">
        <v>1</v>
      </c>
      <c r="EJ36" s="132">
        <v>2</v>
      </c>
      <c r="EK36" s="132">
        <v>3</v>
      </c>
      <c r="EL36" s="132">
        <v>4</v>
      </c>
      <c r="EM36" s="132">
        <v>5</v>
      </c>
      <c r="EN36" s="132">
        <v>6</v>
      </c>
      <c r="EO36" s="132">
        <v>7</v>
      </c>
      <c r="EP36" s="132">
        <v>8</v>
      </c>
      <c r="EQ36" s="132">
        <v>9</v>
      </c>
      <c r="ER36" s="132">
        <v>10</v>
      </c>
      <c r="ES36" s="132">
        <v>11</v>
      </c>
      <c r="ET36" s="133">
        <v>12</v>
      </c>
    </row>
    <row r="37" spans="2:150" x14ac:dyDescent="0.25">
      <c r="B37" s="699"/>
      <c r="C37" s="122" t="s">
        <v>44</v>
      </c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5"/>
      <c r="Q37" s="713"/>
      <c r="R37" s="81" t="s">
        <v>44</v>
      </c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5"/>
      <c r="AF37" s="713"/>
      <c r="AG37" s="81" t="s">
        <v>44</v>
      </c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5"/>
      <c r="AU37" s="713"/>
      <c r="AV37" s="81" t="s">
        <v>44</v>
      </c>
      <c r="AW37" s="154"/>
      <c r="AX37" s="154"/>
      <c r="AY37" s="154"/>
      <c r="AZ37" s="154"/>
      <c r="BA37" s="154"/>
      <c r="BB37" s="154"/>
      <c r="BC37" s="154"/>
      <c r="BD37" s="154"/>
      <c r="BE37" s="154"/>
      <c r="BF37" s="154"/>
      <c r="BG37" s="154"/>
      <c r="BH37" s="155"/>
      <c r="BJ37" s="713"/>
      <c r="BK37" s="81" t="s">
        <v>44</v>
      </c>
      <c r="BL37" s="154"/>
      <c r="BM37" s="154"/>
      <c r="BN37" s="154"/>
      <c r="BO37" s="154"/>
      <c r="BP37" s="154"/>
      <c r="BQ37" s="154"/>
      <c r="BR37" s="154"/>
      <c r="BS37" s="154"/>
      <c r="BT37" s="154"/>
      <c r="BU37" s="154"/>
      <c r="BV37" s="154"/>
      <c r="BW37" s="155"/>
      <c r="BY37" s="713"/>
      <c r="BZ37" s="81" t="s">
        <v>44</v>
      </c>
      <c r="CA37" s="154"/>
      <c r="CB37" s="154"/>
      <c r="CC37" s="154"/>
      <c r="CD37" s="154"/>
      <c r="CE37" s="154"/>
      <c r="CF37" s="154"/>
      <c r="CG37" s="154"/>
      <c r="CH37" s="154"/>
      <c r="CI37" s="154"/>
      <c r="CJ37" s="154"/>
      <c r="CK37" s="154"/>
      <c r="CL37" s="155"/>
      <c r="CN37" s="713"/>
      <c r="CO37" s="81" t="s">
        <v>44</v>
      </c>
      <c r="CP37" s="154"/>
      <c r="CQ37" s="154"/>
      <c r="CR37" s="154"/>
      <c r="CS37" s="154"/>
      <c r="CT37" s="154"/>
      <c r="CU37" s="154"/>
      <c r="CV37" s="154"/>
      <c r="CW37" s="154"/>
      <c r="CX37" s="154"/>
      <c r="CY37" s="154"/>
      <c r="CZ37" s="154"/>
      <c r="DA37" s="155"/>
      <c r="DC37" s="699"/>
      <c r="DD37" s="122" t="s">
        <v>44</v>
      </c>
      <c r="DE37" s="154"/>
      <c r="DF37" s="154"/>
      <c r="DG37" s="154"/>
      <c r="DH37" s="154"/>
      <c r="DI37" s="154"/>
      <c r="DJ37" s="154"/>
      <c r="DK37" s="154"/>
      <c r="DL37" s="154"/>
      <c r="DM37" s="154"/>
      <c r="DN37" s="154"/>
      <c r="DO37" s="154"/>
      <c r="DP37" s="155"/>
      <c r="DR37" s="699"/>
      <c r="DS37" s="122" t="s">
        <v>44</v>
      </c>
      <c r="DT37" s="154"/>
      <c r="DU37" s="154"/>
      <c r="DV37" s="154"/>
      <c r="DW37" s="154"/>
      <c r="DX37" s="154"/>
      <c r="DY37" s="154"/>
      <c r="DZ37" s="154"/>
      <c r="EA37" s="154"/>
      <c r="EB37" s="154"/>
      <c r="EC37" s="154"/>
      <c r="ED37" s="154"/>
      <c r="EE37" s="155"/>
      <c r="EG37" s="699"/>
      <c r="EH37" s="122" t="s">
        <v>44</v>
      </c>
      <c r="EI37" s="154"/>
      <c r="EJ37" s="154"/>
      <c r="EK37" s="154"/>
      <c r="EL37" s="154"/>
      <c r="EM37" s="154"/>
      <c r="EN37" s="154"/>
      <c r="EO37" s="154"/>
      <c r="EP37" s="154"/>
      <c r="EQ37" s="154"/>
      <c r="ER37" s="154"/>
      <c r="ES37" s="154"/>
      <c r="ET37" s="155"/>
    </row>
    <row r="38" spans="2:150" x14ac:dyDescent="0.25">
      <c r="B38" s="699"/>
      <c r="C38" s="122" t="s">
        <v>45</v>
      </c>
      <c r="D38" s="154"/>
      <c r="E38" s="154">
        <f t="shared" ref="E38:N43" si="72">E14*$O$26+$O$27</f>
        <v>-6.7869596521739126</v>
      </c>
      <c r="F38" s="154">
        <f t="shared" si="72"/>
        <v>-0.59535565217391184</v>
      </c>
      <c r="G38" s="154">
        <f t="shared" si="72"/>
        <v>4.7414373478260865</v>
      </c>
      <c r="H38" s="154">
        <f t="shared" si="72"/>
        <v>13.682298347826087</v>
      </c>
      <c r="I38" s="154">
        <f t="shared" si="72"/>
        <v>22.045584347826086</v>
      </c>
      <c r="J38" s="154">
        <f t="shared" si="72"/>
        <v>17.794632347826091</v>
      </c>
      <c r="K38" s="154">
        <f t="shared" si="72"/>
        <v>33.50467234782608</v>
      </c>
      <c r="L38" s="154">
        <f t="shared" si="72"/>
        <v>64.162353347826098</v>
      </c>
      <c r="M38" s="154"/>
      <c r="N38" s="154"/>
      <c r="O38" s="155"/>
      <c r="Q38" s="713"/>
      <c r="R38" s="81" t="s">
        <v>45</v>
      </c>
      <c r="S38" s="154"/>
      <c r="T38" s="154">
        <f>T14*$AD$26+$AD$27</f>
        <v>-7.359585</v>
      </c>
      <c r="U38" s="154">
        <f t="shared" ref="U38:AA38" si="73">U14*$AD$26+$AD$27</f>
        <v>-0.26165999999999912</v>
      </c>
      <c r="V38" s="154">
        <f t="shared" si="73"/>
        <v>5.7785350000000006</v>
      </c>
      <c r="W38" s="154">
        <f t="shared" si="73"/>
        <v>12.208420000000004</v>
      </c>
      <c r="X38" s="154">
        <f t="shared" si="73"/>
        <v>16.940370000000005</v>
      </c>
      <c r="Y38" s="154">
        <f t="shared" si="73"/>
        <v>19.000160000000005</v>
      </c>
      <c r="Z38" s="154">
        <f t="shared" si="73"/>
        <v>28.130040000000005</v>
      </c>
      <c r="AA38" s="154">
        <f t="shared" si="73"/>
        <v>69.576355000000007</v>
      </c>
      <c r="AB38" s="154"/>
      <c r="AC38" s="154"/>
      <c r="AD38" s="155"/>
      <c r="AF38" s="713"/>
      <c r="AG38" s="81" t="s">
        <v>45</v>
      </c>
      <c r="AH38" s="154"/>
      <c r="AI38" s="154">
        <f>AI14*$AS$26+$AS$27</f>
        <v>-8.8669226842105253</v>
      </c>
      <c r="AJ38" s="154">
        <f t="shared" ref="AJ38:AQ38" si="74">AJ14*$AS$26+$AS$27</f>
        <v>-1.5293836842105266</v>
      </c>
      <c r="AK38" s="154">
        <f t="shared" si="74"/>
        <v>3.873992315789474</v>
      </c>
      <c r="AL38" s="154">
        <f t="shared" si="74"/>
        <v>11.979056315789474</v>
      </c>
      <c r="AM38" s="154">
        <f t="shared" si="74"/>
        <v>18.487668315789474</v>
      </c>
      <c r="AN38" s="154">
        <f t="shared" si="74"/>
        <v>17.075422315789474</v>
      </c>
      <c r="AO38" s="154">
        <f t="shared" si="74"/>
        <v>34.574992315789473</v>
      </c>
      <c r="AP38" s="154">
        <f t="shared" si="74"/>
        <v>63.495334315789478</v>
      </c>
      <c r="AQ38" s="154">
        <f t="shared" si="74"/>
        <v>102.02508931578947</v>
      </c>
      <c r="AR38" s="154"/>
      <c r="AS38" s="155"/>
      <c r="AU38" s="713"/>
      <c r="AV38" s="81" t="s">
        <v>45</v>
      </c>
      <c r="AW38" s="154"/>
      <c r="AX38" s="154"/>
      <c r="AY38" s="154"/>
      <c r="AZ38" s="154"/>
      <c r="BA38" s="154"/>
      <c r="BB38" s="154"/>
      <c r="BC38" s="154"/>
      <c r="BD38" s="154"/>
      <c r="BE38" s="154"/>
      <c r="BF38" s="154"/>
      <c r="BG38" s="154"/>
      <c r="BH38" s="155"/>
      <c r="BJ38" s="713"/>
      <c r="BK38" s="81" t="s">
        <v>45</v>
      </c>
      <c r="BL38" s="154"/>
      <c r="BM38" s="154"/>
      <c r="BN38" s="154"/>
      <c r="BO38" s="154"/>
      <c r="BP38" s="154"/>
      <c r="BQ38" s="154"/>
      <c r="BR38" s="154"/>
      <c r="BS38" s="154"/>
      <c r="BT38" s="154"/>
      <c r="BU38" s="154"/>
      <c r="BV38" s="154"/>
      <c r="BW38" s="155"/>
      <c r="BY38" s="713"/>
      <c r="BZ38" s="81" t="s">
        <v>45</v>
      </c>
      <c r="CA38" s="154"/>
      <c r="CB38" s="154"/>
      <c r="CC38" s="154"/>
      <c r="CD38" s="154"/>
      <c r="CE38" s="154"/>
      <c r="CF38" s="154"/>
      <c r="CG38" s="154"/>
      <c r="CH38" s="154"/>
      <c r="CI38" s="154"/>
      <c r="CJ38" s="154"/>
      <c r="CK38" s="154"/>
      <c r="CL38" s="155"/>
      <c r="CN38" s="713"/>
      <c r="CO38" s="81" t="s">
        <v>45</v>
      </c>
      <c r="CP38" s="154"/>
      <c r="CQ38" s="154"/>
      <c r="CR38" s="154"/>
      <c r="CS38" s="154"/>
      <c r="CT38" s="154"/>
      <c r="CU38" s="154"/>
      <c r="CV38" s="154"/>
      <c r="CW38" s="154"/>
      <c r="CX38" s="154"/>
      <c r="CY38" s="154"/>
      <c r="CZ38" s="154"/>
      <c r="DA38" s="155"/>
      <c r="DC38" s="699"/>
      <c r="DD38" s="122" t="s">
        <v>45</v>
      </c>
      <c r="DE38" s="154"/>
      <c r="DF38" s="154"/>
      <c r="DG38" s="154"/>
      <c r="DH38" s="154"/>
      <c r="DI38" s="154"/>
      <c r="DJ38" s="154"/>
      <c r="DK38" s="154"/>
      <c r="DL38" s="154"/>
      <c r="DM38" s="154"/>
      <c r="DN38" s="154"/>
      <c r="DO38" s="154"/>
      <c r="DP38" s="155"/>
      <c r="DR38" s="699"/>
      <c r="DS38" s="122" t="s">
        <v>45</v>
      </c>
      <c r="DT38" s="154"/>
      <c r="DU38" s="154"/>
      <c r="DV38" s="154"/>
      <c r="DW38" s="154"/>
      <c r="DX38" s="154"/>
      <c r="DY38" s="154"/>
      <c r="DZ38" s="154"/>
      <c r="EA38" s="154"/>
      <c r="EB38" s="154"/>
      <c r="EC38" s="154"/>
      <c r="ED38" s="154"/>
      <c r="EE38" s="155"/>
      <c r="EG38" s="699"/>
      <c r="EH38" s="122" t="s">
        <v>45</v>
      </c>
      <c r="EI38" s="154"/>
      <c r="EJ38" s="154"/>
      <c r="EK38" s="154"/>
      <c r="EL38" s="154"/>
      <c r="EM38" s="154"/>
      <c r="EN38" s="154"/>
      <c r="EO38" s="154"/>
      <c r="EP38" s="154"/>
      <c r="EQ38" s="154"/>
      <c r="ER38" s="154"/>
      <c r="ES38" s="154"/>
      <c r="ET38" s="155"/>
    </row>
    <row r="39" spans="2:150" x14ac:dyDescent="0.25">
      <c r="B39" s="699"/>
      <c r="C39" s="122" t="s">
        <v>46</v>
      </c>
      <c r="D39" s="154"/>
      <c r="E39" s="154">
        <f t="shared" si="72"/>
        <v>-7.0641956521739129</v>
      </c>
      <c r="F39" s="154">
        <f t="shared" si="72"/>
        <v>-1.7042996521739129</v>
      </c>
      <c r="G39" s="154">
        <f t="shared" si="72"/>
        <v>2.6390643478260882</v>
      </c>
      <c r="H39" s="154">
        <f t="shared" si="72"/>
        <v>10.378569347826087</v>
      </c>
      <c r="I39" s="154">
        <f t="shared" si="72"/>
        <v>17.401881347826095</v>
      </c>
      <c r="J39" s="154">
        <f t="shared" si="72"/>
        <v>14.58331534782609</v>
      </c>
      <c r="K39" s="154">
        <f t="shared" si="72"/>
        <v>30.894033347826085</v>
      </c>
      <c r="L39" s="154">
        <f t="shared" si="72"/>
        <v>61.921362347826097</v>
      </c>
      <c r="M39" s="154"/>
      <c r="N39" s="154"/>
      <c r="O39" s="155"/>
      <c r="Q39" s="713"/>
      <c r="R39" s="81" t="s">
        <v>46</v>
      </c>
      <c r="S39" s="154"/>
      <c r="T39" s="154">
        <f t="shared" ref="T39:AC43" si="75">T15*$AD$26+$AD$27</f>
        <v>-7.1647399999999992</v>
      </c>
      <c r="U39" s="154">
        <f t="shared" si="75"/>
        <v>14.574395000000003</v>
      </c>
      <c r="V39" s="154">
        <f t="shared" si="75"/>
        <v>3.8300850000000013</v>
      </c>
      <c r="W39" s="154">
        <f t="shared" si="75"/>
        <v>10.120795000000005</v>
      </c>
      <c r="X39" s="154">
        <f t="shared" si="75"/>
        <v>16.495010000000004</v>
      </c>
      <c r="Y39" s="154">
        <f t="shared" si="75"/>
        <v>14.824910000000003</v>
      </c>
      <c r="Z39" s="154">
        <f t="shared" si="75"/>
        <v>29.493955000000003</v>
      </c>
      <c r="AA39" s="154">
        <f t="shared" si="75"/>
        <v>59.555755000000005</v>
      </c>
      <c r="AB39" s="154"/>
      <c r="AC39" s="154"/>
      <c r="AD39" s="155"/>
      <c r="AF39" s="713"/>
      <c r="AG39" s="81" t="s">
        <v>46</v>
      </c>
      <c r="AH39" s="154"/>
      <c r="AI39" s="154">
        <f t="shared" ref="AI39:AQ43" si="76">AI15*$AS$26+$AS$27</f>
        <v>-8.8669226842105253</v>
      </c>
      <c r="AJ39" s="154">
        <f t="shared" si="76"/>
        <v>-2.2355066842105256</v>
      </c>
      <c r="AK39" s="154">
        <f t="shared" si="76"/>
        <v>2.7073543157894733</v>
      </c>
      <c r="AL39" s="154">
        <f t="shared" si="76"/>
        <v>10.044893315789476</v>
      </c>
      <c r="AM39" s="154">
        <f t="shared" si="76"/>
        <v>16.584206315789473</v>
      </c>
      <c r="AN39" s="154">
        <f t="shared" si="76"/>
        <v>15.079857315789475</v>
      </c>
      <c r="AO39" s="154">
        <f t="shared" si="76"/>
        <v>31.443490315789475</v>
      </c>
      <c r="AP39" s="154">
        <f t="shared" si="76"/>
        <v>66.504032315789473</v>
      </c>
      <c r="AQ39" s="154">
        <f t="shared" si="76"/>
        <v>95.270869315789469</v>
      </c>
      <c r="AR39" s="154"/>
      <c r="AS39" s="155"/>
      <c r="AU39" s="713"/>
      <c r="AV39" s="81" t="s">
        <v>46</v>
      </c>
      <c r="AW39" s="154"/>
      <c r="AX39" s="154"/>
      <c r="AY39" s="154"/>
      <c r="AZ39" s="154"/>
      <c r="BA39" s="154"/>
      <c r="BB39" s="154"/>
      <c r="BC39" s="154"/>
      <c r="BD39" s="154"/>
      <c r="BE39" s="154"/>
      <c r="BF39" s="154"/>
      <c r="BG39" s="154"/>
      <c r="BH39" s="155"/>
      <c r="BJ39" s="713"/>
      <c r="BK39" s="81" t="s">
        <v>46</v>
      </c>
      <c r="BL39" s="154"/>
      <c r="BM39" s="154"/>
      <c r="BN39" s="154"/>
      <c r="BO39" s="154"/>
      <c r="BP39" s="154"/>
      <c r="BQ39" s="154"/>
      <c r="BR39" s="154"/>
      <c r="BS39" s="154"/>
      <c r="BT39" s="154"/>
      <c r="BU39" s="154"/>
      <c r="BV39" s="154"/>
      <c r="BW39" s="155"/>
      <c r="BY39" s="713"/>
      <c r="BZ39" s="81" t="s">
        <v>46</v>
      </c>
      <c r="CA39" s="154"/>
      <c r="CB39" s="154"/>
      <c r="CC39" s="154"/>
      <c r="CD39" s="154"/>
      <c r="CE39" s="154"/>
      <c r="CF39" s="154"/>
      <c r="CG39" s="154"/>
      <c r="CH39" s="154"/>
      <c r="CI39" s="154"/>
      <c r="CJ39" s="154"/>
      <c r="CK39" s="154"/>
      <c r="CL39" s="155"/>
      <c r="CN39" s="713"/>
      <c r="CO39" s="81" t="s">
        <v>46</v>
      </c>
      <c r="CP39" s="154"/>
      <c r="CQ39" s="154"/>
      <c r="CR39" s="154"/>
      <c r="CS39" s="154"/>
      <c r="CT39" s="154"/>
      <c r="CU39" s="154"/>
      <c r="CV39" s="154"/>
      <c r="CW39" s="154"/>
      <c r="CX39" s="154"/>
      <c r="CY39" s="154"/>
      <c r="CZ39" s="154"/>
      <c r="DA39" s="155"/>
      <c r="DC39" s="699"/>
      <c r="DD39" s="122" t="s">
        <v>46</v>
      </c>
      <c r="DE39" s="154"/>
      <c r="DF39" s="154"/>
      <c r="DG39" s="154"/>
      <c r="DH39" s="154"/>
      <c r="DI39" s="154"/>
      <c r="DJ39" s="154"/>
      <c r="DK39" s="154"/>
      <c r="DL39" s="154"/>
      <c r="DM39" s="154"/>
      <c r="DN39" s="154"/>
      <c r="DO39" s="154"/>
      <c r="DP39" s="155"/>
      <c r="DR39" s="699"/>
      <c r="DS39" s="122" t="s">
        <v>46</v>
      </c>
      <c r="DT39" s="154"/>
      <c r="DU39" s="154"/>
      <c r="DV39" s="154"/>
      <c r="DW39" s="154"/>
      <c r="DX39" s="154"/>
      <c r="DY39" s="154"/>
      <c r="DZ39" s="154"/>
      <c r="EA39" s="154"/>
      <c r="EB39" s="154"/>
      <c r="EC39" s="154"/>
      <c r="ED39" s="154"/>
      <c r="EE39" s="155"/>
      <c r="EG39" s="699"/>
      <c r="EH39" s="122" t="s">
        <v>46</v>
      </c>
      <c r="EI39" s="154"/>
      <c r="EJ39" s="154"/>
      <c r="EK39" s="154"/>
      <c r="EL39" s="154"/>
      <c r="EM39" s="154"/>
      <c r="EN39" s="154"/>
      <c r="EO39" s="154"/>
      <c r="EP39" s="154"/>
      <c r="EQ39" s="154"/>
      <c r="ER39" s="154"/>
      <c r="ES39" s="154"/>
      <c r="ET39" s="155"/>
    </row>
    <row r="40" spans="2:150" x14ac:dyDescent="0.25">
      <c r="B40" s="699"/>
      <c r="C40" s="122" t="s">
        <v>47</v>
      </c>
      <c r="D40" s="154"/>
      <c r="E40" s="154">
        <f t="shared" si="72"/>
        <v>25.603446347826097</v>
      </c>
      <c r="F40" s="154">
        <f t="shared" si="72"/>
        <v>23.270043347826096</v>
      </c>
      <c r="G40" s="154">
        <f t="shared" si="72"/>
        <v>23.477970347826094</v>
      </c>
      <c r="H40" s="154">
        <f t="shared" si="72"/>
        <v>24.309678347826093</v>
      </c>
      <c r="I40" s="154">
        <f t="shared" si="72"/>
        <v>26.781699347826088</v>
      </c>
      <c r="J40" s="154">
        <f t="shared" si="72"/>
        <v>19.342533347826087</v>
      </c>
      <c r="K40" s="154">
        <f t="shared" si="72"/>
        <v>20.936640347826085</v>
      </c>
      <c r="L40" s="154">
        <f t="shared" si="72"/>
        <v>19.897005347826088</v>
      </c>
      <c r="M40" s="154">
        <f t="shared" si="72"/>
        <v>21.190773347826088</v>
      </c>
      <c r="N40" s="154">
        <f t="shared" si="72"/>
        <v>26.504463347826086</v>
      </c>
      <c r="O40" s="155"/>
      <c r="Q40" s="713"/>
      <c r="R40" s="81" t="s">
        <v>47</v>
      </c>
      <c r="S40" s="154"/>
      <c r="T40" s="154">
        <f t="shared" si="75"/>
        <v>43.940319999999993</v>
      </c>
      <c r="U40" s="154">
        <f t="shared" si="75"/>
        <v>35.394974999999995</v>
      </c>
      <c r="V40" s="154">
        <f t="shared" si="75"/>
        <v>42.38156</v>
      </c>
      <c r="W40" s="154">
        <f t="shared" si="75"/>
        <v>32.221784999999997</v>
      </c>
      <c r="X40" s="154">
        <f t="shared" si="75"/>
        <v>22.479535000000002</v>
      </c>
      <c r="Y40" s="154">
        <f t="shared" si="75"/>
        <v>32.945494999999994</v>
      </c>
      <c r="Z40" s="154">
        <f t="shared" si="75"/>
        <v>26.40427</v>
      </c>
      <c r="AA40" s="154">
        <f t="shared" si="75"/>
        <v>24.956849999999999</v>
      </c>
      <c r="AB40" s="154">
        <f t="shared" si="75"/>
        <v>38.456825000000002</v>
      </c>
      <c r="AC40" s="154">
        <f t="shared" si="75"/>
        <v>27.211485</v>
      </c>
      <c r="AD40" s="155"/>
      <c r="AF40" s="713"/>
      <c r="AG40" s="81" t="s">
        <v>47</v>
      </c>
      <c r="AH40" s="154"/>
      <c r="AI40" s="154">
        <f t="shared" si="76"/>
        <v>40.31607931578948</v>
      </c>
      <c r="AJ40" s="154">
        <f t="shared" si="76"/>
        <v>29.263719315789473</v>
      </c>
      <c r="AK40" s="154">
        <f t="shared" si="76"/>
        <v>37.03107231578948</v>
      </c>
      <c r="AL40" s="154">
        <f t="shared" si="76"/>
        <v>32.640829315789475</v>
      </c>
      <c r="AM40" s="154">
        <f t="shared" si="76"/>
        <v>18.364864315789475</v>
      </c>
      <c r="AN40" s="154">
        <f t="shared" si="76"/>
        <v>36.294248315789474</v>
      </c>
      <c r="AO40" s="154">
        <f t="shared" si="76"/>
        <v>36.754763315789475</v>
      </c>
      <c r="AP40" s="154">
        <f t="shared" si="76"/>
        <v>36.23284631578948</v>
      </c>
      <c r="AQ40" s="154">
        <f t="shared" si="76"/>
        <v>32.640829315789475</v>
      </c>
      <c r="AR40" s="154"/>
      <c r="AS40" s="155"/>
      <c r="AU40" s="713"/>
      <c r="AV40" s="81" t="s">
        <v>47</v>
      </c>
      <c r="AW40" s="154"/>
      <c r="AX40" s="154">
        <f t="shared" ref="AX40:BG43" si="77">AX16*$BH$26+$BH$27</f>
        <v>62.100791138888887</v>
      </c>
      <c r="AY40" s="154">
        <f t="shared" si="77"/>
        <v>59.946999138888891</v>
      </c>
      <c r="AZ40" s="154">
        <f t="shared" si="77"/>
        <v>57.860513138888891</v>
      </c>
      <c r="BA40" s="154">
        <f t="shared" si="77"/>
        <v>16.400017138888884</v>
      </c>
      <c r="BB40" s="154">
        <f t="shared" si="77"/>
        <v>60.182570138888885</v>
      </c>
      <c r="BC40" s="154">
        <f t="shared" si="77"/>
        <v>66.475681138888888</v>
      </c>
      <c r="BD40" s="154">
        <f t="shared" si="77"/>
        <v>31.072725138888885</v>
      </c>
      <c r="BE40" s="154">
        <f t="shared" si="77"/>
        <v>59.038368138888885</v>
      </c>
      <c r="BF40" s="154">
        <f t="shared" si="77"/>
        <v>43.120499138888889</v>
      </c>
      <c r="BG40" s="154">
        <f t="shared" si="77"/>
        <v>40.293647138888886</v>
      </c>
      <c r="BH40" s="155"/>
      <c r="BJ40" s="713"/>
      <c r="BK40" s="81" t="s">
        <v>47</v>
      </c>
      <c r="BL40" s="154"/>
      <c r="BM40" s="154">
        <f>BM16*$BW$26+$BW$27</f>
        <v>44.744925083333335</v>
      </c>
      <c r="BN40" s="154">
        <f t="shared" ref="BN40:BV40" si="78">BN16*$BW$26+$BW$27</f>
        <v>45.42080408333333</v>
      </c>
      <c r="BO40" s="154">
        <f t="shared" si="78"/>
        <v>47.046567083333329</v>
      </c>
      <c r="BP40" s="154">
        <f t="shared" si="78"/>
        <v>47.229237083333338</v>
      </c>
      <c r="BQ40" s="154">
        <f t="shared" si="78"/>
        <v>43.959444083333331</v>
      </c>
      <c r="BR40" s="154">
        <f t="shared" si="78"/>
        <v>48.580995083333335</v>
      </c>
      <c r="BS40" s="154">
        <f t="shared" si="78"/>
        <v>46.936965083333334</v>
      </c>
      <c r="BT40" s="154">
        <f t="shared" si="78"/>
        <v>39.429228083333335</v>
      </c>
      <c r="BU40" s="154">
        <f t="shared" si="78"/>
        <v>49.91448608333333</v>
      </c>
      <c r="BV40" s="154">
        <f t="shared" si="78"/>
        <v>42.169278083333332</v>
      </c>
      <c r="BW40" s="155"/>
      <c r="BY40" s="713"/>
      <c r="BZ40" s="81" t="s">
        <v>47</v>
      </c>
      <c r="CA40" s="154"/>
      <c r="CB40" s="154">
        <f>CB16*$CL$26+$CL$27</f>
        <v>47.798277104166658</v>
      </c>
      <c r="CC40" s="154">
        <f t="shared" ref="CC40:CK40" si="79">CC16*$CL$26+$CL$27</f>
        <v>48.359903104166662</v>
      </c>
      <c r="CD40" s="154">
        <f t="shared" si="79"/>
        <v>46.437414104166663</v>
      </c>
      <c r="CE40" s="154">
        <f t="shared" si="79"/>
        <v>44.536526104166668</v>
      </c>
      <c r="CF40" s="154">
        <f t="shared" si="79"/>
        <v>41.145169104166669</v>
      </c>
      <c r="CG40" s="154">
        <f t="shared" si="79"/>
        <v>47.474262104166669</v>
      </c>
      <c r="CH40" s="154">
        <f t="shared" si="79"/>
        <v>44.709334104166672</v>
      </c>
      <c r="CI40" s="154">
        <f t="shared" si="79"/>
        <v>47.366257104166664</v>
      </c>
      <c r="CJ40" s="154">
        <f t="shared" si="79"/>
        <v>44.363718104166665</v>
      </c>
      <c r="CK40" s="154">
        <f t="shared" si="79"/>
        <v>40.950760104166662</v>
      </c>
      <c r="CL40" s="155"/>
      <c r="CN40" s="713"/>
      <c r="CO40" s="81" t="s">
        <v>47</v>
      </c>
      <c r="CP40" s="154"/>
      <c r="CQ40" s="154">
        <f>CQ16*$DA$26+$DA$27</f>
        <v>42.693198782608704</v>
      </c>
      <c r="CR40" s="154">
        <f t="shared" ref="CR40:CY40" si="80">CR16*$DA$26+$DA$27</f>
        <v>36.376458782608694</v>
      </c>
      <c r="CS40" s="154">
        <f t="shared" si="80"/>
        <v>38.880990782608698</v>
      </c>
      <c r="CT40" s="154">
        <f t="shared" si="80"/>
        <v>37.063542782608693</v>
      </c>
      <c r="CU40" s="154">
        <f t="shared" si="80"/>
        <v>37.019214782608692</v>
      </c>
      <c r="CV40" s="154">
        <f t="shared" si="80"/>
        <v>33.761106782608692</v>
      </c>
      <c r="CW40" s="154">
        <f t="shared" si="80"/>
        <v>41.075226782608695</v>
      </c>
      <c r="CX40" s="154">
        <f t="shared" si="80"/>
        <v>42.227754782608692</v>
      </c>
      <c r="CY40" s="154">
        <f t="shared" si="80"/>
        <v>47.458458782608695</v>
      </c>
      <c r="CZ40" s="154"/>
      <c r="DA40" s="155"/>
      <c r="DC40" s="699"/>
      <c r="DD40" s="122" t="s">
        <v>47</v>
      </c>
      <c r="DE40" s="154"/>
      <c r="DF40" s="154">
        <f>DF16*$DP$26+$DP$27</f>
        <v>30.18439161111111</v>
      </c>
      <c r="DG40" s="154">
        <f t="shared" ref="DG40:DN40" si="81">DG16*$DP$26+$DP$27</f>
        <v>33.806049611111106</v>
      </c>
      <c r="DH40" s="154">
        <f t="shared" si="81"/>
        <v>34.290132611111112</v>
      </c>
      <c r="DI40" s="154">
        <f t="shared" si="81"/>
        <v>40.547353611111106</v>
      </c>
      <c r="DJ40" s="154">
        <f t="shared" si="81"/>
        <v>33.33989561111111</v>
      </c>
      <c r="DK40" s="154">
        <f t="shared" si="81"/>
        <v>33.429540611111108</v>
      </c>
      <c r="DL40" s="154">
        <f t="shared" si="81"/>
        <v>-1.8188733888888897</v>
      </c>
      <c r="DM40" s="154">
        <f t="shared" si="81"/>
        <v>33.124747611111111</v>
      </c>
      <c r="DN40" s="154">
        <f t="shared" si="81"/>
        <v>29.861669611111111</v>
      </c>
      <c r="DO40" s="154">
        <f>DO16*$DP$26+$DP$27</f>
        <v>29.825811611111106</v>
      </c>
      <c r="DP40" s="155"/>
      <c r="DR40" s="699"/>
      <c r="DS40" s="122" t="s">
        <v>47</v>
      </c>
      <c r="DT40" s="154"/>
      <c r="DU40" s="154">
        <f>DU16*$EE$26+$EE$27</f>
        <v>34.811528000000003</v>
      </c>
      <c r="DV40" s="154">
        <f t="shared" ref="DV40:ED40" si="82">DV16*$EE$26+$EE$27</f>
        <v>31.898408</v>
      </c>
      <c r="DW40" s="154">
        <f t="shared" si="82"/>
        <v>29.082391999999995</v>
      </c>
      <c r="DX40" s="154">
        <f t="shared" si="82"/>
        <v>33.410456000000003</v>
      </c>
      <c r="DY40" s="154">
        <f t="shared" si="82"/>
        <v>38.140808</v>
      </c>
      <c r="DZ40" s="154">
        <f t="shared" si="82"/>
        <v>29.512423999999999</v>
      </c>
      <c r="EA40" s="154">
        <f t="shared" si="82"/>
        <v>29.359831999999997</v>
      </c>
      <c r="EB40" s="154">
        <f t="shared" si="82"/>
        <v>32.009384000000004</v>
      </c>
      <c r="EC40" s="154">
        <f t="shared" si="82"/>
        <v>30.095047999999995</v>
      </c>
      <c r="ED40" s="154">
        <f t="shared" si="82"/>
        <v>35.851928000000001</v>
      </c>
      <c r="EE40" s="155"/>
      <c r="EG40" s="699"/>
      <c r="EH40" s="122" t="s">
        <v>47</v>
      </c>
      <c r="EI40" s="154"/>
      <c r="EJ40" s="154">
        <f>EJ16*$ET$26+$ET$27</f>
        <v>22.158690777777778</v>
      </c>
      <c r="EK40" s="154">
        <f t="shared" ref="EK40:ES40" si="83">EK16*$ET$26+$ET$27</f>
        <v>24.242638777777781</v>
      </c>
      <c r="EL40" s="154">
        <f t="shared" si="83"/>
        <v>25.132128777777776</v>
      </c>
      <c r="EM40" s="154">
        <f t="shared" si="83"/>
        <v>28.867986777777777</v>
      </c>
      <c r="EN40" s="154">
        <f t="shared" si="83"/>
        <v>26.491777777777777</v>
      </c>
      <c r="EO40" s="154">
        <f t="shared" si="83"/>
        <v>29.795597777777775</v>
      </c>
      <c r="EP40" s="154">
        <f t="shared" si="83"/>
        <v>29.732062777777777</v>
      </c>
      <c r="EQ40" s="154">
        <f t="shared" si="83"/>
        <v>20.84986977777778</v>
      </c>
      <c r="ER40" s="154">
        <f t="shared" si="83"/>
        <v>30.507189777777779</v>
      </c>
      <c r="ES40" s="154">
        <f t="shared" si="83"/>
        <v>29.528750777777777</v>
      </c>
      <c r="ET40" s="155"/>
    </row>
    <row r="41" spans="2:150" x14ac:dyDescent="0.25">
      <c r="B41" s="699"/>
      <c r="C41" s="122" t="s">
        <v>48</v>
      </c>
      <c r="D41" s="154"/>
      <c r="E41" s="154">
        <f t="shared" si="72"/>
        <v>29.346132347826096</v>
      </c>
      <c r="F41" s="154">
        <f t="shared" si="72"/>
        <v>26.157918347826094</v>
      </c>
      <c r="G41" s="154">
        <f t="shared" si="72"/>
        <v>25.949991347826089</v>
      </c>
      <c r="H41" s="154">
        <f t="shared" si="72"/>
        <v>26.157918347826094</v>
      </c>
      <c r="I41" s="154">
        <f t="shared" si="72"/>
        <v>30.639900347826096</v>
      </c>
      <c r="J41" s="154">
        <f t="shared" si="72"/>
        <v>25.118283347826086</v>
      </c>
      <c r="K41" s="154">
        <f t="shared" si="72"/>
        <v>28.260291347826087</v>
      </c>
      <c r="L41" s="154">
        <f t="shared" si="72"/>
        <v>26.689287347826085</v>
      </c>
      <c r="M41" s="154">
        <f t="shared" si="72"/>
        <v>29.669574347826089</v>
      </c>
      <c r="N41" s="154">
        <f t="shared" si="72"/>
        <v>32.950200347826083</v>
      </c>
      <c r="O41" s="155"/>
      <c r="Q41" s="713"/>
      <c r="R41" s="81" t="s">
        <v>48</v>
      </c>
      <c r="S41" s="154"/>
      <c r="T41" s="154">
        <f t="shared" si="75"/>
        <v>46.306294999999999</v>
      </c>
      <c r="U41" s="154">
        <f t="shared" si="75"/>
        <v>42.93826</v>
      </c>
      <c r="V41" s="154">
        <f t="shared" si="75"/>
        <v>42.409394999999996</v>
      </c>
      <c r="W41" s="154">
        <f t="shared" si="75"/>
        <v>32.193949999999994</v>
      </c>
      <c r="X41" s="154">
        <f t="shared" si="75"/>
        <v>23.509429999999998</v>
      </c>
      <c r="Y41" s="154">
        <f t="shared" si="75"/>
        <v>34.893944999999995</v>
      </c>
      <c r="Z41" s="154">
        <f t="shared" si="75"/>
        <v>28.547565000000002</v>
      </c>
      <c r="AA41" s="154">
        <f t="shared" si="75"/>
        <v>27.935194999999997</v>
      </c>
      <c r="AB41" s="154">
        <f t="shared" si="75"/>
        <v>43.355784999999997</v>
      </c>
      <c r="AC41" s="154">
        <f t="shared" si="75"/>
        <v>29.271274999999999</v>
      </c>
      <c r="AD41" s="155"/>
      <c r="AF41" s="713"/>
      <c r="AG41" s="81" t="s">
        <v>48</v>
      </c>
      <c r="AH41" s="154"/>
      <c r="AI41" s="154">
        <f t="shared" si="76"/>
        <v>44.337910315789479</v>
      </c>
      <c r="AJ41" s="154">
        <f t="shared" si="76"/>
        <v>32.456623315789479</v>
      </c>
      <c r="AK41" s="154">
        <f t="shared" si="76"/>
        <v>38.934534315789477</v>
      </c>
      <c r="AL41" s="154">
        <f t="shared" si="76"/>
        <v>35.004806315789473</v>
      </c>
      <c r="AM41" s="154">
        <f t="shared" si="76"/>
        <v>20.053419315789473</v>
      </c>
      <c r="AN41" s="154">
        <f t="shared" si="76"/>
        <v>35.557424315789476</v>
      </c>
      <c r="AO41" s="154">
        <f t="shared" si="76"/>
        <v>38.320514315789481</v>
      </c>
      <c r="AP41" s="154">
        <f t="shared" si="76"/>
        <v>35.096909315789482</v>
      </c>
      <c r="AQ41" s="154">
        <f t="shared" si="76"/>
        <v>33.439055315789481</v>
      </c>
      <c r="AR41" s="154"/>
      <c r="AS41" s="155"/>
      <c r="AU41" s="713"/>
      <c r="AV41" s="81" t="s">
        <v>48</v>
      </c>
      <c r="AW41" s="154"/>
      <c r="AX41" s="154">
        <f t="shared" si="77"/>
        <v>63.514217138888888</v>
      </c>
      <c r="AY41" s="154">
        <f t="shared" si="77"/>
        <v>60.95658913888888</v>
      </c>
      <c r="AZ41" s="154">
        <f t="shared" si="77"/>
        <v>57.894166138888885</v>
      </c>
      <c r="BA41" s="154">
        <f t="shared" si="77"/>
        <v>18.553809138888887</v>
      </c>
      <c r="BB41" s="154">
        <f t="shared" si="77"/>
        <v>64.591113138888886</v>
      </c>
      <c r="BC41" s="154">
        <f t="shared" si="77"/>
        <v>72.230344138888881</v>
      </c>
      <c r="BD41" s="154">
        <f t="shared" si="77"/>
        <v>34.67359613888889</v>
      </c>
      <c r="BE41" s="154">
        <f t="shared" si="77"/>
        <v>62.033485138888885</v>
      </c>
      <c r="BF41" s="154">
        <f t="shared" si="77"/>
        <v>45.206985138888882</v>
      </c>
      <c r="BG41" s="154">
        <f t="shared" si="77"/>
        <v>41.740726138888888</v>
      </c>
      <c r="BH41" s="155"/>
      <c r="BJ41" s="713"/>
      <c r="BK41" s="81" t="s">
        <v>48</v>
      </c>
      <c r="BL41" s="154"/>
      <c r="BM41" s="154">
        <f t="shared" ref="BM41:BV43" si="84">BM17*$BW$26+$BW$27</f>
        <v>44.507454083333336</v>
      </c>
      <c r="BN41" s="154">
        <f t="shared" si="84"/>
        <v>44.160381083333334</v>
      </c>
      <c r="BO41" s="154">
        <f t="shared" si="84"/>
        <v>52.143060083333332</v>
      </c>
      <c r="BP41" s="154">
        <f t="shared" si="84"/>
        <v>46.498557083333331</v>
      </c>
      <c r="BQ41" s="154">
        <f t="shared" si="84"/>
        <v>43.13742908333333</v>
      </c>
      <c r="BR41" s="154">
        <f t="shared" si="84"/>
        <v>47.320572083333332</v>
      </c>
      <c r="BS41" s="154">
        <f t="shared" si="84"/>
        <v>46.31588708333333</v>
      </c>
      <c r="BT41" s="154">
        <f t="shared" si="84"/>
        <v>40.178175083333336</v>
      </c>
      <c r="BU41" s="154">
        <f t="shared" si="84"/>
        <v>51.942123083333335</v>
      </c>
      <c r="BV41" s="154">
        <f t="shared" si="84"/>
        <v>42.863424083333328</v>
      </c>
      <c r="BW41" s="155"/>
      <c r="BY41" s="713"/>
      <c r="BZ41" s="81" t="s">
        <v>48</v>
      </c>
      <c r="CA41" s="154"/>
      <c r="CB41" s="154">
        <f t="shared" ref="CB41:CK43" si="85">CB17*$CL$26+$CL$27</f>
        <v>49.569559104166672</v>
      </c>
      <c r="CC41" s="154">
        <f t="shared" si="85"/>
        <v>48.403105104166656</v>
      </c>
      <c r="CD41" s="154">
        <f t="shared" si="85"/>
        <v>49.50475610416666</v>
      </c>
      <c r="CE41" s="154">
        <f t="shared" si="85"/>
        <v>46.329409104166658</v>
      </c>
      <c r="CF41" s="154">
        <f t="shared" si="85"/>
        <v>46.199803104166662</v>
      </c>
      <c r="CG41" s="154">
        <f t="shared" si="85"/>
        <v>55.056213104166673</v>
      </c>
      <c r="CH41" s="154">
        <f t="shared" si="85"/>
        <v>50.887220104166673</v>
      </c>
      <c r="CI41" s="154">
        <f t="shared" si="85"/>
        <v>51.837664104166663</v>
      </c>
      <c r="CJ41" s="154">
        <f t="shared" si="85"/>
        <v>49.439953104166662</v>
      </c>
      <c r="CK41" s="154">
        <f t="shared" si="85"/>
        <v>46.588621104166663</v>
      </c>
      <c r="CL41" s="155"/>
      <c r="CN41" s="713"/>
      <c r="CO41" s="81" t="s">
        <v>48</v>
      </c>
      <c r="CP41" s="154"/>
      <c r="CQ41" s="154">
        <f t="shared" ref="CQ41:CY43" si="86">CQ17*$DA$26+$DA$27</f>
        <v>42.693198782608704</v>
      </c>
      <c r="CR41" s="154">
        <f t="shared" si="86"/>
        <v>35.689374782608702</v>
      </c>
      <c r="CS41" s="154">
        <f t="shared" si="86"/>
        <v>37.750626782608698</v>
      </c>
      <c r="CT41" s="154">
        <f t="shared" si="86"/>
        <v>36.442950782608698</v>
      </c>
      <c r="CU41" s="154">
        <f t="shared" si="86"/>
        <v>35.268258782608697</v>
      </c>
      <c r="CV41" s="154">
        <f t="shared" si="86"/>
        <v>32.985366782608693</v>
      </c>
      <c r="CW41" s="154">
        <f t="shared" si="86"/>
        <v>39.678894782608701</v>
      </c>
      <c r="CX41" s="154">
        <f t="shared" si="86"/>
        <v>41.075226782608695</v>
      </c>
      <c r="CY41" s="154">
        <f t="shared" si="86"/>
        <v>45.796158782608693</v>
      </c>
      <c r="CZ41" s="154"/>
      <c r="DA41" s="155"/>
      <c r="DC41" s="699"/>
      <c r="DD41" s="122" t="s">
        <v>48</v>
      </c>
      <c r="DE41" s="154"/>
      <c r="DF41" s="154">
        <f t="shared" ref="DF41:DN43" si="87">DF17*$DP$26+$DP$27</f>
        <v>29.323799611111106</v>
      </c>
      <c r="DG41" s="154">
        <f t="shared" si="87"/>
        <v>33.053031611111109</v>
      </c>
      <c r="DH41" s="154">
        <f t="shared" si="87"/>
        <v>32.604806611111101</v>
      </c>
      <c r="DI41" s="154">
        <f t="shared" si="87"/>
        <v>36.065103611111105</v>
      </c>
      <c r="DJ41" s="154">
        <f t="shared" si="87"/>
        <v>32.586877611111106</v>
      </c>
      <c r="DK41" s="154">
        <f t="shared" si="87"/>
        <v>33.913623611111113</v>
      </c>
      <c r="DL41" s="154">
        <f t="shared" si="87"/>
        <v>-1.8726603888888897</v>
      </c>
      <c r="DM41" s="154">
        <f t="shared" si="87"/>
        <v>35.903742611111106</v>
      </c>
      <c r="DN41" s="154">
        <f t="shared" si="87"/>
        <v>32.06693661111111</v>
      </c>
      <c r="DO41" s="154">
        <f>DO17*$DP$26+$DP$27</f>
        <v>32.461374611111104</v>
      </c>
      <c r="DP41" s="155"/>
      <c r="DR41" s="699"/>
      <c r="DS41" s="122" t="s">
        <v>48</v>
      </c>
      <c r="DT41" s="154"/>
      <c r="DU41" s="154">
        <f t="shared" ref="DU41:ED43" si="88">DU17*$EE$26+$EE$27</f>
        <v>33.840488000000001</v>
      </c>
      <c r="DV41" s="154">
        <f t="shared" si="88"/>
        <v>31.593223999999996</v>
      </c>
      <c r="DW41" s="154">
        <f t="shared" si="88"/>
        <v>28.596872000000001</v>
      </c>
      <c r="DX41" s="154">
        <f t="shared" si="88"/>
        <v>32.536520000000003</v>
      </c>
      <c r="DY41" s="154">
        <f t="shared" si="88"/>
        <v>37.794008000000005</v>
      </c>
      <c r="DZ41" s="154">
        <f t="shared" si="88"/>
        <v>29.096264000000001</v>
      </c>
      <c r="EA41" s="154">
        <f t="shared" si="88"/>
        <v>33.160760000000003</v>
      </c>
      <c r="EB41" s="154">
        <f t="shared" si="88"/>
        <v>31.870663999999994</v>
      </c>
      <c r="EC41" s="154">
        <f t="shared" si="88"/>
        <v>30.788647999999998</v>
      </c>
      <c r="ED41" s="154">
        <f t="shared" si="88"/>
        <v>35.491256</v>
      </c>
      <c r="EE41" s="155"/>
      <c r="EG41" s="699"/>
      <c r="EH41" s="122" t="s">
        <v>48</v>
      </c>
      <c r="EI41" s="154"/>
      <c r="EJ41" s="154">
        <f t="shared" ref="EJ41:ES43" si="89">EJ17*$ET$26+$ET$27</f>
        <v>24.649262777777782</v>
      </c>
      <c r="EK41" s="154">
        <f t="shared" si="89"/>
        <v>26.072446777777774</v>
      </c>
      <c r="EL41" s="154">
        <f t="shared" si="89"/>
        <v>27.266904777777778</v>
      </c>
      <c r="EM41" s="154">
        <f t="shared" si="89"/>
        <v>30.189514777777777</v>
      </c>
      <c r="EN41" s="154">
        <f t="shared" si="89"/>
        <v>27.20336977777778</v>
      </c>
      <c r="EO41" s="154">
        <f t="shared" si="89"/>
        <v>31.206074777777779</v>
      </c>
      <c r="EP41" s="154">
        <f t="shared" si="89"/>
        <v>30.253049777777775</v>
      </c>
      <c r="EQ41" s="154">
        <f t="shared" si="89"/>
        <v>21.421684777777777</v>
      </c>
      <c r="ER41" s="154">
        <f t="shared" si="89"/>
        <v>31.028176777777777</v>
      </c>
      <c r="ES41" s="154">
        <f t="shared" si="89"/>
        <v>29.490629777777777</v>
      </c>
      <c r="ET41" s="155"/>
    </row>
    <row r="42" spans="2:150" x14ac:dyDescent="0.25">
      <c r="B42" s="699"/>
      <c r="C42" s="122" t="s">
        <v>49</v>
      </c>
      <c r="D42" s="154"/>
      <c r="E42" s="154">
        <f t="shared" si="72"/>
        <v>33.019509347826087</v>
      </c>
      <c r="F42" s="154">
        <f t="shared" si="72"/>
        <v>24.794841347826093</v>
      </c>
      <c r="G42" s="154">
        <f t="shared" si="72"/>
        <v>19.088400347826095</v>
      </c>
      <c r="H42" s="154">
        <f t="shared" si="72"/>
        <v>19.019091347826091</v>
      </c>
      <c r="I42" s="154">
        <f t="shared" si="72"/>
        <v>26.966523347826087</v>
      </c>
      <c r="J42" s="154"/>
      <c r="K42" s="154"/>
      <c r="L42" s="154"/>
      <c r="M42" s="154"/>
      <c r="N42" s="154"/>
      <c r="O42" s="155"/>
      <c r="Q42" s="713"/>
      <c r="R42" s="81" t="s">
        <v>49</v>
      </c>
      <c r="S42" s="154"/>
      <c r="T42" s="154">
        <f t="shared" si="75"/>
        <v>32.416629999999998</v>
      </c>
      <c r="U42" s="154">
        <f t="shared" si="75"/>
        <v>44.636195000000001</v>
      </c>
      <c r="V42" s="154">
        <f t="shared" si="75"/>
        <v>29.883644999999998</v>
      </c>
      <c r="W42" s="154">
        <f t="shared" si="75"/>
        <v>35.840334999999996</v>
      </c>
      <c r="X42" s="154">
        <f t="shared" si="75"/>
        <v>32.778484999999996</v>
      </c>
      <c r="Y42" s="154">
        <f t="shared" si="75"/>
        <v>31.999105000000004</v>
      </c>
      <c r="Z42" s="154">
        <f t="shared" si="75"/>
        <v>21.783660000000005</v>
      </c>
      <c r="AA42" s="154"/>
      <c r="AB42" s="154"/>
      <c r="AC42" s="154"/>
      <c r="AD42" s="155"/>
      <c r="AF42" s="713"/>
      <c r="AG42" s="81" t="s">
        <v>49</v>
      </c>
      <c r="AH42" s="154"/>
      <c r="AI42" s="154">
        <f t="shared" si="76"/>
        <v>42.864262315789475</v>
      </c>
      <c r="AJ42" s="154">
        <f t="shared" si="76"/>
        <v>43.201973315789473</v>
      </c>
      <c r="AK42" s="154">
        <f t="shared" si="76"/>
        <v>36.816165315789476</v>
      </c>
      <c r="AL42" s="154">
        <f t="shared" si="76"/>
        <v>28.035679315789473</v>
      </c>
      <c r="AM42" s="154">
        <f t="shared" si="76"/>
        <v>26.408526315789473</v>
      </c>
      <c r="AN42" s="154"/>
      <c r="AO42" s="154"/>
      <c r="AP42" s="154"/>
      <c r="AQ42" s="154"/>
      <c r="AR42" s="154"/>
      <c r="AS42" s="155"/>
      <c r="AU42" s="713"/>
      <c r="AV42" s="81" t="s">
        <v>49</v>
      </c>
      <c r="AW42" s="154"/>
      <c r="AX42" s="154">
        <f t="shared" si="77"/>
        <v>51.567402138888887</v>
      </c>
      <c r="AY42" s="154">
        <f t="shared" si="77"/>
        <v>52.644298138888885</v>
      </c>
      <c r="AZ42" s="154">
        <f t="shared" si="77"/>
        <v>45.543515138888885</v>
      </c>
      <c r="BA42" s="154">
        <f t="shared" si="77"/>
        <v>35.716839138888886</v>
      </c>
      <c r="BB42" s="154">
        <f t="shared" si="77"/>
        <v>36.928347138888881</v>
      </c>
      <c r="BC42" s="154">
        <f t="shared" si="77"/>
        <v>39.990770138888884</v>
      </c>
      <c r="BD42" s="154">
        <f t="shared" si="77"/>
        <v>31.745785138888891</v>
      </c>
      <c r="BE42" s="154">
        <f t="shared" si="77"/>
        <v>41.370543138888891</v>
      </c>
      <c r="BF42" s="154">
        <f t="shared" si="77"/>
        <v>44.365660138888884</v>
      </c>
      <c r="BG42" s="154">
        <f t="shared" si="77"/>
        <v>29.625646138888889</v>
      </c>
      <c r="BH42" s="155"/>
      <c r="BJ42" s="713"/>
      <c r="BK42" s="81" t="s">
        <v>49</v>
      </c>
      <c r="BL42" s="154"/>
      <c r="BM42" s="154">
        <f t="shared" si="84"/>
        <v>41.931807083333332</v>
      </c>
      <c r="BN42" s="154">
        <f t="shared" si="84"/>
        <v>40.744452083333329</v>
      </c>
      <c r="BO42" s="154">
        <f t="shared" si="84"/>
        <v>44.562255083333326</v>
      </c>
      <c r="BP42" s="154">
        <f t="shared" si="84"/>
        <v>41.475132083333328</v>
      </c>
      <c r="BQ42" s="154">
        <f t="shared" si="84"/>
        <v>37.036251083333333</v>
      </c>
      <c r="BR42" s="154">
        <f t="shared" si="84"/>
        <v>45.439071083333332</v>
      </c>
      <c r="BS42" s="154">
        <f t="shared" si="84"/>
        <v>44.964129083333333</v>
      </c>
      <c r="BT42" s="154">
        <f t="shared" si="84"/>
        <v>48.855000083333337</v>
      </c>
      <c r="BU42" s="154">
        <f t="shared" si="84"/>
        <v>43.557570083333331</v>
      </c>
      <c r="BV42" s="154">
        <f t="shared" si="84"/>
        <v>47.521509083333328</v>
      </c>
      <c r="BW42" s="155"/>
      <c r="BY42" s="713"/>
      <c r="BZ42" s="81" t="s">
        <v>49</v>
      </c>
      <c r="CA42" s="154"/>
      <c r="CB42" s="154">
        <f t="shared" si="85"/>
        <v>48.856726104166654</v>
      </c>
      <c r="CC42" s="154">
        <f t="shared" si="85"/>
        <v>39.589897104166667</v>
      </c>
      <c r="CD42" s="154">
        <f t="shared" si="85"/>
        <v>49.547958104166668</v>
      </c>
      <c r="CE42" s="154">
        <f t="shared" si="85"/>
        <v>52.572098104166656</v>
      </c>
      <c r="CF42" s="154"/>
      <c r="CG42" s="154"/>
      <c r="CH42" s="154"/>
      <c r="CI42" s="154"/>
      <c r="CJ42" s="154"/>
      <c r="CK42" s="154"/>
      <c r="CL42" s="155"/>
      <c r="CN42" s="713"/>
      <c r="CO42" s="81" t="s">
        <v>49</v>
      </c>
      <c r="CP42" s="154"/>
      <c r="CQ42" s="154">
        <f t="shared" si="86"/>
        <v>37.528986782608698</v>
      </c>
      <c r="CR42" s="154">
        <f t="shared" si="86"/>
        <v>34.9801267826087</v>
      </c>
      <c r="CS42" s="154">
        <f t="shared" si="86"/>
        <v>35.135274782608697</v>
      </c>
      <c r="CT42" s="154">
        <f t="shared" si="86"/>
        <v>42.804018782608701</v>
      </c>
      <c r="CU42" s="154">
        <f t="shared" si="86"/>
        <v>32.586414782608699</v>
      </c>
      <c r="CV42" s="154">
        <f t="shared" si="86"/>
        <v>29.527782782608696</v>
      </c>
      <c r="CW42" s="154"/>
      <c r="CX42" s="154"/>
      <c r="CY42" s="154"/>
      <c r="CZ42" s="154"/>
      <c r="DA42" s="155"/>
      <c r="DC42" s="699"/>
      <c r="DD42" s="122" t="s">
        <v>49</v>
      </c>
      <c r="DE42" s="154"/>
      <c r="DF42" s="154">
        <f t="shared" si="87"/>
        <v>38.234512611111107</v>
      </c>
      <c r="DG42" s="154">
        <f t="shared" si="87"/>
        <v>43.057413611111109</v>
      </c>
      <c r="DH42" s="154">
        <f t="shared" si="87"/>
        <v>42.125105611111103</v>
      </c>
      <c r="DI42" s="154">
        <f t="shared" si="87"/>
        <v>39.686761611111102</v>
      </c>
      <c r="DJ42" s="154">
        <f t="shared" si="87"/>
        <v>40.834217611111107</v>
      </c>
      <c r="DK42" s="154">
        <f t="shared" si="87"/>
        <v>39.095104611111104</v>
      </c>
      <c r="DL42" s="154">
        <f t="shared" si="87"/>
        <v>37.373920611111103</v>
      </c>
      <c r="DM42" s="154">
        <f t="shared" si="87"/>
        <v>34.738357611111105</v>
      </c>
      <c r="DN42" s="154">
        <f t="shared" si="87"/>
        <v>33.196463611111113</v>
      </c>
      <c r="DO42" s="154">
        <f>DO18*$DP$26+$DP$27</f>
        <v>34.917647611111107</v>
      </c>
      <c r="DP42" s="155"/>
      <c r="DR42" s="699"/>
      <c r="DS42" s="122" t="s">
        <v>49</v>
      </c>
      <c r="DT42" s="154"/>
      <c r="DU42" s="154">
        <f t="shared" si="88"/>
        <v>31.412887999999999</v>
      </c>
      <c r="DV42" s="154">
        <f t="shared" si="88"/>
        <v>27.112568</v>
      </c>
      <c r="DW42" s="154">
        <f t="shared" si="88"/>
        <v>28.319431999999999</v>
      </c>
      <c r="DX42" s="154">
        <f t="shared" si="88"/>
        <v>30.303127999999997</v>
      </c>
      <c r="DY42" s="154">
        <f t="shared" si="88"/>
        <v>27.972631999999997</v>
      </c>
      <c r="DZ42" s="154">
        <f t="shared" si="88"/>
        <v>27.778423999999998</v>
      </c>
      <c r="EA42" s="154">
        <f t="shared" si="88"/>
        <v>33.188504000000002</v>
      </c>
      <c r="EB42" s="154">
        <f t="shared" si="88"/>
        <v>28.139095999999995</v>
      </c>
      <c r="EC42" s="154">
        <f t="shared" si="88"/>
        <v>28.416535999999997</v>
      </c>
      <c r="ED42" s="154">
        <f t="shared" si="88"/>
        <v>34.173416000000003</v>
      </c>
      <c r="EE42" s="155"/>
      <c r="EG42" s="699"/>
      <c r="EH42" s="122" t="s">
        <v>49</v>
      </c>
      <c r="EI42" s="154"/>
      <c r="EJ42" s="154">
        <f t="shared" si="89"/>
        <v>29.87183977777778</v>
      </c>
      <c r="EK42" s="154">
        <f t="shared" si="89"/>
        <v>27.139834777777775</v>
      </c>
      <c r="EL42" s="154">
        <f t="shared" si="89"/>
        <v>30.519896777777774</v>
      </c>
      <c r="EM42" s="154">
        <f t="shared" si="89"/>
        <v>32.10827177777778</v>
      </c>
      <c r="EN42" s="154">
        <f t="shared" si="89"/>
        <v>29.998909777777776</v>
      </c>
      <c r="EO42" s="154">
        <f t="shared" si="89"/>
        <v>34.675085777777781</v>
      </c>
      <c r="EP42" s="154">
        <f t="shared" si="89"/>
        <v>29.16024777777778</v>
      </c>
      <c r="EQ42" s="154">
        <f t="shared" si="89"/>
        <v>33.201073777777786</v>
      </c>
      <c r="ER42" s="154">
        <f t="shared" si="89"/>
        <v>31.333144777777775</v>
      </c>
      <c r="ES42" s="154">
        <f t="shared" si="89"/>
        <v>29.376266777777776</v>
      </c>
      <c r="ET42" s="155"/>
    </row>
    <row r="43" spans="2:150" x14ac:dyDescent="0.25">
      <c r="B43" s="699"/>
      <c r="C43" s="122" t="s">
        <v>50</v>
      </c>
      <c r="D43" s="154"/>
      <c r="E43" s="154">
        <f t="shared" si="72"/>
        <v>33.458466347826089</v>
      </c>
      <c r="F43" s="154">
        <f t="shared" si="72"/>
        <v>26.065506347826098</v>
      </c>
      <c r="G43" s="154">
        <f t="shared" si="72"/>
        <v>21.167670347826089</v>
      </c>
      <c r="H43" s="154">
        <f t="shared" si="72"/>
        <v>22.76177734782609</v>
      </c>
      <c r="I43" s="154">
        <f t="shared" si="72"/>
        <v>28.029261347826097</v>
      </c>
      <c r="J43" s="154"/>
      <c r="K43" s="154"/>
      <c r="L43" s="154"/>
      <c r="M43" s="154"/>
      <c r="N43" s="154"/>
      <c r="O43" s="155"/>
      <c r="Q43" s="713"/>
      <c r="R43" s="81" t="s">
        <v>50</v>
      </c>
      <c r="S43" s="154"/>
      <c r="T43" s="154">
        <f t="shared" si="75"/>
        <v>35.283634999999997</v>
      </c>
      <c r="U43" s="154">
        <f t="shared" si="75"/>
        <v>48.366085000000005</v>
      </c>
      <c r="V43" s="154">
        <f t="shared" si="75"/>
        <v>32.138279999999995</v>
      </c>
      <c r="W43" s="154">
        <f t="shared" si="75"/>
        <v>36.257859999999994</v>
      </c>
      <c r="X43" s="154">
        <f t="shared" si="75"/>
        <v>33.474359999999997</v>
      </c>
      <c r="Y43" s="154">
        <f t="shared" si="75"/>
        <v>31.331065000000006</v>
      </c>
      <c r="Z43" s="154">
        <f t="shared" si="75"/>
        <v>21.644485</v>
      </c>
      <c r="AA43" s="154"/>
      <c r="AB43" s="154"/>
      <c r="AC43" s="154"/>
      <c r="AD43" s="155"/>
      <c r="AF43" s="713"/>
      <c r="AG43" s="81" t="s">
        <v>50</v>
      </c>
      <c r="AH43" s="154"/>
      <c r="AI43" s="154">
        <f t="shared" si="76"/>
        <v>40.377481315789474</v>
      </c>
      <c r="AJ43" s="154">
        <f t="shared" si="76"/>
        <v>41.145006315789473</v>
      </c>
      <c r="AK43" s="154">
        <f t="shared" si="76"/>
        <v>34.912703315789479</v>
      </c>
      <c r="AL43" s="154">
        <f t="shared" si="76"/>
        <v>25.518197315789479</v>
      </c>
      <c r="AM43" s="154">
        <f t="shared" si="76"/>
        <v>29.724234315789481</v>
      </c>
      <c r="AN43" s="154"/>
      <c r="AO43" s="154"/>
      <c r="AP43" s="154"/>
      <c r="AQ43" s="154"/>
      <c r="AR43" s="154"/>
      <c r="AS43" s="155"/>
      <c r="AU43" s="713"/>
      <c r="AV43" s="81" t="s">
        <v>50</v>
      </c>
      <c r="AW43" s="154"/>
      <c r="AX43" s="154">
        <f t="shared" si="77"/>
        <v>54.831743138888882</v>
      </c>
      <c r="AY43" s="154">
        <f t="shared" si="77"/>
        <v>54.495213138888886</v>
      </c>
      <c r="AZ43" s="154">
        <f t="shared" si="77"/>
        <v>49.615528138888884</v>
      </c>
      <c r="BA43" s="154">
        <f t="shared" si="77"/>
        <v>40.899401138888891</v>
      </c>
      <c r="BB43" s="154">
        <f t="shared" si="77"/>
        <v>39.250404138888889</v>
      </c>
      <c r="BC43" s="154">
        <f t="shared" si="77"/>
        <v>43.019540138888885</v>
      </c>
      <c r="BD43" s="154">
        <f t="shared" si="77"/>
        <v>32.452498138888885</v>
      </c>
      <c r="BE43" s="154">
        <f t="shared" si="77"/>
        <v>42.582051138888893</v>
      </c>
      <c r="BF43" s="154">
        <f t="shared" si="77"/>
        <v>47.663654138888887</v>
      </c>
      <c r="BG43" s="154">
        <f t="shared" si="77"/>
        <v>33.798618138888884</v>
      </c>
      <c r="BH43" s="155"/>
      <c r="BJ43" s="713"/>
      <c r="BK43" s="81" t="s">
        <v>50</v>
      </c>
      <c r="BL43" s="154"/>
      <c r="BM43" s="154">
        <f t="shared" si="84"/>
        <v>43.027827083333328</v>
      </c>
      <c r="BN43" s="154">
        <f t="shared" si="84"/>
        <v>43.37490008333333</v>
      </c>
      <c r="BO43" s="154">
        <f t="shared" si="84"/>
        <v>44.85452708333333</v>
      </c>
      <c r="BP43" s="154">
        <f t="shared" si="84"/>
        <v>43.119162083333336</v>
      </c>
      <c r="BQ43" s="154">
        <f t="shared" si="84"/>
        <v>39.356160083333336</v>
      </c>
      <c r="BR43" s="154">
        <f t="shared" si="84"/>
        <v>44.799726083333333</v>
      </c>
      <c r="BS43" s="154">
        <f t="shared" si="84"/>
        <v>45.219867083333327</v>
      </c>
      <c r="BT43" s="154">
        <f t="shared" si="84"/>
        <v>48.873267083333332</v>
      </c>
      <c r="BU43" s="154">
        <f t="shared" si="84"/>
        <v>42.169278083333332</v>
      </c>
      <c r="BV43" s="154">
        <f t="shared" si="84"/>
        <v>45.987081083333337</v>
      </c>
      <c r="BW43" s="155"/>
      <c r="BY43" s="713"/>
      <c r="BZ43" s="81" t="s">
        <v>50</v>
      </c>
      <c r="CA43" s="154"/>
      <c r="CB43" s="154">
        <f t="shared" si="85"/>
        <v>49.461554104166666</v>
      </c>
      <c r="CC43" s="154">
        <f t="shared" si="85"/>
        <v>42.138815104166667</v>
      </c>
      <c r="CD43" s="154">
        <f t="shared" si="85"/>
        <v>49.850372104166667</v>
      </c>
      <c r="CE43" s="154">
        <f t="shared" si="85"/>
        <v>54.062567104166661</v>
      </c>
      <c r="CF43" s="154"/>
      <c r="CG43" s="154"/>
      <c r="CH43" s="154"/>
      <c r="CI43" s="154"/>
      <c r="CJ43" s="154"/>
      <c r="CK43" s="154"/>
      <c r="CL43" s="155"/>
      <c r="CN43" s="713"/>
      <c r="CO43" s="81" t="s">
        <v>50</v>
      </c>
      <c r="CP43" s="154"/>
      <c r="CQ43" s="154">
        <f t="shared" si="86"/>
        <v>37.905774782608695</v>
      </c>
      <c r="CR43" s="154">
        <f t="shared" si="86"/>
        <v>35.622882782608698</v>
      </c>
      <c r="CS43" s="154">
        <f t="shared" si="86"/>
        <v>36.176982782608697</v>
      </c>
      <c r="CT43" s="154">
        <f t="shared" si="86"/>
        <v>43.823562782608697</v>
      </c>
      <c r="CU43" s="154">
        <f t="shared" si="86"/>
        <v>33.672450782608692</v>
      </c>
      <c r="CV43" s="154">
        <f t="shared" si="86"/>
        <v>31.256574782608695</v>
      </c>
      <c r="CW43" s="154"/>
      <c r="CX43" s="154"/>
      <c r="CY43" s="154"/>
      <c r="CZ43" s="154"/>
      <c r="DA43" s="155"/>
      <c r="DC43" s="699"/>
      <c r="DD43" s="122" t="s">
        <v>50</v>
      </c>
      <c r="DE43" s="154"/>
      <c r="DF43" s="154">
        <f t="shared" si="87"/>
        <v>37.248417611111108</v>
      </c>
      <c r="DG43" s="154">
        <f t="shared" si="87"/>
        <v>42.573330611111103</v>
      </c>
      <c r="DH43" s="154">
        <f t="shared" si="87"/>
        <v>41.927886611111106</v>
      </c>
      <c r="DI43" s="154">
        <f t="shared" si="87"/>
        <v>39.005459611111107</v>
      </c>
      <c r="DJ43" s="154">
        <f t="shared" si="87"/>
        <v>40.260489611111105</v>
      </c>
      <c r="DK43" s="154">
        <f t="shared" si="87"/>
        <v>39.274394611111113</v>
      </c>
      <c r="DL43" s="154">
        <f t="shared" si="87"/>
        <v>36.76433461111111</v>
      </c>
      <c r="DM43" s="154">
        <f t="shared" si="87"/>
        <v>34.415635611111114</v>
      </c>
      <c r="DN43" s="154">
        <f t="shared" si="87"/>
        <v>33.626759611111112</v>
      </c>
      <c r="DO43" s="154">
        <f>DO19*$DP$26+$DP$27</f>
        <v>35.43758861111111</v>
      </c>
      <c r="DP43" s="155"/>
      <c r="DR43" s="699"/>
      <c r="DS43" s="122" t="s">
        <v>50</v>
      </c>
      <c r="DT43" s="154"/>
      <c r="DU43" s="154">
        <f t="shared" si="88"/>
        <v>31.315783999999997</v>
      </c>
      <c r="DV43" s="154">
        <f t="shared" si="88"/>
        <v>27.070951999999998</v>
      </c>
      <c r="DW43" s="154">
        <f t="shared" si="88"/>
        <v>28.083607999999995</v>
      </c>
      <c r="DX43" s="154">
        <f t="shared" si="88"/>
        <v>30.427975999999997</v>
      </c>
      <c r="DY43" s="154">
        <f t="shared" si="88"/>
        <v>27.917143999999997</v>
      </c>
      <c r="DZ43" s="154">
        <f t="shared" si="88"/>
        <v>27.764552000000002</v>
      </c>
      <c r="EA43" s="154">
        <f t="shared" si="88"/>
        <v>31.967767999999996</v>
      </c>
      <c r="EB43" s="154">
        <f t="shared" si="88"/>
        <v>28.028119999999994</v>
      </c>
      <c r="EC43" s="154">
        <f t="shared" si="88"/>
        <v>28.9298</v>
      </c>
      <c r="ED43" s="154">
        <f t="shared" si="88"/>
        <v>33.784999999999997</v>
      </c>
      <c r="EE43" s="155"/>
      <c r="EG43" s="699"/>
      <c r="EH43" s="122" t="s">
        <v>50</v>
      </c>
      <c r="EI43" s="154"/>
      <c r="EJ43" s="154">
        <f t="shared" si="89"/>
        <v>31.968494777777781</v>
      </c>
      <c r="EK43" s="154">
        <f t="shared" si="89"/>
        <v>28.130980777777779</v>
      </c>
      <c r="EL43" s="154">
        <f t="shared" si="89"/>
        <v>31.167953777777779</v>
      </c>
      <c r="EM43" s="154">
        <f t="shared" si="89"/>
        <v>33.137538777777777</v>
      </c>
      <c r="EN43" s="154">
        <f t="shared" si="89"/>
        <v>29.884546777777778</v>
      </c>
      <c r="EO43" s="154">
        <f t="shared" si="89"/>
        <v>35.335849777777781</v>
      </c>
      <c r="EP43" s="154">
        <f t="shared" si="89"/>
        <v>28.995056777777773</v>
      </c>
      <c r="EQ43" s="154">
        <f t="shared" si="89"/>
        <v>33.874544777777785</v>
      </c>
      <c r="ER43" s="154">
        <f t="shared" si="89"/>
        <v>31.511042777777778</v>
      </c>
      <c r="ES43" s="154">
        <f t="shared" si="89"/>
        <v>30.367412777777776</v>
      </c>
      <c r="ET43" s="155"/>
    </row>
    <row r="44" spans="2:150" ht="15.75" thickBot="1" x14ac:dyDescent="0.3">
      <c r="B44" s="700"/>
      <c r="C44" s="123" t="s">
        <v>51</v>
      </c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7"/>
      <c r="Q44" s="714"/>
      <c r="R44" s="201" t="s">
        <v>51</v>
      </c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7"/>
      <c r="AF44" s="714"/>
      <c r="AG44" s="201" t="s">
        <v>51</v>
      </c>
      <c r="AH44" s="156"/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7"/>
      <c r="AU44" s="714"/>
      <c r="AV44" s="201" t="s">
        <v>51</v>
      </c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7"/>
      <c r="BJ44" s="714"/>
      <c r="BK44" s="201" t="s">
        <v>51</v>
      </c>
      <c r="BL44" s="156"/>
      <c r="BM44" s="156"/>
      <c r="BN44" s="156"/>
      <c r="BO44" s="156"/>
      <c r="BP44" s="156"/>
      <c r="BQ44" s="156"/>
      <c r="BR44" s="156"/>
      <c r="BS44" s="156"/>
      <c r="BT44" s="156"/>
      <c r="BU44" s="156"/>
      <c r="BV44" s="156"/>
      <c r="BW44" s="157"/>
      <c r="BY44" s="714"/>
      <c r="BZ44" s="201" t="s">
        <v>51</v>
      </c>
      <c r="CA44" s="156"/>
      <c r="CB44" s="156"/>
      <c r="CC44" s="156"/>
      <c r="CD44" s="156"/>
      <c r="CE44" s="156"/>
      <c r="CF44" s="156"/>
      <c r="CG44" s="156"/>
      <c r="CH44" s="156"/>
      <c r="CI44" s="156"/>
      <c r="CJ44" s="156"/>
      <c r="CK44" s="156"/>
      <c r="CL44" s="157"/>
      <c r="CN44" s="714"/>
      <c r="CO44" s="201" t="s">
        <v>51</v>
      </c>
      <c r="CP44" s="156"/>
      <c r="CQ44" s="156"/>
      <c r="CR44" s="156"/>
      <c r="CS44" s="156"/>
      <c r="CT44" s="156"/>
      <c r="CU44" s="156"/>
      <c r="CV44" s="156"/>
      <c r="CW44" s="156"/>
      <c r="CX44" s="156"/>
      <c r="CY44" s="156"/>
      <c r="CZ44" s="156"/>
      <c r="DA44" s="157"/>
      <c r="DC44" s="700"/>
      <c r="DD44" s="123" t="s">
        <v>51</v>
      </c>
      <c r="DE44" s="156"/>
      <c r="DF44" s="156"/>
      <c r="DG44" s="156"/>
      <c r="DH44" s="156"/>
      <c r="DI44" s="156"/>
      <c r="DJ44" s="156"/>
      <c r="DK44" s="156"/>
      <c r="DL44" s="156"/>
      <c r="DM44" s="156"/>
      <c r="DN44" s="156"/>
      <c r="DO44" s="156"/>
      <c r="DP44" s="157"/>
      <c r="DR44" s="700"/>
      <c r="DS44" s="123" t="s">
        <v>51</v>
      </c>
      <c r="DT44" s="156"/>
      <c r="DU44" s="156"/>
      <c r="DV44" s="156"/>
      <c r="DW44" s="156"/>
      <c r="DX44" s="156"/>
      <c r="DY44" s="156"/>
      <c r="DZ44" s="156"/>
      <c r="EA44" s="156"/>
      <c r="EB44" s="156"/>
      <c r="EC44" s="156"/>
      <c r="ED44" s="156"/>
      <c r="EE44" s="157"/>
      <c r="EG44" s="700"/>
      <c r="EH44" s="123" t="s">
        <v>51</v>
      </c>
      <c r="EI44" s="156"/>
      <c r="EJ44" s="156"/>
      <c r="EK44" s="156"/>
      <c r="EL44" s="156"/>
      <c r="EM44" s="156"/>
      <c r="EN44" s="156"/>
      <c r="EO44" s="156"/>
      <c r="EP44" s="156"/>
      <c r="EQ44" s="156"/>
      <c r="ER44" s="156"/>
      <c r="ES44" s="156"/>
      <c r="ET44" s="157"/>
    </row>
    <row r="45" spans="2:150" ht="25.5" x14ac:dyDescent="0.25">
      <c r="B45" s="672" t="s">
        <v>122</v>
      </c>
      <c r="C45" s="286" t="s">
        <v>53</v>
      </c>
      <c r="D45" s="283" t="s">
        <v>8</v>
      </c>
      <c r="E45" s="283" t="s">
        <v>54</v>
      </c>
      <c r="F45" s="284" t="s">
        <v>173</v>
      </c>
      <c r="G45" s="284" t="s">
        <v>174</v>
      </c>
      <c r="H45" s="285" t="s">
        <v>58</v>
      </c>
      <c r="Q45" s="679" t="s">
        <v>122</v>
      </c>
      <c r="R45" s="286" t="s">
        <v>53</v>
      </c>
      <c r="S45" s="283" t="s">
        <v>8</v>
      </c>
      <c r="T45" s="283" t="s">
        <v>54</v>
      </c>
      <c r="U45" s="284" t="s">
        <v>173</v>
      </c>
      <c r="V45" s="284" t="s">
        <v>174</v>
      </c>
      <c r="W45" s="285" t="s">
        <v>58</v>
      </c>
      <c r="AF45" s="679" t="s">
        <v>122</v>
      </c>
      <c r="AG45" s="139" t="s">
        <v>53</v>
      </c>
      <c r="AH45" s="283" t="s">
        <v>8</v>
      </c>
      <c r="AI45" s="283" t="s">
        <v>54</v>
      </c>
      <c r="AJ45" s="284" t="s">
        <v>173</v>
      </c>
      <c r="AK45" s="284" t="s">
        <v>174</v>
      </c>
      <c r="AL45" s="285" t="s">
        <v>58</v>
      </c>
      <c r="AV45" s="340" t="s">
        <v>53</v>
      </c>
      <c r="AW45" s="308" t="s">
        <v>8</v>
      </c>
      <c r="AX45" s="141" t="s">
        <v>54</v>
      </c>
      <c r="AY45" s="339" t="s">
        <v>173</v>
      </c>
      <c r="AZ45" s="339" t="s">
        <v>174</v>
      </c>
      <c r="BA45" s="145" t="s">
        <v>58</v>
      </c>
      <c r="BJ45" s="649" t="s">
        <v>122</v>
      </c>
      <c r="BK45" s="347" t="s">
        <v>53</v>
      </c>
      <c r="BL45" s="310" t="s">
        <v>8</v>
      </c>
      <c r="BM45" s="310" t="s">
        <v>54</v>
      </c>
      <c r="BN45" s="308" t="s">
        <v>121</v>
      </c>
      <c r="BO45" s="339" t="s">
        <v>174</v>
      </c>
      <c r="BP45" s="145" t="s">
        <v>58</v>
      </c>
      <c r="BY45" s="649" t="s">
        <v>122</v>
      </c>
      <c r="BZ45" s="347" t="s">
        <v>53</v>
      </c>
      <c r="CA45" s="310" t="s">
        <v>8</v>
      </c>
      <c r="CB45" s="310" t="s">
        <v>54</v>
      </c>
      <c r="CC45" s="308" t="s">
        <v>121</v>
      </c>
      <c r="CD45" s="339" t="s">
        <v>174</v>
      </c>
      <c r="CE45" s="145" t="s">
        <v>58</v>
      </c>
      <c r="CN45" s="649" t="s">
        <v>122</v>
      </c>
      <c r="CO45" s="425" t="s">
        <v>53</v>
      </c>
      <c r="CP45" s="141" t="s">
        <v>8</v>
      </c>
      <c r="CQ45" s="141" t="s">
        <v>54</v>
      </c>
      <c r="CR45" s="339" t="s">
        <v>121</v>
      </c>
      <c r="CS45" s="141" t="s">
        <v>174</v>
      </c>
      <c r="CT45" s="145" t="s">
        <v>58</v>
      </c>
      <c r="DC45" s="667" t="s">
        <v>122</v>
      </c>
      <c r="DD45" s="425" t="s">
        <v>53</v>
      </c>
      <c r="DE45" s="141" t="s">
        <v>8</v>
      </c>
      <c r="DF45" s="141" t="s">
        <v>54</v>
      </c>
      <c r="DG45" s="339" t="s">
        <v>121</v>
      </c>
      <c r="DH45" s="141" t="s">
        <v>174</v>
      </c>
      <c r="DI45" s="145" t="s">
        <v>58</v>
      </c>
      <c r="DR45" s="649" t="s">
        <v>122</v>
      </c>
      <c r="DS45" s="425" t="s">
        <v>53</v>
      </c>
      <c r="DT45" s="141" t="s">
        <v>8</v>
      </c>
      <c r="DU45" s="141" t="s">
        <v>54</v>
      </c>
      <c r="DV45" s="339" t="s">
        <v>121</v>
      </c>
      <c r="DW45" s="141" t="s">
        <v>174</v>
      </c>
      <c r="DX45" s="145" t="s">
        <v>58</v>
      </c>
      <c r="EG45" s="649" t="s">
        <v>122</v>
      </c>
      <c r="EH45" s="425" t="s">
        <v>53</v>
      </c>
      <c r="EI45" s="141" t="s">
        <v>8</v>
      </c>
      <c r="EJ45" s="141" t="s">
        <v>54</v>
      </c>
      <c r="EK45" s="339" t="s">
        <v>121</v>
      </c>
      <c r="EL45" s="141" t="s">
        <v>174</v>
      </c>
      <c r="EM45" s="145" t="s">
        <v>58</v>
      </c>
    </row>
    <row r="46" spans="2:150" x14ac:dyDescent="0.25">
      <c r="B46" s="679"/>
      <c r="C46" s="139" t="s">
        <v>12</v>
      </c>
      <c r="D46" s="142" t="s">
        <v>91</v>
      </c>
      <c r="E46" s="142" t="s">
        <v>79</v>
      </c>
      <c r="F46" s="146">
        <f>AVERAGE(E40:E41)</f>
        <v>27.474789347826096</v>
      </c>
      <c r="G46" s="90">
        <f>F46*2.5*7.143*0.15</f>
        <v>73.594657616820669</v>
      </c>
      <c r="H46" s="148">
        <f>G46</f>
        <v>73.594657616820669</v>
      </c>
      <c r="Q46" s="679"/>
      <c r="R46" s="747" t="s">
        <v>169</v>
      </c>
      <c r="S46" s="685" t="s">
        <v>170</v>
      </c>
      <c r="T46" s="143" t="s">
        <v>80</v>
      </c>
      <c r="U46" s="282">
        <f>AVERAGE(T40:T41)</f>
        <v>45.123307499999996</v>
      </c>
      <c r="V46" s="143">
        <f>U46*2.5*7.143*0.15</f>
        <v>120.86841955218748</v>
      </c>
      <c r="W46" s="727">
        <f>AVERAGE(V46:V50)</f>
        <v>97.441816208062477</v>
      </c>
      <c r="AF46" s="679"/>
      <c r="AG46" s="745" t="s">
        <v>186</v>
      </c>
      <c r="AH46" s="685" t="s">
        <v>187</v>
      </c>
      <c r="AI46" s="143" t="s">
        <v>80</v>
      </c>
      <c r="AJ46" s="143">
        <f>AVERAGE(AI40:AI41)</f>
        <v>42.326994815789476</v>
      </c>
      <c r="AK46" s="143">
        <f>AJ46*2.5*7.143*0.15</f>
        <v>113.37814648844407</v>
      </c>
      <c r="AL46" s="727">
        <f>AVERAGE(AK46:AK51)</f>
        <v>89.344539263412841</v>
      </c>
      <c r="AV46" s="747" t="s">
        <v>206</v>
      </c>
      <c r="AW46" s="737" t="s">
        <v>182</v>
      </c>
      <c r="AX46" s="126" t="s">
        <v>80</v>
      </c>
      <c r="AY46" s="126">
        <f>AVERAGE(AX40:AX41)</f>
        <v>62.807504138888888</v>
      </c>
      <c r="AZ46" s="126">
        <f>AY46*2.5*7.143*0.15</f>
        <v>168.23775077403124</v>
      </c>
      <c r="BA46" s="744">
        <f>AVERAGE(AZ46:AZ49)</f>
        <v>133.00280579904685</v>
      </c>
      <c r="BJ46" s="647"/>
      <c r="BK46" s="757" t="s">
        <v>227</v>
      </c>
      <c r="BL46" s="683" t="s">
        <v>189</v>
      </c>
      <c r="BM46" s="282" t="s">
        <v>80</v>
      </c>
      <c r="BN46">
        <f>AVERAGE(BM40:BM41)</f>
        <v>44.626189583333336</v>
      </c>
      <c r="BO46" s="126">
        <f>BN46*2.5*7.143*0.15</f>
        <v>119.53682707265625</v>
      </c>
      <c r="BP46" s="727">
        <f>AVERAGE(BO46:BO49)</f>
        <v>124.47268549767188</v>
      </c>
      <c r="BY46" s="647"/>
      <c r="BZ46" s="685" t="s">
        <v>235</v>
      </c>
      <c r="CA46" s="715" t="s">
        <v>254</v>
      </c>
      <c r="CB46" s="282" t="s">
        <v>80</v>
      </c>
      <c r="CC46">
        <f>AVERAGE(CB40:CB41)</f>
        <v>48.683918104166665</v>
      </c>
      <c r="CD46" s="126">
        <f>CC46*2.5*7.143*0.15</f>
        <v>130.40596013177341</v>
      </c>
      <c r="CE46" s="727">
        <f>AVERAGE(CD46:CD49)</f>
        <v>127.54907431216404</v>
      </c>
      <c r="CN46" s="647"/>
      <c r="CO46" s="723" t="s">
        <v>284</v>
      </c>
      <c r="CP46" s="683" t="s">
        <v>133</v>
      </c>
      <c r="CQ46" s="160" t="s">
        <v>313</v>
      </c>
      <c r="CR46" s="48">
        <f>AVERAGE(CQ40:CQ41)</f>
        <v>42.693198782608704</v>
      </c>
      <c r="CS46" s="160">
        <f>CR46*2.5*7.143*0.15</f>
        <v>114.35906958906523</v>
      </c>
      <c r="CT46" s="727">
        <f>AVERAGE(CS46:CS50)</f>
        <v>101.75502144171521</v>
      </c>
      <c r="DC46" s="665"/>
      <c r="DD46" s="681" t="s">
        <v>293</v>
      </c>
      <c r="DE46" s="160" t="s">
        <v>80</v>
      </c>
      <c r="DF46" s="733" t="s">
        <v>304</v>
      </c>
      <c r="DG46" s="48">
        <f>AVERAGE(DF40:DF41)</f>
        <v>29.754095611111108</v>
      </c>
      <c r="DH46" s="160">
        <f>DG46*2.5*7.143*0.15</f>
        <v>79.700064356312495</v>
      </c>
      <c r="DI46" s="727">
        <f>AVERAGE(DH46:DH50)</f>
        <v>89.948613787487488</v>
      </c>
      <c r="DR46" s="647"/>
      <c r="DS46" s="723" t="s">
        <v>299</v>
      </c>
      <c r="DT46" s="683" t="s">
        <v>190</v>
      </c>
      <c r="DU46" s="160" t="s">
        <v>80</v>
      </c>
      <c r="DV46" s="48">
        <f>AVERAGE(DU40:DU41)</f>
        <v>34.326008000000002</v>
      </c>
      <c r="DW46" s="160">
        <f>DV46*2.5*7.143*0.15</f>
        <v>91.94650317899999</v>
      </c>
      <c r="DX46" s="727">
        <f>AVERAGE(DW46:DW50)</f>
        <v>88.851251275199999</v>
      </c>
      <c r="EG46" s="647"/>
      <c r="EH46" s="723" t="s">
        <v>328</v>
      </c>
      <c r="EI46" s="685" t="s">
        <v>292</v>
      </c>
      <c r="EJ46" s="160" t="s">
        <v>80</v>
      </c>
      <c r="EK46" s="282">
        <f>AVERAGE(EJ40:EJ41)</f>
        <v>23.403976777777778</v>
      </c>
      <c r="EL46" s="160">
        <f>EK46*2.5*7.143*0.15</f>
        <v>62.690477296375001</v>
      </c>
      <c r="EM46" s="727">
        <f>AVERAGE(EL46:EL55)</f>
        <v>73.138222809606248</v>
      </c>
    </row>
    <row r="47" spans="2:150" x14ac:dyDescent="0.25">
      <c r="B47" s="679"/>
      <c r="C47" s="751" t="s">
        <v>13</v>
      </c>
      <c r="D47" s="681" t="s">
        <v>92</v>
      </c>
      <c r="E47" s="143" t="s">
        <v>80</v>
      </c>
      <c r="F47" s="143">
        <f>AVERAGE(F40:F41)</f>
        <v>24.713980847826093</v>
      </c>
      <c r="G47">
        <f t="shared" ref="G47:G60" si="90">F47*2.5*7.143*0.15</f>
        <v>66.199486948508167</v>
      </c>
      <c r="H47" s="727">
        <f>AVERAGE(G47:G51)</f>
        <v>67.288650159908158</v>
      </c>
      <c r="Q47" s="679"/>
      <c r="R47" s="748"/>
      <c r="S47" s="686"/>
      <c r="T47" s="143" t="s">
        <v>79</v>
      </c>
      <c r="U47" s="48">
        <f>AVERAGE(U40:U41)</f>
        <v>39.166617500000001</v>
      </c>
      <c r="V47" s="143">
        <f t="shared" ref="V47:V62" si="91">U47*2.5*7.143*0.15</f>
        <v>104.91268080093751</v>
      </c>
      <c r="W47" s="662"/>
      <c r="AF47" s="679"/>
      <c r="AG47" s="665"/>
      <c r="AH47" s="686"/>
      <c r="AI47" s="143" t="s">
        <v>79</v>
      </c>
      <c r="AJ47" s="143">
        <f>AVERAGE(AJ40:AJ41)</f>
        <v>30.860171315789476</v>
      </c>
      <c r="AK47" s="143">
        <f t="shared" ref="AK47:AK59" si="92">AJ47*2.5*7.143*0.15</f>
        <v>82.662826390756592</v>
      </c>
      <c r="AL47" s="662"/>
      <c r="AV47" s="748"/>
      <c r="AW47" s="715"/>
      <c r="AX47" s="30" t="s">
        <v>81</v>
      </c>
      <c r="AY47" s="30">
        <f>AVERAGE(AY40:AY41)</f>
        <v>60.451794138888886</v>
      </c>
      <c r="AZ47" s="30">
        <f t="shared" ref="AZ47:AZ65" si="93">AY47*2.5*7.143*0.15</f>
        <v>161.92768707528123</v>
      </c>
      <c r="BA47" s="741"/>
      <c r="BJ47" s="647"/>
      <c r="BK47" s="758"/>
      <c r="BL47" s="681"/>
      <c r="BM47" s="48" t="s">
        <v>79</v>
      </c>
      <c r="BN47">
        <f>AVERAGE(BN40:BN41)</f>
        <v>44.790592583333336</v>
      </c>
      <c r="BO47" s="30">
        <f t="shared" ref="BO47:BO65" si="94">BN47*2.5*7.143*0.15</f>
        <v>119.97720105853124</v>
      </c>
      <c r="BP47" s="662"/>
      <c r="BY47" s="647"/>
      <c r="BZ47" s="686"/>
      <c r="CA47" s="715"/>
      <c r="CB47" s="48" t="s">
        <v>79</v>
      </c>
      <c r="CC47">
        <f>AVERAGE(CC40:CC41)</f>
        <v>48.381504104166659</v>
      </c>
      <c r="CD47" s="30">
        <f t="shared" ref="CD47:CD59" si="95">CC47*2.5*7.143*0.15</f>
        <v>129.59590643102339</v>
      </c>
      <c r="CE47" s="662"/>
      <c r="CN47" s="647"/>
      <c r="CO47" s="724"/>
      <c r="CP47" s="681"/>
      <c r="CQ47" s="143" t="s">
        <v>314</v>
      </c>
      <c r="CR47" s="48">
        <f>AVERAGE(CR40:CR41)</f>
        <v>36.032916782608694</v>
      </c>
      <c r="CS47" s="143">
        <f t="shared" ref="CS47:CS60" si="96">CR47*2.5*7.143*0.15</f>
        <v>96.51867171681522</v>
      </c>
      <c r="CT47" s="662"/>
      <c r="DC47" s="665"/>
      <c r="DD47" s="681"/>
      <c r="DE47" s="143" t="s">
        <v>79</v>
      </c>
      <c r="DF47" s="731"/>
      <c r="DG47" s="48">
        <f>AVERAGE(DG40:DG41)</f>
        <v>33.429540611111108</v>
      </c>
      <c r="DH47" s="143">
        <f t="shared" ref="DH47:DH54" si="97">DG47*2.5*7.143*0.15</f>
        <v>89.545203219437497</v>
      </c>
      <c r="DI47" s="662"/>
      <c r="DR47" s="647"/>
      <c r="DS47" s="724"/>
      <c r="DT47" s="681"/>
      <c r="DU47" s="143" t="s">
        <v>79</v>
      </c>
      <c r="DV47" s="48">
        <f>AVERAGE(DV40:DV41)</f>
        <v>31.745815999999998</v>
      </c>
      <c r="DW47" s="143">
        <f t="shared" ref="DW47:DW52" si="98">DV47*2.5*7.143*0.15</f>
        <v>85.03513638299998</v>
      </c>
      <c r="DX47" s="662"/>
      <c r="EG47" s="647"/>
      <c r="EH47" s="724"/>
      <c r="EI47" s="686"/>
      <c r="EJ47" s="143" t="s">
        <v>79</v>
      </c>
      <c r="EK47" s="48">
        <f>AVERAGE(EK40:EK41)</f>
        <v>25.157542777777778</v>
      </c>
      <c r="EL47" s="143">
        <f t="shared" ref="EL47:EL54" si="99">EK47*2.5*7.143*0.15</f>
        <v>67.387623023125002</v>
      </c>
      <c r="EM47" s="662"/>
    </row>
    <row r="48" spans="2:150" x14ac:dyDescent="0.25">
      <c r="B48" s="679"/>
      <c r="C48" s="751"/>
      <c r="D48" s="681"/>
      <c r="E48" s="143" t="s">
        <v>79</v>
      </c>
      <c r="F48" s="143">
        <f>AVERAGE(G40:G41)</f>
        <v>24.713980847826093</v>
      </c>
      <c r="G48">
        <f t="shared" si="90"/>
        <v>66.199486948508167</v>
      </c>
      <c r="H48" s="662"/>
      <c r="Q48" s="679"/>
      <c r="R48" s="748"/>
      <c r="S48" s="686"/>
      <c r="T48" s="143" t="s">
        <v>81</v>
      </c>
      <c r="U48" s="48">
        <f>AVERAGE(V40:V41)</f>
        <v>42.395477499999998</v>
      </c>
      <c r="V48" s="143">
        <f t="shared" si="91"/>
        <v>113.56158591843749</v>
      </c>
      <c r="W48" s="662"/>
      <c r="AF48" s="679"/>
      <c r="AG48" s="665"/>
      <c r="AH48" s="686"/>
      <c r="AI48" s="143" t="s">
        <v>81</v>
      </c>
      <c r="AJ48" s="143">
        <f>AVERAGE(AK40:AK41)</f>
        <v>37.982803315789482</v>
      </c>
      <c r="AK48" s="143">
        <f t="shared" si="92"/>
        <v>101.74168653175659</v>
      </c>
      <c r="AL48" s="662"/>
      <c r="AV48" s="748"/>
      <c r="AW48" s="715"/>
      <c r="AX48" s="30" t="s">
        <v>82</v>
      </c>
      <c r="AY48" s="30">
        <f>AVERAGE(AZ40:AZ41)</f>
        <v>57.877339638888884</v>
      </c>
      <c r="AZ48" s="30">
        <f t="shared" si="93"/>
        <v>155.0316888902187</v>
      </c>
      <c r="BA48" s="741"/>
      <c r="BJ48" s="647"/>
      <c r="BK48" s="758"/>
      <c r="BL48" s="681"/>
      <c r="BM48" s="48" t="s">
        <v>81</v>
      </c>
      <c r="BN48">
        <f>AVERAGE(BO40:BO41)</f>
        <v>49.594813583333334</v>
      </c>
      <c r="BO48" s="30">
        <f t="shared" si="94"/>
        <v>132.84590753465625</v>
      </c>
      <c r="BP48" s="662"/>
      <c r="BY48" s="647"/>
      <c r="BZ48" s="686"/>
      <c r="CA48" s="715"/>
      <c r="CB48" s="48" t="s">
        <v>81</v>
      </c>
      <c r="CC48">
        <f>AVERAGE(CD40:CD41)</f>
        <v>47.971085104166661</v>
      </c>
      <c r="CD48" s="30">
        <f t="shared" si="95"/>
        <v>128.49654783714843</v>
      </c>
      <c r="CE48" s="662"/>
      <c r="CN48" s="647"/>
      <c r="CO48" s="724"/>
      <c r="CP48" s="681"/>
      <c r="CQ48" s="143" t="s">
        <v>315</v>
      </c>
      <c r="CR48" s="48">
        <f>AVERAGE(CS40:CS41)</f>
        <v>38.315808782608698</v>
      </c>
      <c r="CS48" s="143">
        <f t="shared" si="96"/>
        <v>102.63368330031523</v>
      </c>
      <c r="CT48" s="662"/>
      <c r="DC48" s="665"/>
      <c r="DD48" s="681"/>
      <c r="DE48" s="143" t="s">
        <v>81</v>
      </c>
      <c r="DF48" s="731"/>
      <c r="DG48" s="48">
        <f>AVERAGE(DH40:DH41)</f>
        <v>33.447469611111103</v>
      </c>
      <c r="DH48" s="143">
        <f t="shared" si="97"/>
        <v>89.593228287062473</v>
      </c>
      <c r="DI48" s="662"/>
      <c r="DR48" s="647"/>
      <c r="DS48" s="724"/>
      <c r="DT48" s="681"/>
      <c r="DU48" s="143" t="s">
        <v>81</v>
      </c>
      <c r="DV48" s="48">
        <f>AVERAGE(DW40:DW41)</f>
        <v>28.839631999999998</v>
      </c>
      <c r="DW48" s="143">
        <f t="shared" si="98"/>
        <v>77.250559265999996</v>
      </c>
      <c r="DX48" s="662"/>
      <c r="EG48" s="647"/>
      <c r="EH48" s="724"/>
      <c r="EI48" s="686"/>
      <c r="EJ48" s="143" t="s">
        <v>81</v>
      </c>
      <c r="EK48" s="48">
        <f>AVERAGE(EL40:EL41)</f>
        <v>26.199516777777777</v>
      </c>
      <c r="EL48" s="143">
        <f t="shared" si="99"/>
        <v>70.178680628875</v>
      </c>
      <c r="EM48" s="662"/>
    </row>
    <row r="49" spans="2:143" x14ac:dyDescent="0.25">
      <c r="B49" s="679"/>
      <c r="C49" s="751"/>
      <c r="D49" s="681"/>
      <c r="E49" s="143" t="s">
        <v>81</v>
      </c>
      <c r="F49" s="143">
        <f>AVERAGE(H40:H41)</f>
        <v>25.233798347826095</v>
      </c>
      <c r="G49">
        <f t="shared" si="90"/>
        <v>67.591883099445667</v>
      </c>
      <c r="H49" s="662"/>
      <c r="Q49" s="679"/>
      <c r="R49" s="748"/>
      <c r="S49" s="686"/>
      <c r="T49" s="143" t="s">
        <v>82</v>
      </c>
      <c r="U49" s="48">
        <f>AVERAGE(W40:W41)</f>
        <v>32.207867499999992</v>
      </c>
      <c r="V49" s="143">
        <f t="shared" si="91"/>
        <v>86.272799082187476</v>
      </c>
      <c r="W49" s="662"/>
      <c r="AF49" s="679"/>
      <c r="AG49" s="665"/>
      <c r="AH49" s="686"/>
      <c r="AI49" s="143" t="s">
        <v>82</v>
      </c>
      <c r="AJ49" s="143">
        <f>AVERAGE(AL40:AL41)</f>
        <v>33.822817815789477</v>
      </c>
      <c r="AK49" s="143">
        <f t="shared" si="92"/>
        <v>90.598645371819075</v>
      </c>
      <c r="AL49" s="662"/>
      <c r="AV49" s="748"/>
      <c r="AW49" s="720"/>
      <c r="AX49" s="90" t="s">
        <v>83</v>
      </c>
      <c r="AY49" s="90">
        <f>AVERAGE(BA40:BA41)</f>
        <v>17.476913138888886</v>
      </c>
      <c r="AZ49" s="90">
        <f t="shared" si="93"/>
        <v>46.814096456656237</v>
      </c>
      <c r="BA49" s="742"/>
      <c r="BJ49" s="647"/>
      <c r="BK49" s="758"/>
      <c r="BL49" s="681"/>
      <c r="BM49" s="48" t="s">
        <v>82</v>
      </c>
      <c r="BN49">
        <f>AVERAGE(BP40:BP41)</f>
        <v>46.863897083333335</v>
      </c>
      <c r="BO49" s="30">
        <f t="shared" si="94"/>
        <v>125.53080632484374</v>
      </c>
      <c r="BP49" s="662"/>
      <c r="BY49" s="647"/>
      <c r="BZ49" s="686"/>
      <c r="CA49" s="715"/>
      <c r="CB49" s="48" t="s">
        <v>82</v>
      </c>
      <c r="CC49">
        <f>AVERAGE(CE40:CE41)</f>
        <v>45.432967604166663</v>
      </c>
      <c r="CD49" s="30">
        <f t="shared" si="95"/>
        <v>121.69788284871092</v>
      </c>
      <c r="CE49" s="662"/>
      <c r="CN49" s="647"/>
      <c r="CO49" s="724"/>
      <c r="CP49" s="681"/>
      <c r="CQ49" s="143" t="s">
        <v>316</v>
      </c>
      <c r="CR49" s="48">
        <f>AVERAGE(CT40:CT41)</f>
        <v>36.753246782608699</v>
      </c>
      <c r="CS49" s="143">
        <f t="shared" si="96"/>
        <v>98.448165663065225</v>
      </c>
      <c r="CT49" s="662"/>
      <c r="DC49" s="665"/>
      <c r="DD49" s="681"/>
      <c r="DE49" s="143" t="s">
        <v>82</v>
      </c>
      <c r="DF49" s="731"/>
      <c r="DG49" s="48">
        <f>AVERAGE(DI40:DI41)</f>
        <v>38.306228611111109</v>
      </c>
      <c r="DH49" s="143">
        <f t="shared" si="97"/>
        <v>102.6080216134375</v>
      </c>
      <c r="DI49" s="662"/>
      <c r="DR49" s="647"/>
      <c r="DS49" s="724"/>
      <c r="DT49" s="681"/>
      <c r="DU49" s="143" t="s">
        <v>82</v>
      </c>
      <c r="DV49" s="48">
        <f>AVERAGE(DX40:DX41)</f>
        <v>32.973488000000003</v>
      </c>
      <c r="DW49" s="143">
        <f t="shared" si="98"/>
        <v>88.323609293999993</v>
      </c>
      <c r="DX49" s="662"/>
      <c r="EG49" s="647"/>
      <c r="EH49" s="724"/>
      <c r="EI49" s="686"/>
      <c r="EJ49" s="143" t="s">
        <v>82</v>
      </c>
      <c r="EK49" s="48">
        <f>AVERAGE(EM40:EM41)</f>
        <v>29.528750777777777</v>
      </c>
      <c r="EL49" s="143">
        <f t="shared" si="99"/>
        <v>79.096450052124993</v>
      </c>
      <c r="EM49" s="662"/>
    </row>
    <row r="50" spans="2:143" x14ac:dyDescent="0.25">
      <c r="B50" s="679"/>
      <c r="C50" s="751"/>
      <c r="D50" s="681"/>
      <c r="E50" s="143" t="s">
        <v>82</v>
      </c>
      <c r="F50" s="143">
        <f>AVERAGE(I40:I41)</f>
        <v>28.710799847826092</v>
      </c>
      <c r="G50">
        <f t="shared" si="90"/>
        <v>76.90546624238317</v>
      </c>
      <c r="H50" s="662"/>
      <c r="Q50" s="679"/>
      <c r="R50" s="749"/>
      <c r="S50" s="688"/>
      <c r="T50" s="142" t="s">
        <v>83</v>
      </c>
      <c r="U50" s="149">
        <f>AVERAGE(X40:X41)</f>
        <v>22.9944825</v>
      </c>
      <c r="V50" s="142">
        <f t="shared" si="91"/>
        <v>61.593595686562502</v>
      </c>
      <c r="W50" s="728"/>
      <c r="AF50" s="679"/>
      <c r="AG50" s="665"/>
      <c r="AH50" s="686"/>
      <c r="AI50" s="143" t="s">
        <v>83</v>
      </c>
      <c r="AJ50" s="143">
        <f>AVERAGE(AM40:AM41)</f>
        <v>19.209141815789472</v>
      </c>
      <c r="AK50" s="143">
        <f t="shared" si="92"/>
        <v>51.454087496319076</v>
      </c>
      <c r="AL50" s="662"/>
      <c r="AV50" s="748"/>
      <c r="AW50" s="715" t="s">
        <v>92</v>
      </c>
      <c r="AX50" s="30" t="s">
        <v>211</v>
      </c>
      <c r="AY50" s="30">
        <f>AVERAGE(BB40:BB41)</f>
        <v>62.386841638888882</v>
      </c>
      <c r="AZ50" s="30">
        <f t="shared" si="93"/>
        <v>167.11095368496871</v>
      </c>
      <c r="BA50" s="744">
        <f>AVERAGE(AZ50:AZ51)</f>
        <v>176.44083358240624</v>
      </c>
      <c r="BJ50" s="647"/>
      <c r="BK50" s="758"/>
      <c r="BL50" s="682"/>
      <c r="BM50" s="149" t="s">
        <v>83</v>
      </c>
      <c r="BN50" s="60">
        <f>AVERAGE(BQ40:BQ41)</f>
        <v>43.548436583333327</v>
      </c>
      <c r="BO50" s="90">
        <f t="shared" si="94"/>
        <v>116.64993094303124</v>
      </c>
      <c r="BP50" s="728"/>
      <c r="BY50" s="647"/>
      <c r="BZ50" s="688"/>
      <c r="CA50" s="720"/>
      <c r="CB50" s="149" t="s">
        <v>83</v>
      </c>
      <c r="CC50" s="60">
        <f>AVERAGE(CF40:CF41)</f>
        <v>43.672486104166666</v>
      </c>
      <c r="CD50" s="90">
        <f t="shared" si="95"/>
        <v>116.98221309077343</v>
      </c>
      <c r="CE50" s="728"/>
      <c r="CN50" s="647"/>
      <c r="CO50" s="724"/>
      <c r="CP50" s="682"/>
      <c r="CQ50" s="142" t="s">
        <v>317</v>
      </c>
      <c r="CR50" s="149">
        <f>AVERAGE(CU40:CU41)</f>
        <v>36.143736782608698</v>
      </c>
      <c r="CS50" s="149">
        <f t="shared" si="96"/>
        <v>96.815516939315216</v>
      </c>
      <c r="CT50" s="728"/>
      <c r="DC50" s="665"/>
      <c r="DD50" s="681"/>
      <c r="DE50" s="142" t="s">
        <v>83</v>
      </c>
      <c r="DF50" s="734"/>
      <c r="DG50" s="149">
        <f>AVERAGE(DJ40:DJ41)</f>
        <v>32.963386611111105</v>
      </c>
      <c r="DH50" s="142">
        <f t="shared" si="97"/>
        <v>88.296551461187491</v>
      </c>
      <c r="DI50" s="728"/>
      <c r="DR50" s="647"/>
      <c r="DS50" s="724"/>
      <c r="DT50" s="682"/>
      <c r="DU50" s="142" t="s">
        <v>83</v>
      </c>
      <c r="DV50" s="149">
        <f>AVERAGE(DY40:DY41)</f>
        <v>37.967408000000006</v>
      </c>
      <c r="DW50" s="142">
        <f t="shared" si="98"/>
        <v>101.70044825400002</v>
      </c>
      <c r="DX50" s="728"/>
      <c r="EG50" s="647"/>
      <c r="EH50" s="724"/>
      <c r="EI50" s="686"/>
      <c r="EJ50" s="143" t="s">
        <v>83</v>
      </c>
      <c r="EK50" s="48">
        <f>AVERAGE(EN40:EN41)</f>
        <v>26.847573777777779</v>
      </c>
      <c r="EL50" s="48">
        <f t="shared" si="99"/>
        <v>71.914582310500009</v>
      </c>
      <c r="EM50" s="662"/>
    </row>
    <row r="51" spans="2:143" x14ac:dyDescent="0.25">
      <c r="B51" s="679"/>
      <c r="C51" s="752"/>
      <c r="D51" s="682"/>
      <c r="E51" s="142" t="s">
        <v>83</v>
      </c>
      <c r="F51" s="142">
        <f>AVERAGE(J40:J41)</f>
        <v>22.230408347826085</v>
      </c>
      <c r="G51" s="90">
        <f t="shared" si="90"/>
        <v>59.546927560695643</v>
      </c>
      <c r="H51" s="728"/>
      <c r="Q51" s="679"/>
      <c r="R51" s="665" t="s">
        <v>175</v>
      </c>
      <c r="S51" s="686" t="s">
        <v>176</v>
      </c>
      <c r="T51" s="143" t="s">
        <v>80</v>
      </c>
      <c r="U51" s="48">
        <f>AVERAGE(Y40:Y41)</f>
        <v>33.919719999999998</v>
      </c>
      <c r="V51" s="143">
        <f t="shared" si="91"/>
        <v>90.858209984999988</v>
      </c>
      <c r="W51" s="727">
        <f>AVERAGE(V51:V56)</f>
        <v>85.197899236406258</v>
      </c>
      <c r="AF51" s="679"/>
      <c r="AG51" s="746"/>
      <c r="AH51" s="688"/>
      <c r="AI51" s="142" t="s">
        <v>94</v>
      </c>
      <c r="AJ51" s="142">
        <f>AVERAGE(AN40:AN41)</f>
        <v>35.925836315789475</v>
      </c>
      <c r="AK51" s="142">
        <f t="shared" si="92"/>
        <v>96.231843301381573</v>
      </c>
      <c r="AL51" s="728"/>
      <c r="AV51" s="749"/>
      <c r="AW51" s="720"/>
      <c r="AX51" s="90" t="s">
        <v>212</v>
      </c>
      <c r="AY51" s="90">
        <f>AVERAGE(BC40:BC41)</f>
        <v>69.353012638888885</v>
      </c>
      <c r="AZ51" s="90">
        <f t="shared" si="93"/>
        <v>185.77071347984375</v>
      </c>
      <c r="BA51" s="742"/>
      <c r="BJ51" s="647"/>
      <c r="BK51" s="758"/>
      <c r="BL51" s="681" t="s">
        <v>190</v>
      </c>
      <c r="BM51" s="48" t="s">
        <v>94</v>
      </c>
      <c r="BN51">
        <f>AVERAGE(BR40:BR41)</f>
        <v>47.950783583333333</v>
      </c>
      <c r="BO51" s="30">
        <f t="shared" si="94"/>
        <v>128.44216767590623</v>
      </c>
      <c r="BP51" s="662">
        <f>AVERAGE(BO51:BO55)</f>
        <v>122.05185183643123</v>
      </c>
      <c r="BY51" s="647"/>
      <c r="BZ51" s="686" t="s">
        <v>246</v>
      </c>
      <c r="CA51" s="715" t="s">
        <v>255</v>
      </c>
      <c r="CB51" s="48" t="s">
        <v>80</v>
      </c>
      <c r="CC51">
        <f>AVERAGE(CG40:CG41)</f>
        <v>51.265237604166671</v>
      </c>
      <c r="CD51" s="30">
        <f t="shared" si="95"/>
        <v>137.32034707746095</v>
      </c>
      <c r="CE51" s="662">
        <f>AVERAGE(CD51:CD55)</f>
        <v>128.21881513974841</v>
      </c>
      <c r="CN51" s="647"/>
      <c r="CO51" s="724"/>
      <c r="CP51" s="681" t="s">
        <v>322</v>
      </c>
      <c r="CQ51" s="143" t="s">
        <v>318</v>
      </c>
      <c r="CR51" s="48">
        <f>AVERAGE(CV40:CV41)</f>
        <v>33.373236782608693</v>
      </c>
      <c r="CS51" s="143">
        <f t="shared" si="96"/>
        <v>89.394386376815206</v>
      </c>
      <c r="CT51" s="727">
        <f>AVERAGE(CS51:CS54)</f>
        <v>108.5037975752527</v>
      </c>
      <c r="DC51" s="665"/>
      <c r="DD51" s="681"/>
      <c r="DE51" s="143" t="s">
        <v>94</v>
      </c>
      <c r="DF51" s="731" t="s">
        <v>300</v>
      </c>
      <c r="DG51" s="48">
        <f>AVERAGE(DK40:DK41)</f>
        <v>33.671582111111107</v>
      </c>
      <c r="DH51" s="143">
        <f t="shared" si="97"/>
        <v>90.193541632374973</v>
      </c>
      <c r="DI51" s="727">
        <f>AVERAGE(DH51:DH55)</f>
        <v>87.252006240343732</v>
      </c>
      <c r="DR51" s="647"/>
      <c r="DS51" s="724"/>
      <c r="DT51" s="681" t="s">
        <v>167</v>
      </c>
      <c r="DU51" s="143" t="s">
        <v>94</v>
      </c>
      <c r="DV51" s="48">
        <f>AVERAGE(DZ40:DZ41)</f>
        <v>29.304344</v>
      </c>
      <c r="DW51" s="143">
        <f t="shared" si="98"/>
        <v>78.495348447000012</v>
      </c>
      <c r="DX51" s="727">
        <f>AVERAGE(DW51:DW55)</f>
        <v>84.975683765400007</v>
      </c>
      <c r="EG51" s="647"/>
      <c r="EH51" s="724"/>
      <c r="EI51" s="686"/>
      <c r="EJ51" s="143" t="s">
        <v>94</v>
      </c>
      <c r="EK51" s="48">
        <f>AVERAGE(EO40:EO41)</f>
        <v>30.500836277777779</v>
      </c>
      <c r="EL51" s="143">
        <f t="shared" si="99"/>
        <v>81.700302574562485</v>
      </c>
      <c r="EM51" s="662"/>
    </row>
    <row r="52" spans="2:143" x14ac:dyDescent="0.25">
      <c r="B52" s="679"/>
      <c r="C52" s="647" t="s">
        <v>70</v>
      </c>
      <c r="D52" s="681" t="s">
        <v>91</v>
      </c>
      <c r="E52" s="143" t="s">
        <v>80</v>
      </c>
      <c r="F52" s="147">
        <f>AVERAGE(E42:E43)</f>
        <v>33.238987847826088</v>
      </c>
      <c r="G52">
        <f t="shared" si="90"/>
        <v>89.034783823883146</v>
      </c>
      <c r="H52" s="753">
        <f>AVERAGE(G52:G56)</f>
        <v>68.136464705145656</v>
      </c>
      <c r="Q52" s="679"/>
      <c r="R52" s="665"/>
      <c r="S52" s="686"/>
      <c r="T52" s="143" t="s">
        <v>79</v>
      </c>
      <c r="U52" s="48">
        <f>AVERAGE(Z40:Z41)</f>
        <v>27.475917500000001</v>
      </c>
      <c r="V52" s="143">
        <f t="shared" si="91"/>
        <v>73.597679513437498</v>
      </c>
      <c r="W52" s="662"/>
      <c r="AF52" s="679"/>
      <c r="AG52" s="751" t="s">
        <v>188</v>
      </c>
      <c r="AH52" s="681" t="s">
        <v>93</v>
      </c>
      <c r="AI52" s="143" t="s">
        <v>80</v>
      </c>
      <c r="AJ52" s="143">
        <f>AVERAGE(AO40:AO41)</f>
        <v>37.537638815789478</v>
      </c>
      <c r="AK52" s="143">
        <f t="shared" si="92"/>
        <v>100.54925777294407</v>
      </c>
      <c r="AL52" s="727">
        <f>AVERAGE(AK52:AK54)</f>
        <v>94.861235532631596</v>
      </c>
      <c r="AV52" s="665" t="s">
        <v>208</v>
      </c>
      <c r="AW52" s="737" t="s">
        <v>194</v>
      </c>
      <c r="AX52" s="126" t="s">
        <v>80</v>
      </c>
      <c r="AY52" s="126">
        <f>AVERAGE(BD40:BD41)</f>
        <v>32.873160638888891</v>
      </c>
      <c r="AZ52" s="126">
        <f t="shared" si="93"/>
        <v>88.054869916343748</v>
      </c>
      <c r="BA52" s="744">
        <f>AVERAGE(AZ52:AZ56)</f>
        <v>124.17547740333123</v>
      </c>
      <c r="BJ52" s="647"/>
      <c r="BK52" s="758"/>
      <c r="BL52" s="681"/>
      <c r="BM52" s="48" t="s">
        <v>209</v>
      </c>
      <c r="BN52">
        <f>AVERAGE(BS40:BS41)</f>
        <v>46.626426083333328</v>
      </c>
      <c r="BO52" s="30">
        <f t="shared" si="94"/>
        <v>124.89471056746874</v>
      </c>
      <c r="BP52" s="662"/>
      <c r="BY52" s="647"/>
      <c r="BZ52" s="686"/>
      <c r="CA52" s="715"/>
      <c r="CB52" s="48" t="s">
        <v>79</v>
      </c>
      <c r="CC52">
        <f>AVERAGE(CH40:CH41)</f>
        <v>47.798277104166672</v>
      </c>
      <c r="CD52" s="30">
        <f t="shared" si="95"/>
        <v>128.03366000814844</v>
      </c>
      <c r="CE52" s="662"/>
      <c r="CN52" s="647"/>
      <c r="CO52" s="724"/>
      <c r="CP52" s="681"/>
      <c r="CQ52" s="143" t="s">
        <v>319</v>
      </c>
      <c r="CR52" s="48">
        <f>AVERAGE(CW40:CW41)</f>
        <v>40.377060782608694</v>
      </c>
      <c r="CS52" s="143">
        <f t="shared" si="96"/>
        <v>108.15500443881521</v>
      </c>
      <c r="CT52" s="662"/>
      <c r="DC52" s="665"/>
      <c r="DD52" s="681"/>
      <c r="DE52" s="143" t="s">
        <v>209</v>
      </c>
      <c r="DF52" s="731"/>
      <c r="DG52" s="48"/>
      <c r="DH52" s="143"/>
      <c r="DI52" s="662"/>
      <c r="DR52" s="647"/>
      <c r="DS52" s="724"/>
      <c r="DT52" s="681"/>
      <c r="DU52" s="143" t="s">
        <v>209</v>
      </c>
      <c r="DV52" s="48">
        <f>AVERAGE(EA40:EA41)</f>
        <v>31.260296</v>
      </c>
      <c r="DW52" s="143">
        <f t="shared" si="98"/>
        <v>83.734610372999995</v>
      </c>
      <c r="DX52" s="662"/>
      <c r="EG52" s="647"/>
      <c r="EH52" s="724"/>
      <c r="EI52" s="686"/>
      <c r="EJ52" s="143" t="s">
        <v>209</v>
      </c>
      <c r="EK52" s="48">
        <f>AVERAGE(EP40:EP41)</f>
        <v>29.992556277777776</v>
      </c>
      <c r="EL52" s="143">
        <f t="shared" si="99"/>
        <v>80.338811059562488</v>
      </c>
      <c r="EM52" s="662"/>
    </row>
    <row r="53" spans="2:143" x14ac:dyDescent="0.25">
      <c r="B53" s="679"/>
      <c r="C53" s="647"/>
      <c r="D53" s="681"/>
      <c r="E53" s="143" t="s">
        <v>79</v>
      </c>
      <c r="F53" s="143">
        <f>AVERAGE(F42:F43)</f>
        <v>25.430173847826097</v>
      </c>
      <c r="G53">
        <f t="shared" si="90"/>
        <v>68.117899423133181</v>
      </c>
      <c r="H53" s="662"/>
      <c r="Q53" s="679"/>
      <c r="R53" s="665"/>
      <c r="S53" s="686"/>
      <c r="T53" s="143" t="s">
        <v>81</v>
      </c>
      <c r="U53" s="48">
        <f>AVERAGE(AA40:AA41)</f>
        <v>26.446022499999998</v>
      </c>
      <c r="V53" s="143">
        <f t="shared" si="91"/>
        <v>70.838977019062483</v>
      </c>
      <c r="W53" s="662"/>
      <c r="AF53" s="679"/>
      <c r="AG53" s="751"/>
      <c r="AH53" s="681"/>
      <c r="AI53" s="143" t="s">
        <v>79</v>
      </c>
      <c r="AJ53" s="143">
        <f>AVERAGE(AP40:AP41)</f>
        <v>35.664877815789481</v>
      </c>
      <c r="AK53" s="143">
        <f t="shared" si="92"/>
        <v>95.532833339319097</v>
      </c>
      <c r="AL53" s="662"/>
      <c r="AV53" s="665"/>
      <c r="AW53" s="715"/>
      <c r="AX53" s="30" t="s">
        <v>79</v>
      </c>
      <c r="AY53" s="30">
        <f>AVERAGE(BE40:BE41)</f>
        <v>60.535926638888881</v>
      </c>
      <c r="AZ53" s="30">
        <f t="shared" si="93"/>
        <v>162.15304649309374</v>
      </c>
      <c r="BA53" s="741"/>
      <c r="BJ53" s="647"/>
      <c r="BK53" s="758"/>
      <c r="BL53" s="681"/>
      <c r="BM53" s="48" t="s">
        <v>210</v>
      </c>
      <c r="BN53">
        <f>AVERAGE(BT40:BT41)</f>
        <v>39.803701583333336</v>
      </c>
      <c r="BO53" s="30">
        <f t="shared" si="94"/>
        <v>106.61919015365626</v>
      </c>
      <c r="BP53" s="662"/>
      <c r="BY53" s="647"/>
      <c r="BZ53" s="686"/>
      <c r="CA53" s="715"/>
      <c r="CB53" s="48" t="s">
        <v>81</v>
      </c>
      <c r="CC53">
        <f>AVERAGE(CI40:CI41)</f>
        <v>49.601960604166663</v>
      </c>
      <c r="CD53" s="30">
        <f t="shared" si="95"/>
        <v>132.86505172333591</v>
      </c>
      <c r="CE53" s="662"/>
      <c r="CN53" s="647"/>
      <c r="CO53" s="724"/>
      <c r="CP53" s="681"/>
      <c r="CQ53" s="143" t="s">
        <v>320</v>
      </c>
      <c r="CR53" s="48">
        <f>AVERAGE(CX40:CX41)</f>
        <v>41.65149078260869</v>
      </c>
      <c r="CS53" s="143">
        <f t="shared" si="96"/>
        <v>111.56872449756519</v>
      </c>
      <c r="CT53" s="662"/>
      <c r="DC53" s="665"/>
      <c r="DD53" s="681"/>
      <c r="DE53" s="143" t="s">
        <v>210</v>
      </c>
      <c r="DF53" s="731"/>
      <c r="DG53" s="48">
        <f>AVERAGE(DM40:DM41)</f>
        <v>34.514245111111109</v>
      </c>
      <c r="DH53" s="143">
        <f t="shared" si="97"/>
        <v>92.450719810749987</v>
      </c>
      <c r="DI53" s="662"/>
      <c r="DR53" s="647"/>
      <c r="DS53" s="724"/>
      <c r="DT53" s="681"/>
      <c r="DU53" s="143" t="s">
        <v>210</v>
      </c>
      <c r="DV53" s="48">
        <f>AVERAGE(EB40:EB41)</f>
        <v>31.940024000000001</v>
      </c>
      <c r="DW53" s="143">
        <f>DV53*2.5*7.143*0.15</f>
        <v>85.555346786999991</v>
      </c>
      <c r="DX53" s="662"/>
      <c r="EG53" s="647"/>
      <c r="EH53" s="724"/>
      <c r="EI53" s="686"/>
      <c r="EJ53" s="143" t="s">
        <v>210</v>
      </c>
      <c r="EK53" s="48">
        <f>AVERAGE(EQ40:EQ41)</f>
        <v>21.135777277777777</v>
      </c>
      <c r="EL53" s="143">
        <f t="shared" si="99"/>
        <v>56.614821410687497</v>
      </c>
      <c r="EM53" s="662"/>
    </row>
    <row r="54" spans="2:143" x14ac:dyDescent="0.25">
      <c r="B54" s="679"/>
      <c r="C54" s="647"/>
      <c r="D54" s="681"/>
      <c r="E54" s="143" t="s">
        <v>81</v>
      </c>
      <c r="F54" s="143">
        <f>AVERAGE(G42:G43)</f>
        <v>20.128035347826092</v>
      </c>
      <c r="G54">
        <f t="shared" si="90"/>
        <v>53.915458683570655</v>
      </c>
      <c r="H54" s="662"/>
      <c r="Q54" s="679"/>
      <c r="R54" s="665"/>
      <c r="S54" s="686"/>
      <c r="T54" s="143" t="s">
        <v>82</v>
      </c>
      <c r="U54" s="48">
        <f>AVERAGE(AB40:AB41)</f>
        <v>40.906305000000003</v>
      </c>
      <c r="V54" s="143">
        <f t="shared" si="91"/>
        <v>109.57265123062501</v>
      </c>
      <c r="W54" s="662"/>
      <c r="AF54" s="679"/>
      <c r="AG54" s="752"/>
      <c r="AH54" s="682"/>
      <c r="AI54" s="142" t="s">
        <v>81</v>
      </c>
      <c r="AJ54" s="142">
        <f>AVERAGE(AQ40:AQ41)</f>
        <v>33.039942315789474</v>
      </c>
      <c r="AK54" s="142">
        <f t="shared" si="92"/>
        <v>88.501615485631575</v>
      </c>
      <c r="AL54" s="728"/>
      <c r="AV54" s="665"/>
      <c r="AW54" s="715"/>
      <c r="AX54" s="30" t="s">
        <v>81</v>
      </c>
      <c r="AY54" s="30">
        <f>AVERAGE(BF40:BF41)</f>
        <v>44.163742138888885</v>
      </c>
      <c r="AZ54" s="30">
        <f t="shared" si="93"/>
        <v>118.29810378678123</v>
      </c>
      <c r="BA54" s="741"/>
      <c r="BJ54" s="647"/>
      <c r="BK54" s="758"/>
      <c r="BL54" s="681"/>
      <c r="BM54" s="48" t="s">
        <v>211</v>
      </c>
      <c r="BN54">
        <f>AVERAGE(BU40:BU41)</f>
        <v>50.928304583333329</v>
      </c>
      <c r="BO54" s="30">
        <f t="shared" si="94"/>
        <v>136.41782986453123</v>
      </c>
      <c r="BP54" s="662"/>
      <c r="BY54" s="647"/>
      <c r="BZ54" s="686"/>
      <c r="CA54" s="715"/>
      <c r="CB54" s="48" t="s">
        <v>82</v>
      </c>
      <c r="CC54">
        <f>AVERAGE(CJ40:CJ41)</f>
        <v>46.901835604166664</v>
      </c>
      <c r="CD54" s="30">
        <f t="shared" si="95"/>
        <v>125.63242939521091</v>
      </c>
      <c r="CE54" s="662"/>
      <c r="CN54" s="647"/>
      <c r="CO54" s="725"/>
      <c r="CP54" s="682"/>
      <c r="CQ54" s="142" t="s">
        <v>321</v>
      </c>
      <c r="CR54" s="149">
        <f>AVERAGE(CY40:CY41)</f>
        <v>46.627308782608694</v>
      </c>
      <c r="CS54" s="142">
        <f t="shared" si="96"/>
        <v>124.89707498781519</v>
      </c>
      <c r="CT54" s="728"/>
      <c r="DC54" s="665"/>
      <c r="DD54" s="681"/>
      <c r="DE54" s="143" t="s">
        <v>211</v>
      </c>
      <c r="DF54" s="731"/>
      <c r="DG54" s="48">
        <f>AVERAGE(DN40:DN41)</f>
        <v>30.964303111111111</v>
      </c>
      <c r="DH54" s="143">
        <f t="shared" si="97"/>
        <v>82.941756420999994</v>
      </c>
      <c r="DI54" s="662"/>
      <c r="DR54" s="647"/>
      <c r="DS54" s="724"/>
      <c r="DT54" s="681"/>
      <c r="DU54" s="143" t="s">
        <v>211</v>
      </c>
      <c r="DV54" s="48">
        <f>AVERAGE(EC40:EC41)</f>
        <v>30.441847999999997</v>
      </c>
      <c r="DW54" s="143">
        <f>DV54*2.5*7.143*0.15</f>
        <v>81.542295099</v>
      </c>
      <c r="DX54" s="662"/>
      <c r="EG54" s="647"/>
      <c r="EH54" s="724"/>
      <c r="EI54" s="686"/>
      <c r="EJ54" s="143" t="s">
        <v>211</v>
      </c>
      <c r="EK54" s="48">
        <f>AVERAGE(ER40:ER41)</f>
        <v>30.767683277777778</v>
      </c>
      <c r="EL54" s="143">
        <f t="shared" si="99"/>
        <v>82.4150856199375</v>
      </c>
      <c r="EM54" s="662"/>
    </row>
    <row r="55" spans="2:143" x14ac:dyDescent="0.25">
      <c r="B55" s="679"/>
      <c r="C55" s="647"/>
      <c r="D55" s="681"/>
      <c r="E55" s="143" t="s">
        <v>82</v>
      </c>
      <c r="F55" s="143">
        <f>AVERAGE(H42:H43)</f>
        <v>20.890434347826091</v>
      </c>
      <c r="G55">
        <f t="shared" si="90"/>
        <v>55.957639704945656</v>
      </c>
      <c r="H55" s="662"/>
      <c r="Q55" s="679"/>
      <c r="R55" s="665"/>
      <c r="S55" s="686"/>
      <c r="T55" s="143" t="s">
        <v>83</v>
      </c>
      <c r="U55" s="48">
        <f>AVERAGE(AC40:AC41)</f>
        <v>28.241379999999999</v>
      </c>
      <c r="V55" s="143">
        <f t="shared" si="91"/>
        <v>75.648066502499987</v>
      </c>
      <c r="W55" s="662"/>
      <c r="AF55" s="679"/>
      <c r="AG55" s="647" t="s">
        <v>184</v>
      </c>
      <c r="AH55" s="681" t="s">
        <v>194</v>
      </c>
      <c r="AI55" s="143" t="s">
        <v>79</v>
      </c>
      <c r="AJ55" s="143">
        <f>AVERAGE(AI42:AI43)</f>
        <v>41.620871815789471</v>
      </c>
      <c r="AK55" s="143">
        <f t="shared" si="92"/>
        <v>111.48670776756907</v>
      </c>
      <c r="AL55" s="727">
        <f>AVERAGE(AK55:AK59)</f>
        <v>93.485145332806582</v>
      </c>
      <c r="AV55" s="665"/>
      <c r="AW55" s="715"/>
      <c r="AX55" s="30" t="s">
        <v>82</v>
      </c>
      <c r="AY55" s="30">
        <f>AVERAGE(BG40:BG41)</f>
        <v>41.017186638888887</v>
      </c>
      <c r="AZ55" s="30">
        <f t="shared" si="93"/>
        <v>109.86966156059374</v>
      </c>
      <c r="BA55" s="741"/>
      <c r="BJ55" s="647"/>
      <c r="BK55" s="759"/>
      <c r="BL55" s="682"/>
      <c r="BM55" s="149" t="s">
        <v>212</v>
      </c>
      <c r="BN55" s="60">
        <f>AVERAGE(BV40:BV41)</f>
        <v>42.516351083333333</v>
      </c>
      <c r="BO55" s="90">
        <f t="shared" si="94"/>
        <v>113.88536092059375</v>
      </c>
      <c r="BP55" s="728"/>
      <c r="BY55" s="647"/>
      <c r="BZ55" s="686"/>
      <c r="CA55" s="715"/>
      <c r="CB55" s="48" t="s">
        <v>83</v>
      </c>
      <c r="CC55" s="60">
        <f>AVERAGE(CK40:CK41)</f>
        <v>43.769690604166662</v>
      </c>
      <c r="CD55" s="90">
        <f t="shared" si="95"/>
        <v>117.24258749458592</v>
      </c>
      <c r="CE55" s="728"/>
      <c r="CN55" s="647"/>
      <c r="CO55" s="681" t="s">
        <v>289</v>
      </c>
      <c r="CP55" s="681" t="s">
        <v>323</v>
      </c>
      <c r="CQ55" s="143" t="s">
        <v>80</v>
      </c>
      <c r="CR55" s="48">
        <f>AVERAGE(CQ42:CQ43)</f>
        <v>37.7173807826087</v>
      </c>
      <c r="CS55" s="143">
        <f t="shared" si="96"/>
        <v>101.03071909881523</v>
      </c>
      <c r="CT55" s="727">
        <f>AVERAGE(CS55:CS60)</f>
        <v>96.211931653565216</v>
      </c>
      <c r="DC55" s="665"/>
      <c r="DD55" s="682"/>
      <c r="DE55" s="142" t="s">
        <v>212</v>
      </c>
      <c r="DF55" s="734"/>
      <c r="DG55" s="149">
        <f>AVERAGE(DO40:DO41)</f>
        <v>31.143593111111105</v>
      </c>
      <c r="DH55" s="142">
        <f>DG55*2.5*7.143*0.15</f>
        <v>83.422007097249988</v>
      </c>
      <c r="DI55" s="728"/>
      <c r="DR55" s="647"/>
      <c r="DS55" s="725"/>
      <c r="DT55" s="682"/>
      <c r="DU55" s="142" t="s">
        <v>212</v>
      </c>
      <c r="DV55" s="149">
        <f>AVERAGE(ED40:ED41)</f>
        <v>35.671592000000004</v>
      </c>
      <c r="DW55" s="142">
        <f>DV55*2.5*7.143*0.15</f>
        <v>95.550818121000006</v>
      </c>
      <c r="DX55" s="728"/>
      <c r="EG55" s="647"/>
      <c r="EH55" s="725"/>
      <c r="EI55" s="688"/>
      <c r="EJ55" s="142" t="s">
        <v>212</v>
      </c>
      <c r="EK55" s="149">
        <f>AVERAGE(ES40:ES41)</f>
        <v>29.509690277777779</v>
      </c>
      <c r="EL55" s="142">
        <f>EK55*2.5*7.143*0.15</f>
        <v>79.045394120312508</v>
      </c>
      <c r="EM55" s="728"/>
    </row>
    <row r="56" spans="2:143" x14ac:dyDescent="0.25">
      <c r="B56" s="679"/>
      <c r="C56" s="650"/>
      <c r="D56" s="682"/>
      <c r="E56" s="142" t="s">
        <v>83</v>
      </c>
      <c r="F56" s="142">
        <f>AVERAGE(I42:I43)</f>
        <v>27.497892347826092</v>
      </c>
      <c r="G56" s="90">
        <f t="shared" si="90"/>
        <v>73.656541890195655</v>
      </c>
      <c r="H56" s="728"/>
      <c r="Q56" s="679"/>
      <c r="R56" s="746"/>
      <c r="S56" s="688"/>
      <c r="T56" s="142" t="s">
        <v>94</v>
      </c>
      <c r="U56" s="149">
        <f>AVERAGE(T42:T43)</f>
        <v>33.850132500000001</v>
      </c>
      <c r="V56" s="142">
        <f t="shared" si="91"/>
        <v>90.671811167812493</v>
      </c>
      <c r="W56" s="728"/>
      <c r="AF56" s="679"/>
      <c r="AG56" s="647"/>
      <c r="AH56" s="681"/>
      <c r="AI56" s="143" t="s">
        <v>81</v>
      </c>
      <c r="AJ56" s="143">
        <f>AVERAGE(AJ42:AJ43)</f>
        <v>42.173489815789473</v>
      </c>
      <c r="AK56" s="143">
        <f t="shared" si="92"/>
        <v>112.96696415781908</v>
      </c>
      <c r="AL56" s="662"/>
      <c r="AV56" s="665"/>
      <c r="AW56" s="720"/>
      <c r="AX56" s="90" t="s">
        <v>83</v>
      </c>
      <c r="AY56" s="90">
        <f>AVERAGE(AX42:AX43)</f>
        <v>53.199572638888881</v>
      </c>
      <c r="AZ56" s="90">
        <f t="shared" si="93"/>
        <v>142.5017052598437</v>
      </c>
      <c r="BA56" s="742"/>
      <c r="BJ56" s="647"/>
      <c r="BK56" s="681" t="s">
        <v>218</v>
      </c>
      <c r="BL56" s="681" t="s">
        <v>237</v>
      </c>
      <c r="BM56" s="48" t="s">
        <v>80</v>
      </c>
      <c r="BN56">
        <f>AVERAGE(BM42:BM43)</f>
        <v>42.47981708333333</v>
      </c>
      <c r="BO56" s="30">
        <f t="shared" si="94"/>
        <v>113.78750003484373</v>
      </c>
      <c r="BP56" s="662">
        <f>AVERAGE(BO57:BO60)</f>
        <v>112.0076551752656</v>
      </c>
      <c r="BY56" s="647"/>
      <c r="BZ56" s="686"/>
      <c r="CA56" s="715"/>
      <c r="CB56" s="48" t="s">
        <v>94</v>
      </c>
      <c r="CC56">
        <f>AVERAGE(CB42:CB43)</f>
        <v>49.15914010416666</v>
      </c>
      <c r="CD56" s="30">
        <f t="shared" si="95"/>
        <v>131.67890166152341</v>
      </c>
      <c r="CE56" s="662">
        <f>AVERAGE(CD57:CD60)</f>
        <v>128.4676173478359</v>
      </c>
      <c r="CN56" s="647"/>
      <c r="CO56" s="681"/>
      <c r="CP56" s="681"/>
      <c r="CQ56" s="143" t="s">
        <v>79</v>
      </c>
      <c r="CR56" s="48">
        <f>AVERAGE(CR42:CR43)</f>
        <v>35.301504782608703</v>
      </c>
      <c r="CS56" s="143">
        <f t="shared" si="96"/>
        <v>94.559493248315221</v>
      </c>
      <c r="CT56" s="662"/>
      <c r="DC56" s="665"/>
      <c r="DD56" s="681" t="s">
        <v>298</v>
      </c>
      <c r="DE56" s="160" t="s">
        <v>80</v>
      </c>
      <c r="DF56" s="733" t="s">
        <v>301</v>
      </c>
      <c r="DG56" s="48">
        <f>AVERAGE(DF42:DF43)</f>
        <v>37.741465111111111</v>
      </c>
      <c r="DH56" s="143">
        <f t="shared" ref="DH56:DH65" si="100">DG56*2.5*7.143*0.15</f>
        <v>101.09523198324999</v>
      </c>
      <c r="DI56" s="727">
        <f>AVERAGE(DH56:DH60)</f>
        <v>108.47188237044998</v>
      </c>
      <c r="DR56" s="647"/>
      <c r="DS56" s="681" t="s">
        <v>324</v>
      </c>
      <c r="DT56" s="681" t="s">
        <v>330</v>
      </c>
      <c r="DU56" s="143" t="s">
        <v>80</v>
      </c>
      <c r="DV56" s="48">
        <f>AVERAGE(DU42:DU43)</f>
        <v>31.364335999999998</v>
      </c>
      <c r="DW56" s="143">
        <f t="shared" ref="DW56:DW65" si="101">DV56*2.5*7.143*0.15</f>
        <v>84.013294517999995</v>
      </c>
      <c r="DX56" s="727">
        <f>AVERAGE(DW56:DW65)</f>
        <v>79.301674573199989</v>
      </c>
      <c r="EG56" s="647"/>
      <c r="EH56" s="681" t="s">
        <v>333</v>
      </c>
      <c r="EI56" s="681" t="s">
        <v>335</v>
      </c>
      <c r="EJ56" s="143" t="s">
        <v>80</v>
      </c>
      <c r="EK56" s="48">
        <f>AVERAGE(EJ42:EJ43)</f>
        <v>30.920167277777779</v>
      </c>
      <c r="EL56" s="143">
        <f t="shared" ref="EL56:EL65" si="102">EK56*2.5*7.143*0.15</f>
        <v>82.823533074437492</v>
      </c>
      <c r="EM56" s="727">
        <f>AVERAGE(EL56:EL65)</f>
        <v>83.272825274387486</v>
      </c>
    </row>
    <row r="57" spans="2:143" x14ac:dyDescent="0.25">
      <c r="B57" s="679"/>
      <c r="C57" s="647" t="s">
        <v>78</v>
      </c>
      <c r="D57" s="681" t="s">
        <v>93</v>
      </c>
      <c r="E57" s="143" t="s">
        <v>80</v>
      </c>
      <c r="F57" s="147">
        <f>AVERAGE(K40:K41)</f>
        <v>24.598465847826084</v>
      </c>
      <c r="G57">
        <f t="shared" si="90"/>
        <v>65.890065581633138</v>
      </c>
      <c r="H57" s="753">
        <f>AVERAGE(G57:G60)</f>
        <v>69.007485852898782</v>
      </c>
      <c r="Q57" s="679"/>
      <c r="R57" s="715" t="s">
        <v>179</v>
      </c>
      <c r="S57" s="686" t="s">
        <v>182</v>
      </c>
      <c r="T57" s="143" t="s">
        <v>80</v>
      </c>
      <c r="U57" s="48">
        <f>AVERAGE(U42:U43)</f>
        <v>46.501140000000007</v>
      </c>
      <c r="V57" s="143">
        <f t="shared" si="91"/>
        <v>124.55911613250002</v>
      </c>
      <c r="W57" s="727">
        <f>AVERAGE(V57:V62)</f>
        <v>89.317313096250004</v>
      </c>
      <c r="AF57" s="679"/>
      <c r="AG57" s="647"/>
      <c r="AH57" s="681"/>
      <c r="AI57" s="143" t="s">
        <v>82</v>
      </c>
      <c r="AJ57" s="143">
        <f>AVERAGE(AK42:AK43)</f>
        <v>35.864434315789481</v>
      </c>
      <c r="AK57" s="143">
        <f t="shared" si="92"/>
        <v>96.067370369131595</v>
      </c>
      <c r="AL57" s="662"/>
      <c r="AV57" s="665"/>
      <c r="AW57" s="715" t="s">
        <v>91</v>
      </c>
      <c r="AX57" s="30" t="s">
        <v>94</v>
      </c>
      <c r="AY57" s="30">
        <f>AVERAGE(AY42:AY43)</f>
        <v>53.569755638888886</v>
      </c>
      <c r="AZ57" s="30">
        <f t="shared" si="93"/>
        <v>143.49328669821872</v>
      </c>
      <c r="BA57" s="744">
        <f>AVERAGE(AZ57:AZ60)</f>
        <v>118.89530624398436</v>
      </c>
      <c r="BJ57" s="647"/>
      <c r="BK57" s="681"/>
      <c r="BL57" s="681"/>
      <c r="BM57" s="48" t="s">
        <v>79</v>
      </c>
      <c r="BN57">
        <f>AVERAGE(BN42:BN43)</f>
        <v>42.059676083333329</v>
      </c>
      <c r="BO57" s="30">
        <f t="shared" si="94"/>
        <v>112.66209984871873</v>
      </c>
      <c r="BP57" s="662"/>
      <c r="BY57" s="647"/>
      <c r="BZ57" s="686"/>
      <c r="CA57" s="715"/>
      <c r="CB57" s="48" t="s">
        <v>209</v>
      </c>
      <c r="CC57">
        <f>AVERAGE(CC42:CC43)</f>
        <v>40.864356104166667</v>
      </c>
      <c r="CD57" s="30">
        <f t="shared" si="95"/>
        <v>109.46028586952342</v>
      </c>
      <c r="CE57" s="662"/>
      <c r="CN57" s="647"/>
      <c r="CO57" s="681"/>
      <c r="CP57" s="681"/>
      <c r="CQ57" s="143" t="s">
        <v>81</v>
      </c>
      <c r="CR57" s="48">
        <f>AVERAGE(CS42:CS43)</f>
        <v>35.656128782608697</v>
      </c>
      <c r="CS57" s="143">
        <f t="shared" si="96"/>
        <v>95.509397960315226</v>
      </c>
      <c r="CT57" s="662"/>
      <c r="DC57" s="665"/>
      <c r="DD57" s="681"/>
      <c r="DE57" s="143" t="s">
        <v>79</v>
      </c>
      <c r="DF57" s="731"/>
      <c r="DG57" s="48">
        <f>AVERAGE(DG42:DG43)</f>
        <v>42.815372111111103</v>
      </c>
      <c r="DH57" s="143">
        <f t="shared" si="100"/>
        <v>114.68632612112498</v>
      </c>
      <c r="DI57" s="662"/>
      <c r="DR57" s="647"/>
      <c r="DS57" s="681"/>
      <c r="DT57" s="681"/>
      <c r="DU57" s="143" t="s">
        <v>79</v>
      </c>
      <c r="DV57" s="48">
        <f>AVERAGE(DV42:DV43)</f>
        <v>27.091760000000001</v>
      </c>
      <c r="DW57" s="143">
        <f t="shared" si="101"/>
        <v>72.568665629999984</v>
      </c>
      <c r="DX57" s="662"/>
      <c r="EG57" s="647"/>
      <c r="EH57" s="681"/>
      <c r="EI57" s="681"/>
      <c r="EJ57" s="143" t="s">
        <v>79</v>
      </c>
      <c r="EK57" s="48">
        <f>AVERAGE(EK42:EK43)</f>
        <v>27.635407777777779</v>
      </c>
      <c r="EL57" s="143">
        <f t="shared" si="102"/>
        <v>74.024894158749987</v>
      </c>
      <c r="EM57" s="662"/>
    </row>
    <row r="58" spans="2:143" x14ac:dyDescent="0.25">
      <c r="B58" s="679"/>
      <c r="C58" s="647"/>
      <c r="D58" s="681"/>
      <c r="E58" s="143" t="s">
        <v>79</v>
      </c>
      <c r="F58" s="143">
        <f>AVERAGE(L40:L41)</f>
        <v>23.293146347826088</v>
      </c>
      <c r="G58">
        <f t="shared" si="90"/>
        <v>62.393604135945644</v>
      </c>
      <c r="H58" s="754"/>
      <c r="Q58" s="679"/>
      <c r="R58" s="715"/>
      <c r="S58" s="686"/>
      <c r="T58" s="143" t="s">
        <v>79</v>
      </c>
      <c r="U58" s="48">
        <f>AVERAGE(V42:V43)</f>
        <v>31.010962499999998</v>
      </c>
      <c r="V58" s="143">
        <f t="shared" si="91"/>
        <v>83.066739426562492</v>
      </c>
      <c r="W58" s="662"/>
      <c r="AF58" s="679"/>
      <c r="AG58" s="647"/>
      <c r="AH58" s="681"/>
      <c r="AI58" s="143" t="s">
        <v>83</v>
      </c>
      <c r="AJ58" s="143">
        <f>AVERAGE(AL42:AL43)</f>
        <v>26.776938315789476</v>
      </c>
      <c r="AK58" s="143">
        <f t="shared" si="92"/>
        <v>71.72537639613158</v>
      </c>
      <c r="AL58" s="662"/>
      <c r="AV58" s="665"/>
      <c r="AW58" s="715"/>
      <c r="AX58" s="30" t="s">
        <v>209</v>
      </c>
      <c r="AY58" s="30">
        <f>AVERAGE(AZ42:AZ43)</f>
        <v>47.579521638888885</v>
      </c>
      <c r="AZ58" s="30">
        <f t="shared" si="93"/>
        <v>127.44769614996873</v>
      </c>
      <c r="BA58" s="741"/>
      <c r="BJ58" s="647"/>
      <c r="BK58" s="681"/>
      <c r="BL58" s="681"/>
      <c r="BM58" s="48" t="s">
        <v>81</v>
      </c>
      <c r="BN58">
        <f>AVERAGE(BO42:BO43)</f>
        <v>44.708391083333325</v>
      </c>
      <c r="BO58" s="30">
        <f t="shared" si="94"/>
        <v>119.75701406559371</v>
      </c>
      <c r="BP58" s="662"/>
      <c r="BY58" s="647"/>
      <c r="BZ58" s="686"/>
      <c r="CA58" s="715"/>
      <c r="CB58" s="48" t="s">
        <v>210</v>
      </c>
      <c r="CC58">
        <f>AVERAGE(CD42:CD43)</f>
        <v>49.699165104166667</v>
      </c>
      <c r="CD58" s="30">
        <f t="shared" si="95"/>
        <v>133.12542612714842</v>
      </c>
      <c r="CE58" s="662"/>
      <c r="CN58" s="647"/>
      <c r="CO58" s="681"/>
      <c r="CP58" s="681"/>
      <c r="CQ58" s="143" t="s">
        <v>82</v>
      </c>
      <c r="CR58" s="48">
        <f>AVERAGE(CT42:CT43)</f>
        <v>43.313790782608699</v>
      </c>
      <c r="CS58" s="143">
        <f t="shared" si="96"/>
        <v>116.02140283506522</v>
      </c>
      <c r="CT58" s="662"/>
      <c r="DC58" s="665"/>
      <c r="DD58" s="681"/>
      <c r="DE58" s="143" t="s">
        <v>81</v>
      </c>
      <c r="DF58" s="731"/>
      <c r="DG58" s="48">
        <f>AVERAGE(DH42:DH43)</f>
        <v>42.026496111111101</v>
      </c>
      <c r="DH58" s="143">
        <f t="shared" si="100"/>
        <v>112.57322314562497</v>
      </c>
      <c r="DI58" s="662"/>
      <c r="DR58" s="647"/>
      <c r="DS58" s="681"/>
      <c r="DT58" s="681"/>
      <c r="DU58" s="143" t="s">
        <v>81</v>
      </c>
      <c r="DV58" s="48">
        <f>AVERAGE(DW42:DW43)</f>
        <v>28.201519999999995</v>
      </c>
      <c r="DW58" s="143">
        <f t="shared" si="101"/>
        <v>75.541296509999981</v>
      </c>
      <c r="DX58" s="662"/>
      <c r="EG58" s="647"/>
      <c r="EH58" s="681"/>
      <c r="EI58" s="681"/>
      <c r="EJ58" s="143" t="s">
        <v>81</v>
      </c>
      <c r="EK58" s="48">
        <f>AVERAGE(EL42:EL43)</f>
        <v>30.843925277777778</v>
      </c>
      <c r="EL58" s="143">
        <f t="shared" si="102"/>
        <v>82.619309347187496</v>
      </c>
      <c r="EM58" s="662"/>
    </row>
    <row r="59" spans="2:143" ht="15.75" thickBot="1" x14ac:dyDescent="0.3">
      <c r="B59" s="679"/>
      <c r="C59" s="647"/>
      <c r="D59" s="681"/>
      <c r="E59" s="143" t="s">
        <v>83</v>
      </c>
      <c r="F59" s="143">
        <f>AVERAGE(M40:M41)</f>
        <v>25.43017384782609</v>
      </c>
      <c r="G59">
        <f t="shared" si="90"/>
        <v>68.117899423133153</v>
      </c>
      <c r="H59" s="754"/>
      <c r="Q59" s="679"/>
      <c r="R59" s="715"/>
      <c r="S59" s="686"/>
      <c r="T59" s="143" t="s">
        <v>81</v>
      </c>
      <c r="U59" s="48">
        <f>AVERAGE(W42:W43)</f>
        <v>36.049097499999995</v>
      </c>
      <c r="V59" s="143">
        <f t="shared" si="91"/>
        <v>96.562013790937471</v>
      </c>
      <c r="W59" s="662"/>
      <c r="AF59" s="673"/>
      <c r="AG59" s="648"/>
      <c r="AH59" s="684"/>
      <c r="AI59" s="144" t="s">
        <v>94</v>
      </c>
      <c r="AJ59" s="144">
        <f>AVERAGE(AM42:AM43)</f>
        <v>28.066380315789477</v>
      </c>
      <c r="AK59" s="144">
        <f t="shared" si="92"/>
        <v>75.179307973381583</v>
      </c>
      <c r="AL59" s="663"/>
      <c r="AV59" s="665"/>
      <c r="AW59" s="715"/>
      <c r="AX59" s="30" t="s">
        <v>210</v>
      </c>
      <c r="AY59" s="30">
        <f>AVERAGE(BA42:BA43)</f>
        <v>38.308120138888889</v>
      </c>
      <c r="AZ59" s="30">
        <f t="shared" si="93"/>
        <v>102.61308830703123</v>
      </c>
      <c r="BA59" s="741"/>
      <c r="BJ59" s="647"/>
      <c r="BK59" s="681"/>
      <c r="BL59" s="681"/>
      <c r="BM59" s="48" t="s">
        <v>82</v>
      </c>
      <c r="BN59">
        <f>AVERAGE(BP42:BP43)</f>
        <v>42.297147083333329</v>
      </c>
      <c r="BO59" s="30">
        <f t="shared" si="94"/>
        <v>113.29819560609373</v>
      </c>
      <c r="BP59" s="662"/>
      <c r="BY59" s="647"/>
      <c r="BZ59" s="686"/>
      <c r="CA59" s="715"/>
      <c r="CB59" s="48" t="s">
        <v>211</v>
      </c>
      <c r="CC59">
        <f>AVERAGE(CE42:CE43)</f>
        <v>53.317332604166658</v>
      </c>
      <c r="CD59" s="30">
        <f t="shared" si="95"/>
        <v>142.8171400468359</v>
      </c>
      <c r="CE59" s="662"/>
      <c r="CN59" s="647"/>
      <c r="CO59" s="681"/>
      <c r="CP59" s="681"/>
      <c r="CQ59" s="143" t="s">
        <v>83</v>
      </c>
      <c r="CR59" s="48">
        <f>AVERAGE(CU42:CU43)</f>
        <v>33.129432782608696</v>
      </c>
      <c r="CS59" s="143">
        <f t="shared" si="96"/>
        <v>88.741326887315196</v>
      </c>
      <c r="CT59" s="662"/>
      <c r="DC59" s="665"/>
      <c r="DD59" s="681"/>
      <c r="DE59" s="143" t="s">
        <v>82</v>
      </c>
      <c r="DF59" s="731"/>
      <c r="DG59" s="48">
        <f>AVERAGE(DI42:DI43)</f>
        <v>39.346110611111101</v>
      </c>
      <c r="DH59" s="143">
        <f t="shared" si="100"/>
        <v>105.39347553568747</v>
      </c>
      <c r="DI59" s="662"/>
      <c r="DR59" s="647"/>
      <c r="DS59" s="681"/>
      <c r="DT59" s="681"/>
      <c r="DU59" s="143" t="s">
        <v>82</v>
      </c>
      <c r="DV59" s="48">
        <f>AVERAGE(DX42:DX43)</f>
        <v>30.365551999999997</v>
      </c>
      <c r="DW59" s="143">
        <f t="shared" si="101"/>
        <v>81.337926725999992</v>
      </c>
      <c r="DX59" s="662"/>
      <c r="EG59" s="647"/>
      <c r="EH59" s="681"/>
      <c r="EI59" s="681"/>
      <c r="EJ59" s="143" t="s">
        <v>82</v>
      </c>
      <c r="EK59" s="48">
        <f>AVERAGE(EM42:EM43)</f>
        <v>32.622905277777775</v>
      </c>
      <c r="EL59" s="143">
        <f t="shared" si="102"/>
        <v>87.384529649687479</v>
      </c>
      <c r="EM59" s="662"/>
    </row>
    <row r="60" spans="2:143" ht="15.75" thickBot="1" x14ac:dyDescent="0.3">
      <c r="B60" s="673"/>
      <c r="C60" s="648"/>
      <c r="D60" s="684"/>
      <c r="E60" s="144" t="s">
        <v>94</v>
      </c>
      <c r="F60" s="144">
        <f>AVERAGE(N40:N41)</f>
        <v>29.727331847826086</v>
      </c>
      <c r="G60" s="2">
        <f t="shared" si="90"/>
        <v>79.628374270883143</v>
      </c>
      <c r="H60" s="755"/>
      <c r="Q60" s="679"/>
      <c r="R60" s="715"/>
      <c r="S60" s="686"/>
      <c r="T60" s="143" t="s">
        <v>82</v>
      </c>
      <c r="U60" s="48">
        <f>AVERAGE(X42:X43)</f>
        <v>33.126422499999997</v>
      </c>
      <c r="V60" s="143">
        <f t="shared" si="91"/>
        <v>88.733263469062479</v>
      </c>
      <c r="W60" s="662"/>
      <c r="AV60" s="746"/>
      <c r="AW60" s="720"/>
      <c r="AX60" s="90" t="s">
        <v>211</v>
      </c>
      <c r="AY60" s="90">
        <f>AVERAGE(BB42:BB43)</f>
        <v>38.089375638888882</v>
      </c>
      <c r="AZ60" s="90">
        <f t="shared" si="93"/>
        <v>102.02715382071874</v>
      </c>
      <c r="BA60" s="742"/>
      <c r="BJ60" s="647"/>
      <c r="BK60" s="681"/>
      <c r="BL60" s="682"/>
      <c r="BM60" s="149" t="s">
        <v>83</v>
      </c>
      <c r="BN60" s="142">
        <f>AVERAGE(BQ42:BQ43)</f>
        <v>38.196205583333338</v>
      </c>
      <c r="BO60" s="90">
        <f t="shared" si="94"/>
        <v>102.31331118065624</v>
      </c>
      <c r="BP60" s="728"/>
      <c r="BY60" s="648"/>
      <c r="BZ60" s="687"/>
      <c r="CA60" s="661"/>
      <c r="CB60" s="49" t="s">
        <v>212</v>
      </c>
      <c r="CC60" s="144"/>
      <c r="CD60" s="9"/>
      <c r="CE60" s="663"/>
      <c r="CN60" s="648"/>
      <c r="CO60" s="684"/>
      <c r="CP60" s="684"/>
      <c r="CQ60" s="144" t="s">
        <v>94</v>
      </c>
      <c r="CR60" s="49">
        <f>AVERAGE(CV42:CV43)</f>
        <v>30.392178782608696</v>
      </c>
      <c r="CS60" s="144">
        <f t="shared" si="96"/>
        <v>81.40924989156521</v>
      </c>
      <c r="CT60" s="663"/>
      <c r="DC60" s="665"/>
      <c r="DD60" s="681"/>
      <c r="DE60" s="142" t="s">
        <v>83</v>
      </c>
      <c r="DF60" s="734"/>
      <c r="DG60" s="149">
        <f>AVERAGE(DJ42:DJ43)</f>
        <v>40.547353611111106</v>
      </c>
      <c r="DH60" s="142">
        <f t="shared" si="100"/>
        <v>108.61115506656249</v>
      </c>
      <c r="DI60" s="728"/>
      <c r="DR60" s="647"/>
      <c r="DS60" s="681"/>
      <c r="DT60" s="681"/>
      <c r="DU60" s="143" t="s">
        <v>83</v>
      </c>
      <c r="DV60" s="48">
        <f>AVERAGE(DY42:DY43)</f>
        <v>27.944887999999999</v>
      </c>
      <c r="DW60" s="48">
        <f t="shared" si="101"/>
        <v>74.853875618999993</v>
      </c>
      <c r="DX60" s="662"/>
      <c r="EG60" s="647"/>
      <c r="EH60" s="681"/>
      <c r="EI60" s="681"/>
      <c r="EJ60" s="143" t="s">
        <v>83</v>
      </c>
      <c r="EK60" s="48">
        <f>AVERAGE(EN42:EN43)</f>
        <v>29.941728277777777</v>
      </c>
      <c r="EL60" s="48">
        <f t="shared" si="102"/>
        <v>80.202661908062495</v>
      </c>
      <c r="EM60" s="662"/>
    </row>
    <row r="61" spans="2:143" x14ac:dyDescent="0.25">
      <c r="Q61" s="679"/>
      <c r="R61" s="715"/>
      <c r="S61" s="686"/>
      <c r="T61" s="143" t="s">
        <v>83</v>
      </c>
      <c r="U61" s="48">
        <f>AVERAGE(Y42:Y43)</f>
        <v>31.665085000000005</v>
      </c>
      <c r="V61" s="143">
        <f t="shared" si="91"/>
        <v>84.818888308125011</v>
      </c>
      <c r="W61" s="662"/>
      <c r="AV61" s="665" t="s">
        <v>225</v>
      </c>
      <c r="AW61" s="715" t="s">
        <v>187</v>
      </c>
      <c r="AX61" s="30" t="s">
        <v>80</v>
      </c>
      <c r="AY61" s="30">
        <f>AVERAGE(BC42:BC43)</f>
        <v>41.505155138888881</v>
      </c>
      <c r="AZ61" s="30">
        <f t="shared" si="93"/>
        <v>111.17674618390622</v>
      </c>
      <c r="BA61" s="744">
        <f>AVERAGE(AZ61:AZ65)</f>
        <v>103.55959786184374</v>
      </c>
      <c r="BJ61" s="647"/>
      <c r="BK61" s="681"/>
      <c r="BL61" s="681" t="s">
        <v>238</v>
      </c>
      <c r="BM61" s="143" t="s">
        <v>94</v>
      </c>
      <c r="BN61" s="160">
        <f>AVERAGE(BR42:BR43)</f>
        <v>45.119398583333336</v>
      </c>
      <c r="BO61" s="30">
        <f t="shared" si="94"/>
        <v>120.85794903028125</v>
      </c>
      <c r="BP61" s="662">
        <f>AVERAGE(BO61:BO65)</f>
        <v>122.51669104374373</v>
      </c>
      <c r="DC61" s="665"/>
      <c r="DD61" s="681"/>
      <c r="DE61" s="143" t="s">
        <v>94</v>
      </c>
      <c r="DF61" s="731" t="s">
        <v>302</v>
      </c>
      <c r="DG61" s="282">
        <f>AVERAGE(DK42:DK43)</f>
        <v>39.184749611111108</v>
      </c>
      <c r="DH61" s="426">
        <f t="shared" si="100"/>
        <v>104.96124992706248</v>
      </c>
      <c r="DI61" s="727">
        <f>AVERAGE(DH61:DH65)</f>
        <v>96.119834977299973</v>
      </c>
      <c r="DR61" s="647"/>
      <c r="DS61" s="681"/>
      <c r="DT61" s="681"/>
      <c r="DU61" s="143" t="s">
        <v>94</v>
      </c>
      <c r="DV61" s="48">
        <f>AVERAGE(DZ42:DZ43)</f>
        <v>27.771487999999998</v>
      </c>
      <c r="DW61" s="426">
        <f t="shared" si="101"/>
        <v>74.389402043999993</v>
      </c>
      <c r="DX61" s="662"/>
      <c r="EG61" s="647"/>
      <c r="EH61" s="681"/>
      <c r="EI61" s="681"/>
      <c r="EJ61" s="143" t="s">
        <v>94</v>
      </c>
      <c r="EK61" s="48">
        <f>AVERAGE(EO42:EO43)</f>
        <v>35.005467777777781</v>
      </c>
      <c r="EL61" s="426">
        <f t="shared" si="102"/>
        <v>93.766521126249998</v>
      </c>
      <c r="EM61" s="662"/>
    </row>
    <row r="62" spans="2:143" ht="15.75" thickBot="1" x14ac:dyDescent="0.3">
      <c r="Q62" s="673"/>
      <c r="R62" s="661"/>
      <c r="S62" s="687"/>
      <c r="T62" s="144" t="s">
        <v>94</v>
      </c>
      <c r="U62" s="49">
        <f>AVERAGE(Z42:Z43)</f>
        <v>21.7140725</v>
      </c>
      <c r="V62" s="144">
        <f t="shared" si="91"/>
        <v>58.163857450312491</v>
      </c>
      <c r="W62" s="663"/>
      <c r="AV62" s="665"/>
      <c r="AW62" s="715"/>
      <c r="AX62" s="30" t="s">
        <v>79</v>
      </c>
      <c r="AY62" s="30">
        <f>AVERAGE(BD42:BD43)</f>
        <v>32.099141638888888</v>
      </c>
      <c r="AZ62" s="30">
        <f t="shared" si="93"/>
        <v>85.981563272468733</v>
      </c>
      <c r="BA62" s="741"/>
      <c r="BJ62" s="647"/>
      <c r="BK62" s="681"/>
      <c r="BL62" s="681"/>
      <c r="BM62" s="143" t="s">
        <v>209</v>
      </c>
      <c r="BN62" s="143">
        <f>AVERAGE(BS42:BS43)</f>
        <v>45.09199808333333</v>
      </c>
      <c r="BO62" s="30">
        <f t="shared" si="94"/>
        <v>120.78455336596872</v>
      </c>
      <c r="BP62" s="662"/>
      <c r="DC62" s="665"/>
      <c r="DD62" s="681"/>
      <c r="DE62" s="143" t="s">
        <v>209</v>
      </c>
      <c r="DF62" s="731"/>
      <c r="DG62" s="143">
        <f>AVERAGE(DL42:DL43)</f>
        <v>37.069127611111107</v>
      </c>
      <c r="DH62" s="426">
        <f t="shared" si="100"/>
        <v>99.294291947312473</v>
      </c>
      <c r="DI62" s="662"/>
      <c r="DR62" s="647"/>
      <c r="DS62" s="681"/>
      <c r="DT62" s="681"/>
      <c r="DU62" s="143" t="s">
        <v>209</v>
      </c>
      <c r="DV62" s="143">
        <f>AVERAGE(EA42:EA43)</f>
        <v>32.578136000000001</v>
      </c>
      <c r="DW62" s="426">
        <f t="shared" si="101"/>
        <v>87.264609542999992</v>
      </c>
      <c r="DX62" s="662"/>
      <c r="EG62" s="647"/>
      <c r="EH62" s="681"/>
      <c r="EI62" s="681"/>
      <c r="EJ62" s="143" t="s">
        <v>209</v>
      </c>
      <c r="EK62" s="143">
        <f>AVERAGE(EP42:EP43)</f>
        <v>29.077652277777776</v>
      </c>
      <c r="EL62" s="426">
        <f t="shared" si="102"/>
        <v>77.888126332562479</v>
      </c>
      <c r="EM62" s="662"/>
    </row>
    <row r="63" spans="2:143" x14ac:dyDescent="0.25">
      <c r="AV63" s="665"/>
      <c r="AW63" s="715"/>
      <c r="AX63" s="30" t="s">
        <v>81</v>
      </c>
      <c r="AY63" s="30">
        <f>AVERAGE(BE42:BE43)</f>
        <v>41.976297138888896</v>
      </c>
      <c r="AZ63" s="30">
        <f t="shared" si="93"/>
        <v>112.43875892365627</v>
      </c>
      <c r="BA63" s="741"/>
      <c r="BJ63" s="647"/>
      <c r="BK63" s="681"/>
      <c r="BL63" s="681"/>
      <c r="BM63" s="143" t="s">
        <v>210</v>
      </c>
      <c r="BN63" s="143">
        <f>AVERAGE(BT42:BT43)</f>
        <v>48.864133583333334</v>
      </c>
      <c r="BO63" s="30">
        <f t="shared" si="94"/>
        <v>130.88868981965626</v>
      </c>
      <c r="BP63" s="662"/>
      <c r="DC63" s="665"/>
      <c r="DD63" s="681"/>
      <c r="DE63" s="143" t="s">
        <v>210</v>
      </c>
      <c r="DF63" s="731"/>
      <c r="DG63" s="143">
        <f>AVERAGE(DM42:DM43)</f>
        <v>34.576996611111113</v>
      </c>
      <c r="DH63" s="426">
        <f t="shared" si="100"/>
        <v>92.618807547437484</v>
      </c>
      <c r="DI63" s="662"/>
      <c r="DR63" s="647"/>
      <c r="DS63" s="681"/>
      <c r="DT63" s="681"/>
      <c r="DU63" s="143" t="s">
        <v>210</v>
      </c>
      <c r="DV63" s="143">
        <f>AVERAGE(EB42:EB43)</f>
        <v>28.083607999999995</v>
      </c>
      <c r="DW63" s="426">
        <f t="shared" si="101"/>
        <v>75.225454478999978</v>
      </c>
      <c r="DX63" s="662"/>
      <c r="EG63" s="647"/>
      <c r="EH63" s="681"/>
      <c r="EI63" s="681"/>
      <c r="EJ63" s="143" t="s">
        <v>210</v>
      </c>
      <c r="EK63" s="143">
        <f>AVERAGE(EQ42:EQ43)</f>
        <v>33.537809277777782</v>
      </c>
      <c r="EL63" s="426">
        <f t="shared" si="102"/>
        <v>89.835214376687503</v>
      </c>
      <c r="EM63" s="662"/>
    </row>
    <row r="64" spans="2:143" x14ac:dyDescent="0.25">
      <c r="AV64" s="665"/>
      <c r="AW64" s="715"/>
      <c r="AX64" s="30" t="s">
        <v>82</v>
      </c>
      <c r="AY64" s="30">
        <f>AVERAGE(BF42:BF43)</f>
        <v>46.014657138888886</v>
      </c>
      <c r="AZ64" s="30">
        <f t="shared" si="93"/>
        <v>123.25601097865624</v>
      </c>
      <c r="BA64" s="741"/>
      <c r="BJ64" s="647"/>
      <c r="BK64" s="681"/>
      <c r="BL64" s="681"/>
      <c r="BM64" s="143" t="s">
        <v>211</v>
      </c>
      <c r="BN64" s="143">
        <f>AVERAGE(BU42:BU43)</f>
        <v>42.863424083333328</v>
      </c>
      <c r="BO64" s="30">
        <f t="shared" si="94"/>
        <v>114.81503933521871</v>
      </c>
      <c r="BP64" s="662"/>
      <c r="DC64" s="665"/>
      <c r="DD64" s="681"/>
      <c r="DE64" s="143" t="s">
        <v>211</v>
      </c>
      <c r="DF64" s="731"/>
      <c r="DG64" s="143">
        <f>AVERAGE(DN42:DN43)</f>
        <v>33.411611611111113</v>
      </c>
      <c r="DH64" s="426">
        <f t="shared" si="100"/>
        <v>89.497178151812506</v>
      </c>
      <c r="DI64" s="662"/>
      <c r="DR64" s="647"/>
      <c r="DS64" s="681"/>
      <c r="DT64" s="686"/>
      <c r="DU64" t="s">
        <v>211</v>
      </c>
      <c r="DV64" s="143">
        <f>AVERAGE(EC42:EC43)</f>
        <v>28.673167999999997</v>
      </c>
      <c r="DW64" s="426">
        <f t="shared" si="101"/>
        <v>76.804664633999991</v>
      </c>
      <c r="DX64" s="662"/>
      <c r="EG64" s="647"/>
      <c r="EH64" s="681"/>
      <c r="EI64" s="681"/>
      <c r="EJ64" t="s">
        <v>211</v>
      </c>
      <c r="EK64" s="143">
        <f>AVERAGE(ER42:ER43)</f>
        <v>31.422093777777775</v>
      </c>
      <c r="EL64" s="426">
        <f t="shared" si="102"/>
        <v>84.168005945499985</v>
      </c>
      <c r="EM64" s="662"/>
    </row>
    <row r="65" spans="48:143" ht="15.75" thickBot="1" x14ac:dyDescent="0.3">
      <c r="AV65" s="666"/>
      <c r="AW65" s="661"/>
      <c r="AX65" s="9" t="s">
        <v>83</v>
      </c>
      <c r="AY65" s="9">
        <f>AVERAGE(BG42:BG43)</f>
        <v>31.712132138888887</v>
      </c>
      <c r="AZ65" s="9">
        <f t="shared" si="93"/>
        <v>84.944909950531255</v>
      </c>
      <c r="BA65" s="693"/>
      <c r="BJ65" s="648"/>
      <c r="BK65" s="684"/>
      <c r="BL65" s="684"/>
      <c r="BM65" s="144" t="s">
        <v>212</v>
      </c>
      <c r="BN65" s="144">
        <f>AVERAGE(BV42:BV43)</f>
        <v>46.754295083333332</v>
      </c>
      <c r="BO65" s="9">
        <f t="shared" si="94"/>
        <v>125.23722366759372</v>
      </c>
      <c r="BP65" s="663"/>
      <c r="DC65" s="666"/>
      <c r="DD65" s="684"/>
      <c r="DE65" s="144" t="s">
        <v>212</v>
      </c>
      <c r="DF65" s="732"/>
      <c r="DG65" s="144">
        <f>AVERAGE(DO42:DO43)</f>
        <v>35.177618111111109</v>
      </c>
      <c r="DH65" s="427">
        <f t="shared" si="100"/>
        <v>94.227647312874993</v>
      </c>
      <c r="DI65" s="728"/>
      <c r="DR65" s="648"/>
      <c r="DS65" s="684"/>
      <c r="DT65" s="687"/>
      <c r="DU65" s="2" t="s">
        <v>212</v>
      </c>
      <c r="DV65" s="144">
        <f>AVERAGE(ED42:ED43)</f>
        <v>33.979208</v>
      </c>
      <c r="DW65" s="427">
        <f t="shared" si="101"/>
        <v>91.017556028999991</v>
      </c>
      <c r="DX65" s="663"/>
      <c r="EG65" s="648"/>
      <c r="EH65" s="684"/>
      <c r="EI65" s="684"/>
      <c r="EJ65" s="2" t="s">
        <v>212</v>
      </c>
      <c r="EK65" s="144">
        <f>AVERAGE(ES42:ES43)</f>
        <v>29.871839777777776</v>
      </c>
      <c r="EL65" s="427">
        <f t="shared" si="102"/>
        <v>80.01545682474999</v>
      </c>
      <c r="EM65" s="728"/>
    </row>
  </sheetData>
  <mergeCells count="162">
    <mergeCell ref="EG2:EG10"/>
    <mergeCell ref="EG11:EM11"/>
    <mergeCell ref="EN11:ET11"/>
    <mergeCell ref="EG12:EG20"/>
    <mergeCell ref="EG21:EG35"/>
    <mergeCell ref="EG36:EG44"/>
    <mergeCell ref="EG45:EG65"/>
    <mergeCell ref="EH46:EH55"/>
    <mergeCell ref="EH56:EH65"/>
    <mergeCell ref="EI56:EI65"/>
    <mergeCell ref="EI46:EI55"/>
    <mergeCell ref="EM46:EM55"/>
    <mergeCell ref="EM56:EM65"/>
    <mergeCell ref="DR2:DR10"/>
    <mergeCell ref="DR11:DX11"/>
    <mergeCell ref="DY11:EE11"/>
    <mergeCell ref="DR12:DR20"/>
    <mergeCell ref="DR21:DR35"/>
    <mergeCell ref="DR36:DR44"/>
    <mergeCell ref="DS46:DS55"/>
    <mergeCell ref="DS56:DS65"/>
    <mergeCell ref="DT46:DT50"/>
    <mergeCell ref="DT51:DT55"/>
    <mergeCell ref="DT56:DT65"/>
    <mergeCell ref="DR45:DR65"/>
    <mergeCell ref="DX56:DX65"/>
    <mergeCell ref="DX51:DX55"/>
    <mergeCell ref="DX46:DX50"/>
    <mergeCell ref="R51:R56"/>
    <mergeCell ref="S51:S56"/>
    <mergeCell ref="R57:R62"/>
    <mergeCell ref="S57:S62"/>
    <mergeCell ref="Q45:Q62"/>
    <mergeCell ref="W57:W62"/>
    <mergeCell ref="W51:W56"/>
    <mergeCell ref="W46:W50"/>
    <mergeCell ref="AG52:AG54"/>
    <mergeCell ref="AG55:AG59"/>
    <mergeCell ref="AF1:AS1"/>
    <mergeCell ref="AF2:AF10"/>
    <mergeCell ref="AF11:AL11"/>
    <mergeCell ref="AM11:AS11"/>
    <mergeCell ref="AF12:AF20"/>
    <mergeCell ref="AF21:AF35"/>
    <mergeCell ref="AF36:AF44"/>
    <mergeCell ref="AG46:AG51"/>
    <mergeCell ref="AH46:AH51"/>
    <mergeCell ref="AF45:AF59"/>
    <mergeCell ref="AL55:AL59"/>
    <mergeCell ref="AL52:AL54"/>
    <mergeCell ref="AL46:AL51"/>
    <mergeCell ref="AH52:AH54"/>
    <mergeCell ref="AH55:AH59"/>
    <mergeCell ref="Q1:AD1"/>
    <mergeCell ref="Q2:Q10"/>
    <mergeCell ref="Q11:W11"/>
    <mergeCell ref="X11:AD11"/>
    <mergeCell ref="Q12:Q20"/>
    <mergeCell ref="Q21:Q35"/>
    <mergeCell ref="Q36:Q44"/>
    <mergeCell ref="R46:R50"/>
    <mergeCell ref="S46:S50"/>
    <mergeCell ref="B1:O1"/>
    <mergeCell ref="B2:B10"/>
    <mergeCell ref="B12:B20"/>
    <mergeCell ref="I11:O11"/>
    <mergeCell ref="B11:H11"/>
    <mergeCell ref="D57:D60"/>
    <mergeCell ref="H57:H60"/>
    <mergeCell ref="B21:B35"/>
    <mergeCell ref="B36:B44"/>
    <mergeCell ref="B45:B60"/>
    <mergeCell ref="C47:C51"/>
    <mergeCell ref="D47:D51"/>
    <mergeCell ref="H47:H51"/>
    <mergeCell ref="C52:C56"/>
    <mergeCell ref="D52:D56"/>
    <mergeCell ref="H52:H56"/>
    <mergeCell ref="C57:C60"/>
    <mergeCell ref="AU21:AU35"/>
    <mergeCell ref="AU36:AU44"/>
    <mergeCell ref="AW46:AW49"/>
    <mergeCell ref="AW50:AW51"/>
    <mergeCell ref="AW52:AW56"/>
    <mergeCell ref="AU1:BH1"/>
    <mergeCell ref="AU2:AU10"/>
    <mergeCell ref="AU11:BA11"/>
    <mergeCell ref="BB11:BH11"/>
    <mergeCell ref="AU12:AU20"/>
    <mergeCell ref="BA61:BA65"/>
    <mergeCell ref="BA57:BA60"/>
    <mergeCell ref="BA52:BA56"/>
    <mergeCell ref="BA50:BA51"/>
    <mergeCell ref="BA46:BA49"/>
    <mergeCell ref="AW57:AW60"/>
    <mergeCell ref="AW61:AW65"/>
    <mergeCell ref="AV61:AV65"/>
    <mergeCell ref="AV52:AV60"/>
    <mergeCell ref="AV46:AV51"/>
    <mergeCell ref="BJ36:BJ44"/>
    <mergeCell ref="BJ45:BJ65"/>
    <mergeCell ref="BK46:BK55"/>
    <mergeCell ref="BL46:BL50"/>
    <mergeCell ref="BL51:BL55"/>
    <mergeCell ref="BK56:BK65"/>
    <mergeCell ref="BL56:BL60"/>
    <mergeCell ref="BL61:BL65"/>
    <mergeCell ref="BJ2:BJ10"/>
    <mergeCell ref="BJ12:BJ20"/>
    <mergeCell ref="BJ11:BP11"/>
    <mergeCell ref="BJ21:BJ35"/>
    <mergeCell ref="BY2:BY10"/>
    <mergeCell ref="BY11:CE11"/>
    <mergeCell ref="CF11:CL11"/>
    <mergeCell ref="BY12:BY20"/>
    <mergeCell ref="BY21:BY35"/>
    <mergeCell ref="BP61:BP65"/>
    <mergeCell ref="BP46:BP50"/>
    <mergeCell ref="BP51:BP55"/>
    <mergeCell ref="BP56:BP60"/>
    <mergeCell ref="BQ11:BW11"/>
    <mergeCell ref="BY36:BY44"/>
    <mergeCell ref="CA46:CA50"/>
    <mergeCell ref="CE46:CE50"/>
    <mergeCell ref="CE51:CE55"/>
    <mergeCell ref="CE56:CE60"/>
    <mergeCell ref="BZ46:BZ50"/>
    <mergeCell ref="BZ51:BZ60"/>
    <mergeCell ref="CA51:CA60"/>
    <mergeCell ref="BY45:BY60"/>
    <mergeCell ref="CN2:CN10"/>
    <mergeCell ref="CN11:CT11"/>
    <mergeCell ref="CU11:DA11"/>
    <mergeCell ref="CN12:CN20"/>
    <mergeCell ref="CN21:CN35"/>
    <mergeCell ref="CN36:CN44"/>
    <mergeCell ref="CO46:CO54"/>
    <mergeCell ref="CO55:CO60"/>
    <mergeCell ref="CP55:CP60"/>
    <mergeCell ref="CP51:CP54"/>
    <mergeCell ref="CP46:CP50"/>
    <mergeCell ref="CN45:CN60"/>
    <mergeCell ref="CT46:CT50"/>
    <mergeCell ref="CT51:CT54"/>
    <mergeCell ref="CT55:CT60"/>
    <mergeCell ref="DF61:DF65"/>
    <mergeCell ref="DC45:DC65"/>
    <mergeCell ref="DI46:DI50"/>
    <mergeCell ref="DI51:DI55"/>
    <mergeCell ref="DI56:DI60"/>
    <mergeCell ref="DI61:DI65"/>
    <mergeCell ref="DC2:DC10"/>
    <mergeCell ref="DC11:DI11"/>
    <mergeCell ref="DJ11:DP11"/>
    <mergeCell ref="DC12:DC20"/>
    <mergeCell ref="DC21:DC35"/>
    <mergeCell ref="DC36:DC44"/>
    <mergeCell ref="DD46:DD55"/>
    <mergeCell ref="DF46:DF50"/>
    <mergeCell ref="DF51:DF55"/>
    <mergeCell ref="DD56:DD65"/>
    <mergeCell ref="DF56:DF60"/>
  </mergeCells>
  <phoneticPr fontId="7" type="noConversion"/>
  <hyperlinks>
    <hyperlink ref="A1" location="'Table of Contents'!A1" display="Table of Contents" xr:uid="{5472AE58-4A80-4C7E-9C9A-83FFA16202E0}"/>
  </hyperlink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FC277-54C9-4951-AA0E-3658630ED5CF}">
  <dimension ref="A1:M196"/>
  <sheetViews>
    <sheetView workbookViewId="0">
      <selection activeCell="B4" sqref="B4:M8"/>
    </sheetView>
  </sheetViews>
  <sheetFormatPr defaultRowHeight="15" x14ac:dyDescent="0.25"/>
  <cols>
    <col min="2" max="2" width="11.7109375" customWidth="1"/>
  </cols>
  <sheetData>
    <row r="1" spans="1:13" x14ac:dyDescent="0.25">
      <c r="A1" s="356" t="s">
        <v>262</v>
      </c>
      <c r="B1" s="649" t="s">
        <v>53</v>
      </c>
      <c r="C1" s="690" t="s">
        <v>20</v>
      </c>
      <c r="D1" s="690" t="s">
        <v>8</v>
      </c>
      <c r="E1" s="694" t="s">
        <v>72</v>
      </c>
      <c r="F1" s="671" t="s">
        <v>73</v>
      </c>
      <c r="G1" s="655"/>
      <c r="H1" s="655"/>
      <c r="I1" s="657"/>
      <c r="J1" s="655" t="s">
        <v>74</v>
      </c>
      <c r="K1" s="655"/>
      <c r="L1" s="655"/>
      <c r="M1" s="657"/>
    </row>
    <row r="2" spans="1:13" ht="15.75" thickBot="1" x14ac:dyDescent="0.3">
      <c r="B2" s="647"/>
      <c r="C2" s="686"/>
      <c r="D2" s="686"/>
      <c r="E2" s="704"/>
      <c r="F2" s="62" t="s">
        <v>75</v>
      </c>
      <c r="G2" s="68" t="s">
        <v>76</v>
      </c>
      <c r="H2" s="68" t="s">
        <v>77</v>
      </c>
      <c r="I2" s="69" t="s">
        <v>58</v>
      </c>
      <c r="J2" s="68" t="s">
        <v>75</v>
      </c>
      <c r="K2" s="68" t="s">
        <v>76</v>
      </c>
      <c r="L2" s="68" t="s">
        <v>77</v>
      </c>
      <c r="M2" s="70" t="s">
        <v>58</v>
      </c>
    </row>
    <row r="3" spans="1:13" ht="15.75" thickBot="1" x14ac:dyDescent="0.3">
      <c r="B3" s="63" t="s">
        <v>12</v>
      </c>
      <c r="C3" s="75" t="s">
        <v>28</v>
      </c>
      <c r="D3" s="76">
        <v>0.05</v>
      </c>
      <c r="E3" s="52" t="s">
        <v>79</v>
      </c>
      <c r="F3" s="51">
        <v>1.72</v>
      </c>
      <c r="G3" s="52">
        <v>1.71</v>
      </c>
      <c r="H3" s="52"/>
      <c r="I3" s="74">
        <f>AVERAGE(F3:H3)</f>
        <v>1.7149999999999999</v>
      </c>
      <c r="J3" s="52">
        <v>0.51</v>
      </c>
      <c r="K3" s="52">
        <v>0.51</v>
      </c>
      <c r="L3" s="52"/>
      <c r="M3" s="80">
        <f>AVERAGE(J3:L3)</f>
        <v>0.51</v>
      </c>
    </row>
    <row r="4" spans="1:13" x14ac:dyDescent="0.25">
      <c r="B4" s="649" t="s">
        <v>13</v>
      </c>
      <c r="C4" s="690" t="s">
        <v>24</v>
      </c>
      <c r="D4" s="643">
        <v>0.05</v>
      </c>
      <c r="E4" s="50" t="s">
        <v>80</v>
      </c>
      <c r="F4" s="71">
        <v>1.77</v>
      </c>
      <c r="G4" s="50">
        <v>1.76</v>
      </c>
      <c r="H4" s="50"/>
      <c r="I4" s="77">
        <f t="shared" ref="I4:I17" si="0">AVERAGE(F4:H4)</f>
        <v>1.7650000000000001</v>
      </c>
      <c r="J4" s="50">
        <v>0.48</v>
      </c>
      <c r="K4" s="50">
        <v>0.51</v>
      </c>
      <c r="L4" s="50"/>
      <c r="M4" s="77">
        <f t="shared" ref="M4:M17" si="1">AVERAGE(J4:L4)</f>
        <v>0.495</v>
      </c>
    </row>
    <row r="5" spans="1:13" x14ac:dyDescent="0.25">
      <c r="B5" s="647"/>
      <c r="C5" s="686"/>
      <c r="D5" s="641"/>
      <c r="E5" t="s">
        <v>79</v>
      </c>
      <c r="F5" s="72">
        <v>1.83</v>
      </c>
      <c r="G5">
        <v>1.94</v>
      </c>
      <c r="H5">
        <v>1.91</v>
      </c>
      <c r="I5" s="78">
        <f t="shared" si="0"/>
        <v>1.8933333333333333</v>
      </c>
      <c r="J5">
        <v>0.54</v>
      </c>
      <c r="K5">
        <v>0.51</v>
      </c>
      <c r="M5" s="78">
        <f t="shared" si="1"/>
        <v>0.52500000000000002</v>
      </c>
    </row>
    <row r="6" spans="1:13" x14ac:dyDescent="0.25">
      <c r="B6" s="647"/>
      <c r="C6" s="686"/>
      <c r="D6" s="641"/>
      <c r="E6" t="s">
        <v>81</v>
      </c>
      <c r="F6" s="72">
        <v>1.84</v>
      </c>
      <c r="G6">
        <v>1.93</v>
      </c>
      <c r="H6">
        <v>1.87</v>
      </c>
      <c r="I6" s="78">
        <f t="shared" si="0"/>
        <v>1.8800000000000001</v>
      </c>
      <c r="J6">
        <v>0.49</v>
      </c>
      <c r="K6">
        <v>0.45</v>
      </c>
      <c r="L6">
        <v>0.47</v>
      </c>
      <c r="M6" s="78">
        <f t="shared" si="1"/>
        <v>0.47</v>
      </c>
    </row>
    <row r="7" spans="1:13" x14ac:dyDescent="0.25">
      <c r="B7" s="647"/>
      <c r="C7" s="686"/>
      <c r="D7" s="641"/>
      <c r="E7" t="s">
        <v>82</v>
      </c>
      <c r="F7" s="72">
        <v>2.3199999999999998</v>
      </c>
      <c r="G7">
        <v>2.08</v>
      </c>
      <c r="H7">
        <v>2.0499999999999998</v>
      </c>
      <c r="I7" s="78">
        <f t="shared" si="0"/>
        <v>2.15</v>
      </c>
      <c r="J7">
        <v>0.56999999999999995</v>
      </c>
      <c r="K7">
        <v>0.52</v>
      </c>
      <c r="L7">
        <v>0.61</v>
      </c>
      <c r="M7" s="78">
        <f t="shared" si="1"/>
        <v>0.56666666666666654</v>
      </c>
    </row>
    <row r="8" spans="1:13" ht="15.75" thickBot="1" x14ac:dyDescent="0.3">
      <c r="B8" s="648"/>
      <c r="C8" s="687"/>
      <c r="D8" s="651"/>
      <c r="E8" s="2" t="s">
        <v>83</v>
      </c>
      <c r="F8" s="73">
        <v>1.72</v>
      </c>
      <c r="G8" s="2">
        <v>1.78</v>
      </c>
      <c r="H8" s="2"/>
      <c r="I8" s="79">
        <f t="shared" si="0"/>
        <v>1.75</v>
      </c>
      <c r="J8" s="2">
        <v>0.49</v>
      </c>
      <c r="K8" s="2">
        <v>0.45</v>
      </c>
      <c r="L8" s="2">
        <v>0.46</v>
      </c>
      <c r="M8" s="79">
        <f t="shared" si="1"/>
        <v>0.46666666666666662</v>
      </c>
    </row>
    <row r="9" spans="1:13" x14ac:dyDescent="0.25">
      <c r="B9" s="649" t="s">
        <v>70</v>
      </c>
      <c r="C9" s="690" t="s">
        <v>28</v>
      </c>
      <c r="D9" s="643">
        <v>0.05</v>
      </c>
      <c r="E9" s="50" t="s">
        <v>80</v>
      </c>
      <c r="F9" s="71">
        <v>1.88</v>
      </c>
      <c r="G9" s="50">
        <v>2.5099999999999998</v>
      </c>
      <c r="H9" s="50">
        <v>1.75</v>
      </c>
      <c r="I9" s="77">
        <f t="shared" si="0"/>
        <v>2.0466666666666664</v>
      </c>
      <c r="J9" s="50">
        <v>0.54</v>
      </c>
      <c r="K9" s="50">
        <v>0.56000000000000005</v>
      </c>
      <c r="L9" s="50"/>
      <c r="M9" s="77">
        <f t="shared" si="1"/>
        <v>0.55000000000000004</v>
      </c>
    </row>
    <row r="10" spans="1:13" x14ac:dyDescent="0.25">
      <c r="B10" s="647"/>
      <c r="C10" s="686"/>
      <c r="D10" s="641"/>
      <c r="E10" t="s">
        <v>79</v>
      </c>
      <c r="F10" s="72">
        <v>1.39</v>
      </c>
      <c r="G10">
        <v>1.36</v>
      </c>
      <c r="I10" s="78">
        <f t="shared" si="0"/>
        <v>1.375</v>
      </c>
      <c r="J10">
        <v>0.42</v>
      </c>
      <c r="K10">
        <v>0.42</v>
      </c>
      <c r="M10" s="78">
        <f t="shared" si="1"/>
        <v>0.42</v>
      </c>
    </row>
    <row r="11" spans="1:13" x14ac:dyDescent="0.25">
      <c r="B11" s="647"/>
      <c r="C11" s="686"/>
      <c r="D11" s="641"/>
      <c r="E11" t="s">
        <v>81</v>
      </c>
      <c r="F11" s="72">
        <v>1.43</v>
      </c>
      <c r="G11">
        <v>1.36</v>
      </c>
      <c r="I11" s="78">
        <f t="shared" si="0"/>
        <v>1.395</v>
      </c>
      <c r="J11">
        <v>0.41</v>
      </c>
      <c r="K11">
        <v>0.39</v>
      </c>
      <c r="M11" s="78">
        <f t="shared" si="1"/>
        <v>0.4</v>
      </c>
    </row>
    <row r="12" spans="1:13" x14ac:dyDescent="0.25">
      <c r="B12" s="647"/>
      <c r="C12" s="686"/>
      <c r="D12" s="641"/>
      <c r="E12" t="s">
        <v>82</v>
      </c>
      <c r="F12" s="72">
        <v>1.29</v>
      </c>
      <c r="G12">
        <v>1.39</v>
      </c>
      <c r="I12" s="78">
        <f t="shared" si="0"/>
        <v>1.3399999999999999</v>
      </c>
      <c r="J12">
        <v>0.37</v>
      </c>
      <c r="K12">
        <v>0.4</v>
      </c>
      <c r="M12" s="78">
        <f t="shared" si="1"/>
        <v>0.38500000000000001</v>
      </c>
    </row>
    <row r="13" spans="1:13" ht="15.75" thickBot="1" x14ac:dyDescent="0.3">
      <c r="B13" s="648"/>
      <c r="C13" s="687"/>
      <c r="D13" s="651"/>
      <c r="E13" s="2" t="s">
        <v>83</v>
      </c>
      <c r="F13" s="73">
        <v>1.58</v>
      </c>
      <c r="G13" s="2">
        <v>1.59</v>
      </c>
      <c r="H13" s="2"/>
      <c r="I13" s="79">
        <f t="shared" si="0"/>
        <v>1.585</v>
      </c>
      <c r="J13" s="2">
        <v>0.46</v>
      </c>
      <c r="K13" s="2">
        <v>0.48</v>
      </c>
      <c r="L13" s="2"/>
      <c r="M13" s="79">
        <f t="shared" si="1"/>
        <v>0.47</v>
      </c>
    </row>
    <row r="14" spans="1:13" x14ac:dyDescent="0.25">
      <c r="B14" s="649" t="s">
        <v>78</v>
      </c>
      <c r="C14" s="690" t="s">
        <v>28</v>
      </c>
      <c r="D14" s="643">
        <v>0.15</v>
      </c>
      <c r="E14" s="50" t="s">
        <v>80</v>
      </c>
      <c r="F14" s="71">
        <v>1.56</v>
      </c>
      <c r="G14" s="50">
        <v>1.53</v>
      </c>
      <c r="H14" s="50"/>
      <c r="I14" s="77">
        <f t="shared" si="0"/>
        <v>1.5449999999999999</v>
      </c>
      <c r="J14" s="50">
        <v>0.5</v>
      </c>
      <c r="K14" s="50">
        <v>0.51</v>
      </c>
      <c r="L14" s="50"/>
      <c r="M14" s="77">
        <f t="shared" si="1"/>
        <v>0.505</v>
      </c>
    </row>
    <row r="15" spans="1:13" x14ac:dyDescent="0.25">
      <c r="B15" s="647"/>
      <c r="C15" s="686"/>
      <c r="D15" s="641"/>
      <c r="E15" t="s">
        <v>79</v>
      </c>
      <c r="F15" s="72">
        <v>1.44</v>
      </c>
      <c r="G15">
        <v>1.41</v>
      </c>
      <c r="I15" s="78">
        <f t="shared" si="0"/>
        <v>1.4249999999999998</v>
      </c>
      <c r="J15">
        <v>0.42</v>
      </c>
      <c r="K15">
        <v>0.41</v>
      </c>
      <c r="M15" s="78">
        <f t="shared" si="1"/>
        <v>0.41499999999999998</v>
      </c>
    </row>
    <row r="16" spans="1:13" x14ac:dyDescent="0.25">
      <c r="B16" s="647"/>
      <c r="C16" s="686"/>
      <c r="D16" s="641"/>
      <c r="E16" t="s">
        <v>81</v>
      </c>
      <c r="F16" s="72">
        <v>1.57</v>
      </c>
      <c r="G16">
        <v>1.53</v>
      </c>
      <c r="I16" s="78">
        <f t="shared" si="0"/>
        <v>1.55</v>
      </c>
      <c r="J16">
        <v>0.49</v>
      </c>
      <c r="K16">
        <v>0.49</v>
      </c>
      <c r="M16" s="78">
        <f t="shared" si="1"/>
        <v>0.49</v>
      </c>
    </row>
    <row r="17" spans="2:13" ht="15.75" thickBot="1" x14ac:dyDescent="0.3">
      <c r="B17" s="648"/>
      <c r="C17" s="687"/>
      <c r="D17" s="651"/>
      <c r="E17" s="2" t="s">
        <v>82</v>
      </c>
      <c r="F17" s="73">
        <v>1.79</v>
      </c>
      <c r="G17" s="2">
        <v>2.68</v>
      </c>
      <c r="H17" s="2">
        <v>2.62</v>
      </c>
      <c r="I17" s="79">
        <f t="shared" si="0"/>
        <v>2.3633333333333337</v>
      </c>
      <c r="J17" s="2">
        <v>0.5</v>
      </c>
      <c r="K17" s="2">
        <v>0.49</v>
      </c>
      <c r="L17" s="2"/>
      <c r="M17" s="79">
        <f t="shared" si="1"/>
        <v>0.495</v>
      </c>
    </row>
    <row r="18" spans="2:13" x14ac:dyDescent="0.25">
      <c r="B18" s="649" t="s">
        <v>169</v>
      </c>
      <c r="C18" s="690" t="s">
        <v>24</v>
      </c>
      <c r="D18" s="643" t="s">
        <v>190</v>
      </c>
      <c r="E18" s="50" t="s">
        <v>80</v>
      </c>
      <c r="F18" s="71">
        <v>1.95</v>
      </c>
      <c r="G18" s="50">
        <v>1.87</v>
      </c>
      <c r="H18" s="50"/>
      <c r="I18" s="77">
        <f t="shared" ref="I18:I34" si="2">AVERAGE(F18:H18)</f>
        <v>1.9100000000000001</v>
      </c>
      <c r="J18" s="50">
        <v>0.55000000000000004</v>
      </c>
      <c r="K18" s="50">
        <v>0.56000000000000005</v>
      </c>
      <c r="L18" s="50"/>
      <c r="M18" s="77">
        <f t="shared" ref="M18:M34" si="3">AVERAGE(J18:L18)</f>
        <v>0.55500000000000005</v>
      </c>
    </row>
    <row r="19" spans="2:13" x14ac:dyDescent="0.25">
      <c r="B19" s="647"/>
      <c r="C19" s="686"/>
      <c r="D19" s="641"/>
      <c r="E19" t="s">
        <v>79</v>
      </c>
      <c r="F19" s="72">
        <v>1.74</v>
      </c>
      <c r="G19">
        <v>1.92</v>
      </c>
      <c r="H19">
        <v>2.3199999999999998</v>
      </c>
      <c r="I19" s="78">
        <f t="shared" si="2"/>
        <v>1.9933333333333334</v>
      </c>
      <c r="J19">
        <v>0.5</v>
      </c>
      <c r="K19">
        <v>0.53</v>
      </c>
      <c r="M19" s="78">
        <f t="shared" si="3"/>
        <v>0.51500000000000001</v>
      </c>
    </row>
    <row r="20" spans="2:13" x14ac:dyDescent="0.25">
      <c r="B20" s="647"/>
      <c r="C20" s="686"/>
      <c r="D20" s="641"/>
      <c r="E20" t="s">
        <v>81</v>
      </c>
      <c r="F20" s="72">
        <v>1.72</v>
      </c>
      <c r="G20">
        <v>1.89</v>
      </c>
      <c r="H20">
        <v>1.87</v>
      </c>
      <c r="I20" s="78">
        <f t="shared" si="2"/>
        <v>1.8266666666666669</v>
      </c>
      <c r="J20">
        <v>0.55000000000000004</v>
      </c>
      <c r="K20">
        <v>0.47</v>
      </c>
      <c r="L20">
        <v>0.42</v>
      </c>
      <c r="M20" s="78">
        <f t="shared" si="3"/>
        <v>0.48</v>
      </c>
    </row>
    <row r="21" spans="2:13" x14ac:dyDescent="0.25">
      <c r="B21" s="647"/>
      <c r="C21" s="686"/>
      <c r="D21" s="641"/>
      <c r="E21" t="s">
        <v>82</v>
      </c>
      <c r="F21" s="72">
        <v>1.8</v>
      </c>
      <c r="G21">
        <v>1.86</v>
      </c>
      <c r="I21" s="78">
        <f t="shared" si="2"/>
        <v>1.83</v>
      </c>
      <c r="J21">
        <v>0.56000000000000005</v>
      </c>
      <c r="K21">
        <v>0.53</v>
      </c>
      <c r="M21" s="78">
        <f t="shared" si="3"/>
        <v>0.54500000000000004</v>
      </c>
    </row>
    <row r="22" spans="2:13" ht="15.75" thickBot="1" x14ac:dyDescent="0.3">
      <c r="B22" s="648"/>
      <c r="C22" s="687"/>
      <c r="D22" s="651"/>
      <c r="E22" s="2" t="s">
        <v>83</v>
      </c>
      <c r="F22" s="73">
        <v>2.31</v>
      </c>
      <c r="G22" s="2">
        <v>2.08</v>
      </c>
      <c r="H22" s="2">
        <v>2.4700000000000002</v>
      </c>
      <c r="I22" s="79">
        <f t="shared" si="2"/>
        <v>2.2866666666666671</v>
      </c>
      <c r="J22" s="2">
        <v>0.46</v>
      </c>
      <c r="K22" s="2">
        <v>0.47</v>
      </c>
      <c r="L22" s="2"/>
      <c r="M22" s="79">
        <f t="shared" si="3"/>
        <v>0.46499999999999997</v>
      </c>
    </row>
    <row r="23" spans="2:13" x14ac:dyDescent="0.25">
      <c r="B23" s="649" t="s">
        <v>175</v>
      </c>
      <c r="C23" s="690" t="s">
        <v>24</v>
      </c>
      <c r="D23" s="643" t="s">
        <v>189</v>
      </c>
      <c r="E23" s="50" t="s">
        <v>80</v>
      </c>
      <c r="F23" s="71">
        <v>1.38</v>
      </c>
      <c r="G23" s="50">
        <v>1.34</v>
      </c>
      <c r="H23" s="50"/>
      <c r="I23" s="77">
        <f t="shared" si="2"/>
        <v>1.3599999999999999</v>
      </c>
      <c r="J23" s="50">
        <v>0.4</v>
      </c>
      <c r="K23" s="50">
        <v>0.39</v>
      </c>
      <c r="L23" s="50"/>
      <c r="M23" s="77">
        <f t="shared" si="3"/>
        <v>0.39500000000000002</v>
      </c>
    </row>
    <row r="24" spans="2:13" x14ac:dyDescent="0.25">
      <c r="B24" s="647"/>
      <c r="C24" s="686"/>
      <c r="D24" s="641"/>
      <c r="E24" t="s">
        <v>79</v>
      </c>
      <c r="F24" s="72">
        <v>1.9</v>
      </c>
      <c r="G24">
        <v>2</v>
      </c>
      <c r="H24">
        <v>2.0699999999999998</v>
      </c>
      <c r="I24" s="78">
        <f t="shared" si="2"/>
        <v>1.99</v>
      </c>
      <c r="J24">
        <v>0.48</v>
      </c>
      <c r="K24">
        <v>0.46</v>
      </c>
      <c r="M24" s="78">
        <f>AVERAGE(J24:K24)</f>
        <v>0.47</v>
      </c>
    </row>
    <row r="25" spans="2:13" x14ac:dyDescent="0.25">
      <c r="B25" s="647"/>
      <c r="C25" s="686"/>
      <c r="D25" s="641"/>
      <c r="E25" t="s">
        <v>81</v>
      </c>
      <c r="F25" s="72">
        <v>1.57</v>
      </c>
      <c r="G25">
        <v>1.71</v>
      </c>
      <c r="H25">
        <v>1.59</v>
      </c>
      <c r="I25" s="78">
        <f t="shared" si="2"/>
        <v>1.6233333333333333</v>
      </c>
      <c r="J25">
        <v>0.47</v>
      </c>
      <c r="K25">
        <v>0.43</v>
      </c>
      <c r="M25" s="78">
        <f>AVERAGE(J25:K25)</f>
        <v>0.44999999999999996</v>
      </c>
    </row>
    <row r="26" spans="2:13" x14ac:dyDescent="0.25">
      <c r="B26" s="647"/>
      <c r="C26" s="686"/>
      <c r="D26" s="641"/>
      <c r="E26" t="s">
        <v>82</v>
      </c>
      <c r="F26" s="72">
        <v>1.78</v>
      </c>
      <c r="G26">
        <v>1.85</v>
      </c>
      <c r="I26" s="78">
        <f t="shared" si="2"/>
        <v>1.8149999999999999</v>
      </c>
      <c r="J26">
        <v>0.49</v>
      </c>
      <c r="K26">
        <v>0.47</v>
      </c>
      <c r="M26" s="78">
        <f t="shared" si="3"/>
        <v>0.48</v>
      </c>
    </row>
    <row r="27" spans="2:13" x14ac:dyDescent="0.25">
      <c r="B27" s="647"/>
      <c r="C27" s="686"/>
      <c r="D27" s="641"/>
      <c r="E27" t="s">
        <v>83</v>
      </c>
      <c r="F27" s="72">
        <v>1.39</v>
      </c>
      <c r="G27">
        <v>1.56</v>
      </c>
      <c r="H27">
        <v>1.36</v>
      </c>
      <c r="I27" s="78">
        <f t="shared" si="2"/>
        <v>1.4366666666666668</v>
      </c>
      <c r="J27">
        <v>0.45</v>
      </c>
      <c r="K27">
        <v>0.45</v>
      </c>
      <c r="M27" s="78">
        <f t="shared" si="3"/>
        <v>0.45</v>
      </c>
    </row>
    <row r="28" spans="2:13" ht="15.75" thickBot="1" x14ac:dyDescent="0.3">
      <c r="B28" s="648"/>
      <c r="C28" s="687"/>
      <c r="D28" s="651"/>
      <c r="E28" s="2" t="s">
        <v>94</v>
      </c>
      <c r="F28" s="73">
        <v>1.55</v>
      </c>
      <c r="G28" s="2">
        <v>1.57</v>
      </c>
      <c r="H28" s="2"/>
      <c r="I28" s="79">
        <f t="shared" si="2"/>
        <v>1.56</v>
      </c>
      <c r="J28" s="2">
        <v>0.47</v>
      </c>
      <c r="K28" s="2">
        <v>0.56000000000000005</v>
      </c>
      <c r="L28" s="2">
        <v>0.51</v>
      </c>
      <c r="M28" s="79">
        <f t="shared" si="3"/>
        <v>0.51333333333333331</v>
      </c>
    </row>
    <row r="29" spans="2:13" x14ac:dyDescent="0.25">
      <c r="B29" s="649" t="s">
        <v>179</v>
      </c>
      <c r="C29" s="690" t="s">
        <v>24</v>
      </c>
      <c r="D29" s="643" t="s">
        <v>191</v>
      </c>
      <c r="E29" s="50" t="s">
        <v>80</v>
      </c>
      <c r="F29" s="71">
        <v>2.65</v>
      </c>
      <c r="G29" s="50">
        <v>2.73</v>
      </c>
      <c r="H29" s="50"/>
      <c r="I29" s="77">
        <f t="shared" si="2"/>
        <v>2.69</v>
      </c>
      <c r="J29" s="50">
        <v>0.54</v>
      </c>
      <c r="K29" s="50">
        <v>0.56999999999999995</v>
      </c>
      <c r="L29" s="50"/>
      <c r="M29" s="77">
        <f t="shared" si="3"/>
        <v>0.55499999999999994</v>
      </c>
    </row>
    <row r="30" spans="2:13" x14ac:dyDescent="0.25">
      <c r="B30" s="647"/>
      <c r="C30" s="686"/>
      <c r="D30" s="641"/>
      <c r="E30" t="s">
        <v>79</v>
      </c>
      <c r="F30" s="72">
        <v>2.09</v>
      </c>
      <c r="G30">
        <v>2.1</v>
      </c>
      <c r="I30" s="78">
        <f t="shared" si="2"/>
        <v>2.0949999999999998</v>
      </c>
      <c r="J30">
        <v>0.56000000000000005</v>
      </c>
      <c r="K30">
        <v>0.56999999999999995</v>
      </c>
      <c r="M30" s="78">
        <f t="shared" si="3"/>
        <v>0.56499999999999995</v>
      </c>
    </row>
    <row r="31" spans="2:13" x14ac:dyDescent="0.25">
      <c r="B31" s="647"/>
      <c r="C31" s="686"/>
      <c r="D31" s="641"/>
      <c r="E31" t="s">
        <v>81</v>
      </c>
      <c r="F31" s="72">
        <v>2.2799999999999998</v>
      </c>
      <c r="G31">
        <v>2.4</v>
      </c>
      <c r="H31">
        <v>2.15</v>
      </c>
      <c r="I31" s="78">
        <f t="shared" si="2"/>
        <v>2.2766666666666668</v>
      </c>
      <c r="J31">
        <v>0.55000000000000004</v>
      </c>
      <c r="K31">
        <v>0.56000000000000005</v>
      </c>
      <c r="M31" s="78">
        <f>AVERAGE(J31:L31)</f>
        <v>0.55500000000000005</v>
      </c>
    </row>
    <row r="32" spans="2:13" x14ac:dyDescent="0.25">
      <c r="B32" s="647"/>
      <c r="C32" s="686"/>
      <c r="D32" s="641"/>
      <c r="E32" t="s">
        <v>82</v>
      </c>
      <c r="F32" s="72">
        <v>2.2400000000000002</v>
      </c>
      <c r="G32">
        <v>1.99</v>
      </c>
      <c r="H32">
        <v>1.88</v>
      </c>
      <c r="I32" s="78">
        <f t="shared" si="2"/>
        <v>2.0366666666666666</v>
      </c>
      <c r="J32">
        <v>0.47</v>
      </c>
      <c r="K32">
        <v>0.49</v>
      </c>
      <c r="M32" s="78">
        <f>AVERAGE(J32:L32)</f>
        <v>0.48</v>
      </c>
    </row>
    <row r="33" spans="2:13" x14ac:dyDescent="0.25">
      <c r="B33" s="647"/>
      <c r="C33" s="686"/>
      <c r="D33" s="641"/>
      <c r="E33" t="s">
        <v>83</v>
      </c>
      <c r="F33" s="72">
        <v>1.81</v>
      </c>
      <c r="G33">
        <v>1.89</v>
      </c>
      <c r="I33" s="78">
        <f t="shared" si="2"/>
        <v>1.85</v>
      </c>
      <c r="J33">
        <v>0.44</v>
      </c>
      <c r="K33">
        <v>0.46</v>
      </c>
      <c r="M33" s="78">
        <f>AVERAGE(J33:L33)</f>
        <v>0.45</v>
      </c>
    </row>
    <row r="34" spans="2:13" ht="15.75" thickBot="1" x14ac:dyDescent="0.3">
      <c r="B34" s="648"/>
      <c r="C34" s="687"/>
      <c r="D34" s="651"/>
      <c r="E34" s="2" t="s">
        <v>94</v>
      </c>
      <c r="F34" s="73">
        <v>2.02</v>
      </c>
      <c r="G34" s="2">
        <v>2.4500000000000002</v>
      </c>
      <c r="H34" s="2">
        <v>2.2599999999999998</v>
      </c>
      <c r="I34" s="79">
        <f t="shared" si="2"/>
        <v>2.2433333333333336</v>
      </c>
      <c r="J34" s="2">
        <v>0.52</v>
      </c>
      <c r="K34" s="2">
        <v>0.5</v>
      </c>
      <c r="L34" s="2"/>
      <c r="M34" s="79">
        <f t="shared" si="3"/>
        <v>0.51</v>
      </c>
    </row>
    <row r="35" spans="2:13" x14ac:dyDescent="0.25">
      <c r="B35" s="649" t="s">
        <v>186</v>
      </c>
      <c r="C35" s="690" t="s">
        <v>28</v>
      </c>
      <c r="D35" s="643">
        <v>0.15</v>
      </c>
      <c r="E35" s="50" t="s">
        <v>80</v>
      </c>
      <c r="F35" s="71">
        <v>2.08</v>
      </c>
      <c r="G35" s="50">
        <v>1.82</v>
      </c>
      <c r="H35" s="50">
        <v>1.73</v>
      </c>
      <c r="I35" s="77">
        <f t="shared" ref="I35:I43" si="4">AVERAGE(F35:H35)</f>
        <v>1.8766666666666669</v>
      </c>
      <c r="J35" s="50">
        <v>0.56000000000000005</v>
      </c>
      <c r="K35" s="50">
        <v>0.59</v>
      </c>
      <c r="L35" s="50"/>
      <c r="M35" s="77">
        <f t="shared" ref="M35:M65" si="5">AVERAGE(J35:L35)</f>
        <v>0.57499999999999996</v>
      </c>
    </row>
    <row r="36" spans="2:13" x14ac:dyDescent="0.25">
      <c r="B36" s="647"/>
      <c r="C36" s="686"/>
      <c r="D36" s="641"/>
      <c r="E36" t="s">
        <v>79</v>
      </c>
      <c r="F36" s="72">
        <v>1.82</v>
      </c>
      <c r="G36">
        <v>1.67</v>
      </c>
      <c r="H36">
        <v>1.96</v>
      </c>
      <c r="I36" s="78">
        <f t="shared" si="4"/>
        <v>1.8166666666666667</v>
      </c>
      <c r="J36">
        <v>0.51</v>
      </c>
      <c r="K36">
        <v>0.53</v>
      </c>
      <c r="M36" s="78">
        <f t="shared" si="5"/>
        <v>0.52</v>
      </c>
    </row>
    <row r="37" spans="2:13" x14ac:dyDescent="0.25">
      <c r="B37" s="647"/>
      <c r="C37" s="686"/>
      <c r="D37" s="641"/>
      <c r="E37" t="s">
        <v>81</v>
      </c>
      <c r="F37" s="72">
        <v>1.92</v>
      </c>
      <c r="G37">
        <v>1.76</v>
      </c>
      <c r="H37">
        <v>1.79</v>
      </c>
      <c r="I37" s="78">
        <f t="shared" si="4"/>
        <v>1.8233333333333333</v>
      </c>
      <c r="J37">
        <v>0.56000000000000005</v>
      </c>
      <c r="K37">
        <v>0.56999999999999995</v>
      </c>
      <c r="M37" s="78">
        <f t="shared" si="5"/>
        <v>0.56499999999999995</v>
      </c>
    </row>
    <row r="38" spans="2:13" x14ac:dyDescent="0.25">
      <c r="B38" s="647"/>
      <c r="C38" s="686"/>
      <c r="D38" s="641"/>
      <c r="E38" t="s">
        <v>82</v>
      </c>
      <c r="F38" s="72">
        <v>1.6</v>
      </c>
      <c r="G38">
        <v>1.53</v>
      </c>
      <c r="I38" s="78">
        <f t="shared" si="4"/>
        <v>1.5649999999999999</v>
      </c>
      <c r="J38">
        <v>0.43</v>
      </c>
      <c r="K38">
        <v>0.45</v>
      </c>
      <c r="M38" s="78">
        <f t="shared" si="5"/>
        <v>0.44</v>
      </c>
    </row>
    <row r="39" spans="2:13" x14ac:dyDescent="0.25">
      <c r="B39" s="647"/>
      <c r="C39" s="686"/>
      <c r="D39" s="641"/>
      <c r="E39" t="s">
        <v>83</v>
      </c>
      <c r="F39" s="72">
        <v>1.74</v>
      </c>
      <c r="G39">
        <v>1.93</v>
      </c>
      <c r="H39">
        <v>1.93</v>
      </c>
      <c r="I39" s="78">
        <f t="shared" si="4"/>
        <v>1.8666666666666665</v>
      </c>
      <c r="J39">
        <v>0.47</v>
      </c>
      <c r="K39">
        <v>0.5</v>
      </c>
      <c r="M39" s="78">
        <f t="shared" si="5"/>
        <v>0.48499999999999999</v>
      </c>
    </row>
    <row r="40" spans="2:13" ht="15.75" thickBot="1" x14ac:dyDescent="0.3">
      <c r="B40" s="648"/>
      <c r="C40" s="687"/>
      <c r="D40" s="651"/>
      <c r="E40" s="2" t="s">
        <v>94</v>
      </c>
      <c r="F40" s="73">
        <v>1.79</v>
      </c>
      <c r="G40" s="2">
        <v>1.83</v>
      </c>
      <c r="H40" s="2"/>
      <c r="I40" s="79">
        <f t="shared" si="4"/>
        <v>1.81</v>
      </c>
      <c r="J40" s="2">
        <v>0.48</v>
      </c>
      <c r="K40" s="2">
        <v>0.5</v>
      </c>
      <c r="L40" s="2"/>
      <c r="M40" s="79">
        <f t="shared" si="5"/>
        <v>0.49</v>
      </c>
    </row>
    <row r="41" spans="2:13" x14ac:dyDescent="0.25">
      <c r="B41" s="667" t="s">
        <v>188</v>
      </c>
      <c r="C41" s="690" t="s">
        <v>28</v>
      </c>
      <c r="D41" s="643">
        <v>0.15</v>
      </c>
      <c r="E41" s="25" t="s">
        <v>80</v>
      </c>
      <c r="F41" s="71">
        <v>1.45</v>
      </c>
      <c r="G41" s="50">
        <v>2.0499999999999998</v>
      </c>
      <c r="H41" s="50">
        <v>1.41</v>
      </c>
      <c r="I41" s="215">
        <f t="shared" si="4"/>
        <v>1.6366666666666667</v>
      </c>
      <c r="J41" s="50">
        <v>0.48</v>
      </c>
      <c r="K41" s="50">
        <v>0.49</v>
      </c>
      <c r="L41" s="50"/>
      <c r="M41" s="215">
        <f t="shared" si="5"/>
        <v>0.48499999999999999</v>
      </c>
    </row>
    <row r="42" spans="2:13" x14ac:dyDescent="0.25">
      <c r="B42" s="665"/>
      <c r="C42" s="686"/>
      <c r="D42" s="641"/>
      <c r="E42" s="27" t="s">
        <v>79</v>
      </c>
      <c r="F42" s="72">
        <v>1.72</v>
      </c>
      <c r="G42">
        <v>2.08</v>
      </c>
      <c r="H42">
        <v>1.69</v>
      </c>
      <c r="I42" s="166">
        <f t="shared" si="4"/>
        <v>1.83</v>
      </c>
      <c r="J42">
        <v>0.89</v>
      </c>
      <c r="K42">
        <v>0.86</v>
      </c>
      <c r="M42" s="166">
        <f t="shared" si="5"/>
        <v>0.875</v>
      </c>
    </row>
    <row r="43" spans="2:13" ht="15.75" thickBot="1" x14ac:dyDescent="0.3">
      <c r="B43" s="665"/>
      <c r="C43" s="686"/>
      <c r="D43" s="641"/>
      <c r="E43" s="27" t="s">
        <v>81</v>
      </c>
      <c r="F43" s="72">
        <v>1.64</v>
      </c>
      <c r="G43">
        <v>1.59</v>
      </c>
      <c r="I43" s="166">
        <f t="shared" si="4"/>
        <v>1.615</v>
      </c>
      <c r="J43">
        <v>0.51</v>
      </c>
      <c r="K43">
        <v>0.46</v>
      </c>
      <c r="M43" s="166">
        <f t="shared" si="5"/>
        <v>0.48499999999999999</v>
      </c>
    </row>
    <row r="44" spans="2:13" x14ac:dyDescent="0.25">
      <c r="B44" s="667" t="s">
        <v>184</v>
      </c>
      <c r="C44" s="690" t="s">
        <v>28</v>
      </c>
      <c r="D44" s="643" t="s">
        <v>191</v>
      </c>
      <c r="E44" s="55" t="s">
        <v>80</v>
      </c>
      <c r="F44" s="219">
        <v>1.71</v>
      </c>
      <c r="G44" s="219">
        <v>1.86</v>
      </c>
      <c r="H44" s="219">
        <v>1.93</v>
      </c>
      <c r="I44" s="215">
        <f>AVERAGE(F44:H44)</f>
        <v>1.8333333333333333</v>
      </c>
      <c r="J44" s="71">
        <v>0.53</v>
      </c>
      <c r="K44" s="50">
        <v>0.48</v>
      </c>
      <c r="L44" s="50"/>
      <c r="M44" s="215">
        <f t="shared" si="5"/>
        <v>0.505</v>
      </c>
    </row>
    <row r="45" spans="2:13" x14ac:dyDescent="0.25">
      <c r="B45" s="665"/>
      <c r="C45" s="686"/>
      <c r="D45" s="641"/>
      <c r="E45" s="58" t="s">
        <v>79</v>
      </c>
      <c r="F45" s="217">
        <v>1.68</v>
      </c>
      <c r="G45" s="217">
        <v>1.61</v>
      </c>
      <c r="H45" s="218"/>
      <c r="I45" s="166">
        <f t="shared" ref="I45:I65" si="6">AVERAGE(F45:H45)</f>
        <v>1.645</v>
      </c>
      <c r="J45" s="72">
        <v>0.46</v>
      </c>
      <c r="K45">
        <v>0.48</v>
      </c>
      <c r="M45" s="166">
        <f t="shared" si="5"/>
        <v>0.47</v>
      </c>
    </row>
    <row r="46" spans="2:13" x14ac:dyDescent="0.25">
      <c r="B46" s="665"/>
      <c r="C46" s="686"/>
      <c r="D46" s="641"/>
      <c r="E46" s="58" t="s">
        <v>81</v>
      </c>
      <c r="F46" s="217">
        <v>2.0299999999999998</v>
      </c>
      <c r="G46" s="217">
        <v>1.99</v>
      </c>
      <c r="H46" s="218"/>
      <c r="I46" s="166">
        <f t="shared" si="6"/>
        <v>2.0099999999999998</v>
      </c>
      <c r="J46" s="72">
        <v>0.56000000000000005</v>
      </c>
      <c r="K46">
        <v>0.54</v>
      </c>
      <c r="M46" s="166">
        <f t="shared" si="5"/>
        <v>0.55000000000000004</v>
      </c>
    </row>
    <row r="47" spans="2:13" x14ac:dyDescent="0.25">
      <c r="B47" s="665"/>
      <c r="C47" s="686"/>
      <c r="D47" s="641"/>
      <c r="E47" s="58" t="s">
        <v>82</v>
      </c>
      <c r="F47" s="217">
        <v>2.08</v>
      </c>
      <c r="G47" s="217">
        <v>2.04</v>
      </c>
      <c r="H47" s="218"/>
      <c r="I47" s="166">
        <f t="shared" si="6"/>
        <v>2.06</v>
      </c>
      <c r="J47" s="72">
        <v>0.57999999999999996</v>
      </c>
      <c r="K47">
        <v>0.57999999999999996</v>
      </c>
      <c r="M47" s="166">
        <f t="shared" si="5"/>
        <v>0.57999999999999996</v>
      </c>
    </row>
    <row r="48" spans="2:13" x14ac:dyDescent="0.25">
      <c r="B48" s="665"/>
      <c r="C48" s="686"/>
      <c r="D48" s="641"/>
      <c r="E48" s="58" t="s">
        <v>83</v>
      </c>
      <c r="F48" s="217">
        <v>2</v>
      </c>
      <c r="G48" s="217">
        <v>1.85</v>
      </c>
      <c r="H48" s="217">
        <v>1.85</v>
      </c>
      <c r="I48" s="166">
        <f t="shared" si="6"/>
        <v>1.9000000000000001</v>
      </c>
      <c r="J48" s="72">
        <v>0.47</v>
      </c>
      <c r="K48" s="217">
        <v>0.47</v>
      </c>
      <c r="M48" s="166">
        <f t="shared" si="5"/>
        <v>0.47</v>
      </c>
    </row>
    <row r="49" spans="2:13" ht="15.75" thickBot="1" x14ac:dyDescent="0.3">
      <c r="B49" s="666"/>
      <c r="C49" s="687"/>
      <c r="D49" s="651"/>
      <c r="E49" s="56" t="s">
        <v>94</v>
      </c>
      <c r="F49" s="220">
        <v>1.79</v>
      </c>
      <c r="G49" s="220">
        <v>1.74</v>
      </c>
      <c r="H49" s="221"/>
      <c r="I49" s="216">
        <f t="shared" si="6"/>
        <v>1.7650000000000001</v>
      </c>
      <c r="J49" s="73">
        <v>0.51</v>
      </c>
      <c r="K49" s="2">
        <v>0.48</v>
      </c>
      <c r="L49" s="2"/>
      <c r="M49" s="216">
        <f t="shared" si="5"/>
        <v>0.495</v>
      </c>
    </row>
    <row r="50" spans="2:13" x14ac:dyDescent="0.25">
      <c r="B50" s="667" t="s">
        <v>206</v>
      </c>
      <c r="C50" s="690" t="s">
        <v>24</v>
      </c>
      <c r="D50" s="660" t="s">
        <v>191</v>
      </c>
      <c r="E50" s="25" t="s">
        <v>80</v>
      </c>
      <c r="F50" s="318">
        <v>1.98</v>
      </c>
      <c r="G50" s="311">
        <v>1.81</v>
      </c>
      <c r="H50" s="311">
        <v>1.67</v>
      </c>
      <c r="I50" s="215">
        <f t="shared" si="6"/>
        <v>1.82</v>
      </c>
      <c r="J50" s="50">
        <v>0.52</v>
      </c>
      <c r="K50" s="50">
        <v>0.54</v>
      </c>
      <c r="L50" s="50"/>
      <c r="M50" s="215">
        <f t="shared" si="5"/>
        <v>0.53</v>
      </c>
    </row>
    <row r="51" spans="2:13" x14ac:dyDescent="0.25">
      <c r="B51" s="665"/>
      <c r="C51" s="686"/>
      <c r="D51" s="715"/>
      <c r="E51" s="27" t="s">
        <v>79</v>
      </c>
      <c r="F51" s="319">
        <v>2.7</v>
      </c>
      <c r="G51" s="312">
        <v>2.5499999999999998</v>
      </c>
      <c r="H51" s="313">
        <v>2.75</v>
      </c>
      <c r="I51" s="166">
        <f t="shared" si="6"/>
        <v>2.6666666666666665</v>
      </c>
      <c r="J51">
        <v>0.68</v>
      </c>
      <c r="K51">
        <v>0.68</v>
      </c>
      <c r="M51" s="166">
        <f t="shared" si="5"/>
        <v>0.68</v>
      </c>
    </row>
    <row r="52" spans="2:13" x14ac:dyDescent="0.25">
      <c r="B52" s="665"/>
      <c r="C52" s="686"/>
      <c r="D52" s="715"/>
      <c r="E52" s="27" t="s">
        <v>81</v>
      </c>
      <c r="F52" s="320">
        <v>2.19</v>
      </c>
      <c r="G52" s="313">
        <v>1.88</v>
      </c>
      <c r="H52" s="313">
        <v>1.86</v>
      </c>
      <c r="I52" s="166">
        <f t="shared" si="6"/>
        <v>1.9766666666666668</v>
      </c>
      <c r="J52" s="313">
        <v>0.55000000000000004</v>
      </c>
      <c r="K52" s="313">
        <v>0.54</v>
      </c>
      <c r="M52" s="166">
        <f t="shared" si="5"/>
        <v>0.54500000000000004</v>
      </c>
    </row>
    <row r="53" spans="2:13" x14ac:dyDescent="0.25">
      <c r="B53" s="665"/>
      <c r="C53" s="686"/>
      <c r="D53" s="715"/>
      <c r="E53" s="27" t="s">
        <v>82</v>
      </c>
      <c r="F53" s="319">
        <v>1.83</v>
      </c>
      <c r="G53" s="312">
        <v>1.72</v>
      </c>
      <c r="H53" s="312">
        <v>1.59</v>
      </c>
      <c r="I53" s="166">
        <f t="shared" si="6"/>
        <v>1.7133333333333332</v>
      </c>
      <c r="J53" s="312">
        <v>0.48</v>
      </c>
      <c r="K53" s="312">
        <v>0.53</v>
      </c>
      <c r="M53" s="166">
        <f t="shared" si="5"/>
        <v>0.505</v>
      </c>
    </row>
    <row r="54" spans="2:13" x14ac:dyDescent="0.25">
      <c r="B54" s="665"/>
      <c r="C54" s="686"/>
      <c r="D54" s="720"/>
      <c r="E54" s="61" t="s">
        <v>83</v>
      </c>
      <c r="F54" s="321">
        <v>1.68</v>
      </c>
      <c r="G54" s="316">
        <v>1.64</v>
      </c>
      <c r="H54" s="317"/>
      <c r="I54" s="323">
        <f t="shared" si="6"/>
        <v>1.66</v>
      </c>
      <c r="J54" s="60">
        <v>0.43</v>
      </c>
      <c r="K54" s="60">
        <v>0.47</v>
      </c>
      <c r="L54" s="60"/>
      <c r="M54" s="323">
        <f t="shared" si="5"/>
        <v>0.44999999999999996</v>
      </c>
    </row>
    <row r="55" spans="2:13" x14ac:dyDescent="0.25">
      <c r="B55" s="665"/>
      <c r="C55" s="686"/>
      <c r="D55" s="685" t="s">
        <v>215</v>
      </c>
      <c r="E55" s="27" t="s">
        <v>82</v>
      </c>
      <c r="F55" s="319">
        <v>1.77</v>
      </c>
      <c r="G55" s="312">
        <v>1.85</v>
      </c>
      <c r="H55" s="313">
        <v>1.82</v>
      </c>
      <c r="I55" s="166">
        <f t="shared" si="6"/>
        <v>1.8133333333333335</v>
      </c>
      <c r="J55">
        <v>0.49</v>
      </c>
      <c r="K55">
        <v>0.46</v>
      </c>
      <c r="M55" s="166">
        <f t="shared" si="5"/>
        <v>0.47499999999999998</v>
      </c>
    </row>
    <row r="56" spans="2:13" ht="15.75" thickBot="1" x14ac:dyDescent="0.3">
      <c r="B56" s="666"/>
      <c r="C56" s="687"/>
      <c r="D56" s="687"/>
      <c r="E56" s="8" t="s">
        <v>83</v>
      </c>
      <c r="F56" s="322">
        <v>2.11</v>
      </c>
      <c r="G56" s="314">
        <v>1.99</v>
      </c>
      <c r="H56" s="315">
        <v>2.02</v>
      </c>
      <c r="I56" s="216">
        <f t="shared" si="6"/>
        <v>2.0399999999999996</v>
      </c>
      <c r="J56" s="2">
        <v>0.55000000000000004</v>
      </c>
      <c r="K56" s="2">
        <v>0.56999999999999995</v>
      </c>
      <c r="L56" s="2"/>
      <c r="M56" s="216">
        <f t="shared" si="5"/>
        <v>0.56000000000000005</v>
      </c>
    </row>
    <row r="57" spans="2:13" x14ac:dyDescent="0.25">
      <c r="B57" s="667" t="s">
        <v>208</v>
      </c>
      <c r="C57" s="660" t="s">
        <v>28</v>
      </c>
      <c r="D57" s="660" t="s">
        <v>191</v>
      </c>
      <c r="E57" s="25" t="s">
        <v>80</v>
      </c>
      <c r="F57" s="318">
        <v>1.97</v>
      </c>
      <c r="G57" s="311">
        <v>2.04</v>
      </c>
      <c r="H57" s="311"/>
      <c r="I57" s="215">
        <f t="shared" si="6"/>
        <v>2.0049999999999999</v>
      </c>
      <c r="J57" s="71">
        <v>0.53</v>
      </c>
      <c r="K57" s="50">
        <v>0.53</v>
      </c>
      <c r="L57" s="50"/>
      <c r="M57" s="215">
        <f t="shared" si="5"/>
        <v>0.53</v>
      </c>
    </row>
    <row r="58" spans="2:13" x14ac:dyDescent="0.25">
      <c r="B58" s="665"/>
      <c r="C58" s="715"/>
      <c r="D58" s="715"/>
      <c r="E58" s="27" t="s">
        <v>79</v>
      </c>
      <c r="F58" s="319">
        <v>1.95</v>
      </c>
      <c r="G58" s="312">
        <v>1.83</v>
      </c>
      <c r="H58" s="313">
        <v>1.81</v>
      </c>
      <c r="I58" s="166">
        <f t="shared" si="6"/>
        <v>1.8633333333333333</v>
      </c>
      <c r="J58" s="72">
        <v>0.53</v>
      </c>
      <c r="K58">
        <v>0.53</v>
      </c>
      <c r="M58" s="166">
        <f t="shared" si="5"/>
        <v>0.53</v>
      </c>
    </row>
    <row r="59" spans="2:13" x14ac:dyDescent="0.25">
      <c r="B59" s="665"/>
      <c r="C59" s="715"/>
      <c r="D59" s="715"/>
      <c r="E59" s="27" t="s">
        <v>81</v>
      </c>
      <c r="F59" s="72">
        <v>2.21</v>
      </c>
      <c r="G59" s="312">
        <v>2.48</v>
      </c>
      <c r="H59" s="313">
        <v>2.2999999999999998</v>
      </c>
      <c r="I59" s="166">
        <f t="shared" si="6"/>
        <v>2.3299999999999996</v>
      </c>
      <c r="J59" s="72">
        <v>0.53</v>
      </c>
      <c r="K59">
        <v>0.55000000000000004</v>
      </c>
      <c r="M59" s="166">
        <f t="shared" si="5"/>
        <v>0.54</v>
      </c>
    </row>
    <row r="60" spans="2:13" x14ac:dyDescent="0.25">
      <c r="B60" s="665"/>
      <c r="C60" s="715"/>
      <c r="D60" s="715"/>
      <c r="E60" s="27" t="s">
        <v>82</v>
      </c>
      <c r="F60" s="72">
        <v>1.89</v>
      </c>
      <c r="G60" s="312">
        <v>2.02</v>
      </c>
      <c r="H60" s="313">
        <v>2.1800000000000002</v>
      </c>
      <c r="I60" s="166">
        <f t="shared" si="6"/>
        <v>2.0299999999999998</v>
      </c>
      <c r="J60" s="72">
        <v>0.47</v>
      </c>
      <c r="K60">
        <v>0.51</v>
      </c>
      <c r="M60" s="166">
        <f t="shared" si="5"/>
        <v>0.49</v>
      </c>
    </row>
    <row r="61" spans="2:13" x14ac:dyDescent="0.25">
      <c r="B61" s="665"/>
      <c r="C61" s="715"/>
      <c r="D61" s="720"/>
      <c r="E61" s="61" t="s">
        <v>83</v>
      </c>
      <c r="F61" s="212">
        <v>2.35</v>
      </c>
      <c r="G61" s="60">
        <v>2.77</v>
      </c>
      <c r="H61" s="60">
        <v>2.5</v>
      </c>
      <c r="I61" s="323">
        <f t="shared" si="6"/>
        <v>2.54</v>
      </c>
      <c r="J61" s="212">
        <v>0.57999999999999996</v>
      </c>
      <c r="K61" s="60">
        <v>0.6</v>
      </c>
      <c r="L61" s="60"/>
      <c r="M61" s="323">
        <f t="shared" si="5"/>
        <v>0.59</v>
      </c>
    </row>
    <row r="62" spans="2:13" x14ac:dyDescent="0.25">
      <c r="B62" s="665"/>
      <c r="C62" s="715"/>
      <c r="D62" s="715" t="s">
        <v>215</v>
      </c>
      <c r="E62" s="27" t="s">
        <v>94</v>
      </c>
      <c r="F62" s="72">
        <v>2.2999999999999998</v>
      </c>
      <c r="G62" s="312">
        <v>2.46</v>
      </c>
      <c r="H62" s="313">
        <v>2.11</v>
      </c>
      <c r="I62" s="166">
        <f t="shared" si="6"/>
        <v>2.2899999999999996</v>
      </c>
      <c r="J62" s="72">
        <v>0.65</v>
      </c>
      <c r="K62">
        <v>0.61</v>
      </c>
      <c r="M62" s="166">
        <f t="shared" si="5"/>
        <v>0.63</v>
      </c>
    </row>
    <row r="63" spans="2:13" x14ac:dyDescent="0.25">
      <c r="B63" s="665"/>
      <c r="C63" s="715"/>
      <c r="D63" s="715"/>
      <c r="E63" s="27" t="s">
        <v>209</v>
      </c>
      <c r="F63" s="72">
        <v>2.04</v>
      </c>
      <c r="G63" s="312">
        <v>2.0299999999999998</v>
      </c>
      <c r="I63" s="166">
        <f t="shared" si="6"/>
        <v>2.0350000000000001</v>
      </c>
      <c r="J63" s="72">
        <v>0.54</v>
      </c>
      <c r="K63">
        <v>0.59</v>
      </c>
      <c r="M63" s="166">
        <f t="shared" si="5"/>
        <v>0.56499999999999995</v>
      </c>
    </row>
    <row r="64" spans="2:13" x14ac:dyDescent="0.25">
      <c r="B64" s="665"/>
      <c r="C64" s="715"/>
      <c r="D64" s="715"/>
      <c r="E64" s="27" t="s">
        <v>210</v>
      </c>
      <c r="F64" s="72">
        <v>2.0099999999999998</v>
      </c>
      <c r="G64" s="312">
        <v>1.85</v>
      </c>
      <c r="H64" s="313">
        <v>1.63</v>
      </c>
      <c r="I64" s="166">
        <f t="shared" si="6"/>
        <v>1.83</v>
      </c>
      <c r="J64" s="72">
        <v>0.5</v>
      </c>
      <c r="K64">
        <v>0.49</v>
      </c>
      <c r="M64" s="166">
        <f t="shared" si="5"/>
        <v>0.495</v>
      </c>
    </row>
    <row r="65" spans="2:13" x14ac:dyDescent="0.25">
      <c r="B65" s="665"/>
      <c r="C65" s="715"/>
      <c r="D65" s="715"/>
      <c r="E65" s="27" t="s">
        <v>211</v>
      </c>
      <c r="F65" s="72">
        <v>1.45</v>
      </c>
      <c r="G65" s="312">
        <v>2.5499999999999998</v>
      </c>
      <c r="H65">
        <v>1.54</v>
      </c>
      <c r="I65" s="166">
        <f t="shared" si="6"/>
        <v>1.8466666666666667</v>
      </c>
      <c r="J65" s="72">
        <v>0.54</v>
      </c>
      <c r="K65">
        <v>0.55000000000000004</v>
      </c>
      <c r="M65" s="166">
        <f t="shared" si="5"/>
        <v>0.54500000000000004</v>
      </c>
    </row>
    <row r="66" spans="2:13" ht="15.75" thickBot="1" x14ac:dyDescent="0.3">
      <c r="B66" s="666"/>
      <c r="C66" s="661"/>
      <c r="D66" s="661"/>
      <c r="E66" s="8" t="s">
        <v>212</v>
      </c>
      <c r="F66" s="73"/>
      <c r="G66" s="2"/>
      <c r="H66" s="2"/>
      <c r="I66" s="216"/>
      <c r="J66" s="73"/>
      <c r="K66" s="2"/>
      <c r="L66" s="2"/>
      <c r="M66" s="216"/>
    </row>
    <row r="67" spans="2:13" x14ac:dyDescent="0.25">
      <c r="B67" s="667" t="s">
        <v>225</v>
      </c>
      <c r="C67" s="660" t="s">
        <v>28</v>
      </c>
      <c r="D67" s="660" t="s">
        <v>189</v>
      </c>
      <c r="E67" s="25" t="s">
        <v>80</v>
      </c>
      <c r="F67" s="318">
        <v>1.66</v>
      </c>
      <c r="G67" s="311">
        <v>1.92</v>
      </c>
      <c r="H67" s="311">
        <v>1.84</v>
      </c>
      <c r="I67" s="215">
        <f>AVERAGE(F67:H67)</f>
        <v>1.8066666666666666</v>
      </c>
      <c r="J67" s="71">
        <v>0.56000000000000005</v>
      </c>
      <c r="K67" s="50">
        <v>0.53</v>
      </c>
      <c r="L67" s="50"/>
      <c r="M67" s="215">
        <f>AVERAGE(J67:L67)</f>
        <v>0.54500000000000004</v>
      </c>
    </row>
    <row r="68" spans="2:13" x14ac:dyDescent="0.25">
      <c r="B68" s="665"/>
      <c r="C68" s="715"/>
      <c r="D68" s="715"/>
      <c r="E68" s="27" t="s">
        <v>79</v>
      </c>
      <c r="F68" s="319">
        <v>1.28</v>
      </c>
      <c r="G68" s="312">
        <v>1.35</v>
      </c>
      <c r="H68" s="313"/>
      <c r="I68" s="166">
        <f>AVERAGE(F68:H68)</f>
        <v>1.3149999999999999</v>
      </c>
      <c r="J68" s="72">
        <v>0.44</v>
      </c>
      <c r="K68">
        <v>0.43</v>
      </c>
      <c r="M68" s="166">
        <f>AVERAGE(J68:L68)</f>
        <v>0.435</v>
      </c>
    </row>
    <row r="69" spans="2:13" x14ac:dyDescent="0.25">
      <c r="B69" s="665"/>
      <c r="C69" s="715"/>
      <c r="D69" s="715"/>
      <c r="E69" s="27" t="s">
        <v>81</v>
      </c>
      <c r="F69" s="72">
        <v>1.78</v>
      </c>
      <c r="G69" s="312">
        <v>1.62</v>
      </c>
      <c r="H69" s="313">
        <v>1.47</v>
      </c>
      <c r="I69" s="166">
        <f>AVERAGE(F69:H69)</f>
        <v>1.6233333333333333</v>
      </c>
      <c r="J69" s="72">
        <v>0.4</v>
      </c>
      <c r="K69">
        <v>0.47</v>
      </c>
      <c r="M69" s="166">
        <f>AVERAGE(J69:L69)</f>
        <v>0.435</v>
      </c>
    </row>
    <row r="70" spans="2:13" x14ac:dyDescent="0.25">
      <c r="B70" s="665"/>
      <c r="C70" s="715"/>
      <c r="D70" s="715"/>
      <c r="E70" s="27" t="s">
        <v>82</v>
      </c>
      <c r="F70" s="72">
        <v>1.78</v>
      </c>
      <c r="G70" s="312">
        <v>1.68</v>
      </c>
      <c r="H70" s="313"/>
      <c r="I70" s="166">
        <f>AVERAGE(F70:H70)</f>
        <v>1.73</v>
      </c>
      <c r="J70" s="72">
        <v>0.52</v>
      </c>
      <c r="K70">
        <v>0.55000000000000004</v>
      </c>
      <c r="M70" s="166">
        <f>AVERAGE(J70:L70)</f>
        <v>0.53500000000000003</v>
      </c>
    </row>
    <row r="71" spans="2:13" x14ac:dyDescent="0.25">
      <c r="B71" s="665"/>
      <c r="C71" s="715"/>
      <c r="D71" s="720"/>
      <c r="E71" s="61" t="s">
        <v>83</v>
      </c>
      <c r="F71" s="212">
        <v>2.1800000000000002</v>
      </c>
      <c r="G71" s="60">
        <v>2.08</v>
      </c>
      <c r="H71" s="60"/>
      <c r="I71" s="323">
        <f>AVERAGE(F71:H71)</f>
        <v>2.13</v>
      </c>
      <c r="J71" s="212">
        <v>0.53</v>
      </c>
      <c r="K71" s="60">
        <v>0.45</v>
      </c>
      <c r="L71" s="60">
        <v>0.57999999999999996</v>
      </c>
      <c r="M71" s="323">
        <f>AVERAGE(J71:L71)</f>
        <v>0.52</v>
      </c>
    </row>
    <row r="72" spans="2:13" x14ac:dyDescent="0.25">
      <c r="B72" s="665"/>
      <c r="C72" s="715"/>
      <c r="D72" s="715" t="s">
        <v>215</v>
      </c>
      <c r="E72" s="27" t="s">
        <v>94</v>
      </c>
      <c r="F72" s="333"/>
      <c r="G72" s="334"/>
      <c r="H72" s="335"/>
      <c r="I72" s="336"/>
      <c r="J72" s="333"/>
      <c r="K72" s="1"/>
      <c r="L72" s="1"/>
      <c r="M72" s="336"/>
    </row>
    <row r="73" spans="2:13" x14ac:dyDescent="0.25">
      <c r="B73" s="665"/>
      <c r="C73" s="715"/>
      <c r="D73" s="715"/>
      <c r="E73" s="27" t="s">
        <v>209</v>
      </c>
      <c r="F73" s="333"/>
      <c r="G73" s="334"/>
      <c r="H73" s="1"/>
      <c r="I73" s="336"/>
      <c r="J73" s="333"/>
      <c r="K73" s="1"/>
      <c r="L73" s="1"/>
      <c r="M73" s="336"/>
    </row>
    <row r="74" spans="2:13" x14ac:dyDescent="0.25">
      <c r="B74" s="665"/>
      <c r="C74" s="715"/>
      <c r="D74" s="715"/>
      <c r="E74" s="27" t="s">
        <v>210</v>
      </c>
      <c r="F74" s="333"/>
      <c r="G74" s="334"/>
      <c r="H74" s="335"/>
      <c r="I74" s="336"/>
      <c r="J74" s="333"/>
      <c r="K74" s="1"/>
      <c r="L74" s="1"/>
      <c r="M74" s="336"/>
    </row>
    <row r="75" spans="2:13" x14ac:dyDescent="0.25">
      <c r="B75" s="665"/>
      <c r="C75" s="715"/>
      <c r="D75" s="715"/>
      <c r="E75" s="27" t="s">
        <v>211</v>
      </c>
      <c r="F75" s="333"/>
      <c r="G75" s="334"/>
      <c r="H75" s="1"/>
      <c r="I75" s="336"/>
      <c r="J75" s="333"/>
      <c r="K75" s="1"/>
      <c r="L75" s="1"/>
      <c r="M75" s="336"/>
    </row>
    <row r="76" spans="2:13" ht="15.75" thickBot="1" x14ac:dyDescent="0.3">
      <c r="B76" s="666"/>
      <c r="C76" s="661"/>
      <c r="D76" s="661"/>
      <c r="E76" s="8" t="s">
        <v>212</v>
      </c>
      <c r="F76" s="337"/>
      <c r="G76" s="193"/>
      <c r="H76" s="193"/>
      <c r="I76" s="338"/>
      <c r="J76" s="337"/>
      <c r="K76" s="193"/>
      <c r="L76" s="193"/>
      <c r="M76" s="338"/>
    </row>
    <row r="77" spans="2:13" x14ac:dyDescent="0.25">
      <c r="B77" s="667" t="s">
        <v>227</v>
      </c>
      <c r="C77" s="660" t="s">
        <v>24</v>
      </c>
      <c r="D77" s="660" t="s">
        <v>189</v>
      </c>
      <c r="E77" s="25" t="s">
        <v>80</v>
      </c>
      <c r="F77" s="318">
        <v>2.44</v>
      </c>
      <c r="G77" s="311">
        <v>2.1</v>
      </c>
      <c r="H77" s="311">
        <v>2.37</v>
      </c>
      <c r="I77" s="215">
        <f t="shared" ref="I77:I85" si="7">AVERAGE(F77:H77)</f>
        <v>2.3033333333333332</v>
      </c>
      <c r="J77" s="71">
        <v>0.59</v>
      </c>
      <c r="K77" s="50">
        <v>0.56999999999999995</v>
      </c>
      <c r="L77" s="50"/>
      <c r="M77" s="215">
        <f t="shared" ref="M77:M86" si="8">AVERAGE(J77:L77)</f>
        <v>0.57999999999999996</v>
      </c>
    </row>
    <row r="78" spans="2:13" x14ac:dyDescent="0.25">
      <c r="B78" s="665"/>
      <c r="C78" s="715"/>
      <c r="D78" s="715"/>
      <c r="E78" s="27" t="s">
        <v>79</v>
      </c>
      <c r="F78" s="319">
        <v>2.4300000000000002</v>
      </c>
      <c r="G78" s="312">
        <v>2.09</v>
      </c>
      <c r="H78" s="313">
        <v>2.0699999999999998</v>
      </c>
      <c r="I78" s="166">
        <f t="shared" si="7"/>
        <v>2.1966666666666668</v>
      </c>
      <c r="J78" s="72">
        <v>0.62</v>
      </c>
      <c r="K78">
        <v>0.61</v>
      </c>
      <c r="M78" s="166">
        <f t="shared" si="8"/>
        <v>0.61499999999999999</v>
      </c>
    </row>
    <row r="79" spans="2:13" x14ac:dyDescent="0.25">
      <c r="B79" s="665"/>
      <c r="C79" s="715"/>
      <c r="D79" s="715"/>
      <c r="E79" s="27" t="s">
        <v>81</v>
      </c>
      <c r="F79" s="72">
        <v>2.1800000000000002</v>
      </c>
      <c r="G79" s="312">
        <v>2.38</v>
      </c>
      <c r="H79" s="313">
        <v>2.2799999999999998</v>
      </c>
      <c r="I79" s="166">
        <f t="shared" si="7"/>
        <v>2.2799999999999998</v>
      </c>
      <c r="J79" s="72"/>
      <c r="M79" s="166" t="e">
        <f t="shared" si="8"/>
        <v>#DIV/0!</v>
      </c>
    </row>
    <row r="80" spans="2:13" x14ac:dyDescent="0.25">
      <c r="B80" s="665"/>
      <c r="C80" s="715"/>
      <c r="D80" s="715"/>
      <c r="E80" s="27" t="s">
        <v>82</v>
      </c>
      <c r="F80" s="72">
        <v>2.1</v>
      </c>
      <c r="G80" s="312">
        <v>2.0699999999999998</v>
      </c>
      <c r="H80" s="313"/>
      <c r="I80" s="166">
        <f t="shared" si="7"/>
        <v>2.085</v>
      </c>
      <c r="J80" s="72">
        <v>0.59</v>
      </c>
      <c r="K80">
        <v>0.59</v>
      </c>
      <c r="M80" s="166">
        <f t="shared" si="8"/>
        <v>0.59</v>
      </c>
    </row>
    <row r="81" spans="2:13" x14ac:dyDescent="0.25">
      <c r="B81" s="665"/>
      <c r="C81" s="715"/>
      <c r="D81" s="720"/>
      <c r="E81" s="61" t="s">
        <v>83</v>
      </c>
      <c r="F81" s="212">
        <v>2.0299999999999998</v>
      </c>
      <c r="G81" s="60">
        <v>2.0299999999999998</v>
      </c>
      <c r="H81" s="60"/>
      <c r="I81" s="323">
        <f t="shared" si="7"/>
        <v>2.0299999999999998</v>
      </c>
      <c r="J81" s="212">
        <v>0.56999999999999995</v>
      </c>
      <c r="K81" s="60">
        <v>0.61</v>
      </c>
      <c r="L81" s="60"/>
      <c r="M81" s="323">
        <f t="shared" si="8"/>
        <v>0.59</v>
      </c>
    </row>
    <row r="82" spans="2:13" x14ac:dyDescent="0.25">
      <c r="B82" s="665"/>
      <c r="C82" s="715"/>
      <c r="D82" s="715" t="s">
        <v>190</v>
      </c>
      <c r="E82" s="27" t="s">
        <v>94</v>
      </c>
      <c r="F82" s="72">
        <v>2.15</v>
      </c>
      <c r="G82" s="312">
        <v>1.92</v>
      </c>
      <c r="H82" s="313">
        <v>2.08</v>
      </c>
      <c r="I82" s="166">
        <f t="shared" si="7"/>
        <v>2.0500000000000003</v>
      </c>
      <c r="J82" s="72">
        <v>0.56999999999999995</v>
      </c>
      <c r="K82">
        <v>0.6</v>
      </c>
      <c r="M82" s="166">
        <f t="shared" si="8"/>
        <v>0.58499999999999996</v>
      </c>
    </row>
    <row r="83" spans="2:13" x14ac:dyDescent="0.25">
      <c r="B83" s="665"/>
      <c r="C83" s="715"/>
      <c r="D83" s="715"/>
      <c r="E83" s="27" t="s">
        <v>209</v>
      </c>
      <c r="F83" s="72">
        <v>2.21</v>
      </c>
      <c r="G83" s="312">
        <v>2.15</v>
      </c>
      <c r="I83" s="166">
        <f t="shared" si="7"/>
        <v>2.1799999999999997</v>
      </c>
      <c r="J83" s="72">
        <v>0.59</v>
      </c>
      <c r="K83">
        <v>0.62</v>
      </c>
      <c r="M83" s="166">
        <f t="shared" si="8"/>
        <v>0.60499999999999998</v>
      </c>
    </row>
    <row r="84" spans="2:13" x14ac:dyDescent="0.25">
      <c r="B84" s="665"/>
      <c r="C84" s="715"/>
      <c r="D84" s="715"/>
      <c r="E84" s="27" t="s">
        <v>210</v>
      </c>
      <c r="F84" s="72">
        <v>1.76</v>
      </c>
      <c r="G84" s="312">
        <v>1.75</v>
      </c>
      <c r="H84" s="313"/>
      <c r="I84" s="166">
        <f t="shared" si="7"/>
        <v>1.7549999999999999</v>
      </c>
      <c r="J84" s="72">
        <v>0.52</v>
      </c>
      <c r="K84">
        <v>0.54</v>
      </c>
      <c r="M84" s="166">
        <f t="shared" si="8"/>
        <v>0.53</v>
      </c>
    </row>
    <row r="85" spans="2:13" x14ac:dyDescent="0.25">
      <c r="B85" s="665"/>
      <c r="C85" s="715"/>
      <c r="D85" s="715"/>
      <c r="E85" s="27" t="s">
        <v>211</v>
      </c>
      <c r="F85" s="72">
        <v>1.48</v>
      </c>
      <c r="G85" s="312">
        <v>1.67</v>
      </c>
      <c r="H85">
        <v>1.85</v>
      </c>
      <c r="I85" s="166">
        <f t="shared" si="7"/>
        <v>1.6666666666666667</v>
      </c>
      <c r="J85" s="72">
        <v>0.56000000000000005</v>
      </c>
      <c r="K85">
        <v>0.56000000000000005</v>
      </c>
      <c r="M85" s="166">
        <f t="shared" si="8"/>
        <v>0.56000000000000005</v>
      </c>
    </row>
    <row r="86" spans="2:13" ht="15.75" thickBot="1" x14ac:dyDescent="0.3">
      <c r="B86" s="666"/>
      <c r="C86" s="661"/>
      <c r="D86" s="661"/>
      <c r="E86" s="8" t="s">
        <v>212</v>
      </c>
      <c r="F86" s="73">
        <v>2.2200000000000002</v>
      </c>
      <c r="G86" s="2">
        <v>2.1</v>
      </c>
      <c r="H86" s="2">
        <v>2.2000000000000002</v>
      </c>
      <c r="I86" s="216">
        <f>AVERAGE(F86:H86)</f>
        <v>2.1733333333333333</v>
      </c>
      <c r="J86" s="73">
        <v>0.65</v>
      </c>
      <c r="K86" s="2">
        <v>0.63</v>
      </c>
      <c r="L86" s="2"/>
      <c r="M86" s="216">
        <f t="shared" si="8"/>
        <v>0.64</v>
      </c>
    </row>
    <row r="87" spans="2:13" x14ac:dyDescent="0.25">
      <c r="B87" s="667" t="s">
        <v>218</v>
      </c>
      <c r="C87" s="660" t="s">
        <v>24</v>
      </c>
      <c r="D87" s="660" t="s">
        <v>237</v>
      </c>
      <c r="E87" s="25" t="s">
        <v>80</v>
      </c>
      <c r="F87" s="318">
        <v>2.0299999999999998</v>
      </c>
      <c r="G87" s="311">
        <v>1.78</v>
      </c>
      <c r="H87" s="311">
        <v>1.81</v>
      </c>
      <c r="I87" s="215">
        <f t="shared" ref="I87:I96" si="9">AVERAGE(F87:H87)</f>
        <v>1.8733333333333331</v>
      </c>
      <c r="J87" s="71">
        <v>0.54</v>
      </c>
      <c r="K87" s="50">
        <v>0.49</v>
      </c>
      <c r="L87" s="50"/>
      <c r="M87" s="215">
        <f t="shared" ref="M87:M95" si="10">AVERAGE(J87:L87)</f>
        <v>0.51500000000000001</v>
      </c>
    </row>
    <row r="88" spans="2:13" x14ac:dyDescent="0.25">
      <c r="B88" s="665"/>
      <c r="C88" s="715"/>
      <c r="D88" s="715"/>
      <c r="E88" s="27" t="s">
        <v>79</v>
      </c>
      <c r="F88" s="319">
        <v>2.08</v>
      </c>
      <c r="G88" s="312">
        <v>1.88</v>
      </c>
      <c r="H88" s="313">
        <v>1.82</v>
      </c>
      <c r="I88" s="166">
        <f t="shared" si="9"/>
        <v>1.9266666666666667</v>
      </c>
      <c r="J88" s="72">
        <v>0.56999999999999995</v>
      </c>
      <c r="K88">
        <v>0.56999999999999995</v>
      </c>
      <c r="M88" s="166">
        <f t="shared" si="10"/>
        <v>0.56999999999999995</v>
      </c>
    </row>
    <row r="89" spans="2:13" x14ac:dyDescent="0.25">
      <c r="B89" s="665"/>
      <c r="C89" s="715"/>
      <c r="D89" s="715"/>
      <c r="E89" s="27" t="s">
        <v>81</v>
      </c>
      <c r="F89" s="72">
        <v>2.14</v>
      </c>
      <c r="G89" s="312">
        <v>1.87</v>
      </c>
      <c r="H89" s="313">
        <v>1.86</v>
      </c>
      <c r="I89" s="166">
        <f t="shared" si="9"/>
        <v>1.9566666666666668</v>
      </c>
      <c r="J89" s="72">
        <v>0.56000000000000005</v>
      </c>
      <c r="K89">
        <v>0.51</v>
      </c>
      <c r="M89" s="166">
        <f t="shared" si="10"/>
        <v>0.53500000000000003</v>
      </c>
    </row>
    <row r="90" spans="2:13" x14ac:dyDescent="0.25">
      <c r="B90" s="665"/>
      <c r="C90" s="715"/>
      <c r="D90" s="715"/>
      <c r="E90" s="27" t="s">
        <v>82</v>
      </c>
      <c r="F90" s="72">
        <v>1.83</v>
      </c>
      <c r="G90" s="312">
        <v>1.91</v>
      </c>
      <c r="H90" s="313"/>
      <c r="I90" s="166">
        <f t="shared" si="9"/>
        <v>1.87</v>
      </c>
      <c r="J90" s="72">
        <v>0.49</v>
      </c>
      <c r="K90">
        <v>0.51</v>
      </c>
      <c r="M90" s="166">
        <f t="shared" si="10"/>
        <v>0.5</v>
      </c>
    </row>
    <row r="91" spans="2:13" x14ac:dyDescent="0.25">
      <c r="B91" s="665"/>
      <c r="C91" s="715"/>
      <c r="D91" s="720"/>
      <c r="E91" s="61" t="s">
        <v>83</v>
      </c>
      <c r="F91" s="212">
        <v>1.95</v>
      </c>
      <c r="G91" s="60">
        <v>2.02</v>
      </c>
      <c r="H91" s="60"/>
      <c r="I91" s="323">
        <f t="shared" si="9"/>
        <v>1.9849999999999999</v>
      </c>
      <c r="J91" s="212">
        <v>0.44</v>
      </c>
      <c r="K91" s="60">
        <v>0.48</v>
      </c>
      <c r="L91" s="60"/>
      <c r="M91" s="323">
        <f t="shared" si="10"/>
        <v>0.45999999999999996</v>
      </c>
    </row>
    <row r="92" spans="2:13" x14ac:dyDescent="0.25">
      <c r="B92" s="665"/>
      <c r="C92" s="715"/>
      <c r="D92" s="715" t="s">
        <v>238</v>
      </c>
      <c r="E92" s="27" t="s">
        <v>94</v>
      </c>
      <c r="F92" s="72">
        <v>1.9</v>
      </c>
      <c r="G92" s="312">
        <v>1.94</v>
      </c>
      <c r="H92" s="313"/>
      <c r="I92" s="166">
        <f t="shared" si="9"/>
        <v>1.92</v>
      </c>
      <c r="J92" s="72">
        <v>0.53</v>
      </c>
      <c r="K92">
        <v>0.5</v>
      </c>
      <c r="M92" s="166">
        <f t="shared" si="10"/>
        <v>0.51500000000000001</v>
      </c>
    </row>
    <row r="93" spans="2:13" x14ac:dyDescent="0.25">
      <c r="B93" s="665"/>
      <c r="C93" s="715"/>
      <c r="D93" s="715"/>
      <c r="E93" s="27" t="s">
        <v>209</v>
      </c>
      <c r="F93" s="72">
        <v>1.93</v>
      </c>
      <c r="G93" s="312">
        <v>2.09</v>
      </c>
      <c r="H93">
        <v>2.13</v>
      </c>
      <c r="I93" s="166">
        <f t="shared" si="9"/>
        <v>2.0499999999999998</v>
      </c>
      <c r="J93" s="72">
        <v>0.6</v>
      </c>
      <c r="K93">
        <v>0.55000000000000004</v>
      </c>
      <c r="M93" s="166">
        <f t="shared" si="10"/>
        <v>0.57499999999999996</v>
      </c>
    </row>
    <row r="94" spans="2:13" x14ac:dyDescent="0.25">
      <c r="B94" s="665"/>
      <c r="C94" s="715"/>
      <c r="D94" s="715"/>
      <c r="E94" s="27" t="s">
        <v>210</v>
      </c>
      <c r="F94" s="72">
        <v>2.1800000000000002</v>
      </c>
      <c r="G94" s="312">
        <v>1.87</v>
      </c>
      <c r="H94" s="313">
        <v>1.88</v>
      </c>
      <c r="I94" s="166">
        <f t="shared" si="9"/>
        <v>1.9766666666666668</v>
      </c>
      <c r="J94" s="72">
        <v>0.56999999999999995</v>
      </c>
      <c r="K94">
        <v>0.55000000000000004</v>
      </c>
      <c r="M94" s="166">
        <f t="shared" si="10"/>
        <v>0.56000000000000005</v>
      </c>
    </row>
    <row r="95" spans="2:13" x14ac:dyDescent="0.25">
      <c r="B95" s="665"/>
      <c r="C95" s="715"/>
      <c r="D95" s="715"/>
      <c r="E95" s="27" t="s">
        <v>211</v>
      </c>
      <c r="F95" s="72">
        <v>1.92</v>
      </c>
      <c r="G95" s="312">
        <v>2.02</v>
      </c>
      <c r="I95" s="166">
        <f t="shared" si="9"/>
        <v>1.97</v>
      </c>
      <c r="J95" s="72">
        <v>0.43</v>
      </c>
      <c r="K95">
        <v>0.55000000000000004</v>
      </c>
      <c r="L95">
        <v>0.56000000000000005</v>
      </c>
      <c r="M95" s="166">
        <f t="shared" si="10"/>
        <v>0.51333333333333331</v>
      </c>
    </row>
    <row r="96" spans="2:13" ht="15.75" thickBot="1" x14ac:dyDescent="0.3">
      <c r="B96" s="666"/>
      <c r="C96" s="661"/>
      <c r="D96" s="661"/>
      <c r="E96" s="8" t="s">
        <v>212</v>
      </c>
      <c r="F96" s="73">
        <v>2.41</v>
      </c>
      <c r="G96" s="2">
        <v>2.37</v>
      </c>
      <c r="H96" s="2"/>
      <c r="I96" s="216">
        <f t="shared" si="9"/>
        <v>2.39</v>
      </c>
      <c r="J96" s="73">
        <v>0.61</v>
      </c>
      <c r="K96" s="2">
        <v>0.63</v>
      </c>
      <c r="L96" s="2"/>
      <c r="M96" s="216">
        <f>AVERAGE(J96:K96)</f>
        <v>0.62</v>
      </c>
    </row>
    <row r="97" spans="2:13" x14ac:dyDescent="0.25">
      <c r="B97" s="667" t="s">
        <v>235</v>
      </c>
      <c r="C97" s="660" t="s">
        <v>24</v>
      </c>
      <c r="D97" s="660" t="s">
        <v>252</v>
      </c>
      <c r="E97" s="25" t="s">
        <v>80</v>
      </c>
      <c r="F97" s="318">
        <v>2.0699999999999998</v>
      </c>
      <c r="G97" s="311">
        <v>2.06</v>
      </c>
      <c r="H97" s="311"/>
      <c r="I97" s="215">
        <f t="shared" ref="I97:I111" si="11">AVERAGE(F97:H97)</f>
        <v>2.0649999999999999</v>
      </c>
      <c r="J97" s="71">
        <v>0.61</v>
      </c>
      <c r="K97" s="50">
        <v>0.6</v>
      </c>
      <c r="L97" s="50"/>
      <c r="M97" s="215">
        <f t="shared" ref="M97:M110" si="12">AVERAGE(J97:L97)</f>
        <v>0.60499999999999998</v>
      </c>
    </row>
    <row r="98" spans="2:13" x14ac:dyDescent="0.25">
      <c r="B98" s="665"/>
      <c r="C98" s="715"/>
      <c r="D98" s="715"/>
      <c r="E98" s="27" t="s">
        <v>79</v>
      </c>
      <c r="F98" s="319">
        <v>1.95</v>
      </c>
      <c r="G98" s="312">
        <v>1.96</v>
      </c>
      <c r="H98" s="313"/>
      <c r="I98" s="166">
        <f t="shared" si="11"/>
        <v>1.9550000000000001</v>
      </c>
      <c r="J98" s="72">
        <v>0.66</v>
      </c>
      <c r="K98">
        <v>0.66</v>
      </c>
      <c r="M98" s="166">
        <f t="shared" si="12"/>
        <v>0.66</v>
      </c>
    </row>
    <row r="99" spans="2:13" x14ac:dyDescent="0.25">
      <c r="B99" s="665"/>
      <c r="C99" s="715"/>
      <c r="D99" s="715"/>
      <c r="E99" s="27" t="s">
        <v>81</v>
      </c>
      <c r="F99" s="72">
        <v>2.15</v>
      </c>
      <c r="G99" s="312">
        <v>2.11</v>
      </c>
      <c r="H99" s="313"/>
      <c r="I99" s="166">
        <f t="shared" si="11"/>
        <v>2.13</v>
      </c>
      <c r="J99" s="72">
        <v>0.65</v>
      </c>
      <c r="K99">
        <v>0.56999999999999995</v>
      </c>
      <c r="M99" s="166">
        <f t="shared" si="12"/>
        <v>0.61</v>
      </c>
    </row>
    <row r="100" spans="2:13" x14ac:dyDescent="0.25">
      <c r="B100" s="665"/>
      <c r="C100" s="715"/>
      <c r="D100" s="715"/>
      <c r="E100" s="27" t="s">
        <v>82</v>
      </c>
      <c r="F100" s="72">
        <v>1.75</v>
      </c>
      <c r="G100" s="312">
        <v>1.86</v>
      </c>
      <c r="H100" s="313">
        <v>1.76</v>
      </c>
      <c r="I100" s="166">
        <f t="shared" si="11"/>
        <v>1.79</v>
      </c>
      <c r="J100" s="72">
        <v>0.56000000000000005</v>
      </c>
      <c r="K100">
        <v>0.55000000000000004</v>
      </c>
      <c r="M100" s="166">
        <f t="shared" si="12"/>
        <v>0.55500000000000005</v>
      </c>
    </row>
    <row r="101" spans="2:13" ht="15.75" thickBot="1" x14ac:dyDescent="0.3">
      <c r="B101" s="665"/>
      <c r="C101" s="715"/>
      <c r="D101" s="720"/>
      <c r="E101" s="61" t="s">
        <v>83</v>
      </c>
      <c r="F101" s="212">
        <v>1.93</v>
      </c>
      <c r="G101" s="60">
        <v>1.85</v>
      </c>
      <c r="H101" s="60"/>
      <c r="I101" s="323">
        <f t="shared" si="11"/>
        <v>1.8900000000000001</v>
      </c>
      <c r="J101" s="212">
        <v>0.53</v>
      </c>
      <c r="K101" s="60">
        <v>0.5</v>
      </c>
      <c r="L101" s="60"/>
      <c r="M101" s="323">
        <f t="shared" si="12"/>
        <v>0.51500000000000001</v>
      </c>
    </row>
    <row r="102" spans="2:13" x14ac:dyDescent="0.25">
      <c r="B102" s="667" t="s">
        <v>246</v>
      </c>
      <c r="C102" s="660" t="s">
        <v>24</v>
      </c>
      <c r="D102" s="690" t="s">
        <v>253</v>
      </c>
      <c r="E102" s="25" t="s">
        <v>80</v>
      </c>
      <c r="F102" s="318">
        <v>2.52</v>
      </c>
      <c r="G102" s="311">
        <v>1.97</v>
      </c>
      <c r="H102" s="311">
        <v>2.31</v>
      </c>
      <c r="I102" s="215">
        <f t="shared" si="11"/>
        <v>2.2666666666666671</v>
      </c>
      <c r="J102" s="71">
        <v>0.65</v>
      </c>
      <c r="K102" s="50">
        <v>0.64</v>
      </c>
      <c r="L102" s="50"/>
      <c r="M102" s="215">
        <f t="shared" si="12"/>
        <v>0.64500000000000002</v>
      </c>
    </row>
    <row r="103" spans="2:13" x14ac:dyDescent="0.25">
      <c r="B103" s="665"/>
      <c r="C103" s="715"/>
      <c r="D103" s="686"/>
      <c r="E103" s="27" t="s">
        <v>79</v>
      </c>
      <c r="F103" s="319">
        <v>2.36</v>
      </c>
      <c r="G103" s="312">
        <v>2.2999999999999998</v>
      </c>
      <c r="H103" s="313">
        <v>2.16</v>
      </c>
      <c r="I103" s="166">
        <f t="shared" si="11"/>
        <v>2.2733333333333334</v>
      </c>
      <c r="J103" s="72">
        <v>0.63</v>
      </c>
      <c r="K103">
        <v>0.59</v>
      </c>
      <c r="M103" s="166">
        <f t="shared" si="12"/>
        <v>0.61</v>
      </c>
    </row>
    <row r="104" spans="2:13" x14ac:dyDescent="0.25">
      <c r="B104" s="665"/>
      <c r="C104" s="715"/>
      <c r="D104" s="686"/>
      <c r="E104" s="27" t="s">
        <v>81</v>
      </c>
      <c r="F104" s="72">
        <v>2.08</v>
      </c>
      <c r="G104" s="312">
        <v>1.91</v>
      </c>
      <c r="H104" s="313">
        <v>1.93</v>
      </c>
      <c r="I104" s="166">
        <f t="shared" si="11"/>
        <v>1.9733333333333334</v>
      </c>
      <c r="J104" s="72">
        <v>0.56000000000000005</v>
      </c>
      <c r="K104">
        <v>0.59</v>
      </c>
      <c r="M104" s="166">
        <f t="shared" si="12"/>
        <v>0.57499999999999996</v>
      </c>
    </row>
    <row r="105" spans="2:13" x14ac:dyDescent="0.25">
      <c r="B105" s="665"/>
      <c r="C105" s="715"/>
      <c r="D105" s="686"/>
      <c r="E105" s="27" t="s">
        <v>82</v>
      </c>
      <c r="F105" s="72">
        <v>1.8</v>
      </c>
      <c r="G105" s="312">
        <v>1.72</v>
      </c>
      <c r="H105" s="313"/>
      <c r="I105" s="166">
        <f t="shared" si="11"/>
        <v>1.76</v>
      </c>
      <c r="J105" s="72">
        <v>0.53</v>
      </c>
      <c r="K105">
        <v>0.52</v>
      </c>
      <c r="M105" s="166">
        <f t="shared" si="12"/>
        <v>0.52500000000000002</v>
      </c>
    </row>
    <row r="106" spans="2:13" x14ac:dyDescent="0.25">
      <c r="B106" s="665"/>
      <c r="C106" s="715"/>
      <c r="D106" s="686"/>
      <c r="E106" s="58" t="s">
        <v>83</v>
      </c>
      <c r="F106" s="72">
        <v>1.95</v>
      </c>
      <c r="G106" s="312">
        <v>1.83</v>
      </c>
      <c r="H106" s="313">
        <v>1.86</v>
      </c>
      <c r="I106" s="166">
        <f t="shared" si="11"/>
        <v>1.8800000000000001</v>
      </c>
      <c r="J106" s="72">
        <v>0.59</v>
      </c>
      <c r="K106">
        <v>0.55000000000000004</v>
      </c>
      <c r="M106" s="166">
        <f t="shared" si="12"/>
        <v>0.57000000000000006</v>
      </c>
    </row>
    <row r="107" spans="2:13" x14ac:dyDescent="0.25">
      <c r="B107" s="665"/>
      <c r="C107" s="715"/>
      <c r="D107" s="686"/>
      <c r="E107" s="27" t="s">
        <v>94</v>
      </c>
      <c r="F107" s="72">
        <v>2.23</v>
      </c>
      <c r="G107" s="312">
        <v>2.4</v>
      </c>
      <c r="H107" s="313">
        <v>2.2400000000000002</v>
      </c>
      <c r="I107" s="166">
        <f t="shared" si="11"/>
        <v>2.29</v>
      </c>
      <c r="J107" s="72">
        <v>0.55000000000000004</v>
      </c>
      <c r="K107">
        <v>0.54</v>
      </c>
      <c r="M107" s="166">
        <f t="shared" si="12"/>
        <v>0.54500000000000004</v>
      </c>
    </row>
    <row r="108" spans="2:13" x14ac:dyDescent="0.25">
      <c r="B108" s="665"/>
      <c r="C108" s="715"/>
      <c r="D108" s="686"/>
      <c r="E108" s="27" t="s">
        <v>209</v>
      </c>
      <c r="F108" s="72">
        <v>1.9</v>
      </c>
      <c r="G108" s="312">
        <v>1.84</v>
      </c>
      <c r="I108" s="166">
        <f t="shared" si="11"/>
        <v>1.87</v>
      </c>
      <c r="J108" s="72">
        <v>0.53</v>
      </c>
      <c r="K108">
        <v>0.55000000000000004</v>
      </c>
      <c r="M108" s="166">
        <f t="shared" si="12"/>
        <v>0.54</v>
      </c>
    </row>
    <row r="109" spans="2:13" x14ac:dyDescent="0.25">
      <c r="B109" s="665"/>
      <c r="C109" s="715"/>
      <c r="D109" s="686"/>
      <c r="E109" s="27" t="s">
        <v>210</v>
      </c>
      <c r="F109" s="72">
        <v>2.06</v>
      </c>
      <c r="G109" s="312">
        <v>1.99</v>
      </c>
      <c r="H109" s="313"/>
      <c r="I109" s="166">
        <f t="shared" si="11"/>
        <v>2.0249999999999999</v>
      </c>
      <c r="J109" s="72">
        <v>0.57999999999999996</v>
      </c>
      <c r="K109">
        <v>0.57999999999999996</v>
      </c>
      <c r="M109" s="166">
        <f t="shared" si="12"/>
        <v>0.57999999999999996</v>
      </c>
    </row>
    <row r="110" spans="2:13" x14ac:dyDescent="0.25">
      <c r="B110" s="665"/>
      <c r="C110" s="715"/>
      <c r="D110" s="686"/>
      <c r="E110" s="27" t="s">
        <v>211</v>
      </c>
      <c r="F110" s="72">
        <v>2.1</v>
      </c>
      <c r="G110" s="312">
        <v>1.84</v>
      </c>
      <c r="H110">
        <v>1.96</v>
      </c>
      <c r="I110" s="166">
        <f t="shared" si="11"/>
        <v>1.9666666666666668</v>
      </c>
      <c r="J110" s="72">
        <v>0.56999999999999995</v>
      </c>
      <c r="K110">
        <v>0.56999999999999995</v>
      </c>
      <c r="M110" s="166">
        <f t="shared" si="12"/>
        <v>0.56999999999999995</v>
      </c>
    </row>
    <row r="111" spans="2:13" ht="15.75" thickBot="1" x14ac:dyDescent="0.3">
      <c r="B111" s="666"/>
      <c r="C111" s="661"/>
      <c r="D111" s="687"/>
      <c r="E111" s="8" t="s">
        <v>212</v>
      </c>
      <c r="F111" s="73">
        <v>2.0299999999999998</v>
      </c>
      <c r="G111" s="2">
        <v>1.88</v>
      </c>
      <c r="H111" s="2">
        <v>1.94</v>
      </c>
      <c r="I111" s="216">
        <f t="shared" si="11"/>
        <v>1.95</v>
      </c>
      <c r="J111" s="73">
        <v>0.48</v>
      </c>
      <c r="K111" s="2"/>
      <c r="L111" s="2"/>
      <c r="M111" s="216">
        <f>AVERAGE(J111:K111)</f>
        <v>0.48</v>
      </c>
    </row>
    <row r="112" spans="2:13" x14ac:dyDescent="0.25">
      <c r="B112" s="667" t="s">
        <v>260</v>
      </c>
      <c r="C112" s="660" t="s">
        <v>24</v>
      </c>
      <c r="D112" s="701" t="s">
        <v>270</v>
      </c>
      <c r="E112" s="25" t="s">
        <v>80</v>
      </c>
      <c r="F112" s="318">
        <v>2.06</v>
      </c>
      <c r="G112" s="311">
        <v>1.95</v>
      </c>
      <c r="H112" s="311">
        <v>1.94</v>
      </c>
      <c r="I112" s="215">
        <f t="shared" ref="I112:I121" si="13">AVERAGE(F112:H112)</f>
        <v>1.9833333333333332</v>
      </c>
      <c r="J112" s="71">
        <v>0.54</v>
      </c>
      <c r="K112" s="50">
        <v>0.57999999999999996</v>
      </c>
      <c r="L112" s="50"/>
      <c r="M112" s="215">
        <f t="shared" ref="M112:M120" si="14">AVERAGE(J112:L112)</f>
        <v>0.56000000000000005</v>
      </c>
    </row>
    <row r="113" spans="2:13" x14ac:dyDescent="0.25">
      <c r="B113" s="665"/>
      <c r="C113" s="715"/>
      <c r="D113" s="702"/>
      <c r="E113" s="27" t="s">
        <v>79</v>
      </c>
      <c r="F113" s="319">
        <v>1.82</v>
      </c>
      <c r="G113" s="312">
        <v>1.76</v>
      </c>
      <c r="H113" s="313"/>
      <c r="I113" s="166">
        <f t="shared" si="13"/>
        <v>1.79</v>
      </c>
      <c r="J113" s="72">
        <v>0.54</v>
      </c>
      <c r="K113">
        <v>0.5</v>
      </c>
      <c r="M113" s="166">
        <f t="shared" si="14"/>
        <v>0.52</v>
      </c>
    </row>
    <row r="114" spans="2:13" x14ac:dyDescent="0.25">
      <c r="B114" s="665"/>
      <c r="C114" s="715"/>
      <c r="D114" s="702"/>
      <c r="E114" s="27" t="s">
        <v>81</v>
      </c>
      <c r="F114" s="72">
        <v>1.91</v>
      </c>
      <c r="G114" s="312">
        <v>1.82</v>
      </c>
      <c r="H114" s="313"/>
      <c r="I114" s="166">
        <f t="shared" si="13"/>
        <v>1.865</v>
      </c>
      <c r="J114" s="72">
        <v>0.54</v>
      </c>
      <c r="K114">
        <v>0.47</v>
      </c>
      <c r="L114">
        <v>0.5</v>
      </c>
      <c r="M114" s="166">
        <f t="shared" si="14"/>
        <v>0.5033333333333333</v>
      </c>
    </row>
    <row r="115" spans="2:13" x14ac:dyDescent="0.25">
      <c r="B115" s="665"/>
      <c r="C115" s="715"/>
      <c r="D115" s="702"/>
      <c r="E115" s="27" t="s">
        <v>82</v>
      </c>
      <c r="F115" s="72">
        <v>2.0099999999999998</v>
      </c>
      <c r="G115" s="312">
        <v>2.17</v>
      </c>
      <c r="H115" s="313">
        <v>1.85</v>
      </c>
      <c r="I115" s="166">
        <f t="shared" si="13"/>
        <v>2.0099999999999998</v>
      </c>
      <c r="J115" s="72">
        <v>0.52</v>
      </c>
      <c r="K115">
        <v>0.49</v>
      </c>
      <c r="M115" s="166">
        <f t="shared" si="14"/>
        <v>0.505</v>
      </c>
    </row>
    <row r="116" spans="2:13" x14ac:dyDescent="0.25">
      <c r="B116" s="665"/>
      <c r="C116" s="715"/>
      <c r="D116" s="702"/>
      <c r="E116" s="58" t="s">
        <v>83</v>
      </c>
      <c r="F116" s="72">
        <v>1.9</v>
      </c>
      <c r="G116" s="312">
        <v>1.84</v>
      </c>
      <c r="H116" s="313"/>
      <c r="I116" s="166">
        <f t="shared" si="13"/>
        <v>1.87</v>
      </c>
      <c r="J116" s="72">
        <v>0.56999999999999995</v>
      </c>
      <c r="K116">
        <v>0.49</v>
      </c>
      <c r="L116">
        <v>0.51</v>
      </c>
      <c r="M116" s="166">
        <f t="shared" si="14"/>
        <v>0.52333333333333332</v>
      </c>
    </row>
    <row r="117" spans="2:13" x14ac:dyDescent="0.25">
      <c r="B117" s="665"/>
      <c r="C117" s="715"/>
      <c r="D117" s="702"/>
      <c r="E117" s="27" t="s">
        <v>94</v>
      </c>
      <c r="F117" s="72">
        <v>1.46</v>
      </c>
      <c r="G117" s="312">
        <v>1.53</v>
      </c>
      <c r="H117" s="313"/>
      <c r="I117" s="166">
        <f t="shared" si="13"/>
        <v>1.4950000000000001</v>
      </c>
      <c r="J117" s="72"/>
      <c r="M117" s="166"/>
    </row>
    <row r="118" spans="2:13" x14ac:dyDescent="0.25">
      <c r="B118" s="665"/>
      <c r="C118" s="715"/>
      <c r="D118" s="702"/>
      <c r="E118" s="27" t="s">
        <v>209</v>
      </c>
      <c r="F118" s="72">
        <v>2.02</v>
      </c>
      <c r="G118" s="312">
        <v>1.8</v>
      </c>
      <c r="H118">
        <v>1.83</v>
      </c>
      <c r="I118" s="166">
        <f t="shared" si="13"/>
        <v>1.8833333333333335</v>
      </c>
      <c r="J118" s="72">
        <v>0.56000000000000005</v>
      </c>
      <c r="K118">
        <v>0.53</v>
      </c>
      <c r="M118" s="166">
        <f t="shared" si="14"/>
        <v>0.54500000000000004</v>
      </c>
    </row>
    <row r="119" spans="2:13" x14ac:dyDescent="0.25">
      <c r="B119" s="665"/>
      <c r="C119" s="715"/>
      <c r="D119" s="702"/>
      <c r="E119" s="27" t="s">
        <v>210</v>
      </c>
      <c r="F119" s="72">
        <v>2.2400000000000002</v>
      </c>
      <c r="G119" s="312">
        <v>2.27</v>
      </c>
      <c r="H119" s="313"/>
      <c r="I119" s="166">
        <f t="shared" si="13"/>
        <v>2.2549999999999999</v>
      </c>
      <c r="J119" s="72">
        <v>0.55000000000000004</v>
      </c>
      <c r="K119">
        <v>0.55000000000000004</v>
      </c>
      <c r="M119" s="166">
        <f t="shared" si="14"/>
        <v>0.55000000000000004</v>
      </c>
    </row>
    <row r="120" spans="2:13" x14ac:dyDescent="0.25">
      <c r="B120" s="665"/>
      <c r="C120" s="715"/>
      <c r="D120" s="702"/>
      <c r="E120" s="27" t="s">
        <v>211</v>
      </c>
      <c r="F120" s="72">
        <v>2.39</v>
      </c>
      <c r="G120" s="312">
        <v>2.42</v>
      </c>
      <c r="I120" s="166">
        <f t="shared" si="13"/>
        <v>2.4050000000000002</v>
      </c>
      <c r="J120" s="72">
        <v>0.56999999999999995</v>
      </c>
      <c r="K120">
        <v>0.55000000000000004</v>
      </c>
      <c r="M120" s="166">
        <f t="shared" si="14"/>
        <v>0.56000000000000005</v>
      </c>
    </row>
    <row r="121" spans="2:13" ht="15.75" thickBot="1" x14ac:dyDescent="0.3">
      <c r="B121" s="666"/>
      <c r="C121" s="661"/>
      <c r="D121" s="703"/>
      <c r="E121" s="8" t="s">
        <v>212</v>
      </c>
      <c r="F121" s="73">
        <v>1.56</v>
      </c>
      <c r="G121" s="2">
        <v>1.47</v>
      </c>
      <c r="H121" s="2"/>
      <c r="I121" s="216">
        <f t="shared" si="13"/>
        <v>1.5150000000000001</v>
      </c>
      <c r="J121" s="73">
        <v>0.49</v>
      </c>
      <c r="K121" s="2">
        <v>0.44</v>
      </c>
      <c r="L121" s="2"/>
      <c r="M121" s="216">
        <f>AVERAGE(J121:K121)</f>
        <v>0.46499999999999997</v>
      </c>
    </row>
    <row r="122" spans="2:13" x14ac:dyDescent="0.25">
      <c r="B122" s="667" t="s">
        <v>284</v>
      </c>
      <c r="C122" s="660" t="s">
        <v>24</v>
      </c>
      <c r="D122" s="701" t="s">
        <v>167</v>
      </c>
      <c r="E122" s="25" t="s">
        <v>80</v>
      </c>
      <c r="F122" s="318">
        <v>2.11</v>
      </c>
      <c r="G122" s="311">
        <v>2.0299999999999998</v>
      </c>
      <c r="H122" s="311"/>
      <c r="I122" s="215">
        <f t="shared" ref="I122:I156" si="15">AVERAGE(F122:H122)</f>
        <v>2.0699999999999998</v>
      </c>
      <c r="J122" s="71">
        <v>0.65</v>
      </c>
      <c r="K122" s="50">
        <v>0.6</v>
      </c>
      <c r="L122" s="50"/>
      <c r="M122" s="215">
        <f t="shared" ref="M122:M127" si="16">AVERAGE(J122:L122)</f>
        <v>0.625</v>
      </c>
    </row>
    <row r="123" spans="2:13" x14ac:dyDescent="0.25">
      <c r="B123" s="665"/>
      <c r="C123" s="715"/>
      <c r="D123" s="702"/>
      <c r="E123" s="27" t="s">
        <v>79</v>
      </c>
      <c r="F123" s="319">
        <v>1.6</v>
      </c>
      <c r="G123" s="312">
        <v>1.82</v>
      </c>
      <c r="H123" s="313">
        <v>1.5</v>
      </c>
      <c r="I123" s="166">
        <f t="shared" si="15"/>
        <v>1.64</v>
      </c>
      <c r="J123" s="72">
        <v>0.5</v>
      </c>
      <c r="K123">
        <v>0.53</v>
      </c>
      <c r="M123" s="166">
        <f t="shared" si="16"/>
        <v>0.51500000000000001</v>
      </c>
    </row>
    <row r="124" spans="2:13" x14ac:dyDescent="0.25">
      <c r="B124" s="665"/>
      <c r="C124" s="715"/>
      <c r="D124" s="702"/>
      <c r="E124" s="27" t="s">
        <v>81</v>
      </c>
      <c r="F124" s="72">
        <v>1.88</v>
      </c>
      <c r="G124" s="312">
        <v>1.95</v>
      </c>
      <c r="H124" s="313"/>
      <c r="I124" s="166">
        <f t="shared" si="15"/>
        <v>1.915</v>
      </c>
      <c r="J124" s="72">
        <v>0.56999999999999995</v>
      </c>
      <c r="K124">
        <v>0.61</v>
      </c>
      <c r="M124" s="166">
        <f t="shared" si="16"/>
        <v>0.59</v>
      </c>
    </row>
    <row r="125" spans="2:13" x14ac:dyDescent="0.25">
      <c r="B125" s="665"/>
      <c r="C125" s="715"/>
      <c r="D125" s="702"/>
      <c r="E125" s="27" t="s">
        <v>82</v>
      </c>
      <c r="F125" s="72">
        <v>1.85</v>
      </c>
      <c r="G125" s="312">
        <v>1.92</v>
      </c>
      <c r="H125" s="313"/>
      <c r="I125" s="166">
        <f t="shared" si="15"/>
        <v>1.885</v>
      </c>
      <c r="J125" s="72">
        <v>0.56000000000000005</v>
      </c>
      <c r="K125">
        <v>0.56000000000000005</v>
      </c>
      <c r="M125" s="166">
        <f t="shared" si="16"/>
        <v>0.56000000000000005</v>
      </c>
    </row>
    <row r="126" spans="2:13" x14ac:dyDescent="0.25">
      <c r="B126" s="665"/>
      <c r="C126" s="715"/>
      <c r="D126" s="736"/>
      <c r="E126" s="59" t="s">
        <v>83</v>
      </c>
      <c r="F126" s="212">
        <v>1.75</v>
      </c>
      <c r="G126" s="316">
        <v>1.84</v>
      </c>
      <c r="H126" s="317"/>
      <c r="I126" s="323">
        <f t="shared" si="15"/>
        <v>1.7949999999999999</v>
      </c>
      <c r="J126" s="212">
        <v>0.55000000000000004</v>
      </c>
      <c r="K126" s="60">
        <v>0.56999999999999995</v>
      </c>
      <c r="L126" s="60"/>
      <c r="M126" s="323">
        <f t="shared" si="16"/>
        <v>0.56000000000000005</v>
      </c>
    </row>
    <row r="127" spans="2:13" x14ac:dyDescent="0.25">
      <c r="B127" s="665"/>
      <c r="C127" s="715"/>
      <c r="D127" s="702" t="s">
        <v>190</v>
      </c>
      <c r="E127" s="27" t="s">
        <v>80</v>
      </c>
      <c r="F127" s="72">
        <v>1.63</v>
      </c>
      <c r="G127" s="312">
        <v>1.47</v>
      </c>
      <c r="H127" s="313">
        <v>1.56</v>
      </c>
      <c r="I127" s="166">
        <f t="shared" si="15"/>
        <v>1.5533333333333335</v>
      </c>
      <c r="J127" s="72">
        <v>0.44</v>
      </c>
      <c r="K127">
        <v>0.51</v>
      </c>
      <c r="L127">
        <v>0.53</v>
      </c>
      <c r="M127" s="166">
        <f t="shared" si="16"/>
        <v>0.49333333333333335</v>
      </c>
    </row>
    <row r="128" spans="2:13" x14ac:dyDescent="0.25">
      <c r="B128" s="665"/>
      <c r="C128" s="715"/>
      <c r="D128" s="702"/>
      <c r="E128" s="27" t="s">
        <v>79</v>
      </c>
      <c r="F128" s="72">
        <v>1.56</v>
      </c>
      <c r="G128" s="312">
        <v>1.69</v>
      </c>
      <c r="H128">
        <v>1.97</v>
      </c>
      <c r="I128" s="166">
        <f t="shared" si="15"/>
        <v>1.74</v>
      </c>
      <c r="J128" s="72">
        <v>0.57999999999999996</v>
      </c>
      <c r="K128">
        <v>0.56999999999999995</v>
      </c>
      <c r="M128" s="166">
        <f t="shared" ref="M128:M142" si="17">AVERAGE(J128:L128)</f>
        <v>0.57499999999999996</v>
      </c>
    </row>
    <row r="129" spans="2:13" x14ac:dyDescent="0.25">
      <c r="B129" s="665"/>
      <c r="C129" s="715"/>
      <c r="D129" s="702"/>
      <c r="E129" s="27" t="s">
        <v>81</v>
      </c>
      <c r="F129" s="72">
        <v>1.81</v>
      </c>
      <c r="G129" s="312">
        <v>1.85</v>
      </c>
      <c r="H129" s="313"/>
      <c r="I129" s="166">
        <f t="shared" si="15"/>
        <v>1.83</v>
      </c>
      <c r="J129" s="72">
        <v>0.69</v>
      </c>
      <c r="K129">
        <v>0.65</v>
      </c>
      <c r="M129" s="166">
        <f t="shared" si="17"/>
        <v>0.66999999999999993</v>
      </c>
    </row>
    <row r="130" spans="2:13" ht="15.75" thickBot="1" x14ac:dyDescent="0.3">
      <c r="B130" s="666"/>
      <c r="C130" s="661"/>
      <c r="D130" s="703"/>
      <c r="E130" s="8" t="s">
        <v>82</v>
      </c>
      <c r="F130" s="73">
        <v>1.97</v>
      </c>
      <c r="G130" s="314">
        <v>1.99</v>
      </c>
      <c r="H130" s="2"/>
      <c r="I130" s="216">
        <f t="shared" si="15"/>
        <v>1.98</v>
      </c>
      <c r="J130" s="73">
        <v>0.61</v>
      </c>
      <c r="K130" s="2">
        <v>0.62</v>
      </c>
      <c r="L130" s="2"/>
      <c r="M130" s="216">
        <f t="shared" si="17"/>
        <v>0.61499999999999999</v>
      </c>
    </row>
    <row r="131" spans="2:13" x14ac:dyDescent="0.25">
      <c r="B131" s="667" t="s">
        <v>289</v>
      </c>
      <c r="C131" s="690" t="s">
        <v>28</v>
      </c>
      <c r="D131" s="689" t="s">
        <v>190</v>
      </c>
      <c r="E131" s="25" t="s">
        <v>80</v>
      </c>
      <c r="F131" s="318">
        <v>1.38</v>
      </c>
      <c r="G131" s="311">
        <v>2.31</v>
      </c>
      <c r="H131" s="311">
        <v>1.94</v>
      </c>
      <c r="I131" s="215">
        <f t="shared" si="15"/>
        <v>1.8766666666666667</v>
      </c>
      <c r="J131" s="71">
        <v>0.53</v>
      </c>
      <c r="K131" s="50">
        <v>0.51</v>
      </c>
      <c r="L131" s="50"/>
      <c r="M131" s="215">
        <f t="shared" si="17"/>
        <v>0.52</v>
      </c>
    </row>
    <row r="132" spans="2:13" x14ac:dyDescent="0.25">
      <c r="B132" s="665"/>
      <c r="C132" s="686"/>
      <c r="D132" s="681"/>
      <c r="E132" s="27" t="s">
        <v>79</v>
      </c>
      <c r="F132" s="319">
        <v>2.38</v>
      </c>
      <c r="G132" s="312">
        <v>1.86</v>
      </c>
      <c r="H132" s="313">
        <v>2.1800000000000002</v>
      </c>
      <c r="I132" s="166">
        <f t="shared" si="15"/>
        <v>2.14</v>
      </c>
      <c r="J132" s="72">
        <v>0.56999999999999995</v>
      </c>
      <c r="K132">
        <v>0.56000000000000005</v>
      </c>
      <c r="M132" s="166">
        <f t="shared" si="17"/>
        <v>0.56499999999999995</v>
      </c>
    </row>
    <row r="133" spans="2:13" x14ac:dyDescent="0.25">
      <c r="B133" s="665"/>
      <c r="C133" s="686"/>
      <c r="D133" s="681"/>
      <c r="E133" s="27" t="s">
        <v>81</v>
      </c>
      <c r="F133" s="72">
        <v>1.75</v>
      </c>
      <c r="G133" s="312">
        <v>1.68</v>
      </c>
      <c r="H133" s="313"/>
      <c r="I133" s="166">
        <f t="shared" si="15"/>
        <v>1.7149999999999999</v>
      </c>
      <c r="J133" s="72">
        <v>0.52</v>
      </c>
      <c r="K133">
        <v>0.53</v>
      </c>
      <c r="M133" s="166">
        <f t="shared" si="17"/>
        <v>0.52500000000000002</v>
      </c>
    </row>
    <row r="134" spans="2:13" x14ac:dyDescent="0.25">
      <c r="B134" s="665"/>
      <c r="C134" s="686"/>
      <c r="D134" s="681"/>
      <c r="E134" s="27" t="s">
        <v>82</v>
      </c>
      <c r="F134" s="72">
        <v>2.29</v>
      </c>
      <c r="G134" s="312">
        <v>1.97</v>
      </c>
      <c r="H134" s="313">
        <v>1.91</v>
      </c>
      <c r="I134" s="166">
        <f t="shared" si="15"/>
        <v>2.0566666666666666</v>
      </c>
      <c r="J134" s="72">
        <v>0.64</v>
      </c>
      <c r="K134">
        <v>0.63</v>
      </c>
      <c r="M134" s="166">
        <f t="shared" si="17"/>
        <v>0.63500000000000001</v>
      </c>
    </row>
    <row r="135" spans="2:13" x14ac:dyDescent="0.25">
      <c r="B135" s="665"/>
      <c r="C135" s="686"/>
      <c r="D135" s="681"/>
      <c r="E135" s="27" t="s">
        <v>83</v>
      </c>
      <c r="F135" s="72">
        <v>1.87</v>
      </c>
      <c r="G135" s="312">
        <v>1.66</v>
      </c>
      <c r="H135" s="313">
        <v>1.5</v>
      </c>
      <c r="I135" s="166">
        <f t="shared" si="15"/>
        <v>1.6766666666666667</v>
      </c>
      <c r="J135" s="72">
        <v>0.52</v>
      </c>
      <c r="K135">
        <v>0.52</v>
      </c>
      <c r="M135" s="166">
        <f t="shared" si="17"/>
        <v>0.52</v>
      </c>
    </row>
    <row r="136" spans="2:13" ht="15.75" thickBot="1" x14ac:dyDescent="0.3">
      <c r="B136" s="666"/>
      <c r="C136" s="687"/>
      <c r="D136" s="684"/>
      <c r="E136" s="8" t="s">
        <v>94</v>
      </c>
      <c r="F136" s="73">
        <v>1.63</v>
      </c>
      <c r="G136" s="314">
        <v>1.58</v>
      </c>
      <c r="H136" s="315"/>
      <c r="I136" s="216">
        <f t="shared" si="15"/>
        <v>1.605</v>
      </c>
      <c r="J136" s="73">
        <v>0.51</v>
      </c>
      <c r="K136" s="2">
        <v>0.49</v>
      </c>
      <c r="L136" s="2"/>
      <c r="M136" s="216">
        <f t="shared" si="17"/>
        <v>0.5</v>
      </c>
    </row>
    <row r="137" spans="2:13" ht="15" customHeight="1" x14ac:dyDescent="0.25">
      <c r="B137" s="667" t="s">
        <v>293</v>
      </c>
      <c r="C137" s="660" t="s">
        <v>28</v>
      </c>
      <c r="D137" s="701" t="s">
        <v>252</v>
      </c>
      <c r="E137" s="25" t="s">
        <v>80</v>
      </c>
      <c r="F137" s="318">
        <v>1.73</v>
      </c>
      <c r="G137" s="311">
        <v>1.69</v>
      </c>
      <c r="H137" s="311"/>
      <c r="I137" s="215">
        <f t="shared" si="15"/>
        <v>1.71</v>
      </c>
      <c r="J137" s="71">
        <v>0.48</v>
      </c>
      <c r="K137" s="50">
        <v>0.48</v>
      </c>
      <c r="L137" s="50"/>
      <c r="M137" s="215">
        <f t="shared" si="17"/>
        <v>0.48</v>
      </c>
    </row>
    <row r="138" spans="2:13" x14ac:dyDescent="0.25">
      <c r="B138" s="665"/>
      <c r="C138" s="715"/>
      <c r="D138" s="702"/>
      <c r="E138" s="27" t="s">
        <v>79</v>
      </c>
      <c r="F138" s="319">
        <v>1.61</v>
      </c>
      <c r="G138" s="312">
        <v>1.6</v>
      </c>
      <c r="H138" s="313"/>
      <c r="I138" s="166">
        <f t="shared" si="15"/>
        <v>1.605</v>
      </c>
      <c r="J138" s="72">
        <v>0.43</v>
      </c>
      <c r="K138">
        <v>0.43</v>
      </c>
      <c r="M138" s="166">
        <f t="shared" si="17"/>
        <v>0.43</v>
      </c>
    </row>
    <row r="139" spans="2:13" x14ac:dyDescent="0.25">
      <c r="B139" s="665"/>
      <c r="C139" s="715"/>
      <c r="D139" s="702"/>
      <c r="E139" s="27" t="s">
        <v>81</v>
      </c>
      <c r="F139" s="72">
        <v>2.63</v>
      </c>
      <c r="G139" s="312">
        <v>1.91</v>
      </c>
      <c r="H139" s="313">
        <v>2.4300000000000002</v>
      </c>
      <c r="I139" s="166">
        <f t="shared" si="15"/>
        <v>2.3233333333333337</v>
      </c>
      <c r="J139" s="72">
        <v>0.52</v>
      </c>
      <c r="K139">
        <v>0.52</v>
      </c>
      <c r="M139" s="166">
        <f t="shared" si="17"/>
        <v>0.52</v>
      </c>
    </row>
    <row r="140" spans="2:13" x14ac:dyDescent="0.25">
      <c r="B140" s="665"/>
      <c r="C140" s="715"/>
      <c r="D140" s="702"/>
      <c r="E140" s="27" t="s">
        <v>82</v>
      </c>
      <c r="F140" s="312">
        <v>1.66</v>
      </c>
      <c r="G140" s="313">
        <v>1.72</v>
      </c>
      <c r="I140" s="166">
        <f>AVERAGE(F140:G140)</f>
        <v>1.69</v>
      </c>
      <c r="J140" s="72">
        <v>0.48</v>
      </c>
      <c r="K140">
        <v>0.51</v>
      </c>
      <c r="M140" s="166">
        <f t="shared" si="17"/>
        <v>0.495</v>
      </c>
    </row>
    <row r="141" spans="2:13" x14ac:dyDescent="0.25">
      <c r="B141" s="665"/>
      <c r="C141" s="715"/>
      <c r="D141" s="736"/>
      <c r="E141" s="59" t="s">
        <v>83</v>
      </c>
      <c r="F141" s="316">
        <v>1.32</v>
      </c>
      <c r="G141" s="317">
        <v>1.37</v>
      </c>
      <c r="H141" s="172"/>
      <c r="I141" s="323">
        <f>AVERAGE(F141:G141)</f>
        <v>1.3450000000000002</v>
      </c>
      <c r="J141" s="212">
        <v>0.47</v>
      </c>
      <c r="K141" s="60">
        <v>0.45</v>
      </c>
      <c r="L141" s="60"/>
      <c r="M141" s="323">
        <f t="shared" si="17"/>
        <v>0.45999999999999996</v>
      </c>
    </row>
    <row r="142" spans="2:13" x14ac:dyDescent="0.25">
      <c r="B142" s="665"/>
      <c r="C142" s="715"/>
      <c r="D142" s="702" t="s">
        <v>253</v>
      </c>
      <c r="E142" s="27" t="s">
        <v>94</v>
      </c>
      <c r="F142" s="72">
        <v>1.86</v>
      </c>
      <c r="G142" s="312">
        <v>1.69</v>
      </c>
      <c r="H142" s="313">
        <v>1.61</v>
      </c>
      <c r="I142" s="166">
        <f t="shared" si="15"/>
        <v>1.72</v>
      </c>
      <c r="J142" s="72">
        <v>0.49</v>
      </c>
      <c r="K142">
        <v>0.46</v>
      </c>
      <c r="M142" s="166">
        <f t="shared" si="17"/>
        <v>0.47499999999999998</v>
      </c>
    </row>
    <row r="143" spans="2:13" x14ac:dyDescent="0.25">
      <c r="B143" s="665"/>
      <c r="C143" s="715"/>
      <c r="D143" s="702"/>
      <c r="E143" s="27" t="s">
        <v>209</v>
      </c>
      <c r="F143" s="72">
        <v>1.67</v>
      </c>
      <c r="G143" s="312">
        <v>2.17</v>
      </c>
      <c r="H143">
        <v>2.14</v>
      </c>
      <c r="I143" s="166">
        <f t="shared" si="15"/>
        <v>1.9933333333333334</v>
      </c>
      <c r="J143" s="72">
        <v>0.45</v>
      </c>
      <c r="K143">
        <v>0.46</v>
      </c>
      <c r="M143" s="166">
        <f>AVERAGE(J143:L143)</f>
        <v>0.45500000000000002</v>
      </c>
    </row>
    <row r="144" spans="2:13" x14ac:dyDescent="0.25">
      <c r="B144" s="665"/>
      <c r="C144" s="715"/>
      <c r="D144" s="702"/>
      <c r="E144" s="27" t="s">
        <v>210</v>
      </c>
      <c r="F144" s="72">
        <v>1.87</v>
      </c>
      <c r="G144" s="312">
        <v>1.67</v>
      </c>
      <c r="H144" s="313">
        <v>1.64</v>
      </c>
      <c r="I144" s="166">
        <f t="shared" si="15"/>
        <v>1.7266666666666666</v>
      </c>
      <c r="J144" s="72">
        <v>0.47</v>
      </c>
      <c r="K144">
        <v>0.49</v>
      </c>
      <c r="M144" s="166">
        <f>AVERAGE(J144:L144)</f>
        <v>0.48</v>
      </c>
    </row>
    <row r="145" spans="2:13" x14ac:dyDescent="0.25">
      <c r="B145" s="665"/>
      <c r="C145" s="715"/>
      <c r="D145" s="702"/>
      <c r="E145" s="27" t="s">
        <v>211</v>
      </c>
      <c r="F145" s="72">
        <v>1.82</v>
      </c>
      <c r="G145" s="312">
        <v>1.62</v>
      </c>
      <c r="H145">
        <v>1.52</v>
      </c>
      <c r="I145" s="166">
        <f t="shared" si="15"/>
        <v>1.6533333333333335</v>
      </c>
      <c r="J145" s="72">
        <v>0.42</v>
      </c>
      <c r="K145">
        <v>0.41</v>
      </c>
      <c r="M145" s="166">
        <f>AVERAGE(J145:L145)</f>
        <v>0.41499999999999998</v>
      </c>
    </row>
    <row r="146" spans="2:13" ht="15.75" thickBot="1" x14ac:dyDescent="0.3">
      <c r="B146" s="666"/>
      <c r="C146" s="661"/>
      <c r="D146" s="703"/>
      <c r="E146" s="8" t="s">
        <v>212</v>
      </c>
      <c r="F146" s="73">
        <v>1.76</v>
      </c>
      <c r="G146" s="2">
        <v>1.76</v>
      </c>
      <c r="H146" s="2"/>
      <c r="I146" s="216">
        <f t="shared" si="15"/>
        <v>1.76</v>
      </c>
      <c r="J146" s="73">
        <v>0.45</v>
      </c>
      <c r="K146" s="2">
        <v>0.44</v>
      </c>
      <c r="L146" s="2"/>
      <c r="M146" s="216">
        <f>AVERAGE(J146:K146)</f>
        <v>0.44500000000000001</v>
      </c>
    </row>
    <row r="147" spans="2:13" ht="15" customHeight="1" x14ac:dyDescent="0.25">
      <c r="B147" s="667" t="s">
        <v>298</v>
      </c>
      <c r="C147" s="660" t="s">
        <v>24</v>
      </c>
      <c r="D147" s="701" t="s">
        <v>305</v>
      </c>
      <c r="E147" s="25" t="s">
        <v>80</v>
      </c>
      <c r="F147" s="318">
        <v>1.82</v>
      </c>
      <c r="G147" s="311">
        <v>1.61</v>
      </c>
      <c r="H147" s="311">
        <v>1.65</v>
      </c>
      <c r="I147" s="215">
        <f t="shared" si="15"/>
        <v>1.6933333333333334</v>
      </c>
      <c r="J147" s="71">
        <v>0.48</v>
      </c>
      <c r="K147" s="50">
        <v>0.46</v>
      </c>
      <c r="L147" s="50"/>
      <c r="M147" s="215">
        <f t="shared" ref="M147:M152" si="18">AVERAGE(J147:L147)</f>
        <v>0.47</v>
      </c>
    </row>
    <row r="148" spans="2:13" x14ac:dyDescent="0.25">
      <c r="B148" s="665"/>
      <c r="C148" s="715"/>
      <c r="D148" s="702"/>
      <c r="E148" s="27" t="s">
        <v>79</v>
      </c>
      <c r="F148" s="319">
        <v>2.29</v>
      </c>
      <c r="G148" s="312">
        <v>2.4900000000000002</v>
      </c>
      <c r="H148" s="313">
        <v>2.58</v>
      </c>
      <c r="I148" s="166">
        <f t="shared" si="15"/>
        <v>2.4533333333333336</v>
      </c>
      <c r="J148" s="72">
        <v>0.49</v>
      </c>
      <c r="K148">
        <v>0.51</v>
      </c>
      <c r="M148" s="166">
        <f t="shared" si="18"/>
        <v>0.5</v>
      </c>
    </row>
    <row r="149" spans="2:13" x14ac:dyDescent="0.25">
      <c r="B149" s="665"/>
      <c r="C149" s="715"/>
      <c r="D149" s="702"/>
      <c r="E149" s="27" t="s">
        <v>81</v>
      </c>
      <c r="F149" s="72">
        <v>2.08</v>
      </c>
      <c r="G149" s="312">
        <v>1.87</v>
      </c>
      <c r="H149" s="313">
        <v>1.96</v>
      </c>
      <c r="I149" s="166">
        <f t="shared" si="15"/>
        <v>1.97</v>
      </c>
      <c r="J149" s="72">
        <v>0.47</v>
      </c>
      <c r="K149">
        <v>0.47</v>
      </c>
      <c r="M149" s="166">
        <f t="shared" si="18"/>
        <v>0.47</v>
      </c>
    </row>
    <row r="150" spans="2:13" x14ac:dyDescent="0.25">
      <c r="B150" s="665"/>
      <c r="C150" s="715"/>
      <c r="D150" s="702"/>
      <c r="E150" s="27" t="s">
        <v>82</v>
      </c>
      <c r="F150" s="72">
        <v>1.71</v>
      </c>
      <c r="G150" s="312">
        <v>1.85</v>
      </c>
      <c r="H150" s="313">
        <v>1.65</v>
      </c>
      <c r="I150" s="166">
        <f t="shared" si="15"/>
        <v>1.7366666666666666</v>
      </c>
      <c r="J150" s="72">
        <v>0.49</v>
      </c>
      <c r="K150">
        <v>0.46</v>
      </c>
      <c r="M150" s="166">
        <f t="shared" si="18"/>
        <v>0.47499999999999998</v>
      </c>
    </row>
    <row r="151" spans="2:13" x14ac:dyDescent="0.25">
      <c r="B151" s="665"/>
      <c r="C151" s="715"/>
      <c r="D151" s="702"/>
      <c r="E151" s="58" t="s">
        <v>83</v>
      </c>
      <c r="F151" s="72">
        <v>2.17</v>
      </c>
      <c r="G151" s="312">
        <v>2.12</v>
      </c>
      <c r="H151" s="313"/>
      <c r="I151" s="166">
        <f t="shared" si="15"/>
        <v>2.145</v>
      </c>
      <c r="J151" s="72">
        <v>0.5</v>
      </c>
      <c r="K151">
        <v>0.5</v>
      </c>
      <c r="M151" s="166">
        <f t="shared" si="18"/>
        <v>0.5</v>
      </c>
    </row>
    <row r="152" spans="2:13" ht="15" customHeight="1" x14ac:dyDescent="0.25">
      <c r="B152" s="665"/>
      <c r="C152" s="715"/>
      <c r="D152" s="702" t="s">
        <v>270</v>
      </c>
      <c r="E152" s="27" t="s">
        <v>94</v>
      </c>
      <c r="F152" s="72">
        <v>2.62</v>
      </c>
      <c r="G152" s="312">
        <v>2.12</v>
      </c>
      <c r="H152" s="313">
        <v>1.94</v>
      </c>
      <c r="I152" s="166">
        <f t="shared" si="15"/>
        <v>2.2266666666666666</v>
      </c>
      <c r="J152" s="72">
        <v>0.48</v>
      </c>
      <c r="K152">
        <v>0.49</v>
      </c>
      <c r="M152" s="166">
        <f t="shared" si="18"/>
        <v>0.48499999999999999</v>
      </c>
    </row>
    <row r="153" spans="2:13" x14ac:dyDescent="0.25">
      <c r="B153" s="665"/>
      <c r="C153" s="715"/>
      <c r="D153" s="702"/>
      <c r="E153" s="27" t="s">
        <v>209</v>
      </c>
      <c r="F153" s="72">
        <v>1.47</v>
      </c>
      <c r="G153" s="312">
        <v>1.55</v>
      </c>
      <c r="I153" s="166">
        <f t="shared" si="15"/>
        <v>1.51</v>
      </c>
      <c r="J153" s="72">
        <v>0.44</v>
      </c>
      <c r="K153">
        <v>0.42</v>
      </c>
      <c r="M153" s="166">
        <f>AVERAGE(J153:L153)</f>
        <v>0.43</v>
      </c>
    </row>
    <row r="154" spans="2:13" x14ac:dyDescent="0.25">
      <c r="B154" s="665"/>
      <c r="C154" s="715"/>
      <c r="D154" s="702"/>
      <c r="E154" s="27" t="s">
        <v>210</v>
      </c>
      <c r="F154" s="72">
        <v>1.43</v>
      </c>
      <c r="G154" s="312">
        <v>1.47</v>
      </c>
      <c r="H154" s="313"/>
      <c r="I154" s="166">
        <f t="shared" si="15"/>
        <v>1.45</v>
      </c>
      <c r="J154" s="72">
        <v>0.42</v>
      </c>
      <c r="K154">
        <v>0.41</v>
      </c>
      <c r="M154" s="166">
        <f>AVERAGE(J154:L154)</f>
        <v>0.41499999999999998</v>
      </c>
    </row>
    <row r="155" spans="2:13" x14ac:dyDescent="0.25">
      <c r="B155" s="665"/>
      <c r="C155" s="715"/>
      <c r="D155" s="702"/>
      <c r="E155" s="27" t="s">
        <v>211</v>
      </c>
      <c r="F155" s="72">
        <v>1.36</v>
      </c>
      <c r="G155" s="312">
        <v>1.54</v>
      </c>
      <c r="H155">
        <v>1.56</v>
      </c>
      <c r="I155" s="166">
        <f t="shared" si="15"/>
        <v>1.486666666666667</v>
      </c>
      <c r="J155" s="72">
        <v>0.39</v>
      </c>
      <c r="K155">
        <v>0.39</v>
      </c>
      <c r="M155" s="166">
        <f>AVERAGE(J155:L155)</f>
        <v>0.39</v>
      </c>
    </row>
    <row r="156" spans="2:13" ht="15.75" thickBot="1" x14ac:dyDescent="0.3">
      <c r="B156" s="666"/>
      <c r="C156" s="661"/>
      <c r="D156" s="703"/>
      <c r="E156" s="8" t="s">
        <v>212</v>
      </c>
      <c r="F156" s="73"/>
      <c r="G156" s="2">
        <v>1.49</v>
      </c>
      <c r="H156" s="2">
        <v>1.4</v>
      </c>
      <c r="I156" s="216">
        <f t="shared" si="15"/>
        <v>1.4449999999999998</v>
      </c>
      <c r="J156" s="73">
        <v>0.4</v>
      </c>
      <c r="K156" s="2">
        <v>0.39</v>
      </c>
      <c r="L156" s="2"/>
      <c r="M156" s="216">
        <f>AVERAGE(J156:K156)</f>
        <v>0.39500000000000002</v>
      </c>
    </row>
    <row r="157" spans="2:13" x14ac:dyDescent="0.25">
      <c r="B157" s="667" t="s">
        <v>299</v>
      </c>
      <c r="C157" s="660" t="s">
        <v>24</v>
      </c>
      <c r="D157" s="701" t="s">
        <v>170</v>
      </c>
      <c r="E157" s="25" t="s">
        <v>80</v>
      </c>
      <c r="F157" s="318">
        <v>1.89</v>
      </c>
      <c r="G157" s="311">
        <v>1.74</v>
      </c>
      <c r="H157" s="311">
        <v>2.0099999999999998</v>
      </c>
      <c r="I157" s="215">
        <f t="shared" ref="I157:I186" si="19">AVERAGE(F157:H157)</f>
        <v>1.88</v>
      </c>
      <c r="J157" s="71">
        <v>0.53</v>
      </c>
      <c r="K157" s="50">
        <v>0.61</v>
      </c>
      <c r="L157" s="50">
        <v>0.53</v>
      </c>
      <c r="M157" s="215">
        <f t="shared" ref="M157:M165" si="20">AVERAGE(J157:L157)</f>
        <v>0.55666666666666675</v>
      </c>
    </row>
    <row r="158" spans="2:13" x14ac:dyDescent="0.25">
      <c r="B158" s="665"/>
      <c r="C158" s="715"/>
      <c r="D158" s="702"/>
      <c r="E158" s="27" t="s">
        <v>79</v>
      </c>
      <c r="F158" s="319">
        <v>1.81</v>
      </c>
      <c r="G158" s="312">
        <v>1.75</v>
      </c>
      <c r="H158" s="313"/>
      <c r="I158" s="166">
        <f t="shared" si="19"/>
        <v>1.78</v>
      </c>
      <c r="J158" s="72">
        <v>0.62</v>
      </c>
      <c r="K158">
        <v>0.56999999999999995</v>
      </c>
      <c r="M158" s="166">
        <f t="shared" si="20"/>
        <v>0.59499999999999997</v>
      </c>
    </row>
    <row r="159" spans="2:13" x14ac:dyDescent="0.25">
      <c r="B159" s="665"/>
      <c r="C159" s="715"/>
      <c r="D159" s="702"/>
      <c r="E159" s="27" t="s">
        <v>81</v>
      </c>
      <c r="F159" s="72">
        <v>1.51</v>
      </c>
      <c r="G159" s="312">
        <v>1.61</v>
      </c>
      <c r="H159" s="313"/>
      <c r="I159" s="166">
        <f t="shared" si="19"/>
        <v>1.56</v>
      </c>
      <c r="J159" s="72">
        <v>0.52</v>
      </c>
      <c r="K159">
        <v>0.53</v>
      </c>
      <c r="M159" s="166">
        <f t="shared" si="20"/>
        <v>0.52500000000000002</v>
      </c>
    </row>
    <row r="160" spans="2:13" x14ac:dyDescent="0.25">
      <c r="B160" s="665"/>
      <c r="C160" s="715"/>
      <c r="D160" s="702"/>
      <c r="E160" s="27" t="s">
        <v>82</v>
      </c>
      <c r="F160" s="72">
        <v>1.68</v>
      </c>
      <c r="G160" s="312">
        <v>1.61</v>
      </c>
      <c r="H160" s="313"/>
      <c r="I160" s="166">
        <f t="shared" si="19"/>
        <v>1.645</v>
      </c>
      <c r="J160" s="72">
        <v>0.56000000000000005</v>
      </c>
      <c r="K160">
        <v>0.56000000000000005</v>
      </c>
      <c r="M160" s="166">
        <f t="shared" si="20"/>
        <v>0.56000000000000005</v>
      </c>
    </row>
    <row r="161" spans="2:13" x14ac:dyDescent="0.25">
      <c r="B161" s="665"/>
      <c r="C161" s="715"/>
      <c r="D161" s="702"/>
      <c r="E161" s="58" t="s">
        <v>83</v>
      </c>
      <c r="F161" s="72">
        <v>1.85</v>
      </c>
      <c r="G161" s="312">
        <v>1.91</v>
      </c>
      <c r="H161" s="313"/>
      <c r="I161" s="166">
        <f t="shared" si="19"/>
        <v>1.88</v>
      </c>
      <c r="J161" s="72">
        <v>0.6</v>
      </c>
      <c r="K161">
        <v>0.7</v>
      </c>
      <c r="L161">
        <v>0.64</v>
      </c>
      <c r="M161" s="166">
        <f t="shared" si="20"/>
        <v>0.64666666666666661</v>
      </c>
    </row>
    <row r="162" spans="2:13" x14ac:dyDescent="0.25">
      <c r="B162" s="665"/>
      <c r="C162" s="715"/>
      <c r="D162" s="702" t="s">
        <v>285</v>
      </c>
      <c r="E162" s="27" t="s">
        <v>94</v>
      </c>
      <c r="F162" s="72">
        <v>1.45</v>
      </c>
      <c r="G162" s="312">
        <v>1.53</v>
      </c>
      <c r="H162" s="313"/>
      <c r="I162" s="166">
        <f t="shared" si="19"/>
        <v>1.49</v>
      </c>
      <c r="J162" s="72">
        <v>0.42</v>
      </c>
      <c r="K162">
        <v>0.48</v>
      </c>
      <c r="M162" s="166">
        <f t="shared" si="20"/>
        <v>0.44999999999999996</v>
      </c>
    </row>
    <row r="163" spans="2:13" x14ac:dyDescent="0.25">
      <c r="B163" s="665"/>
      <c r="C163" s="715"/>
      <c r="D163" s="702"/>
      <c r="E163" s="27" t="s">
        <v>209</v>
      </c>
      <c r="F163" s="72">
        <v>1.1100000000000001</v>
      </c>
      <c r="G163" s="312">
        <v>1.3</v>
      </c>
      <c r="H163">
        <v>1.1599999999999999</v>
      </c>
      <c r="I163" s="166">
        <f t="shared" si="19"/>
        <v>1.1900000000000002</v>
      </c>
      <c r="J163" s="72">
        <v>0.56000000000000005</v>
      </c>
      <c r="K163">
        <v>0.47</v>
      </c>
      <c r="L163">
        <v>0.55000000000000004</v>
      </c>
      <c r="M163" s="166">
        <f t="shared" si="20"/>
        <v>0.52666666666666673</v>
      </c>
    </row>
    <row r="164" spans="2:13" x14ac:dyDescent="0.25">
      <c r="B164" s="665"/>
      <c r="C164" s="715"/>
      <c r="D164" s="702"/>
      <c r="E164" s="27" t="s">
        <v>210</v>
      </c>
      <c r="F164" s="72">
        <v>1.71</v>
      </c>
      <c r="G164" s="312">
        <v>1.63</v>
      </c>
      <c r="H164" s="313"/>
      <c r="I164" s="166">
        <f t="shared" si="19"/>
        <v>1.67</v>
      </c>
      <c r="J164" s="72">
        <v>0.53</v>
      </c>
      <c r="K164">
        <v>0.6</v>
      </c>
      <c r="L164">
        <v>0.6</v>
      </c>
      <c r="M164" s="166">
        <f t="shared" si="20"/>
        <v>0.57666666666666666</v>
      </c>
    </row>
    <row r="165" spans="2:13" x14ac:dyDescent="0.25">
      <c r="B165" s="665"/>
      <c r="C165" s="715"/>
      <c r="D165" s="702"/>
      <c r="E165" s="27" t="s">
        <v>211</v>
      </c>
      <c r="F165" s="72">
        <v>1.33</v>
      </c>
      <c r="G165" s="312">
        <v>1.32</v>
      </c>
      <c r="I165" s="166">
        <f t="shared" si="19"/>
        <v>1.3250000000000002</v>
      </c>
      <c r="J165" s="72">
        <v>0.44</v>
      </c>
      <c r="K165">
        <v>0.43</v>
      </c>
      <c r="M165" s="166">
        <f t="shared" si="20"/>
        <v>0.435</v>
      </c>
    </row>
    <row r="166" spans="2:13" ht="15.75" thickBot="1" x14ac:dyDescent="0.3">
      <c r="B166" s="666"/>
      <c r="C166" s="661"/>
      <c r="D166" s="703"/>
      <c r="E166" s="8" t="s">
        <v>212</v>
      </c>
      <c r="F166" s="73">
        <v>1.84</v>
      </c>
      <c r="G166" s="2">
        <v>1.67</v>
      </c>
      <c r="H166" s="2">
        <v>1.85</v>
      </c>
      <c r="I166" s="216">
        <f t="shared" si="19"/>
        <v>1.7866666666666664</v>
      </c>
      <c r="J166" s="73">
        <v>0.57999999999999996</v>
      </c>
      <c r="K166" s="2">
        <v>0.54</v>
      </c>
      <c r="L166" s="2"/>
      <c r="M166" s="216">
        <f>AVERAGE(J166:K166)</f>
        <v>0.56000000000000005</v>
      </c>
    </row>
    <row r="167" spans="2:13" x14ac:dyDescent="0.25">
      <c r="B167" s="667" t="s">
        <v>324</v>
      </c>
      <c r="C167" s="660" t="s">
        <v>24</v>
      </c>
      <c r="D167" s="701" t="s">
        <v>270</v>
      </c>
      <c r="E167" s="25" t="s">
        <v>80</v>
      </c>
      <c r="F167" s="318">
        <v>1.76</v>
      </c>
      <c r="G167" s="311">
        <v>1.74</v>
      </c>
      <c r="H167" s="311"/>
      <c r="I167" s="215">
        <f t="shared" si="19"/>
        <v>1.75</v>
      </c>
      <c r="J167" s="71">
        <v>0.57999999999999996</v>
      </c>
      <c r="K167" s="50">
        <v>0.57999999999999996</v>
      </c>
      <c r="L167" s="50"/>
      <c r="M167" s="215">
        <f>AVERAGE(J167:L167)</f>
        <v>0.57999999999999996</v>
      </c>
    </row>
    <row r="168" spans="2:13" x14ac:dyDescent="0.25">
      <c r="B168" s="665"/>
      <c r="C168" s="715"/>
      <c r="D168" s="702"/>
      <c r="E168" s="27" t="s">
        <v>79</v>
      </c>
      <c r="F168" s="319">
        <v>1.93</v>
      </c>
      <c r="G168" s="312">
        <v>1.97</v>
      </c>
      <c r="H168" s="313"/>
      <c r="I168" s="166">
        <f t="shared" si="19"/>
        <v>1.95</v>
      </c>
      <c r="J168" s="72">
        <v>0.51</v>
      </c>
      <c r="K168">
        <v>0.56999999999999995</v>
      </c>
      <c r="M168" s="166">
        <f>AVERAGE(J168:L168)</f>
        <v>0.54</v>
      </c>
    </row>
    <row r="169" spans="2:13" x14ac:dyDescent="0.25">
      <c r="B169" s="665"/>
      <c r="C169" s="715"/>
      <c r="D169" s="702"/>
      <c r="E169" s="27" t="s">
        <v>81</v>
      </c>
      <c r="F169" s="72">
        <v>1.57</v>
      </c>
      <c r="G169" s="312">
        <v>1.5</v>
      </c>
      <c r="H169" s="313"/>
      <c r="I169" s="166">
        <f t="shared" si="19"/>
        <v>1.5350000000000001</v>
      </c>
      <c r="J169" s="72">
        <v>0.59</v>
      </c>
      <c r="K169">
        <v>0.57999999999999996</v>
      </c>
      <c r="M169" s="166">
        <f>AVERAGE(J169:L169)</f>
        <v>0.58499999999999996</v>
      </c>
    </row>
    <row r="170" spans="2:13" x14ac:dyDescent="0.25">
      <c r="B170" s="665"/>
      <c r="C170" s="715"/>
      <c r="D170" s="702"/>
      <c r="E170" s="27" t="s">
        <v>82</v>
      </c>
      <c r="F170" s="72">
        <v>1.97</v>
      </c>
      <c r="G170" s="312">
        <v>1.68</v>
      </c>
      <c r="H170" s="313">
        <v>1.78</v>
      </c>
      <c r="I170" s="166">
        <f t="shared" si="19"/>
        <v>1.8099999999999998</v>
      </c>
      <c r="J170" s="72">
        <v>0.55000000000000004</v>
      </c>
      <c r="L170">
        <v>0.53</v>
      </c>
      <c r="M170" s="166">
        <f>AVERAGE(J170:L170)</f>
        <v>0.54</v>
      </c>
    </row>
    <row r="171" spans="2:13" x14ac:dyDescent="0.25">
      <c r="B171" s="665"/>
      <c r="C171" s="715"/>
      <c r="D171" s="702"/>
      <c r="E171" s="58" t="s">
        <v>83</v>
      </c>
      <c r="F171" s="72">
        <v>1.4</v>
      </c>
      <c r="G171" s="312">
        <v>1.36</v>
      </c>
      <c r="H171" s="313"/>
      <c r="I171" s="166">
        <f t="shared" si="19"/>
        <v>1.38</v>
      </c>
      <c r="J171" s="72"/>
      <c r="K171">
        <v>0.43</v>
      </c>
      <c r="L171">
        <v>0.48</v>
      </c>
      <c r="M171" s="166">
        <f>AVERAGE(J171:L171)</f>
        <v>0.45499999999999996</v>
      </c>
    </row>
    <row r="172" spans="2:13" x14ac:dyDescent="0.25">
      <c r="B172" s="665"/>
      <c r="C172" s="715"/>
      <c r="D172" s="702"/>
      <c r="E172" s="27" t="s">
        <v>94</v>
      </c>
      <c r="F172" s="72">
        <v>1.69</v>
      </c>
      <c r="G172" s="312">
        <v>1.57</v>
      </c>
      <c r="H172" s="313">
        <v>1.71</v>
      </c>
      <c r="I172" s="166">
        <f t="shared" si="19"/>
        <v>1.6566666666666665</v>
      </c>
      <c r="J172" s="72">
        <v>0.45</v>
      </c>
      <c r="K172">
        <v>0.47</v>
      </c>
      <c r="M172" s="166">
        <f>AVERAGE(J172:K172)</f>
        <v>0.45999999999999996</v>
      </c>
    </row>
    <row r="173" spans="2:13" x14ac:dyDescent="0.25">
      <c r="B173" s="665"/>
      <c r="C173" s="715"/>
      <c r="D173" s="702"/>
      <c r="E173" s="27" t="s">
        <v>209</v>
      </c>
      <c r="F173" s="72">
        <v>1.93</v>
      </c>
      <c r="G173" s="312">
        <v>2.0699999999999998</v>
      </c>
      <c r="H173">
        <v>2.31</v>
      </c>
      <c r="I173" s="166">
        <f t="shared" si="19"/>
        <v>2.1033333333333335</v>
      </c>
      <c r="J173" s="72">
        <v>0.55000000000000004</v>
      </c>
      <c r="K173">
        <v>0.56999999999999995</v>
      </c>
      <c r="M173" s="166">
        <f t="shared" ref="M173:M181" si="21">AVERAGE(J173:L173)</f>
        <v>0.56000000000000005</v>
      </c>
    </row>
    <row r="174" spans="2:13" x14ac:dyDescent="0.25">
      <c r="B174" s="665"/>
      <c r="C174" s="715"/>
      <c r="D174" s="702"/>
      <c r="E174" s="27" t="s">
        <v>210</v>
      </c>
      <c r="F174" s="72">
        <v>1.55</v>
      </c>
      <c r="G174" s="312">
        <v>1.52</v>
      </c>
      <c r="H174" s="313"/>
      <c r="I174" s="166">
        <f t="shared" si="19"/>
        <v>1.5350000000000001</v>
      </c>
      <c r="J174" s="72">
        <v>0.48</v>
      </c>
      <c r="K174">
        <v>0.52</v>
      </c>
      <c r="M174" s="166">
        <f t="shared" si="21"/>
        <v>0.5</v>
      </c>
    </row>
    <row r="175" spans="2:13" x14ac:dyDescent="0.25">
      <c r="B175" s="665"/>
      <c r="C175" s="715"/>
      <c r="D175" s="702"/>
      <c r="E175" s="27" t="s">
        <v>211</v>
      </c>
      <c r="F175" s="72">
        <v>1.69</v>
      </c>
      <c r="G175" s="312">
        <v>1.78</v>
      </c>
      <c r="I175" s="166">
        <f t="shared" si="19"/>
        <v>1.7349999999999999</v>
      </c>
      <c r="J175" s="72">
        <v>0.6</v>
      </c>
      <c r="K175">
        <v>0.45</v>
      </c>
      <c r="L175">
        <v>0.42</v>
      </c>
      <c r="M175" s="166">
        <f t="shared" si="21"/>
        <v>0.49</v>
      </c>
    </row>
    <row r="176" spans="2:13" ht="15.75" thickBot="1" x14ac:dyDescent="0.3">
      <c r="B176" s="666"/>
      <c r="C176" s="661"/>
      <c r="D176" s="703"/>
      <c r="E176" s="8" t="s">
        <v>212</v>
      </c>
      <c r="F176" s="73">
        <v>1.78</v>
      </c>
      <c r="G176" s="2">
        <v>1.81</v>
      </c>
      <c r="H176" s="2"/>
      <c r="I176" s="216">
        <f t="shared" si="19"/>
        <v>1.7949999999999999</v>
      </c>
      <c r="J176" s="73"/>
      <c r="K176" s="2">
        <v>0.55000000000000004</v>
      </c>
      <c r="L176" s="2">
        <v>0.54</v>
      </c>
      <c r="M176" s="216">
        <f t="shared" si="21"/>
        <v>0.54500000000000004</v>
      </c>
    </row>
    <row r="177" spans="2:13" x14ac:dyDescent="0.25">
      <c r="B177" s="667" t="s">
        <v>328</v>
      </c>
      <c r="C177" s="660" t="s">
        <v>28</v>
      </c>
      <c r="D177" s="765">
        <v>0.5</v>
      </c>
      <c r="E177" s="25" t="s">
        <v>80</v>
      </c>
      <c r="F177" s="318">
        <v>1.6</v>
      </c>
      <c r="G177" s="311">
        <v>1.64</v>
      </c>
      <c r="H177" s="311"/>
      <c r="I177" s="215">
        <f t="shared" si="19"/>
        <v>1.62</v>
      </c>
      <c r="J177" s="71">
        <v>0.47</v>
      </c>
      <c r="K177" s="50">
        <v>0.56999999999999995</v>
      </c>
      <c r="L177" s="50">
        <v>0.48</v>
      </c>
      <c r="M177" s="215">
        <f t="shared" si="21"/>
        <v>0.50666666666666671</v>
      </c>
    </row>
    <row r="178" spans="2:13" x14ac:dyDescent="0.25">
      <c r="B178" s="665"/>
      <c r="C178" s="715"/>
      <c r="D178" s="702"/>
      <c r="E178" s="27" t="s">
        <v>79</v>
      </c>
      <c r="F178" s="319">
        <v>1.87</v>
      </c>
      <c r="G178" s="312">
        <v>1.87</v>
      </c>
      <c r="H178" s="313"/>
      <c r="I178" s="166">
        <f t="shared" si="19"/>
        <v>1.87</v>
      </c>
      <c r="J178" s="72">
        <v>0.54</v>
      </c>
      <c r="K178">
        <v>0.65</v>
      </c>
      <c r="L178">
        <v>0.56999999999999995</v>
      </c>
      <c r="M178" s="166">
        <f t="shared" si="21"/>
        <v>0.58666666666666656</v>
      </c>
    </row>
    <row r="179" spans="2:13" x14ac:dyDescent="0.25">
      <c r="B179" s="665"/>
      <c r="C179" s="715"/>
      <c r="D179" s="702"/>
      <c r="E179" s="27" t="s">
        <v>81</v>
      </c>
      <c r="F179" s="72">
        <v>1.73</v>
      </c>
      <c r="G179" s="312">
        <v>1.7</v>
      </c>
      <c r="H179" s="313"/>
      <c r="I179" s="166">
        <f t="shared" si="19"/>
        <v>1.7149999999999999</v>
      </c>
      <c r="J179" s="72">
        <v>0.52</v>
      </c>
      <c r="K179">
        <v>0.57999999999999996</v>
      </c>
      <c r="L179">
        <v>0.57999999999999996</v>
      </c>
      <c r="M179" s="166">
        <f t="shared" si="21"/>
        <v>0.56000000000000005</v>
      </c>
    </row>
    <row r="180" spans="2:13" x14ac:dyDescent="0.25">
      <c r="B180" s="665"/>
      <c r="C180" s="715"/>
      <c r="D180" s="702"/>
      <c r="E180" s="27" t="s">
        <v>82</v>
      </c>
      <c r="F180" s="72">
        <v>2.27</v>
      </c>
      <c r="G180" s="312">
        <v>1.98</v>
      </c>
      <c r="H180" s="313">
        <v>2.2999999999999998</v>
      </c>
      <c r="I180" s="166">
        <f t="shared" si="19"/>
        <v>2.1833333333333331</v>
      </c>
      <c r="J180" s="72">
        <v>0.59</v>
      </c>
      <c r="K180">
        <v>0.64</v>
      </c>
      <c r="M180" s="166">
        <f t="shared" si="21"/>
        <v>0.61499999999999999</v>
      </c>
    </row>
    <row r="181" spans="2:13" x14ac:dyDescent="0.25">
      <c r="B181" s="665"/>
      <c r="C181" s="715"/>
      <c r="D181" s="702"/>
      <c r="E181" s="58" t="s">
        <v>83</v>
      </c>
      <c r="F181" s="72">
        <v>1.66</v>
      </c>
      <c r="G181" s="312">
        <v>2.02</v>
      </c>
      <c r="H181" s="313">
        <v>1.8</v>
      </c>
      <c r="I181" s="166">
        <f t="shared" si="19"/>
        <v>1.8266666666666664</v>
      </c>
      <c r="J181" s="72">
        <v>0.6</v>
      </c>
      <c r="K181">
        <v>0.48</v>
      </c>
      <c r="L181">
        <v>0.56000000000000005</v>
      </c>
      <c r="M181" s="166">
        <f t="shared" si="21"/>
        <v>0.54666666666666675</v>
      </c>
    </row>
    <row r="182" spans="2:13" x14ac:dyDescent="0.25">
      <c r="B182" s="665"/>
      <c r="C182" s="715"/>
      <c r="D182" s="702"/>
      <c r="E182" s="27" t="s">
        <v>94</v>
      </c>
      <c r="F182" s="72">
        <v>2.2999999999999998</v>
      </c>
      <c r="G182" s="312">
        <v>2.39</v>
      </c>
      <c r="H182" s="313"/>
      <c r="I182" s="166">
        <f t="shared" si="19"/>
        <v>2.3449999999999998</v>
      </c>
      <c r="J182" s="72">
        <v>0.56999999999999995</v>
      </c>
      <c r="K182">
        <v>0.6</v>
      </c>
      <c r="M182" s="166">
        <f>AVERAGE(J182:K182)</f>
        <v>0.58499999999999996</v>
      </c>
    </row>
    <row r="183" spans="2:13" x14ac:dyDescent="0.25">
      <c r="B183" s="665"/>
      <c r="C183" s="715"/>
      <c r="D183" s="702"/>
      <c r="E183" s="27" t="s">
        <v>209</v>
      </c>
      <c r="F183" s="72">
        <v>1.89</v>
      </c>
      <c r="G183" s="312">
        <v>1.82</v>
      </c>
      <c r="I183" s="166">
        <f t="shared" si="19"/>
        <v>1.855</v>
      </c>
      <c r="J183" s="72">
        <v>0.55000000000000004</v>
      </c>
      <c r="K183">
        <v>0.57999999999999996</v>
      </c>
      <c r="M183" s="166">
        <f>AVERAGE(J183:L183)</f>
        <v>0.56499999999999995</v>
      </c>
    </row>
    <row r="184" spans="2:13" x14ac:dyDescent="0.25">
      <c r="B184" s="665"/>
      <c r="C184" s="715"/>
      <c r="D184" s="702"/>
      <c r="E184" s="27" t="s">
        <v>210</v>
      </c>
      <c r="F184" s="72">
        <v>1.73</v>
      </c>
      <c r="G184" s="312">
        <v>1.64</v>
      </c>
      <c r="H184" s="313"/>
      <c r="I184" s="166">
        <f t="shared" si="19"/>
        <v>1.6850000000000001</v>
      </c>
      <c r="J184" s="72">
        <v>0.57999999999999996</v>
      </c>
      <c r="K184">
        <v>0.61</v>
      </c>
      <c r="M184" s="166">
        <f>AVERAGE(J184:L184)</f>
        <v>0.59499999999999997</v>
      </c>
    </row>
    <row r="185" spans="2:13" x14ac:dyDescent="0.25">
      <c r="B185" s="665"/>
      <c r="C185" s="715"/>
      <c r="D185" s="702"/>
      <c r="E185" s="27" t="s">
        <v>211</v>
      </c>
      <c r="F185" s="72">
        <v>1.71</v>
      </c>
      <c r="G185" s="312">
        <v>1.93</v>
      </c>
      <c r="H185">
        <v>2.08</v>
      </c>
      <c r="I185" s="166">
        <f t="shared" si="19"/>
        <v>1.9066666666666665</v>
      </c>
      <c r="J185" s="72">
        <v>0.5</v>
      </c>
      <c r="K185">
        <v>0.55000000000000004</v>
      </c>
      <c r="M185" s="166">
        <f>AVERAGE(J185:L185)</f>
        <v>0.52500000000000002</v>
      </c>
    </row>
    <row r="186" spans="2:13" ht="15.75" thickBot="1" x14ac:dyDescent="0.3">
      <c r="B186" s="666"/>
      <c r="C186" s="661"/>
      <c r="D186" s="703"/>
      <c r="E186" s="8" t="s">
        <v>212</v>
      </c>
      <c r="F186" s="73">
        <v>1.78</v>
      </c>
      <c r="G186" s="2">
        <v>1.64</v>
      </c>
      <c r="H186" s="2"/>
      <c r="I186" s="216">
        <f t="shared" si="19"/>
        <v>1.71</v>
      </c>
      <c r="J186" s="73">
        <v>0.51</v>
      </c>
      <c r="K186" s="2">
        <v>0.51</v>
      </c>
      <c r="L186" s="2"/>
      <c r="M186" s="216">
        <f>AVERAGE(J186:K186)</f>
        <v>0.51</v>
      </c>
    </row>
    <row r="187" spans="2:13" x14ac:dyDescent="0.25">
      <c r="B187" s="667" t="s">
        <v>336</v>
      </c>
      <c r="C187" s="660" t="s">
        <v>28</v>
      </c>
      <c r="D187" s="765" t="s">
        <v>337</v>
      </c>
      <c r="E187" s="25" t="s">
        <v>80</v>
      </c>
      <c r="F187" s="318"/>
      <c r="G187" s="311"/>
      <c r="H187" s="311"/>
      <c r="I187" s="215" t="e">
        <f t="shared" ref="I187:I196" si="22">AVERAGE(F187:H187)</f>
        <v>#DIV/0!</v>
      </c>
      <c r="J187" s="71">
        <v>0.6</v>
      </c>
      <c r="K187" s="50">
        <v>0.57999999999999996</v>
      </c>
      <c r="L187" s="50"/>
      <c r="M187" s="215">
        <f>AVERAGE(J187:L187)</f>
        <v>0.59</v>
      </c>
    </row>
    <row r="188" spans="2:13" x14ac:dyDescent="0.25">
      <c r="B188" s="665"/>
      <c r="C188" s="715"/>
      <c r="D188" s="702"/>
      <c r="E188" s="27" t="s">
        <v>79</v>
      </c>
      <c r="F188" s="319"/>
      <c r="G188" s="312"/>
      <c r="H188" s="313"/>
      <c r="I188" s="166" t="e">
        <f t="shared" si="22"/>
        <v>#DIV/0!</v>
      </c>
      <c r="J188" s="72">
        <v>0.52</v>
      </c>
      <c r="K188">
        <v>0.49</v>
      </c>
      <c r="M188" s="166">
        <f>AVERAGE(J188:L188)</f>
        <v>0.505</v>
      </c>
    </row>
    <row r="189" spans="2:13" x14ac:dyDescent="0.25">
      <c r="B189" s="665"/>
      <c r="C189" s="715"/>
      <c r="D189" s="702"/>
      <c r="E189" s="27" t="s">
        <v>81</v>
      </c>
      <c r="F189" s="72"/>
      <c r="G189" s="312"/>
      <c r="H189" s="313"/>
      <c r="I189" s="166" t="e">
        <f t="shared" si="22"/>
        <v>#DIV/0!</v>
      </c>
      <c r="J189" s="72">
        <v>0.54</v>
      </c>
      <c r="K189">
        <v>0.55000000000000004</v>
      </c>
      <c r="M189" s="166">
        <f>AVERAGE(J189:L189)</f>
        <v>0.54500000000000004</v>
      </c>
    </row>
    <row r="190" spans="2:13" x14ac:dyDescent="0.25">
      <c r="B190" s="665"/>
      <c r="C190" s="715"/>
      <c r="D190" s="702"/>
      <c r="E190" s="27" t="s">
        <v>82</v>
      </c>
      <c r="F190" s="72"/>
      <c r="G190" s="312"/>
      <c r="H190" s="313"/>
      <c r="I190" s="166" t="e">
        <f t="shared" si="22"/>
        <v>#DIV/0!</v>
      </c>
      <c r="J190" s="72">
        <v>0.52</v>
      </c>
      <c r="K190">
        <v>0.56000000000000005</v>
      </c>
      <c r="M190" s="166">
        <f>AVERAGE(J190:L190)</f>
        <v>0.54</v>
      </c>
    </row>
    <row r="191" spans="2:13" x14ac:dyDescent="0.25">
      <c r="B191" s="665"/>
      <c r="C191" s="715"/>
      <c r="D191" s="702"/>
      <c r="E191" s="58" t="s">
        <v>83</v>
      </c>
      <c r="F191" s="72"/>
      <c r="G191" s="312"/>
      <c r="H191" s="313"/>
      <c r="I191" s="166" t="e">
        <f t="shared" si="22"/>
        <v>#DIV/0!</v>
      </c>
      <c r="J191" s="72">
        <v>0.53</v>
      </c>
      <c r="K191">
        <v>0.52</v>
      </c>
      <c r="M191" s="166">
        <f>AVERAGE(J191:L191)</f>
        <v>0.52500000000000002</v>
      </c>
    </row>
    <row r="192" spans="2:13" x14ac:dyDescent="0.25">
      <c r="B192" s="665"/>
      <c r="C192" s="715"/>
      <c r="D192" s="702"/>
      <c r="E192" s="27" t="s">
        <v>94</v>
      </c>
      <c r="F192" s="72"/>
      <c r="G192" s="312"/>
      <c r="H192" s="313"/>
      <c r="I192" s="166" t="e">
        <f t="shared" si="22"/>
        <v>#DIV/0!</v>
      </c>
      <c r="J192" s="72">
        <v>0.6</v>
      </c>
      <c r="K192">
        <v>0.59</v>
      </c>
      <c r="M192" s="166">
        <f>AVERAGE(J192:K192)</f>
        <v>0.59499999999999997</v>
      </c>
    </row>
    <row r="193" spans="2:13" x14ac:dyDescent="0.25">
      <c r="B193" s="665"/>
      <c r="C193" s="715"/>
      <c r="D193" s="702"/>
      <c r="E193" s="27" t="s">
        <v>209</v>
      </c>
      <c r="F193" s="72"/>
      <c r="G193" s="312"/>
      <c r="I193" s="166" t="e">
        <f t="shared" si="22"/>
        <v>#DIV/0!</v>
      </c>
      <c r="J193" s="72">
        <v>0.51</v>
      </c>
      <c r="K193">
        <v>0.49</v>
      </c>
      <c r="M193" s="166">
        <f>AVERAGE(J193:L193)</f>
        <v>0.5</v>
      </c>
    </row>
    <row r="194" spans="2:13" x14ac:dyDescent="0.25">
      <c r="B194" s="665"/>
      <c r="C194" s="715"/>
      <c r="D194" s="702"/>
      <c r="E194" s="27" t="s">
        <v>210</v>
      </c>
      <c r="F194" s="72"/>
      <c r="G194" s="312"/>
      <c r="H194" s="313"/>
      <c r="I194" s="166" t="e">
        <f t="shared" si="22"/>
        <v>#DIV/0!</v>
      </c>
      <c r="J194" s="72">
        <v>0.59</v>
      </c>
      <c r="K194">
        <v>0.56000000000000005</v>
      </c>
      <c r="M194" s="166">
        <f>AVERAGE(J194:L194)</f>
        <v>0.57499999999999996</v>
      </c>
    </row>
    <row r="195" spans="2:13" x14ac:dyDescent="0.25">
      <c r="B195" s="665"/>
      <c r="C195" s="715"/>
      <c r="D195" s="702"/>
      <c r="E195" s="27" t="s">
        <v>211</v>
      </c>
      <c r="F195" s="72"/>
      <c r="G195" s="312"/>
      <c r="I195" s="166" t="e">
        <f t="shared" si="22"/>
        <v>#DIV/0!</v>
      </c>
      <c r="J195" s="72">
        <v>0.52</v>
      </c>
      <c r="K195">
        <v>0.49</v>
      </c>
      <c r="M195" s="166">
        <f>AVERAGE(J195:L195)</f>
        <v>0.505</v>
      </c>
    </row>
    <row r="196" spans="2:13" ht="15.75" thickBot="1" x14ac:dyDescent="0.3">
      <c r="B196" s="666"/>
      <c r="C196" s="661"/>
      <c r="D196" s="703"/>
      <c r="E196" s="8" t="s">
        <v>212</v>
      </c>
      <c r="F196" s="73"/>
      <c r="G196" s="2"/>
      <c r="H196" s="2"/>
      <c r="I196" s="216" t="e">
        <f t="shared" si="22"/>
        <v>#DIV/0!</v>
      </c>
      <c r="J196" s="73">
        <v>0.46</v>
      </c>
      <c r="K196" s="2">
        <v>0.45</v>
      </c>
      <c r="L196" s="2"/>
      <c r="M196" s="216">
        <f>AVERAGE(J196:K196)</f>
        <v>0.45500000000000002</v>
      </c>
    </row>
  </sheetData>
  <mergeCells count="90">
    <mergeCell ref="B187:B196"/>
    <mergeCell ref="C187:C196"/>
    <mergeCell ref="D187:D196"/>
    <mergeCell ref="D112:D121"/>
    <mergeCell ref="B97:B101"/>
    <mergeCell ref="C97:C101"/>
    <mergeCell ref="D97:D101"/>
    <mergeCell ref="B102:B111"/>
    <mergeCell ref="C102:C111"/>
    <mergeCell ref="D102:D111"/>
    <mergeCell ref="D122:D126"/>
    <mergeCell ref="D127:D130"/>
    <mergeCell ref="C131:C136"/>
    <mergeCell ref="B131:B136"/>
    <mergeCell ref="B137:B146"/>
    <mergeCell ref="C137:C146"/>
    <mergeCell ref="J1:M1"/>
    <mergeCell ref="B1:B2"/>
    <mergeCell ref="C1:C2"/>
    <mergeCell ref="D1:D2"/>
    <mergeCell ref="E1:E2"/>
    <mergeCell ref="F1:I1"/>
    <mergeCell ref="D4:D8"/>
    <mergeCell ref="C4:C8"/>
    <mergeCell ref="B4:B8"/>
    <mergeCell ref="D14:D17"/>
    <mergeCell ref="C14:C17"/>
    <mergeCell ref="B14:B17"/>
    <mergeCell ref="B9:B13"/>
    <mergeCell ref="C9:C13"/>
    <mergeCell ref="D9:D13"/>
    <mergeCell ref="B18:B22"/>
    <mergeCell ref="C18:C22"/>
    <mergeCell ref="D18:D22"/>
    <mergeCell ref="B23:B28"/>
    <mergeCell ref="C23:C28"/>
    <mergeCell ref="D23:D28"/>
    <mergeCell ref="B29:B34"/>
    <mergeCell ref="C29:C34"/>
    <mergeCell ref="D29:D34"/>
    <mergeCell ref="B35:B40"/>
    <mergeCell ref="C35:C40"/>
    <mergeCell ref="D35:D40"/>
    <mergeCell ref="B41:B43"/>
    <mergeCell ref="D41:D43"/>
    <mergeCell ref="C41:C43"/>
    <mergeCell ref="D44:D49"/>
    <mergeCell ref="C44:C49"/>
    <mergeCell ref="B44:B49"/>
    <mergeCell ref="B57:B66"/>
    <mergeCell ref="D62:D66"/>
    <mergeCell ref="D57:D61"/>
    <mergeCell ref="C57:C66"/>
    <mergeCell ref="D50:D54"/>
    <mergeCell ref="B50:B56"/>
    <mergeCell ref="C50:C56"/>
    <mergeCell ref="D55:D56"/>
    <mergeCell ref="B67:B76"/>
    <mergeCell ref="C67:C76"/>
    <mergeCell ref="D67:D71"/>
    <mergeCell ref="D72:D76"/>
    <mergeCell ref="B77:B86"/>
    <mergeCell ref="C77:C86"/>
    <mergeCell ref="D77:D81"/>
    <mergeCell ref="D82:D86"/>
    <mergeCell ref="B87:B96"/>
    <mergeCell ref="C87:C96"/>
    <mergeCell ref="D87:D91"/>
    <mergeCell ref="D92:D96"/>
    <mergeCell ref="B112:B121"/>
    <mergeCell ref="C112:C121"/>
    <mergeCell ref="B122:B130"/>
    <mergeCell ref="C122:C130"/>
    <mergeCell ref="D142:D146"/>
    <mergeCell ref="D137:D141"/>
    <mergeCell ref="D147:D151"/>
    <mergeCell ref="D152:D156"/>
    <mergeCell ref="D131:D136"/>
    <mergeCell ref="B157:B166"/>
    <mergeCell ref="C157:C166"/>
    <mergeCell ref="D157:D161"/>
    <mergeCell ref="D162:D166"/>
    <mergeCell ref="B147:B156"/>
    <mergeCell ref="C147:C156"/>
    <mergeCell ref="B167:B176"/>
    <mergeCell ref="C167:C176"/>
    <mergeCell ref="D167:D176"/>
    <mergeCell ref="B177:B186"/>
    <mergeCell ref="C177:C186"/>
    <mergeCell ref="D177:D186"/>
  </mergeCells>
  <phoneticPr fontId="7" type="noConversion"/>
  <hyperlinks>
    <hyperlink ref="A1" location="'Table of Contents'!A1" display="Table of Contents" xr:uid="{3F9AA29F-37F5-4882-BBA1-348A1BFCEF00}"/>
  </hyperlink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C22F-3FE2-4BC7-A7A9-31F9684DB671}">
  <dimension ref="A1:EO46"/>
  <sheetViews>
    <sheetView workbookViewId="0"/>
  </sheetViews>
  <sheetFormatPr defaultRowHeight="15" x14ac:dyDescent="0.25"/>
  <cols>
    <col min="1" max="1" width="16.5703125" customWidth="1"/>
    <col min="2" max="2" width="11" customWidth="1"/>
    <col min="3" max="3" width="12.85546875" customWidth="1"/>
    <col min="6" max="7" width="11" customWidth="1"/>
    <col min="10" max="10" width="11.28515625" customWidth="1"/>
    <col min="11" max="11" width="15" customWidth="1"/>
    <col min="14" max="14" width="12" customWidth="1"/>
    <col min="15" max="15" width="13.42578125" customWidth="1"/>
    <col min="17" max="17" width="10.28515625" customWidth="1"/>
    <col min="18" max="18" width="11" customWidth="1"/>
    <col min="19" max="19" width="13.140625" customWidth="1"/>
    <col min="20" max="20" width="9.7109375" customWidth="1"/>
    <col min="22" max="22" width="12" customWidth="1"/>
    <col min="23" max="23" width="14.7109375" customWidth="1"/>
    <col min="26" max="26" width="11.140625" customWidth="1"/>
    <col min="27" max="27" width="12.28515625" customWidth="1"/>
    <col min="30" max="30" width="10.5703125" customWidth="1"/>
    <col min="31" max="31" width="13.5703125" customWidth="1"/>
    <col min="32" max="32" width="8.85546875" customWidth="1"/>
    <col min="34" max="34" width="11.42578125" customWidth="1"/>
    <col min="35" max="35" width="14.7109375" customWidth="1"/>
    <col min="38" max="38" width="11" customWidth="1"/>
    <col min="39" max="39" width="10.42578125" customWidth="1"/>
    <col min="42" max="42" width="11.5703125" customWidth="1"/>
    <col min="43" max="43" width="13.5703125" customWidth="1"/>
    <col min="46" max="46" width="12" customWidth="1"/>
    <col min="47" max="47" width="14.5703125" customWidth="1"/>
    <col min="50" max="50" width="11.5703125" customWidth="1"/>
    <col min="51" max="51" width="11.85546875" customWidth="1"/>
    <col min="54" max="54" width="12.85546875" customWidth="1"/>
    <col min="55" max="55" width="14.140625" customWidth="1"/>
    <col min="58" max="58" width="11.85546875" customWidth="1"/>
    <col min="59" max="59" width="14.85546875" customWidth="1"/>
    <col min="63" max="63" width="10.7109375" customWidth="1"/>
    <col min="76" max="76" width="11" customWidth="1"/>
    <col min="87" max="87" width="11" customWidth="1"/>
    <col min="99" max="99" width="11" customWidth="1"/>
    <col min="111" max="111" width="10.7109375" customWidth="1"/>
    <col min="123" max="123" width="11.5703125" customWidth="1"/>
    <col min="127" max="127" width="11" customWidth="1"/>
    <col min="128" max="128" width="13.7109375" customWidth="1"/>
    <col min="131" max="131" width="12" customWidth="1"/>
    <col min="132" max="132" width="14.28515625" customWidth="1"/>
    <col min="135" max="135" width="10.85546875" customWidth="1"/>
    <col min="136" max="136" width="12" customWidth="1"/>
  </cols>
  <sheetData>
    <row r="1" spans="1:145" ht="15.75" thickBot="1" x14ac:dyDescent="0.3">
      <c r="A1" s="356" t="s">
        <v>262</v>
      </c>
      <c r="N1" s="644" t="s">
        <v>192</v>
      </c>
      <c r="O1" s="645"/>
      <c r="P1" s="645"/>
      <c r="Q1" s="645"/>
      <c r="R1" s="645"/>
      <c r="S1" s="645"/>
      <c r="T1" s="645"/>
      <c r="U1" s="645"/>
      <c r="V1" s="645"/>
      <c r="W1" s="645"/>
      <c r="X1" s="646"/>
      <c r="Z1" s="644" t="s">
        <v>193</v>
      </c>
      <c r="AA1" s="645"/>
      <c r="AB1" s="645"/>
      <c r="AC1" s="645"/>
      <c r="AD1" s="645"/>
      <c r="AE1" s="645"/>
      <c r="AF1" s="645"/>
      <c r="AG1" s="645"/>
      <c r="AH1" s="645"/>
      <c r="AI1" s="645"/>
      <c r="AJ1" s="646"/>
      <c r="AL1" s="644" t="s">
        <v>214</v>
      </c>
      <c r="AM1" s="645"/>
      <c r="AN1" s="645"/>
      <c r="AO1" s="645"/>
      <c r="AP1" s="645"/>
      <c r="AQ1" s="645"/>
      <c r="AR1" s="645"/>
      <c r="AS1" s="645"/>
      <c r="AT1" s="645"/>
      <c r="AU1" s="645"/>
      <c r="AV1" s="646"/>
    </row>
    <row r="2" spans="1:145" ht="15.75" thickBot="1" x14ac:dyDescent="0.3">
      <c r="B2" s="173" t="s">
        <v>8</v>
      </c>
      <c r="C2" s="53" t="s">
        <v>53</v>
      </c>
      <c r="D2" s="174" t="s">
        <v>54</v>
      </c>
      <c r="E2" s="52" t="s">
        <v>126</v>
      </c>
      <c r="F2" s="52" t="s">
        <v>127</v>
      </c>
      <c r="G2" s="52" t="s">
        <v>128</v>
      </c>
      <c r="H2" s="175" t="s">
        <v>129</v>
      </c>
      <c r="I2" s="51" t="s">
        <v>130</v>
      </c>
      <c r="J2" s="52" t="s">
        <v>131</v>
      </c>
      <c r="K2" s="52" t="s">
        <v>132</v>
      </c>
      <c r="L2" s="74" t="s">
        <v>129</v>
      </c>
      <c r="N2" s="231" t="s">
        <v>53</v>
      </c>
      <c r="O2" s="232" t="s">
        <v>8</v>
      </c>
      <c r="P2" s="233" t="s">
        <v>54</v>
      </c>
      <c r="Q2" s="52" t="s">
        <v>126</v>
      </c>
      <c r="R2" s="52" t="s">
        <v>127</v>
      </c>
      <c r="S2" s="52" t="s">
        <v>128</v>
      </c>
      <c r="T2" s="74" t="s">
        <v>129</v>
      </c>
      <c r="U2" s="52" t="s">
        <v>130</v>
      </c>
      <c r="V2" s="52" t="s">
        <v>131</v>
      </c>
      <c r="W2" s="52" t="s">
        <v>132</v>
      </c>
      <c r="X2" s="74" t="s">
        <v>129</v>
      </c>
      <c r="Z2" s="231" t="s">
        <v>53</v>
      </c>
      <c r="AA2" s="251" t="s">
        <v>8</v>
      </c>
      <c r="AB2" s="250" t="s">
        <v>54</v>
      </c>
      <c r="AC2" s="51" t="s">
        <v>126</v>
      </c>
      <c r="AD2" s="52" t="s">
        <v>127</v>
      </c>
      <c r="AE2" s="52" t="s">
        <v>128</v>
      </c>
      <c r="AF2" s="74" t="s">
        <v>129</v>
      </c>
      <c r="AG2" s="52" t="s">
        <v>130</v>
      </c>
      <c r="AH2" s="52" t="s">
        <v>131</v>
      </c>
      <c r="AI2" s="52" t="s">
        <v>132</v>
      </c>
      <c r="AJ2" s="74" t="s">
        <v>129</v>
      </c>
      <c r="AL2" s="231" t="s">
        <v>53</v>
      </c>
      <c r="AM2" s="251" t="s">
        <v>8</v>
      </c>
      <c r="AN2" s="250" t="s">
        <v>54</v>
      </c>
      <c r="AO2" s="51" t="s">
        <v>126</v>
      </c>
      <c r="AP2" s="52" t="s">
        <v>127</v>
      </c>
      <c r="AQ2" s="52" t="s">
        <v>128</v>
      </c>
      <c r="AR2" s="74" t="s">
        <v>129</v>
      </c>
      <c r="AS2" s="52" t="s">
        <v>130</v>
      </c>
      <c r="AT2" s="52" t="s">
        <v>131</v>
      </c>
      <c r="AU2" s="52" t="s">
        <v>132</v>
      </c>
      <c r="AV2" s="74" t="s">
        <v>129</v>
      </c>
      <c r="AX2" s="231" t="s">
        <v>53</v>
      </c>
      <c r="AY2" s="251" t="s">
        <v>8</v>
      </c>
      <c r="AZ2" s="233" t="s">
        <v>54</v>
      </c>
      <c r="BA2" s="51" t="s">
        <v>126</v>
      </c>
      <c r="BB2" s="52" t="s">
        <v>127</v>
      </c>
      <c r="BC2" s="52" t="s">
        <v>128</v>
      </c>
      <c r="BD2" s="74" t="s">
        <v>129</v>
      </c>
      <c r="BE2" s="52" t="s">
        <v>130</v>
      </c>
      <c r="BF2" s="52" t="s">
        <v>131</v>
      </c>
      <c r="BG2" s="52" t="s">
        <v>132</v>
      </c>
      <c r="BH2" s="74" t="s">
        <v>129</v>
      </c>
      <c r="BK2" s="231" t="s">
        <v>53</v>
      </c>
      <c r="BL2" s="232" t="s">
        <v>8</v>
      </c>
      <c r="BM2" s="233" t="s">
        <v>54</v>
      </c>
      <c r="BN2" s="51" t="s">
        <v>126</v>
      </c>
      <c r="BO2" s="52" t="s">
        <v>127</v>
      </c>
      <c r="BP2" s="52" t="s">
        <v>242</v>
      </c>
      <c r="BQ2" s="53" t="s">
        <v>129</v>
      </c>
      <c r="BR2" s="52" t="s">
        <v>130</v>
      </c>
      <c r="BS2" s="52" t="s">
        <v>131</v>
      </c>
      <c r="BT2" s="52" t="s">
        <v>243</v>
      </c>
      <c r="BU2" s="53" t="s">
        <v>129</v>
      </c>
      <c r="BW2" s="51" t="s">
        <v>53</v>
      </c>
      <c r="BX2" s="52" t="s">
        <v>8</v>
      </c>
      <c r="BY2" s="52" t="s">
        <v>256</v>
      </c>
      <c r="BZ2" s="51" t="s">
        <v>126</v>
      </c>
      <c r="CA2" s="52" t="s">
        <v>127</v>
      </c>
      <c r="CB2" s="52" t="s">
        <v>242</v>
      </c>
      <c r="CC2" s="53" t="s">
        <v>129</v>
      </c>
      <c r="CD2" s="51" t="s">
        <v>130</v>
      </c>
      <c r="CE2" s="52" t="s">
        <v>131</v>
      </c>
      <c r="CF2" s="52" t="s">
        <v>243</v>
      </c>
      <c r="CG2" s="53" t="s">
        <v>129</v>
      </c>
      <c r="CI2" s="231" t="s">
        <v>53</v>
      </c>
      <c r="CJ2" s="232" t="s">
        <v>8</v>
      </c>
      <c r="CK2" s="233" t="s">
        <v>54</v>
      </c>
      <c r="CL2" s="51" t="s">
        <v>126</v>
      </c>
      <c r="CM2" s="52" t="s">
        <v>127</v>
      </c>
      <c r="CN2" s="52" t="s">
        <v>242</v>
      </c>
      <c r="CO2" s="53" t="s">
        <v>129</v>
      </c>
      <c r="CP2" s="51" t="s">
        <v>130</v>
      </c>
      <c r="CQ2" s="52" t="s">
        <v>131</v>
      </c>
      <c r="CR2" s="52" t="s">
        <v>243</v>
      </c>
      <c r="CS2" s="53" t="s">
        <v>129</v>
      </c>
      <c r="CU2" s="231" t="s">
        <v>53</v>
      </c>
      <c r="CV2" s="232" t="s">
        <v>8</v>
      </c>
      <c r="CW2" s="233" t="s">
        <v>54</v>
      </c>
      <c r="CX2" s="51" t="s">
        <v>126</v>
      </c>
      <c r="CY2" s="52" t="s">
        <v>127</v>
      </c>
      <c r="CZ2" s="52" t="s">
        <v>242</v>
      </c>
      <c r="DA2" s="74" t="s">
        <v>129</v>
      </c>
      <c r="DB2" s="51" t="s">
        <v>130</v>
      </c>
      <c r="DC2" s="52" t="s">
        <v>131</v>
      </c>
      <c r="DD2" s="52" t="s">
        <v>243</v>
      </c>
      <c r="DE2" s="74" t="s">
        <v>129</v>
      </c>
      <c r="DG2" s="440" t="s">
        <v>53</v>
      </c>
      <c r="DH2" s="441" t="s">
        <v>8</v>
      </c>
      <c r="DI2" s="442" t="s">
        <v>54</v>
      </c>
      <c r="DJ2" s="51" t="s">
        <v>126</v>
      </c>
      <c r="DK2" s="52" t="s">
        <v>127</v>
      </c>
      <c r="DL2" s="52" t="s">
        <v>242</v>
      </c>
      <c r="DM2" s="74" t="s">
        <v>129</v>
      </c>
      <c r="DN2" s="52" t="s">
        <v>130</v>
      </c>
      <c r="DO2" s="52" t="s">
        <v>131</v>
      </c>
      <c r="DP2" s="52" t="s">
        <v>243</v>
      </c>
      <c r="DQ2" s="74" t="s">
        <v>129</v>
      </c>
      <c r="DS2" s="440" t="s">
        <v>53</v>
      </c>
      <c r="DT2" s="441" t="s">
        <v>8</v>
      </c>
      <c r="DU2" s="442" t="s">
        <v>54</v>
      </c>
      <c r="DV2" s="51" t="s">
        <v>126</v>
      </c>
      <c r="DW2" s="52" t="s">
        <v>127</v>
      </c>
      <c r="DX2" s="52" t="s">
        <v>242</v>
      </c>
      <c r="DY2" s="74" t="s">
        <v>129</v>
      </c>
      <c r="DZ2" s="51" t="s">
        <v>130</v>
      </c>
      <c r="EA2" s="52" t="s">
        <v>131</v>
      </c>
      <c r="EB2" s="52" t="s">
        <v>243</v>
      </c>
      <c r="EC2" s="74" t="s">
        <v>129</v>
      </c>
      <c r="EE2" s="440" t="s">
        <v>53</v>
      </c>
      <c r="EF2" s="441" t="s">
        <v>8</v>
      </c>
      <c r="EG2" s="442" t="s">
        <v>54</v>
      </c>
      <c r="EH2" s="51" t="s">
        <v>126</v>
      </c>
      <c r="EI2" s="52" t="s">
        <v>127</v>
      </c>
      <c r="EJ2" s="52" t="s">
        <v>242</v>
      </c>
      <c r="EK2" s="74" t="s">
        <v>129</v>
      </c>
      <c r="EL2" s="51" t="s">
        <v>130</v>
      </c>
      <c r="EM2" s="52" t="s">
        <v>131</v>
      </c>
      <c r="EN2" s="52" t="s">
        <v>243</v>
      </c>
      <c r="EO2" s="74" t="s">
        <v>129</v>
      </c>
    </row>
    <row r="3" spans="1:145" ht="15" customHeight="1" x14ac:dyDescent="0.25">
      <c r="B3" s="398" t="s">
        <v>91</v>
      </c>
      <c r="C3" s="264" t="s">
        <v>12</v>
      </c>
      <c r="D3" s="324" t="s">
        <v>79</v>
      </c>
      <c r="E3" s="50">
        <v>27</v>
      </c>
      <c r="F3" s="50">
        <v>8.2895827576678601E-4</v>
      </c>
      <c r="G3" s="419">
        <v>1.0543323604586901E-4</v>
      </c>
      <c r="H3" s="420">
        <f>G3</f>
        <v>1.0543323604586901E-4</v>
      </c>
      <c r="I3" s="71">
        <v>47.5</v>
      </c>
      <c r="J3" s="249">
        <v>7.9446317704988197E-5</v>
      </c>
      <c r="K3" s="419">
        <v>0.69290589770523492</v>
      </c>
      <c r="L3" s="215">
        <f>K3</f>
        <v>0.69290589770523492</v>
      </c>
      <c r="N3" s="771" t="s">
        <v>169</v>
      </c>
      <c r="O3" s="689" t="s">
        <v>170</v>
      </c>
      <c r="P3" s="324" t="s">
        <v>80</v>
      </c>
      <c r="Q3" s="50">
        <v>97.5</v>
      </c>
      <c r="R3" s="50">
        <v>6.90265486725664E-3</v>
      </c>
      <c r="S3" s="50">
        <v>8.7793229314159314E-4</v>
      </c>
      <c r="T3" s="784">
        <f>AVERAGE(S3:S7)</f>
        <v>1.6099927591150451E-3</v>
      </c>
      <c r="U3" s="50">
        <v>29</v>
      </c>
      <c r="V3" s="249">
        <v>4.2349274914699103E-5</v>
      </c>
      <c r="W3" s="50">
        <v>0.35914805912542902</v>
      </c>
      <c r="X3" s="772">
        <f>AVERAGE(W3:W7)</f>
        <v>0.4842306590277346</v>
      </c>
      <c r="Z3" s="667" t="s">
        <v>181</v>
      </c>
      <c r="AA3" s="692" t="s">
        <v>93</v>
      </c>
      <c r="AB3" s="25" t="s">
        <v>80</v>
      </c>
      <c r="AC3" s="71">
        <v>31</v>
      </c>
      <c r="AD3" s="50">
        <v>1.56100508585528E-3</v>
      </c>
      <c r="AE3" s="50">
        <v>1.9854053273494799E-4</v>
      </c>
      <c r="AF3" s="766">
        <f>AVERAGE(AE3:AE5)</f>
        <v>1.9213599942091732E-4</v>
      </c>
      <c r="AG3" s="50">
        <v>38</v>
      </c>
      <c r="AH3" s="249">
        <v>4.0506480237368001E-5</v>
      </c>
      <c r="AI3" s="50">
        <v>0.34352001984817504</v>
      </c>
      <c r="AJ3" s="766">
        <f>AVERAGE(AI3:AI5)</f>
        <v>0.40981335701185834</v>
      </c>
      <c r="AL3" s="771" t="s">
        <v>206</v>
      </c>
      <c r="AM3" s="664" t="s">
        <v>182</v>
      </c>
      <c r="AN3" s="324" t="s">
        <v>80</v>
      </c>
      <c r="AO3" s="71">
        <v>91.5</v>
      </c>
      <c r="AP3" s="50">
        <v>1.7008746957246701E-4</v>
      </c>
      <c r="AQ3" s="50">
        <v>2.1633021669248201E-5</v>
      </c>
      <c r="AR3" s="766">
        <f>AVERAGE(AQ3:AQ7)</f>
        <v>1.7590129094995262E-5</v>
      </c>
      <c r="AS3" s="50">
        <v>70.5</v>
      </c>
      <c r="AT3" s="50">
        <v>9.5348610750454398E-5</v>
      </c>
      <c r="AU3" s="50">
        <v>0.83085261378605701</v>
      </c>
      <c r="AV3" s="766">
        <f>AVERAGE(AU3:AU7)</f>
        <v>0.64936140453349933</v>
      </c>
      <c r="AX3" s="649" t="s">
        <v>208</v>
      </c>
      <c r="AY3" s="692" t="s">
        <v>91</v>
      </c>
      <c r="AZ3" s="324" t="s">
        <v>94</v>
      </c>
      <c r="BA3" s="71">
        <v>139.5</v>
      </c>
      <c r="BB3" s="50">
        <v>3.2383118993453701E-3</v>
      </c>
      <c r="BC3">
        <v>4.1187320657078402E-4</v>
      </c>
      <c r="BD3" s="766">
        <f>AVERAGE(BC3:BC6)</f>
        <v>3.7459794325210224E-4</v>
      </c>
      <c r="BE3" s="50">
        <v>279</v>
      </c>
      <c r="BF3" s="50">
        <v>4.7356320668487899E-4</v>
      </c>
      <c r="BG3" s="50">
        <v>4.1265543878431696</v>
      </c>
      <c r="BH3" s="766">
        <f>AVERAGE(BG3:BG6)</f>
        <v>4.2152974929580829</v>
      </c>
      <c r="BK3" s="771" t="s">
        <v>227</v>
      </c>
      <c r="BL3" s="689" t="s">
        <v>189</v>
      </c>
      <c r="BM3" s="324" t="s">
        <v>80</v>
      </c>
      <c r="BN3" s="71">
        <v>75.5</v>
      </c>
      <c r="BO3" s="50">
        <v>1.4065876741933101E-3</v>
      </c>
      <c r="BP3" s="50">
        <v>1.78900548711831E-4</v>
      </c>
      <c r="BQ3" s="766">
        <f>AVERAGE(BP3:BP7)</f>
        <v>3.3386870613903296E-4</v>
      </c>
      <c r="BR3" s="50">
        <v>68</v>
      </c>
      <c r="BS3" s="249">
        <v>9.7758456106453206E-5</v>
      </c>
      <c r="BT3" s="50">
        <v>0.85139033288072097</v>
      </c>
      <c r="BU3" s="766">
        <f>AVERAGE(BT3:BT7)</f>
        <v>1.2407762057129321</v>
      </c>
      <c r="BW3" s="667" t="s">
        <v>235</v>
      </c>
      <c r="BX3" s="660" t="s">
        <v>254</v>
      </c>
      <c r="BY3" s="352" t="s">
        <v>80</v>
      </c>
      <c r="BZ3" s="71">
        <v>135.5</v>
      </c>
      <c r="CA3" s="50">
        <v>2.7745072945994402E-3</v>
      </c>
      <c r="CB3" s="50">
        <v>3.2619771629127198E-4</v>
      </c>
      <c r="CC3" s="766">
        <f>AVERAGE(CB3:CB7)</f>
        <v>2.4892135693370848E-4</v>
      </c>
      <c r="CD3" s="71">
        <v>129.5</v>
      </c>
      <c r="CE3" s="50">
        <v>1.7750826372930499E-4</v>
      </c>
      <c r="CF3" s="50">
        <v>1.5523331722565801</v>
      </c>
      <c r="CG3" s="766">
        <f>AVERAGE(CF3:CF7)</f>
        <v>1.2394691120566046</v>
      </c>
      <c r="CI3" s="750" t="s">
        <v>260</v>
      </c>
      <c r="CJ3" s="735" t="s">
        <v>286</v>
      </c>
      <c r="CK3" s="412" t="s">
        <v>80</v>
      </c>
      <c r="CL3" s="72">
        <v>88.5</v>
      </c>
      <c r="CM3">
        <v>1.57668290857911E-3</v>
      </c>
      <c r="CN3">
        <v>2.0053455796926399E-4</v>
      </c>
      <c r="CO3" s="766">
        <f>AVERAGE(CN3:CN7)</f>
        <v>2.7870904666914617E-4</v>
      </c>
      <c r="CP3" s="72">
        <v>82</v>
      </c>
      <c r="CQ3" s="162">
        <v>9.7911792221624502E-5</v>
      </c>
      <c r="CR3">
        <v>0.86040084265833705</v>
      </c>
      <c r="CS3" s="766">
        <f>AVERAGE(CR3:CR7)</f>
        <v>1.0975357090495375</v>
      </c>
      <c r="CU3" s="750" t="s">
        <v>289</v>
      </c>
      <c r="CV3" s="143" t="s">
        <v>80</v>
      </c>
      <c r="CW3" s="733" t="s">
        <v>93</v>
      </c>
      <c r="CX3" s="71">
        <v>68</v>
      </c>
      <c r="CY3" s="50">
        <v>8.5287846481876296E-4</v>
      </c>
      <c r="CZ3" s="50">
        <v>1.00272581023454E-4</v>
      </c>
      <c r="DA3" s="766">
        <f>AVERAGE(CZ3:CZ8)</f>
        <v>2.1910050485884661E-4</v>
      </c>
      <c r="DB3" s="71">
        <v>70.5</v>
      </c>
      <c r="DC3" s="50">
        <v>1.32137783159086E-4</v>
      </c>
      <c r="DD3" s="50">
        <v>1.15556233719407</v>
      </c>
      <c r="DE3" s="766">
        <f>AVERAGE(DD3:DD8)</f>
        <v>3.0814995658508484</v>
      </c>
      <c r="DG3" s="792" t="s">
        <v>299</v>
      </c>
      <c r="DH3" s="689" t="s">
        <v>190</v>
      </c>
      <c r="DI3" s="352" t="s">
        <v>80</v>
      </c>
      <c r="DJ3" s="71">
        <v>142</v>
      </c>
      <c r="DK3" s="50">
        <v>2.8699334054185198E-3</v>
      </c>
      <c r="DL3" s="50">
        <v>3.6502002002132197E-4</v>
      </c>
      <c r="DM3" s="766">
        <f>AVERAGE(DL3:DL7)</f>
        <v>4.8583650552133764E-4</v>
      </c>
      <c r="DN3" s="50">
        <v>205.5</v>
      </c>
      <c r="DO3" s="50">
        <v>2.8990557260582801E-4</v>
      </c>
      <c r="DP3" s="50">
        <v>2.5352624589035901</v>
      </c>
      <c r="DQ3" s="766">
        <f>AVERAGE(DP3:DP7)</f>
        <v>3.8294183320860098</v>
      </c>
      <c r="DS3" s="667" t="s">
        <v>324</v>
      </c>
      <c r="DT3" s="690" t="s">
        <v>330</v>
      </c>
      <c r="DU3" s="50" t="s">
        <v>80</v>
      </c>
      <c r="DV3" s="71">
        <v>169.5</v>
      </c>
      <c r="DW3" s="50">
        <v>3.55383163853653E-3</v>
      </c>
      <c r="DX3" s="50">
        <v>4.1782256865237398E-4</v>
      </c>
      <c r="DY3" s="766">
        <f>AVERAGE(DX3:DX12)</f>
        <v>3.9292576662648074E-4</v>
      </c>
      <c r="DZ3" s="71">
        <v>463</v>
      </c>
      <c r="EA3" s="50">
        <v>5.4951641368735E-4</v>
      </c>
      <c r="EB3" s="50">
        <v>4.7830411483486097</v>
      </c>
      <c r="EC3" s="766">
        <f>AVERAGE(EB3:EB12)</f>
        <v>5.1198168317960526</v>
      </c>
      <c r="EE3" s="667" t="s">
        <v>333</v>
      </c>
      <c r="EF3" s="690" t="s">
        <v>335</v>
      </c>
      <c r="EG3" s="50" t="s">
        <v>80</v>
      </c>
      <c r="EH3" s="72">
        <v>253.5</v>
      </c>
      <c r="EI3">
        <v>2.1327971192515401E-3</v>
      </c>
      <c r="EJ3">
        <v>2.50752106857553E-4</v>
      </c>
      <c r="EK3" s="766">
        <f>AVERAGE(EJ3:EJ12)</f>
        <v>2.5569790778176484E-4</v>
      </c>
      <c r="EL3">
        <v>289</v>
      </c>
      <c r="EM3">
        <v>4.3634595742078798E-4</v>
      </c>
      <c r="EN3">
        <v>3.79799514131828</v>
      </c>
      <c r="EO3" s="766">
        <f>AVERAGE(EN3:EN12)</f>
        <v>3.5161024223519193</v>
      </c>
    </row>
    <row r="4" spans="1:145" x14ac:dyDescent="0.25">
      <c r="B4" s="745" t="s">
        <v>92</v>
      </c>
      <c r="C4" s="785" t="s">
        <v>13</v>
      </c>
      <c r="D4" s="169" t="s">
        <v>80</v>
      </c>
      <c r="E4" s="164">
        <v>153</v>
      </c>
      <c r="F4" s="164">
        <v>3.5861616351021901E-3</v>
      </c>
      <c r="G4">
        <v>4.5611538870593495E-4</v>
      </c>
      <c r="H4" s="782">
        <f>AVERAGE(G4:G8)</f>
        <v>5.5598379080821483E-4</v>
      </c>
      <c r="I4" s="167">
        <v>48.5</v>
      </c>
      <c r="J4" s="165">
        <v>7.07496250999247E-5</v>
      </c>
      <c r="K4">
        <v>0.61770576087179807</v>
      </c>
      <c r="L4" s="787">
        <f>AVERAGE(K4:K8)</f>
        <v>0.5629400954749173</v>
      </c>
      <c r="N4" s="748"/>
      <c r="O4" s="681"/>
      <c r="P4" s="168" t="s">
        <v>79</v>
      </c>
      <c r="Q4">
        <v>8</v>
      </c>
      <c r="R4">
        <v>5.6637168141592897E-4</v>
      </c>
      <c r="S4">
        <v>7.2035470206489708E-5</v>
      </c>
      <c r="T4" s="777"/>
      <c r="U4">
        <v>1.5</v>
      </c>
      <c r="V4" s="162">
        <v>2.1904797369671899E-6</v>
      </c>
      <c r="W4">
        <v>1.8576623747866998E-2</v>
      </c>
      <c r="X4" s="773"/>
      <c r="Z4" s="665"/>
      <c r="AA4" s="741"/>
      <c r="AB4" s="27" t="s">
        <v>79</v>
      </c>
      <c r="AC4" s="72">
        <v>18</v>
      </c>
      <c r="AD4">
        <v>9.0639004985145302E-4</v>
      </c>
      <c r="AE4">
        <v>1.1528159965255001E-4</v>
      </c>
      <c r="AF4" s="767"/>
      <c r="AG4">
        <v>32</v>
      </c>
      <c r="AH4" s="162">
        <v>3.4110720199888798E-5</v>
      </c>
      <c r="AI4">
        <v>0.28928001671425302</v>
      </c>
      <c r="AJ4" s="767"/>
      <c r="AL4" s="748"/>
      <c r="AM4" s="662"/>
      <c r="AN4" s="168" t="s">
        <v>79</v>
      </c>
      <c r="AO4" s="72">
        <v>46</v>
      </c>
      <c r="AP4">
        <v>8.5508454648453402E-5</v>
      </c>
      <c r="AQ4">
        <v>1.08756174512067E-5</v>
      </c>
      <c r="AR4" s="767"/>
      <c r="AS4">
        <v>32.5</v>
      </c>
      <c r="AT4">
        <v>4.39550333246776E-5</v>
      </c>
      <c r="AU4">
        <v>0.38301716238364297</v>
      </c>
      <c r="AV4" s="767"/>
      <c r="AX4" s="647"/>
      <c r="AY4" s="741"/>
      <c r="AZ4" s="168" t="s">
        <v>209</v>
      </c>
      <c r="BA4" s="72">
        <v>127.5</v>
      </c>
      <c r="BB4">
        <v>2.9597474348855598E-3</v>
      </c>
      <c r="BC4">
        <v>3.7644325331738401E-4</v>
      </c>
      <c r="BD4" s="767"/>
      <c r="BE4">
        <v>330.5</v>
      </c>
      <c r="BF4">
        <v>5.6097720361775096E-4</v>
      </c>
      <c r="BG4">
        <v>4.8882660400794604</v>
      </c>
      <c r="BH4" s="767"/>
      <c r="BK4" s="748"/>
      <c r="BL4" s="681"/>
      <c r="BM4" s="168" t="s">
        <v>79</v>
      </c>
      <c r="BN4" s="72">
        <v>147.5</v>
      </c>
      <c r="BO4">
        <v>2.74796929726507E-3</v>
      </c>
      <c r="BP4">
        <v>3.4950769450324602E-4</v>
      </c>
      <c r="BQ4" s="767"/>
      <c r="BR4">
        <v>95.5</v>
      </c>
      <c r="BS4">
        <v>1.3729312585538601E-4</v>
      </c>
      <c r="BT4">
        <v>1.1957025998545401</v>
      </c>
      <c r="BU4" s="767"/>
      <c r="BW4" s="665"/>
      <c r="BX4" s="715"/>
      <c r="BY4" s="143" t="s">
        <v>79</v>
      </c>
      <c r="BZ4" s="72">
        <v>162</v>
      </c>
      <c r="CA4">
        <v>3.3171231123624301E-3</v>
      </c>
      <c r="CB4">
        <v>3.8999284161760902E-4</v>
      </c>
      <c r="CC4" s="767"/>
      <c r="CD4" s="72">
        <v>153</v>
      </c>
      <c r="CE4">
        <v>2.09720188035395E-4</v>
      </c>
      <c r="CF4">
        <v>1.83403069772399</v>
      </c>
      <c r="CG4" s="767"/>
      <c r="CI4" s="751"/>
      <c r="CJ4" s="702"/>
      <c r="CK4" s="58" t="s">
        <v>79</v>
      </c>
      <c r="CL4" s="72">
        <v>204</v>
      </c>
      <c r="CM4">
        <v>3.6343877214704999E-3</v>
      </c>
      <c r="CN4">
        <v>4.6224915057321798E-4</v>
      </c>
      <c r="CO4" s="767"/>
      <c r="CP4" s="72">
        <v>141.5</v>
      </c>
      <c r="CQ4">
        <v>1.6895754389463299E-4</v>
      </c>
      <c r="CR4">
        <v>1.4847160882457899</v>
      </c>
      <c r="CS4" s="767"/>
      <c r="CU4" s="751"/>
      <c r="CV4" s="143" t="s">
        <v>79</v>
      </c>
      <c r="CW4" s="731"/>
      <c r="CX4" s="72">
        <v>176</v>
      </c>
      <c r="CY4">
        <v>2.2074501442368001E-3</v>
      </c>
      <c r="CZ4">
        <v>2.5952903323717602E-4</v>
      </c>
      <c r="DA4" s="767"/>
      <c r="DB4" s="72">
        <v>258</v>
      </c>
      <c r="DC4">
        <v>4.8356805751835897E-4</v>
      </c>
      <c r="DD4">
        <v>4.2288664254761601</v>
      </c>
      <c r="DE4" s="767"/>
      <c r="DG4" s="751"/>
      <c r="DH4" s="681"/>
      <c r="DI4" s="143" t="s">
        <v>79</v>
      </c>
      <c r="DJ4" s="72">
        <v>133.5</v>
      </c>
      <c r="DK4">
        <v>2.6981416170660001E-3</v>
      </c>
      <c r="DL4">
        <v>3.4317023009046899E-4</v>
      </c>
      <c r="DM4" s="767"/>
      <c r="DN4">
        <v>410</v>
      </c>
      <c r="DO4">
        <v>5.7840041249824505E-4</v>
      </c>
      <c r="DP4">
        <v>5.0581878742115496</v>
      </c>
      <c r="DQ4" s="767"/>
      <c r="DS4" s="665"/>
      <c r="DT4" s="686"/>
      <c r="DU4" t="s">
        <v>79</v>
      </c>
      <c r="DV4" s="72">
        <v>136</v>
      </c>
      <c r="DW4">
        <v>2.8514519341650102E-3</v>
      </c>
      <c r="DX4">
        <v>3.3524406688332099E-4</v>
      </c>
      <c r="DY4" s="767"/>
      <c r="DZ4" s="72">
        <v>364</v>
      </c>
      <c r="EA4">
        <v>4.32017223719645E-4</v>
      </c>
      <c r="EB4">
        <v>3.7603174470818499</v>
      </c>
      <c r="EC4" s="767"/>
      <c r="EE4" s="665"/>
      <c r="EF4" s="686"/>
      <c r="EG4" t="s">
        <v>79</v>
      </c>
      <c r="EH4" s="72">
        <v>290.5</v>
      </c>
      <c r="EI4">
        <v>2.4440929512527599E-3</v>
      </c>
      <c r="EJ4">
        <v>2.8735103369672199E-4</v>
      </c>
      <c r="EK4" s="767"/>
      <c r="EL4">
        <v>416.5</v>
      </c>
      <c r="EM4">
        <v>6.2885152687113498E-4</v>
      </c>
      <c r="EN4">
        <v>5.4735812330763398</v>
      </c>
      <c r="EO4" s="767"/>
    </row>
    <row r="5" spans="1:145" x14ac:dyDescent="0.25">
      <c r="B5" s="665"/>
      <c r="C5" s="786"/>
      <c r="D5" s="168" t="s">
        <v>79</v>
      </c>
      <c r="E5">
        <v>147</v>
      </c>
      <c r="F5">
        <v>3.4455278454903399E-3</v>
      </c>
      <c r="G5">
        <v>4.3822851071746699E-4</v>
      </c>
      <c r="H5" s="777"/>
      <c r="I5" s="72">
        <v>40</v>
      </c>
      <c r="J5" s="162">
        <v>5.8350206267979201E-5</v>
      </c>
      <c r="K5">
        <v>0.509448050203545</v>
      </c>
      <c r="L5" s="788"/>
      <c r="N5" s="748"/>
      <c r="O5" s="681"/>
      <c r="P5" s="168" t="s">
        <v>81</v>
      </c>
      <c r="Q5">
        <v>161.5</v>
      </c>
      <c r="R5">
        <v>1.14336283185841E-2</v>
      </c>
      <c r="S5">
        <v>1.4542160547935099E-3</v>
      </c>
      <c r="T5" s="777"/>
      <c r="U5">
        <v>46.5</v>
      </c>
      <c r="V5" s="162">
        <v>6.7904871845983001E-5</v>
      </c>
      <c r="W5">
        <v>0.57587533618387809</v>
      </c>
      <c r="X5" s="773"/>
      <c r="Z5" s="746"/>
      <c r="AA5" s="742"/>
      <c r="AB5" s="61" t="s">
        <v>81</v>
      </c>
      <c r="AC5" s="212">
        <v>41</v>
      </c>
      <c r="AD5" s="60">
        <v>2.0645551135505301E-3</v>
      </c>
      <c r="AE5" s="172">
        <v>2.6258586587525401E-4</v>
      </c>
      <c r="AF5" s="768"/>
      <c r="AG5" s="60">
        <v>66</v>
      </c>
      <c r="AH5" s="234">
        <v>7.0353360412270702E-5</v>
      </c>
      <c r="AI5" s="172">
        <v>0.59664003447314706</v>
      </c>
      <c r="AJ5" s="768"/>
      <c r="AL5" s="748"/>
      <c r="AM5" s="662"/>
      <c r="AN5" s="168" t="s">
        <v>81</v>
      </c>
      <c r="AO5" s="72">
        <v>75.5</v>
      </c>
      <c r="AP5">
        <v>1.40345398390396E-4</v>
      </c>
      <c r="AQ5">
        <v>1.7850198207958899E-5</v>
      </c>
      <c r="AR5" s="767"/>
      <c r="AS5">
        <v>58</v>
      </c>
      <c r="AT5">
        <v>7.8442828702501497E-5</v>
      </c>
      <c r="AU5">
        <v>0.68353832056157804</v>
      </c>
      <c r="AV5" s="767"/>
      <c r="AX5" s="647"/>
      <c r="AY5" s="741"/>
      <c r="AZ5" s="168" t="s">
        <v>210</v>
      </c>
      <c r="BA5" s="72">
        <v>122.5</v>
      </c>
      <c r="BB5">
        <v>2.8436789080273001E-3</v>
      </c>
      <c r="BC5">
        <v>3.6168077279513297E-4</v>
      </c>
      <c r="BD5" s="767"/>
      <c r="BE5">
        <v>242.5</v>
      </c>
      <c r="BF5">
        <v>4.1160959720818401E-4</v>
      </c>
      <c r="BG5">
        <v>3.5867004983941602</v>
      </c>
      <c r="BH5" s="767"/>
      <c r="BK5" s="748"/>
      <c r="BL5" s="681"/>
      <c r="BM5" s="168" t="s">
        <v>81</v>
      </c>
      <c r="BN5" s="72">
        <v>184.5</v>
      </c>
      <c r="BO5">
        <v>3.4372904091213999E-3</v>
      </c>
      <c r="BP5">
        <v>4.3718081109050098E-4</v>
      </c>
      <c r="BQ5" s="767"/>
      <c r="BR5">
        <v>121.5</v>
      </c>
      <c r="BS5">
        <v>1.7467135907256001E-4</v>
      </c>
      <c r="BT5">
        <v>1.5212341977207</v>
      </c>
      <c r="BU5" s="767"/>
      <c r="BW5" s="665"/>
      <c r="BX5" s="715"/>
      <c r="BY5" s="143" t="s">
        <v>81</v>
      </c>
      <c r="BZ5" s="72">
        <v>97</v>
      </c>
      <c r="CA5">
        <v>1.9861786536984902E-3</v>
      </c>
      <c r="CB5">
        <v>2.3351423232659301E-4</v>
      </c>
      <c r="CC5" s="767"/>
      <c r="CD5" s="72">
        <v>73</v>
      </c>
      <c r="CE5">
        <v>1.00062573376365E-4</v>
      </c>
      <c r="CF5">
        <v>0.875060398260465</v>
      </c>
      <c r="CG5" s="767"/>
      <c r="CI5" s="751"/>
      <c r="CJ5" s="702"/>
      <c r="CK5" s="58" t="s">
        <v>81</v>
      </c>
      <c r="CL5" s="72">
        <v>98.5</v>
      </c>
      <c r="CM5">
        <v>1.7548391694355099E-3</v>
      </c>
      <c r="CN5">
        <v>2.2319383005618601E-4</v>
      </c>
      <c r="CO5" s="767"/>
      <c r="CP5" s="72">
        <v>104</v>
      </c>
      <c r="CQ5">
        <v>1.24180809646938E-4</v>
      </c>
      <c r="CR5">
        <v>1.09124009312765</v>
      </c>
      <c r="CS5" s="767"/>
      <c r="CU5" s="751"/>
      <c r="CV5" s="143" t="s">
        <v>81</v>
      </c>
      <c r="CW5" s="731"/>
      <c r="CX5" s="72">
        <v>190</v>
      </c>
      <c r="CY5">
        <v>2.3830427693465402E-3</v>
      </c>
      <c r="CZ5">
        <v>2.8017338815376899E-4</v>
      </c>
      <c r="DA5" s="767"/>
      <c r="DB5" s="72">
        <v>281</v>
      </c>
      <c r="DC5">
        <v>5.2667683783976297E-4</v>
      </c>
      <c r="DD5">
        <v>4.60585839363877</v>
      </c>
      <c r="DE5" s="767"/>
      <c r="DG5" s="751"/>
      <c r="DH5" s="681"/>
      <c r="DI5" s="143" t="s">
        <v>81</v>
      </c>
      <c r="DJ5" s="72">
        <v>178.5</v>
      </c>
      <c r="DK5">
        <v>3.60762755540285E-3</v>
      </c>
      <c r="DL5">
        <v>4.5884558854793E-4</v>
      </c>
      <c r="DM5" s="767"/>
      <c r="DN5">
        <v>362.5</v>
      </c>
      <c r="DO5">
        <v>5.1139060861125397E-4</v>
      </c>
      <c r="DP5">
        <v>4.4721783034187501</v>
      </c>
      <c r="DQ5" s="767"/>
      <c r="DS5" s="665"/>
      <c r="DT5" s="686"/>
      <c r="DU5" t="s">
        <v>81</v>
      </c>
      <c r="DV5" s="72">
        <v>240.5</v>
      </c>
      <c r="DW5">
        <v>5.0424572806373798E-3</v>
      </c>
      <c r="DX5">
        <v>5.9283969180469595E-4</v>
      </c>
      <c r="DY5" s="767"/>
      <c r="DZ5" s="72">
        <v>650.5</v>
      </c>
      <c r="EA5">
        <v>7.7205275832315597E-4</v>
      </c>
      <c r="EB5">
        <v>6.7200178552932401</v>
      </c>
      <c r="EC5" s="767"/>
      <c r="EE5" s="665"/>
      <c r="EF5" s="686"/>
      <c r="EG5" t="s">
        <v>81</v>
      </c>
      <c r="EH5" s="72">
        <v>307</v>
      </c>
      <c r="EI5">
        <v>2.58291406552357E-3</v>
      </c>
      <c r="EJ5">
        <v>3.0367217674662201E-4</v>
      </c>
      <c r="EK5" s="767"/>
      <c r="EL5">
        <v>338</v>
      </c>
      <c r="EM5">
        <v>5.10328489993862E-4</v>
      </c>
      <c r="EN5">
        <v>4.4419458746213696</v>
      </c>
      <c r="EO5" s="767"/>
    </row>
    <row r="6" spans="1:145" x14ac:dyDescent="0.25">
      <c r="B6" s="665"/>
      <c r="C6" s="786"/>
      <c r="D6" s="168" t="s">
        <v>81</v>
      </c>
      <c r="E6">
        <v>242.5</v>
      </c>
      <c r="F6">
        <v>5.6839489968122997E-3</v>
      </c>
      <c r="G6">
        <v>7.2292798536724998E-4</v>
      </c>
      <c r="H6" s="777"/>
      <c r="I6" s="72">
        <v>52.5</v>
      </c>
      <c r="J6" s="162">
        <v>7.6584645726722605E-5</v>
      </c>
      <c r="K6">
        <v>0.66865056589215299</v>
      </c>
      <c r="L6" s="788"/>
      <c r="N6" s="748"/>
      <c r="O6" s="681"/>
      <c r="P6" s="168" t="s">
        <v>82</v>
      </c>
      <c r="Q6">
        <v>521.5</v>
      </c>
      <c r="R6">
        <v>3.6920353982300903E-2</v>
      </c>
      <c r="S6">
        <v>4.6958122140855502E-3</v>
      </c>
      <c r="T6" s="777"/>
      <c r="U6">
        <v>86</v>
      </c>
      <c r="V6">
        <v>1.2558750491945201E-4</v>
      </c>
      <c r="W6">
        <v>1.06505976154438</v>
      </c>
      <c r="X6" s="773"/>
      <c r="Z6" s="745" t="s">
        <v>184</v>
      </c>
      <c r="AA6" s="744" t="s">
        <v>194</v>
      </c>
      <c r="AB6" s="27" t="s">
        <v>79</v>
      </c>
      <c r="AC6" s="72">
        <v>90.5</v>
      </c>
      <c r="AD6">
        <v>1.1968524763605101E-2</v>
      </c>
      <c r="AE6">
        <v>1.5222482643710501E-3</v>
      </c>
      <c r="AF6" s="770">
        <f>AVERAGE(AE6:AE10)</f>
        <v>1.5256123489331918E-3</v>
      </c>
      <c r="AG6">
        <v>87</v>
      </c>
      <c r="AH6">
        <v>1.04958315262206E-4</v>
      </c>
      <c r="AI6">
        <v>0.89011146687690501</v>
      </c>
      <c r="AJ6" s="770">
        <f>AVERAGE(AI6:AI10)</f>
        <v>0.78268422087451983</v>
      </c>
      <c r="AL6" s="748"/>
      <c r="AM6" s="662"/>
      <c r="AN6" s="168" t="s">
        <v>82</v>
      </c>
      <c r="AO6" s="72">
        <v>72</v>
      </c>
      <c r="AP6">
        <v>1.3383932031931799E-4</v>
      </c>
      <c r="AQ6">
        <v>1.7022705575801901E-5</v>
      </c>
      <c r="AR6" s="767"/>
      <c r="AS6">
        <v>53.5</v>
      </c>
      <c r="AT6">
        <v>7.2356747165238503E-5</v>
      </c>
      <c r="AU6">
        <v>0.63050517500076597</v>
      </c>
      <c r="AV6" s="767"/>
      <c r="AX6" s="650"/>
      <c r="AY6" s="742"/>
      <c r="AZ6" s="230" t="s">
        <v>211</v>
      </c>
      <c r="BA6" s="212">
        <v>118</v>
      </c>
      <c r="BB6" s="60">
        <v>2.7392172338548699E-3</v>
      </c>
      <c r="BC6" s="172">
        <v>3.4839454032510803E-4</v>
      </c>
      <c r="BD6" s="768"/>
      <c r="BE6" s="60">
        <v>288</v>
      </c>
      <c r="BF6" s="60">
        <v>4.8883943915858496E-4</v>
      </c>
      <c r="BG6" s="60">
        <v>4.2596690455155404</v>
      </c>
      <c r="BH6" s="768"/>
      <c r="BK6" s="748"/>
      <c r="BL6" s="681"/>
      <c r="BM6" s="168" t="s">
        <v>82</v>
      </c>
      <c r="BN6" s="72">
        <v>174</v>
      </c>
      <c r="BO6">
        <v>3.2416722557567601E-3</v>
      </c>
      <c r="BP6">
        <v>4.1230060232925298E-4</v>
      </c>
      <c r="BQ6" s="767"/>
      <c r="BR6">
        <v>138</v>
      </c>
      <c r="BS6">
        <v>1.9839216092192E-4</v>
      </c>
      <c r="BT6">
        <v>1.72782155790499</v>
      </c>
      <c r="BU6" s="767"/>
      <c r="BW6" s="665"/>
      <c r="BX6" s="715"/>
      <c r="BY6" s="143" t="s">
        <v>82</v>
      </c>
      <c r="BZ6" s="72">
        <v>3</v>
      </c>
      <c r="CA6" s="162">
        <v>6.1428205784489406E-5</v>
      </c>
      <c r="CB6">
        <v>7.2220896595853605E-6</v>
      </c>
      <c r="CC6" s="767"/>
      <c r="CD6" s="72">
        <v>17</v>
      </c>
      <c r="CE6" s="162">
        <v>2.3302243115043899E-5</v>
      </c>
      <c r="CF6">
        <v>0.20378118863599901</v>
      </c>
      <c r="CG6" s="767"/>
      <c r="CI6" s="751"/>
      <c r="CJ6" s="702"/>
      <c r="CK6" s="58" t="s">
        <v>82</v>
      </c>
      <c r="CL6" s="72">
        <v>90.5</v>
      </c>
      <c r="CM6">
        <v>1.6123141607503901E-3</v>
      </c>
      <c r="CN6">
        <v>2.05066412386648E-4</v>
      </c>
      <c r="CO6" s="767"/>
      <c r="CP6" s="72">
        <v>88</v>
      </c>
      <c r="CQ6">
        <v>1.0507606970125601E-4</v>
      </c>
      <c r="CR6">
        <v>0.92335700187724001</v>
      </c>
      <c r="CS6" s="767"/>
      <c r="CU6" s="751"/>
      <c r="CV6" s="143" t="s">
        <v>82</v>
      </c>
      <c r="CW6" s="731"/>
      <c r="CX6" s="72">
        <v>161</v>
      </c>
      <c r="CY6">
        <v>2.01931518876207E-3</v>
      </c>
      <c r="CZ6">
        <v>2.37410081540825E-4</v>
      </c>
      <c r="DA6" s="767"/>
      <c r="DB6" s="72">
        <v>183</v>
      </c>
      <c r="DC6">
        <v>3.4299594777465001E-4</v>
      </c>
      <c r="DD6">
        <v>2.9995447901633301</v>
      </c>
      <c r="DE6" s="767"/>
      <c r="DG6" s="751"/>
      <c r="DH6" s="681"/>
      <c r="DI6" s="143" t="s">
        <v>82</v>
      </c>
      <c r="DJ6" s="72">
        <v>222</v>
      </c>
      <c r="DK6">
        <v>4.48679729579514E-3</v>
      </c>
      <c r="DL6">
        <v>5.7066510172347604E-4</v>
      </c>
      <c r="DM6" s="767"/>
      <c r="DN6">
        <v>176</v>
      </c>
      <c r="DO6">
        <v>2.4828895756022202E-4</v>
      </c>
      <c r="DP6">
        <v>2.1713196728322699</v>
      </c>
      <c r="DQ6" s="767"/>
      <c r="DS6" s="665"/>
      <c r="DT6" s="686"/>
      <c r="DU6" t="s">
        <v>82</v>
      </c>
      <c r="DV6" s="72">
        <v>190.5</v>
      </c>
      <c r="DW6">
        <v>3.9941293636649496E-3</v>
      </c>
      <c r="DX6">
        <v>4.6958819662700499E-4</v>
      </c>
      <c r="DY6" s="767"/>
      <c r="DZ6" s="72">
        <v>651.5</v>
      </c>
      <c r="EA6">
        <v>7.7323961882788E-4</v>
      </c>
      <c r="EB6">
        <v>6.73034839773028</v>
      </c>
      <c r="EC6" s="767"/>
      <c r="EE6" s="665"/>
      <c r="EF6" s="686"/>
      <c r="EG6" t="s">
        <v>82</v>
      </c>
      <c r="EH6" s="72">
        <v>275.5</v>
      </c>
      <c r="EI6">
        <v>2.3178919382792901E-3</v>
      </c>
      <c r="EJ6">
        <v>2.7251363092408598E-4</v>
      </c>
      <c r="EK6" s="767"/>
      <c r="EL6">
        <v>301</v>
      </c>
      <c r="EM6">
        <v>4.5446412866317302E-4</v>
      </c>
      <c r="EN6">
        <v>3.9556973617190301</v>
      </c>
      <c r="EO6" s="767"/>
    </row>
    <row r="7" spans="1:145" x14ac:dyDescent="0.25">
      <c r="B7" s="665"/>
      <c r="C7" s="786"/>
      <c r="D7" s="168" t="s">
        <v>82</v>
      </c>
      <c r="E7">
        <v>255</v>
      </c>
      <c r="F7">
        <v>5.9769360585036598E-3</v>
      </c>
      <c r="G7">
        <v>7.6019231450989103E-4</v>
      </c>
      <c r="H7" s="777"/>
      <c r="I7" s="72">
        <v>56</v>
      </c>
      <c r="J7" s="162">
        <v>8.1690288775170794E-5</v>
      </c>
      <c r="K7">
        <v>0.71322727028496302</v>
      </c>
      <c r="L7" s="788"/>
      <c r="N7" s="749"/>
      <c r="O7" s="682"/>
      <c r="P7" s="230" t="s">
        <v>83</v>
      </c>
      <c r="Q7" s="212">
        <v>105.5</v>
      </c>
      <c r="R7" s="60">
        <v>7.4690265486725702E-3</v>
      </c>
      <c r="S7" s="172">
        <v>9.4996776334808301E-4</v>
      </c>
      <c r="T7" s="783"/>
      <c r="U7" s="60">
        <v>32.5</v>
      </c>
      <c r="V7" s="234">
        <v>4.7460394300955903E-5</v>
      </c>
      <c r="W7" s="172">
        <v>0.40249351453711901</v>
      </c>
      <c r="X7" s="774"/>
      <c r="Z7" s="665"/>
      <c r="AA7" s="741"/>
      <c r="AB7" s="27" t="s">
        <v>81</v>
      </c>
      <c r="AC7" s="72">
        <v>92.5</v>
      </c>
      <c r="AD7">
        <v>1.2233022548436201E-2</v>
      </c>
      <c r="AE7">
        <v>1.5558891099925099E-3</v>
      </c>
      <c r="AF7" s="767"/>
      <c r="AG7" s="162">
        <v>65</v>
      </c>
      <c r="AH7">
        <v>7.8417132092452595E-5</v>
      </c>
      <c r="AI7">
        <v>0.66502580858619298</v>
      </c>
      <c r="AJ7" s="767"/>
      <c r="AL7" s="748"/>
      <c r="AM7" s="728"/>
      <c r="AN7" s="230" t="s">
        <v>83</v>
      </c>
      <c r="AO7" s="212">
        <v>87</v>
      </c>
      <c r="AP7" s="60">
        <v>1.6172251205251001E-4</v>
      </c>
      <c r="AQ7" s="172">
        <v>2.05691025707606E-5</v>
      </c>
      <c r="AR7" s="768"/>
      <c r="AS7" s="60">
        <v>61</v>
      </c>
      <c r="AT7" s="60">
        <v>8.25002163940102E-5</v>
      </c>
      <c r="AU7" s="60">
        <v>0.71889375093545305</v>
      </c>
      <c r="AV7" s="768"/>
      <c r="AX7" s="647" t="s">
        <v>225</v>
      </c>
      <c r="AY7" s="741" t="s">
        <v>187</v>
      </c>
      <c r="AZ7" s="168" t="s">
        <v>80</v>
      </c>
      <c r="BA7" s="72">
        <v>50.5</v>
      </c>
      <c r="BB7">
        <v>1.5929041639461101E-4</v>
      </c>
      <c r="BC7">
        <v>2.0259770094939498E-5</v>
      </c>
      <c r="BD7" s="770">
        <f>AVERAGE(BC7:BC11)</f>
        <v>1.9698113102208466E-5</v>
      </c>
      <c r="BE7">
        <v>29.5</v>
      </c>
      <c r="BF7" s="162">
        <v>3.0926516500082797E-5</v>
      </c>
      <c r="BG7">
        <v>0.26934280906783398</v>
      </c>
      <c r="BH7" s="770">
        <f>AVERAGE(BG7:BG11)</f>
        <v>0.310429000281571</v>
      </c>
      <c r="BK7" s="748"/>
      <c r="BL7" s="682"/>
      <c r="BM7" s="230" t="s">
        <v>83</v>
      </c>
      <c r="BN7" s="212">
        <v>123</v>
      </c>
      <c r="BO7" s="60">
        <v>2.2915269394142598E-3</v>
      </c>
      <c r="BP7" s="172">
        <v>2.9145387406033399E-4</v>
      </c>
      <c r="BQ7" s="768"/>
      <c r="BR7" s="60">
        <v>72.5</v>
      </c>
      <c r="BS7" s="60">
        <v>1.0422776570173301E-4</v>
      </c>
      <c r="BT7" s="60">
        <v>0.90773234020370996</v>
      </c>
      <c r="BU7" s="768"/>
      <c r="BW7" s="746"/>
      <c r="BX7" s="720"/>
      <c r="BY7" s="142" t="s">
        <v>83</v>
      </c>
      <c r="BZ7" s="212">
        <v>119.5</v>
      </c>
      <c r="CA7" s="60">
        <v>2.4468901970821598E-3</v>
      </c>
      <c r="CB7" s="172">
        <v>2.8767990477348302E-4</v>
      </c>
      <c r="CC7" s="768"/>
      <c r="CD7" s="212">
        <v>144.5</v>
      </c>
      <c r="CE7" s="60">
        <v>1.98069066477873E-4</v>
      </c>
      <c r="CF7" s="60">
        <v>1.73214010340599</v>
      </c>
      <c r="CG7" s="768"/>
      <c r="CI7" s="751"/>
      <c r="CJ7" s="736"/>
      <c r="CK7" s="59" t="s">
        <v>83</v>
      </c>
      <c r="CL7" s="212">
        <v>133.5</v>
      </c>
      <c r="CM7" s="60">
        <v>2.3783860824329E-3</v>
      </c>
      <c r="CN7" s="60">
        <v>3.0250128236041499E-4</v>
      </c>
      <c r="CO7" s="768"/>
      <c r="CP7" s="212">
        <v>107.5</v>
      </c>
      <c r="CQ7" s="60">
        <v>1.2835997151005701E-4</v>
      </c>
      <c r="CR7" s="60">
        <v>1.12796451933867</v>
      </c>
      <c r="CS7" s="768"/>
      <c r="CU7" s="751"/>
      <c r="CV7" s="143" t="s">
        <v>83</v>
      </c>
      <c r="CW7" s="731"/>
      <c r="CX7" s="72">
        <v>247</v>
      </c>
      <c r="CY7">
        <v>3.0979556001505099E-3</v>
      </c>
      <c r="CZ7">
        <v>3.642254045999E-4</v>
      </c>
      <c r="DA7" s="767"/>
      <c r="DB7" s="72">
        <v>286.5</v>
      </c>
      <c r="DC7">
        <v>5.3698545922096802E-4</v>
      </c>
      <c r="DD7">
        <v>4.6960086468950397</v>
      </c>
      <c r="DE7" s="767"/>
      <c r="DG7" s="751"/>
      <c r="DH7" s="682"/>
      <c r="DI7" s="142" t="s">
        <v>83</v>
      </c>
      <c r="DJ7" s="212">
        <v>269</v>
      </c>
      <c r="DK7" s="60">
        <v>5.4367048313914102E-3</v>
      </c>
      <c r="DL7" s="60">
        <v>6.9148158722349105E-4</v>
      </c>
      <c r="DM7" s="768"/>
      <c r="DN7" s="60">
        <v>398</v>
      </c>
      <c r="DO7" s="60">
        <v>5.6147161993732101E-4</v>
      </c>
      <c r="DP7" s="60">
        <v>4.9101433510638897</v>
      </c>
      <c r="DQ7" s="768"/>
      <c r="DS7" s="665"/>
      <c r="DT7" s="686"/>
      <c r="DU7" t="s">
        <v>83</v>
      </c>
      <c r="DV7" s="72">
        <v>143.5</v>
      </c>
      <c r="DW7">
        <v>3.00870112171087E-3</v>
      </c>
      <c r="DX7">
        <v>3.5373179115997502E-4</v>
      </c>
      <c r="DY7" s="767"/>
      <c r="DZ7" s="72">
        <v>345.5</v>
      </c>
      <c r="EA7">
        <v>4.1006030438224501E-4</v>
      </c>
      <c r="EB7">
        <v>3.5692024119966401</v>
      </c>
      <c r="EC7" s="767"/>
      <c r="EE7" s="665"/>
      <c r="EF7" s="686"/>
      <c r="EG7" t="s">
        <v>83</v>
      </c>
      <c r="EH7" s="72">
        <v>237</v>
      </c>
      <c r="EI7">
        <v>1.99397600498073E-3</v>
      </c>
      <c r="EJ7">
        <v>2.3443096380765301E-4</v>
      </c>
      <c r="EK7" s="767"/>
      <c r="EL7">
        <v>186.5</v>
      </c>
      <c r="EM7">
        <v>2.81586578058744E-4</v>
      </c>
      <c r="EN7">
        <v>2.45095534206179</v>
      </c>
      <c r="EO7" s="767"/>
    </row>
    <row r="8" spans="1:145" ht="15" customHeight="1" x14ac:dyDescent="0.25">
      <c r="B8" s="665"/>
      <c r="C8" s="786"/>
      <c r="D8" s="168" t="s">
        <v>83</v>
      </c>
      <c r="E8">
        <v>135</v>
      </c>
      <c r="F8">
        <v>3.1642602662666401E-3</v>
      </c>
      <c r="G8" s="172">
        <v>4.0245475474053104E-4</v>
      </c>
      <c r="H8" s="783"/>
      <c r="I8" s="72">
        <v>24</v>
      </c>
      <c r="J8" s="162">
        <v>3.5010123760787499E-5</v>
      </c>
      <c r="K8" s="172">
        <v>0.30566883012212698</v>
      </c>
      <c r="L8" s="790"/>
      <c r="N8" s="665" t="s">
        <v>175</v>
      </c>
      <c r="O8" s="681" t="s">
        <v>176</v>
      </c>
      <c r="P8" s="168" t="s">
        <v>80</v>
      </c>
      <c r="Q8">
        <v>199</v>
      </c>
      <c r="R8">
        <v>1.43687497743601E-2</v>
      </c>
      <c r="S8">
        <v>1.82752718795504E-3</v>
      </c>
      <c r="T8" s="782">
        <f>AVERAGE(S8:S13)</f>
        <v>1.1135058871334111E-3</v>
      </c>
      <c r="U8">
        <v>38.5</v>
      </c>
      <c r="V8" s="162">
        <v>3.7773094568130899E-5</v>
      </c>
      <c r="W8">
        <v>0.320339217817323</v>
      </c>
      <c r="X8" s="775">
        <f>AVERAGE(W8:W13)</f>
        <v>0.8937602852089398</v>
      </c>
      <c r="Z8" s="665"/>
      <c r="AA8" s="741"/>
      <c r="AB8" s="27" t="s">
        <v>82</v>
      </c>
      <c r="AC8" s="72">
        <v>64.5</v>
      </c>
      <c r="AD8">
        <v>8.5300535608014306E-3</v>
      </c>
      <c r="AE8">
        <v>1.0849172712920701E-3</v>
      </c>
      <c r="AF8" s="767"/>
      <c r="AG8" s="162">
        <v>50</v>
      </c>
      <c r="AH8">
        <v>6.0320870840348101E-5</v>
      </c>
      <c r="AI8">
        <v>0.5115583142970721</v>
      </c>
      <c r="AJ8" s="767"/>
      <c r="AL8" s="748"/>
      <c r="AM8" s="662" t="s">
        <v>92</v>
      </c>
      <c r="AN8" s="168" t="s">
        <v>82</v>
      </c>
      <c r="AO8" s="72">
        <v>124.5</v>
      </c>
      <c r="AP8">
        <v>1.58792311135996E-4</v>
      </c>
      <c r="AQ8">
        <v>2.01964172690066E-5</v>
      </c>
      <c r="AR8" s="767">
        <f>AVERAGE(AQ8:AQ9)</f>
        <v>1.6343687067087651E-5</v>
      </c>
      <c r="AS8">
        <v>137.5</v>
      </c>
      <c r="AT8">
        <v>1.2658251154432499E-4</v>
      </c>
      <c r="AU8">
        <v>1.10301985260656</v>
      </c>
      <c r="AV8" s="767">
        <f>AVERAGE(AU8:AU9)</f>
        <v>0.84230606926319052</v>
      </c>
      <c r="AX8" s="647"/>
      <c r="AY8" s="741"/>
      <c r="AZ8" s="168" t="s">
        <v>79</v>
      </c>
      <c r="BA8" s="72">
        <v>31</v>
      </c>
      <c r="BB8" s="162">
        <v>9.7782235806592995E-5</v>
      </c>
      <c r="BC8">
        <v>1.2436690553329201E-5</v>
      </c>
      <c r="BD8" s="767"/>
      <c r="BE8">
        <v>26</v>
      </c>
      <c r="BF8" s="162">
        <v>2.7257268779734001E-5</v>
      </c>
      <c r="BG8">
        <v>0.23738688256825999</v>
      </c>
      <c r="BH8" s="767"/>
      <c r="BK8" s="748"/>
      <c r="BL8" s="681" t="s">
        <v>190</v>
      </c>
      <c r="BM8" s="168" t="s">
        <v>94</v>
      </c>
      <c r="BN8" s="72">
        <v>28.5</v>
      </c>
      <c r="BO8">
        <v>6.4781561121971204E-4</v>
      </c>
      <c r="BP8">
        <v>8.23941304460552E-5</v>
      </c>
      <c r="BQ8" s="770">
        <f>AVERAGE(BP8:BP12)</f>
        <v>2.428458581567941E-4</v>
      </c>
      <c r="BR8">
        <v>11</v>
      </c>
      <c r="BS8" s="162">
        <v>1.5617302267206398E-5</v>
      </c>
      <c r="BT8">
        <v>0.136012992691872</v>
      </c>
      <c r="BU8" s="770">
        <f>AVERAGE(BT8:BT12)</f>
        <v>0.43400509486224426</v>
      </c>
      <c r="BW8" s="665" t="s">
        <v>246</v>
      </c>
      <c r="BX8" s="686" t="s">
        <v>255</v>
      </c>
      <c r="BY8" s="143" t="s">
        <v>80</v>
      </c>
      <c r="BZ8" s="72">
        <v>140.5</v>
      </c>
      <c r="CA8">
        <v>3.20392223932501E-3</v>
      </c>
      <c r="CB8">
        <v>3.7668386011344802E-4</v>
      </c>
      <c r="CC8" s="770">
        <f>AVERAGE(CB8:CB13)</f>
        <v>5.0358565877563048E-4</v>
      </c>
      <c r="CD8" s="72">
        <v>217</v>
      </c>
      <c r="CE8">
        <v>2.6573858181319399E-4</v>
      </c>
      <c r="CF8">
        <v>2.3239189378028802</v>
      </c>
      <c r="CG8" s="770">
        <f>AVERAGE(CF8:CF13)</f>
        <v>3.7018493678979918</v>
      </c>
      <c r="CI8" s="751"/>
      <c r="CJ8" s="731" t="s">
        <v>287</v>
      </c>
      <c r="CK8" s="58" t="s">
        <v>94</v>
      </c>
      <c r="CL8" s="72">
        <v>95.5</v>
      </c>
      <c r="CM8">
        <v>2.3375637934621601E-3</v>
      </c>
      <c r="CN8">
        <v>2.9730919228986399E-4</v>
      </c>
      <c r="CO8" s="767">
        <f>AVERAGE(CN8:CN12)</f>
        <v>2.3722471677997543E-4</v>
      </c>
      <c r="CP8" s="72">
        <v>84.5</v>
      </c>
      <c r="CQ8" s="162">
        <v>9.8631128334272E-5</v>
      </c>
      <c r="CR8">
        <v>0.86672201586366004</v>
      </c>
      <c r="CS8" s="767">
        <f>AVERAGE(CR8:CR12)</f>
        <v>0.63901516672551484</v>
      </c>
      <c r="CU8" s="752"/>
      <c r="CV8" s="142" t="s">
        <v>94</v>
      </c>
      <c r="CW8" s="734"/>
      <c r="CX8" s="212">
        <v>49.5</v>
      </c>
      <c r="CY8" s="60">
        <v>6.2084535306660001E-4</v>
      </c>
      <c r="CZ8" s="234">
        <v>7.2992540597955596E-5</v>
      </c>
      <c r="DA8" s="768"/>
      <c r="DB8" s="212">
        <v>49</v>
      </c>
      <c r="DC8" s="234">
        <v>9.1840445032556503E-5</v>
      </c>
      <c r="DD8" s="60">
        <v>0.80315680173772097</v>
      </c>
      <c r="DE8" s="768"/>
      <c r="DG8" s="751"/>
      <c r="DH8" s="681" t="s">
        <v>167</v>
      </c>
      <c r="DI8" s="143" t="s">
        <v>94</v>
      </c>
      <c r="DJ8" s="72">
        <v>152.5</v>
      </c>
      <c r="DK8">
        <v>3.0821467910304499E-3</v>
      </c>
      <c r="DL8">
        <v>3.9201093699473E-4</v>
      </c>
      <c r="DM8" s="767">
        <f>AVERAGE(DL8:DL12)</f>
        <v>4.6809961722452684E-4</v>
      </c>
      <c r="DN8">
        <v>306.5</v>
      </c>
      <c r="DO8">
        <v>4.3238957666027399E-4</v>
      </c>
      <c r="DP8">
        <v>3.7813038620630199</v>
      </c>
      <c r="DQ8" s="767">
        <f>AVERAGE(DP8:DP12)</f>
        <v>4.2809541276863579</v>
      </c>
      <c r="DS8" s="665"/>
      <c r="DT8" s="686"/>
      <c r="DU8" t="s">
        <v>94</v>
      </c>
      <c r="DV8" s="72">
        <v>161.5</v>
      </c>
      <c r="DW8">
        <v>3.3860991718209499E-3</v>
      </c>
      <c r="DX8">
        <v>3.9810232942394402E-4</v>
      </c>
      <c r="DY8" s="767"/>
      <c r="DZ8" s="72">
        <v>638</v>
      </c>
      <c r="EA8">
        <v>7.5721700201410202E-4</v>
      </c>
      <c r="EB8">
        <v>6.5908860748302702</v>
      </c>
      <c r="EC8" s="767"/>
      <c r="EE8" s="665"/>
      <c r="EF8" s="686"/>
      <c r="EG8" t="s">
        <v>94</v>
      </c>
      <c r="EH8" s="72">
        <v>277</v>
      </c>
      <c r="EI8">
        <v>2.33051203957664E-3</v>
      </c>
      <c r="EJ8">
        <v>2.7399737120134998E-4</v>
      </c>
      <c r="EK8" s="767"/>
      <c r="EL8">
        <v>232.5</v>
      </c>
      <c r="EM8">
        <v>3.5103956782122199E-4</v>
      </c>
      <c r="EN8">
        <v>3.0554805202647</v>
      </c>
      <c r="EO8" s="767"/>
    </row>
    <row r="9" spans="1:145" x14ac:dyDescent="0.25">
      <c r="B9" s="745" t="s">
        <v>91</v>
      </c>
      <c r="C9" s="744" t="s">
        <v>70</v>
      </c>
      <c r="D9" s="169" t="s">
        <v>80</v>
      </c>
      <c r="E9" s="164">
        <v>179.5</v>
      </c>
      <c r="F9" s="164">
        <v>5.1904865177474198E-3</v>
      </c>
      <c r="G9">
        <v>6.60165663600328E-4</v>
      </c>
      <c r="H9" s="782">
        <f>AVERAGE(G9:G13)</f>
        <v>4.5604758933950223E-4</v>
      </c>
      <c r="I9" s="167">
        <v>38</v>
      </c>
      <c r="J9" s="165">
        <v>4.9983886773342798E-5</v>
      </c>
      <c r="K9">
        <v>0.436402804496138</v>
      </c>
      <c r="L9" s="787">
        <f>AVERAGE(K9:K13)</f>
        <v>0.35256752889556442</v>
      </c>
      <c r="N9" s="665"/>
      <c r="O9" s="681"/>
      <c r="P9" s="168" t="s">
        <v>79</v>
      </c>
      <c r="Q9">
        <v>137</v>
      </c>
      <c r="R9">
        <v>9.8920538647604608E-3</v>
      </c>
      <c r="S9">
        <v>1.2581468580394001E-3</v>
      </c>
      <c r="T9" s="777"/>
      <c r="U9">
        <v>164</v>
      </c>
      <c r="V9">
        <v>1.6090357166684299E-4</v>
      </c>
      <c r="W9">
        <v>1.3645618629101601</v>
      </c>
      <c r="X9" s="773"/>
      <c r="Z9" s="665"/>
      <c r="AA9" s="741"/>
      <c r="AB9" s="27" t="s">
        <v>83</v>
      </c>
      <c r="AC9" s="72">
        <v>106.5</v>
      </c>
      <c r="AD9">
        <v>1.4084507042253501E-2</v>
      </c>
      <c r="AE9">
        <v>1.7913750293427199E-3</v>
      </c>
      <c r="AF9" s="767"/>
      <c r="AG9">
        <v>95.5</v>
      </c>
      <c r="AH9">
        <v>1.15212863305065E-4</v>
      </c>
      <c r="AI9">
        <v>0.97707638030740696</v>
      </c>
      <c r="AJ9" s="767"/>
      <c r="AL9" s="749"/>
      <c r="AM9" s="728"/>
      <c r="AN9" s="230" t="s">
        <v>83</v>
      </c>
      <c r="AO9" s="212">
        <v>77</v>
      </c>
      <c r="AP9" s="60">
        <v>9.8208899256801001E-5</v>
      </c>
      <c r="AQ9" s="172">
        <v>1.2490956865168699E-5</v>
      </c>
      <c r="AR9" s="768"/>
      <c r="AS9" s="60">
        <v>72.5</v>
      </c>
      <c r="AT9" s="60">
        <v>6.6743506087007799E-5</v>
      </c>
      <c r="AU9" s="60">
        <v>0.58159228591982104</v>
      </c>
      <c r="AV9" s="768"/>
      <c r="AX9" s="647"/>
      <c r="AY9" s="741"/>
      <c r="AZ9" s="168" t="s">
        <v>81</v>
      </c>
      <c r="BA9" s="72">
        <v>21.5</v>
      </c>
      <c r="BB9" s="162">
        <v>6.7816711930379005E-5</v>
      </c>
      <c r="BC9">
        <v>8.6254466740831305E-6</v>
      </c>
      <c r="BD9" s="767"/>
      <c r="BE9">
        <v>20.5</v>
      </c>
      <c r="BF9" s="162">
        <v>2.1491308076328701E-5</v>
      </c>
      <c r="BG9">
        <v>0.18717042664035899</v>
      </c>
      <c r="BH9" s="767"/>
      <c r="BK9" s="748"/>
      <c r="BL9" s="681"/>
      <c r="BM9" s="168" t="s">
        <v>209</v>
      </c>
      <c r="BN9" s="72">
        <v>259</v>
      </c>
      <c r="BO9">
        <v>5.8871664317861503E-3</v>
      </c>
      <c r="BP9">
        <v>7.48774729316782E-4</v>
      </c>
      <c r="BQ9" s="767"/>
      <c r="BR9">
        <v>116</v>
      </c>
      <c r="BS9">
        <v>1.6469155118144899E-4</v>
      </c>
      <c r="BT9">
        <v>1.43431883202337</v>
      </c>
      <c r="BU9" s="767"/>
      <c r="BW9" s="665"/>
      <c r="BX9" s="686"/>
      <c r="BY9" s="143" t="s">
        <v>79</v>
      </c>
      <c r="BZ9" s="72">
        <v>174.5</v>
      </c>
      <c r="CA9">
        <v>3.9792486175246602E-3</v>
      </c>
      <c r="CB9">
        <v>4.6783867323698796E-4</v>
      </c>
      <c r="CC9" s="767"/>
      <c r="CD9" s="72">
        <v>371.5</v>
      </c>
      <c r="CE9">
        <v>4.5493955365715101E-4</v>
      </c>
      <c r="CF9">
        <v>3.9785063843030999</v>
      </c>
      <c r="CG9" s="767"/>
      <c r="CI9" s="751"/>
      <c r="CJ9" s="731"/>
      <c r="CK9" s="58" t="s">
        <v>209</v>
      </c>
      <c r="CL9" s="72">
        <v>97</v>
      </c>
      <c r="CM9">
        <v>2.3742794551395801E-3</v>
      </c>
      <c r="CN9">
        <v>3.0197897017923399E-4</v>
      </c>
      <c r="CO9" s="767"/>
      <c r="CP9" s="72">
        <v>59</v>
      </c>
      <c r="CQ9" s="162">
        <v>6.88667049907935E-5</v>
      </c>
      <c r="CR9">
        <v>0.60516685131308801</v>
      </c>
      <c r="CS9" s="767"/>
      <c r="CU9" s="647" t="s">
        <v>293</v>
      </c>
      <c r="CV9" s="143" t="s">
        <v>80</v>
      </c>
      <c r="CW9" s="731" t="s">
        <v>304</v>
      </c>
      <c r="CX9" s="72">
        <v>109.5</v>
      </c>
      <c r="CY9">
        <v>1.0036203657027599E-3</v>
      </c>
      <c r="CZ9">
        <v>1.1799524620205301E-4</v>
      </c>
      <c r="DA9" s="770">
        <f>AVERAGE(CZ9:CZ13)</f>
        <v>1.252150466545988E-4</v>
      </c>
      <c r="DB9" s="72">
        <v>37.5</v>
      </c>
      <c r="DC9" s="162">
        <v>5.4781152946057399E-5</v>
      </c>
      <c r="DD9">
        <v>0.47906840586479699</v>
      </c>
      <c r="DE9" s="770">
        <f>AVERAGE(DD9:DD13)</f>
        <v>0.7971698273590232</v>
      </c>
      <c r="DG9" s="751"/>
      <c r="DH9" s="681"/>
      <c r="DI9" s="143" t="s">
        <v>209</v>
      </c>
      <c r="DJ9" s="72">
        <v>186</v>
      </c>
      <c r="DK9">
        <v>3.7592085451256599E-3</v>
      </c>
      <c r="DL9">
        <v>4.7812481495750699E-4</v>
      </c>
      <c r="DM9" s="767"/>
      <c r="DN9">
        <v>243.5</v>
      </c>
      <c r="DO9">
        <v>3.4351341571542101E-4</v>
      </c>
      <c r="DP9">
        <v>3.00407011553783</v>
      </c>
      <c r="DQ9" s="767"/>
      <c r="DS9" s="665"/>
      <c r="DT9" s="686"/>
      <c r="DU9" t="s">
        <v>209</v>
      </c>
      <c r="DV9" s="72">
        <v>132.5</v>
      </c>
      <c r="DW9">
        <v>2.7780689799769402E-3</v>
      </c>
      <c r="DX9">
        <v>3.2661646222088299E-4</v>
      </c>
      <c r="DY9" s="767"/>
      <c r="DZ9" s="72">
        <v>532</v>
      </c>
      <c r="EA9">
        <v>6.3140978851332699E-4</v>
      </c>
      <c r="EB9">
        <v>5.4958485765042404</v>
      </c>
      <c r="EC9" s="767"/>
      <c r="EE9" s="665"/>
      <c r="EF9" s="686"/>
      <c r="EG9" t="s">
        <v>209</v>
      </c>
      <c r="EH9" s="72">
        <v>245.5</v>
      </c>
      <c r="EI9">
        <v>2.06548991233236E-3</v>
      </c>
      <c r="EJ9">
        <v>2.4283882537881301E-4</v>
      </c>
      <c r="EK9" s="767"/>
      <c r="EL9">
        <v>184</v>
      </c>
      <c r="EM9">
        <v>2.7781195904991299E-4</v>
      </c>
      <c r="EN9">
        <v>2.4181007128116399</v>
      </c>
      <c r="EO9" s="767"/>
    </row>
    <row r="10" spans="1:145" ht="15.75" thickBot="1" x14ac:dyDescent="0.3">
      <c r="B10" s="665"/>
      <c r="C10" s="741"/>
      <c r="D10" s="168" t="s">
        <v>79</v>
      </c>
      <c r="E10">
        <v>71.5</v>
      </c>
      <c r="F10">
        <v>2.0675196992698602E-3</v>
      </c>
      <c r="G10">
        <v>2.6296292449818097E-4</v>
      </c>
      <c r="H10" s="777"/>
      <c r="I10" s="72">
        <v>20</v>
      </c>
      <c r="J10" s="162">
        <v>2.6307308828075201E-5</v>
      </c>
      <c r="K10">
        <v>0.22968568657691502</v>
      </c>
      <c r="L10" s="788"/>
      <c r="N10" s="665"/>
      <c r="O10" s="681"/>
      <c r="P10" s="168" t="s">
        <v>81</v>
      </c>
      <c r="Q10">
        <v>58.5</v>
      </c>
      <c r="R10">
        <v>4.2239792050254498E-3</v>
      </c>
      <c r="S10">
        <v>5.3723789193653199E-4</v>
      </c>
      <c r="T10" s="777"/>
      <c r="U10">
        <v>58.5</v>
      </c>
      <c r="V10" s="162">
        <v>5.7395481356770302E-5</v>
      </c>
      <c r="W10">
        <v>0.48674920109904996</v>
      </c>
      <c r="X10" s="773"/>
      <c r="Z10" s="666"/>
      <c r="AA10" s="693"/>
      <c r="AB10" s="8" t="s">
        <v>94</v>
      </c>
      <c r="AC10" s="73">
        <v>99.5</v>
      </c>
      <c r="AD10" s="2">
        <v>1.31587647953448E-2</v>
      </c>
      <c r="AE10" s="2">
        <v>1.6736320696676102E-3</v>
      </c>
      <c r="AF10" s="769"/>
      <c r="AG10" s="2">
        <v>85</v>
      </c>
      <c r="AH10" s="2">
        <v>1.02545480428592E-4</v>
      </c>
      <c r="AI10" s="2">
        <v>0.869649134305022</v>
      </c>
      <c r="AJ10" s="769"/>
      <c r="AL10" s="665" t="s">
        <v>208</v>
      </c>
      <c r="AM10" s="741" t="s">
        <v>194</v>
      </c>
      <c r="AN10" s="168" t="s">
        <v>80</v>
      </c>
      <c r="AO10" s="72">
        <v>79</v>
      </c>
      <c r="AP10">
        <v>1.11207459627469E-4</v>
      </c>
      <c r="AQ10">
        <v>1.4144212915567501E-5</v>
      </c>
      <c r="AR10" s="767">
        <f>AVERAGE(AQ10:AQ14)</f>
        <v>1.4000980379713641E-5</v>
      </c>
      <c r="AS10">
        <v>61.5</v>
      </c>
      <c r="AT10">
        <v>6.48127753884288E-5</v>
      </c>
      <c r="AU10">
        <v>0.56476820600082001</v>
      </c>
      <c r="AV10" s="767">
        <f>AVERAGE(AU10:AU14)</f>
        <v>0.57486975114880201</v>
      </c>
      <c r="AX10" s="647"/>
      <c r="AY10" s="741"/>
      <c r="AZ10" s="168" t="s">
        <v>82</v>
      </c>
      <c r="BA10" s="72">
        <v>74.5</v>
      </c>
      <c r="BB10">
        <v>2.3499279250294099E-4</v>
      </c>
      <c r="BC10">
        <v>2.9888175684613598E-5</v>
      </c>
      <c r="BD10" s="767"/>
      <c r="BE10">
        <v>46</v>
      </c>
      <c r="BF10" s="162">
        <v>4.8224398610298602E-5</v>
      </c>
      <c r="BG10">
        <v>0.419992176851537</v>
      </c>
      <c r="BH10" s="767"/>
      <c r="BK10" s="748"/>
      <c r="BL10" s="681"/>
      <c r="BM10" s="168" t="s">
        <v>210</v>
      </c>
      <c r="BN10" s="72">
        <v>79</v>
      </c>
      <c r="BO10">
        <v>1.7956994135563901E-3</v>
      </c>
      <c r="BP10">
        <v>2.2839074755222301E-4</v>
      </c>
      <c r="BQ10" s="767"/>
      <c r="BR10">
        <v>20</v>
      </c>
      <c r="BS10" s="162">
        <v>2.83950950312843E-5</v>
      </c>
      <c r="BT10">
        <v>0.247296350348857</v>
      </c>
      <c r="BU10" s="767"/>
      <c r="BW10" s="665"/>
      <c r="BX10" s="686"/>
      <c r="BY10" s="143" t="s">
        <v>81</v>
      </c>
      <c r="BZ10" s="72">
        <v>313.5</v>
      </c>
      <c r="CA10">
        <v>7.1489652813408596E-3</v>
      </c>
      <c r="CB10">
        <v>8.40500997477339E-4</v>
      </c>
      <c r="CC10" s="767"/>
      <c r="CD10" s="72">
        <v>555</v>
      </c>
      <c r="CE10">
        <v>6.7965397652683304E-4</v>
      </c>
      <c r="CF10">
        <v>5.9436636427677501</v>
      </c>
      <c r="CG10" s="767"/>
      <c r="CI10" s="751"/>
      <c r="CJ10" s="731"/>
      <c r="CK10" s="58" t="s">
        <v>210</v>
      </c>
      <c r="CL10" s="72">
        <v>121</v>
      </c>
      <c r="CM10">
        <v>2.96173004197824E-3</v>
      </c>
      <c r="CN10">
        <v>3.7669541640914699E-4</v>
      </c>
      <c r="CO10" s="767"/>
      <c r="CP10" s="72">
        <v>92</v>
      </c>
      <c r="CQ10">
        <v>1.07385370494119E-4</v>
      </c>
      <c r="CR10">
        <v>0.943650005437357</v>
      </c>
      <c r="CS10" s="767"/>
      <c r="CU10" s="647"/>
      <c r="CV10" s="143" t="s">
        <v>79</v>
      </c>
      <c r="CW10" s="731"/>
      <c r="CX10" s="72">
        <v>159</v>
      </c>
      <c r="CY10">
        <v>1.4573117638971599E-3</v>
      </c>
      <c r="CZ10">
        <v>1.7133556297832401E-4</v>
      </c>
      <c r="DA10" s="767"/>
      <c r="DB10" s="72">
        <v>65</v>
      </c>
      <c r="DC10" s="162">
        <v>9.4953998439832802E-5</v>
      </c>
      <c r="DD10">
        <v>0.83038523683231502</v>
      </c>
      <c r="DE10" s="767"/>
      <c r="DG10" s="751"/>
      <c r="DH10" s="681"/>
      <c r="DI10" s="143" t="s">
        <v>210</v>
      </c>
      <c r="DJ10" s="72">
        <v>145.5</v>
      </c>
      <c r="DK10">
        <v>2.9406712006224901E-3</v>
      </c>
      <c r="DL10">
        <v>3.7401699234579198E-4</v>
      </c>
      <c r="DM10" s="767"/>
      <c r="DN10">
        <v>270</v>
      </c>
      <c r="DO10">
        <v>3.8089783262079598E-4</v>
      </c>
      <c r="DP10">
        <v>3.3310017708222399</v>
      </c>
      <c r="DQ10" s="767"/>
      <c r="DS10" s="665"/>
      <c r="DT10" s="686"/>
      <c r="DU10" t="s">
        <v>210</v>
      </c>
      <c r="DV10" s="72">
        <v>143.5</v>
      </c>
      <c r="DW10">
        <v>3.00870112171087E-3</v>
      </c>
      <c r="DX10">
        <v>3.5373179115997502E-4</v>
      </c>
      <c r="DY10" s="767"/>
      <c r="DZ10" s="72">
        <v>394</v>
      </c>
      <c r="EA10">
        <v>4.6762303886137399E-4</v>
      </c>
      <c r="EB10">
        <v>4.0702337201929897</v>
      </c>
      <c r="EC10" s="767"/>
      <c r="EE10" s="665"/>
      <c r="EF10" s="686"/>
      <c r="EG10" t="s">
        <v>210</v>
      </c>
      <c r="EH10" s="72">
        <v>236</v>
      </c>
      <c r="EI10">
        <v>1.98556260411584E-3</v>
      </c>
      <c r="EJ10">
        <v>2.3344180362281001E-4</v>
      </c>
      <c r="EK10" s="767"/>
      <c r="EL10">
        <v>249.5</v>
      </c>
      <c r="EM10">
        <v>3.7670697708126798E-4</v>
      </c>
      <c r="EN10">
        <v>3.2788919991657801</v>
      </c>
      <c r="EO10" s="767"/>
    </row>
    <row r="11" spans="1:145" ht="15.75" thickBot="1" x14ac:dyDescent="0.3">
      <c r="B11" s="665"/>
      <c r="C11" s="741"/>
      <c r="D11" s="168" t="s">
        <v>81</v>
      </c>
      <c r="E11">
        <v>133.5</v>
      </c>
      <c r="F11">
        <v>3.86033398395142E-3</v>
      </c>
      <c r="G11">
        <v>4.9098671916793203E-4</v>
      </c>
      <c r="H11" s="777"/>
      <c r="I11" s="72">
        <v>28.5</v>
      </c>
      <c r="J11" s="162">
        <v>3.7487915080007098E-5</v>
      </c>
      <c r="K11">
        <v>0.32730210337210403</v>
      </c>
      <c r="L11" s="788"/>
      <c r="N11" s="665"/>
      <c r="O11" s="681"/>
      <c r="P11" s="168" t="s">
        <v>82</v>
      </c>
      <c r="Q11">
        <v>118</v>
      </c>
      <c r="R11">
        <v>8.5201631827863805E-3</v>
      </c>
      <c r="S11">
        <v>1.08365933758138E-3</v>
      </c>
      <c r="T11" s="777"/>
      <c r="U11">
        <v>108.5</v>
      </c>
      <c r="V11">
        <v>1.0645144832836901E-4</v>
      </c>
      <c r="W11">
        <v>0.90277415930336602</v>
      </c>
      <c r="X11" s="773"/>
      <c r="AL11" s="665"/>
      <c r="AM11" s="741"/>
      <c r="AN11" s="168" t="s">
        <v>79</v>
      </c>
      <c r="AO11" s="72">
        <v>111.5</v>
      </c>
      <c r="AP11">
        <v>1.56957363904592E-4</v>
      </c>
      <c r="AQ11">
        <v>1.9963034684630099E-5</v>
      </c>
      <c r="AR11" s="767"/>
      <c r="AS11">
        <v>75.5</v>
      </c>
      <c r="AT11">
        <v>7.9566903119128002E-5</v>
      </c>
      <c r="AU11">
        <v>0.69333332606604703</v>
      </c>
      <c r="AV11" s="767"/>
      <c r="AX11" s="648"/>
      <c r="AY11" s="693"/>
      <c r="AZ11" s="170" t="s">
        <v>83</v>
      </c>
      <c r="BA11" s="73">
        <v>68</v>
      </c>
      <c r="BB11" s="2">
        <v>2.1449006564026901E-4</v>
      </c>
      <c r="BC11" s="2">
        <v>2.7280482504076901E-5</v>
      </c>
      <c r="BD11" s="769"/>
      <c r="BE11" s="2">
        <v>48</v>
      </c>
      <c r="BF11" s="163">
        <v>5.0321111593355103E-5</v>
      </c>
      <c r="BG11" s="2">
        <v>0.43825270627986501</v>
      </c>
      <c r="BH11" s="769"/>
      <c r="BK11" s="748"/>
      <c r="BL11" s="681"/>
      <c r="BM11" s="168" t="s">
        <v>211</v>
      </c>
      <c r="BN11" s="72">
        <v>28</v>
      </c>
      <c r="BO11">
        <v>6.3645042505796202E-4</v>
      </c>
      <c r="BP11">
        <v>8.0948619385597998E-5</v>
      </c>
      <c r="BQ11" s="767"/>
      <c r="BR11">
        <v>16</v>
      </c>
      <c r="BS11" s="162">
        <v>2.27160760250274E-5</v>
      </c>
      <c r="BT11">
        <v>0.197837080279086</v>
      </c>
      <c r="BU11" s="767"/>
      <c r="BW11" s="665"/>
      <c r="BX11" s="686"/>
      <c r="BY11" s="143" t="s">
        <v>82</v>
      </c>
      <c r="BZ11" s="72">
        <v>122</v>
      </c>
      <c r="CA11">
        <v>2.78205347471638E-3</v>
      </c>
      <c r="CB11">
        <v>3.27084917678582E-4</v>
      </c>
      <c r="CC11" s="767"/>
      <c r="CD11" s="72">
        <v>190.5</v>
      </c>
      <c r="CE11">
        <v>2.33286635186237E-4</v>
      </c>
      <c r="CF11">
        <v>2.0401223854905499</v>
      </c>
      <c r="CG11" s="767"/>
      <c r="CI11" s="751"/>
      <c r="CJ11" s="731"/>
      <c r="CK11" s="58" t="s">
        <v>211</v>
      </c>
      <c r="CL11" s="72">
        <v>33.5</v>
      </c>
      <c r="CM11">
        <v>8.1998311079562803E-4</v>
      </c>
      <c r="CN11">
        <v>1.04291706195921E-4</v>
      </c>
      <c r="CO11" s="767"/>
      <c r="CP11" s="72">
        <v>34.5</v>
      </c>
      <c r="CQ11" s="162">
        <v>4.0269513935294499E-5</v>
      </c>
      <c r="CR11">
        <v>0.35386875203900903</v>
      </c>
      <c r="CS11" s="767"/>
      <c r="CU11" s="647"/>
      <c r="CV11" s="143" t="s">
        <v>81</v>
      </c>
      <c r="CW11" s="731"/>
      <c r="CX11" s="72">
        <v>77</v>
      </c>
      <c r="CY11">
        <v>7.0574217496906602E-4</v>
      </c>
      <c r="CZ11" s="162">
        <v>8.2973826096420904E-5</v>
      </c>
      <c r="DA11" s="767"/>
      <c r="DB11" s="72">
        <v>54.5</v>
      </c>
      <c r="DC11" s="162">
        <v>7.9615275614936706E-5</v>
      </c>
      <c r="DD11">
        <v>0.696246083190172</v>
      </c>
      <c r="DE11" s="767"/>
      <c r="DG11" s="751"/>
      <c r="DH11" s="681"/>
      <c r="DI11" s="143" t="s">
        <v>211</v>
      </c>
      <c r="DJ11" s="72">
        <v>229</v>
      </c>
      <c r="DK11">
        <v>4.6282728862030997E-3</v>
      </c>
      <c r="DL11">
        <v>5.88659046372414E-4</v>
      </c>
      <c r="DM11" s="767"/>
      <c r="DN11">
        <v>490</v>
      </c>
      <c r="DO11">
        <v>6.9125902957107405E-4</v>
      </c>
      <c r="DP11">
        <v>6.0451513618625796</v>
      </c>
      <c r="DQ11" s="767"/>
      <c r="DS11" s="665"/>
      <c r="DT11" s="686"/>
      <c r="DU11" t="s">
        <v>211</v>
      </c>
      <c r="DV11" s="72">
        <v>136</v>
      </c>
      <c r="DW11">
        <v>2.8514519341650102E-3</v>
      </c>
      <c r="DX11">
        <v>3.3524406688332099E-4</v>
      </c>
      <c r="DY11" s="767"/>
      <c r="DZ11" s="72">
        <v>444.5</v>
      </c>
      <c r="EA11">
        <v>5.2755949434995098E-4</v>
      </c>
      <c r="EB11">
        <v>4.5919261132634102</v>
      </c>
      <c r="EC11" s="767"/>
      <c r="EE11" s="665"/>
      <c r="EF11" s="686"/>
      <c r="EG11" t="s">
        <v>211</v>
      </c>
      <c r="EH11" s="72">
        <v>239.5</v>
      </c>
      <c r="EI11">
        <v>2.0150095071429799E-3</v>
      </c>
      <c r="EJ11">
        <v>2.3690386426975901E-4</v>
      </c>
      <c r="EK11" s="767"/>
      <c r="EL11">
        <v>210.5</v>
      </c>
      <c r="EM11">
        <v>3.17822920543515E-4</v>
      </c>
      <c r="EN11">
        <v>2.7663597828633102</v>
      </c>
      <c r="EO11" s="767"/>
    </row>
    <row r="12" spans="1:145" ht="15.75" thickBot="1" x14ac:dyDescent="0.3">
      <c r="B12" s="665"/>
      <c r="C12" s="741"/>
      <c r="D12" s="168" t="s">
        <v>82</v>
      </c>
      <c r="E12">
        <v>138.5</v>
      </c>
      <c r="F12">
        <v>4.00491578110316E-3</v>
      </c>
      <c r="G12">
        <v>5.0937573486710506E-4</v>
      </c>
      <c r="H12" s="777"/>
      <c r="I12" s="72">
        <v>36.5</v>
      </c>
      <c r="J12" s="162">
        <v>4.8010838611237198E-5</v>
      </c>
      <c r="K12">
        <v>0.41917637800287</v>
      </c>
      <c r="L12" s="788"/>
      <c r="N12" s="665"/>
      <c r="O12" s="681"/>
      <c r="P12" s="168" t="s">
        <v>83</v>
      </c>
      <c r="Q12">
        <v>129</v>
      </c>
      <c r="R12">
        <v>9.3144156828766402E-3</v>
      </c>
      <c r="S12">
        <v>1.1846784283728699E-3</v>
      </c>
      <c r="T12" s="777"/>
      <c r="U12">
        <v>175.5</v>
      </c>
      <c r="V12">
        <v>1.7218644407031099E-4</v>
      </c>
      <c r="W12">
        <v>1.4602476032971501</v>
      </c>
      <c r="X12" s="773"/>
      <c r="AL12" s="665"/>
      <c r="AM12" s="741"/>
      <c r="AN12" s="168" t="s">
        <v>81</v>
      </c>
      <c r="AO12" s="72">
        <v>63.5</v>
      </c>
      <c r="AP12">
        <v>8.9388274510687204E-5</v>
      </c>
      <c r="AQ12">
        <v>1.13690825333992E-5</v>
      </c>
      <c r="AR12" s="767"/>
      <c r="AS12">
        <v>52</v>
      </c>
      <c r="AT12">
        <v>5.4801045856882899E-5</v>
      </c>
      <c r="AU12">
        <v>0.477527588813701</v>
      </c>
      <c r="AV12" s="767"/>
      <c r="BK12" s="749"/>
      <c r="BL12" s="682"/>
      <c r="BM12" s="230" t="s">
        <v>212</v>
      </c>
      <c r="BN12" s="212">
        <v>25.5</v>
      </c>
      <c r="BO12" s="60">
        <v>5.7962449424921604E-4</v>
      </c>
      <c r="BP12" s="172">
        <v>7.3721064083312503E-5</v>
      </c>
      <c r="BQ12" s="768"/>
      <c r="BR12" s="60">
        <v>12.5</v>
      </c>
      <c r="BS12" s="234">
        <v>1.7746934394552701E-5</v>
      </c>
      <c r="BT12" s="60">
        <v>0.15456021896803601</v>
      </c>
      <c r="BU12" s="768"/>
      <c r="BW12" s="665"/>
      <c r="BX12" s="686"/>
      <c r="BY12" s="143" t="s">
        <v>83</v>
      </c>
      <c r="BZ12" s="72">
        <v>269</v>
      </c>
      <c r="CA12">
        <v>6.1341998745795597E-3</v>
      </c>
      <c r="CB12">
        <v>7.2119543324211796E-4</v>
      </c>
      <c r="CC12" s="767"/>
      <c r="CD12" s="72">
        <v>479.5</v>
      </c>
      <c r="CE12">
        <v>5.8719654368399399E-4</v>
      </c>
      <c r="CF12">
        <v>5.1351112012741202</v>
      </c>
      <c r="CG12" s="767"/>
      <c r="CI12" s="752"/>
      <c r="CJ12" s="734"/>
      <c r="CK12" s="59" t="s">
        <v>212</v>
      </c>
      <c r="CL12" s="212">
        <v>34</v>
      </c>
      <c r="CM12" s="60">
        <v>8.3222166468809998E-4</v>
      </c>
      <c r="CN12" s="60">
        <v>1.05848298825711E-4</v>
      </c>
      <c r="CO12" s="768"/>
      <c r="CP12" s="212">
        <v>41.5</v>
      </c>
      <c r="CQ12" s="234">
        <v>4.8440139951151298E-5</v>
      </c>
      <c r="CR12" s="60">
        <v>0.42566820897446001</v>
      </c>
      <c r="CS12" s="768"/>
      <c r="CU12" s="647"/>
      <c r="CV12" s="143" t="s">
        <v>82</v>
      </c>
      <c r="CW12" s="731"/>
      <c r="CX12" s="72">
        <v>85.5</v>
      </c>
      <c r="CY12">
        <v>7.8364877869941795E-4</v>
      </c>
      <c r="CZ12" s="162">
        <v>9.2133274431740103E-5</v>
      </c>
      <c r="DA12" s="767"/>
      <c r="DB12" s="72">
        <v>76</v>
      </c>
      <c r="DC12">
        <v>1.11023136637343E-4</v>
      </c>
      <c r="DD12">
        <v>0.97091196921932199</v>
      </c>
      <c r="DE12" s="767"/>
      <c r="DG12" s="791"/>
      <c r="DH12" s="684"/>
      <c r="DI12" s="144" t="s">
        <v>212</v>
      </c>
      <c r="DJ12" s="73">
        <v>197.5</v>
      </c>
      <c r="DK12" s="2">
        <v>3.9916327293673002E-3</v>
      </c>
      <c r="DL12" s="2">
        <v>5.0768629545219096E-4</v>
      </c>
      <c r="DM12" s="769"/>
      <c r="DN12" s="2">
        <v>425</v>
      </c>
      <c r="DO12" s="2">
        <v>5.9956140319940103E-4</v>
      </c>
      <c r="DP12" s="2">
        <v>5.2432435281461203</v>
      </c>
      <c r="DQ12" s="769"/>
      <c r="DS12" s="746"/>
      <c r="DT12" s="688"/>
      <c r="DU12" s="60" t="s">
        <v>212</v>
      </c>
      <c r="DV12" s="212">
        <v>140.5</v>
      </c>
      <c r="DW12" s="60">
        <v>2.9458014466925298E-3</v>
      </c>
      <c r="DX12" s="60">
        <v>3.4633670144931301E-4</v>
      </c>
      <c r="DY12" s="768"/>
      <c r="DZ12" s="212">
        <v>473</v>
      </c>
      <c r="EA12" s="60">
        <v>5.6138501873459305E-4</v>
      </c>
      <c r="EB12" s="60">
        <v>4.8863465727189901</v>
      </c>
      <c r="EC12" s="768"/>
      <c r="EE12" s="666"/>
      <c r="EF12" s="687"/>
      <c r="EG12" s="2" t="s">
        <v>212</v>
      </c>
      <c r="EH12" s="73">
        <v>223.5</v>
      </c>
      <c r="EI12" s="2">
        <v>1.8803950933046201E-3</v>
      </c>
      <c r="EJ12" s="2">
        <v>2.2107730131228E-4</v>
      </c>
      <c r="EK12" s="769"/>
      <c r="EL12" s="2">
        <v>268</v>
      </c>
      <c r="EM12" s="2">
        <v>4.0463915774661301E-4</v>
      </c>
      <c r="EN12" s="2">
        <v>3.5220162556169501</v>
      </c>
      <c r="EO12" s="769"/>
    </row>
    <row r="13" spans="1:145" ht="15.75" thickBot="1" x14ac:dyDescent="0.3">
      <c r="B13" s="665"/>
      <c r="C13" s="741"/>
      <c r="D13" s="168" t="s">
        <v>83</v>
      </c>
      <c r="E13">
        <v>97</v>
      </c>
      <c r="F13">
        <v>2.8048868647437301E-3</v>
      </c>
      <c r="G13" s="172">
        <v>3.5674690456396503E-4</v>
      </c>
      <c r="H13" s="783"/>
      <c r="I13" s="72">
        <v>30.5</v>
      </c>
      <c r="J13" s="162">
        <v>4.0118645962814601E-5</v>
      </c>
      <c r="K13" s="172">
        <v>0.350270672029795</v>
      </c>
      <c r="L13" s="790"/>
      <c r="N13" s="746"/>
      <c r="O13" s="682"/>
      <c r="P13" s="230" t="s">
        <v>94</v>
      </c>
      <c r="Q13" s="212">
        <v>86</v>
      </c>
      <c r="R13" s="60">
        <v>6.2096104552510903E-3</v>
      </c>
      <c r="S13" s="172">
        <v>7.897856189152438E-4</v>
      </c>
      <c r="T13" s="783"/>
      <c r="U13" s="60">
        <v>99.5</v>
      </c>
      <c r="V13" s="234">
        <v>9.7621374273481096E-5</v>
      </c>
      <c r="W13" s="172">
        <v>0.82788966682658904</v>
      </c>
      <c r="X13" s="774"/>
      <c r="AL13" s="665"/>
      <c r="AM13" s="741"/>
      <c r="AN13" s="168" t="s">
        <v>82</v>
      </c>
      <c r="AO13" s="72">
        <v>77.5</v>
      </c>
      <c r="AP13">
        <v>1.0909592558391E-4</v>
      </c>
      <c r="AQ13">
        <v>1.38756519108415E-5</v>
      </c>
      <c r="AR13" s="767"/>
      <c r="AS13">
        <v>68</v>
      </c>
      <c r="AT13">
        <v>7.1662906120539095E-5</v>
      </c>
      <c r="AU13">
        <v>0.62445915460253298</v>
      </c>
      <c r="AV13" s="767"/>
      <c r="BK13" s="647" t="s">
        <v>218</v>
      </c>
      <c r="BL13" s="681" t="s">
        <v>237</v>
      </c>
      <c r="BM13" s="168" t="s">
        <v>80</v>
      </c>
      <c r="BN13" s="72">
        <v>195.5</v>
      </c>
      <c r="BO13">
        <v>4.1845929921445202E-3</v>
      </c>
      <c r="BP13">
        <v>5.3222845341630303E-4</v>
      </c>
      <c r="BQ13" s="770">
        <f>AVERAGE(BP13:BP17)</f>
        <v>3.8467458039756301E-4</v>
      </c>
      <c r="BR13">
        <v>150.5</v>
      </c>
      <c r="BS13">
        <v>1.89885236139009E-4</v>
      </c>
      <c r="BT13">
        <v>1.65373371107129</v>
      </c>
      <c r="BU13" s="770">
        <f>AVERAGE(BT13:BT17)</f>
        <v>1.144977094309825</v>
      </c>
      <c r="BW13" s="666"/>
      <c r="BX13" s="687"/>
      <c r="BY13" s="144" t="s">
        <v>94</v>
      </c>
      <c r="BZ13" s="73">
        <v>107.5</v>
      </c>
      <c r="CA13" s="2">
        <v>2.4513995781312399E-3</v>
      </c>
      <c r="CB13" s="2">
        <v>2.88210070905308E-4</v>
      </c>
      <c r="CC13" s="769"/>
      <c r="CD13" s="73">
        <v>260.5</v>
      </c>
      <c r="CE13" s="2">
        <v>3.19008758351784E-4</v>
      </c>
      <c r="CF13" s="2">
        <v>2.7897736557495501</v>
      </c>
      <c r="CG13" s="769"/>
      <c r="CI13" s="751" t="s">
        <v>284</v>
      </c>
      <c r="CJ13" s="685" t="s">
        <v>285</v>
      </c>
      <c r="CK13" s="412" t="s">
        <v>80</v>
      </c>
      <c r="CL13" s="72">
        <v>121.5</v>
      </c>
      <c r="CM13">
        <v>2.8393489361204899E-3</v>
      </c>
      <c r="CN13">
        <v>3.6113005394251802E-4</v>
      </c>
      <c r="CO13" s="767">
        <f>AVERAGE(CN13:CN17)</f>
        <v>2.0449175070983745E-4</v>
      </c>
      <c r="CP13" s="72">
        <v>22</v>
      </c>
      <c r="CQ13" s="162">
        <v>2.52010499673818E-5</v>
      </c>
      <c r="CR13">
        <v>0.221454475868754</v>
      </c>
      <c r="CS13" s="767">
        <f>AVERAGE(CR13:CR17)</f>
        <v>0.3130560999781018</v>
      </c>
      <c r="CU13" s="647"/>
      <c r="CV13" s="142" t="s">
        <v>83</v>
      </c>
      <c r="CW13" s="734"/>
      <c r="CX13" s="212">
        <v>150</v>
      </c>
      <c r="CY13" s="60">
        <v>1.37482241877091E-3</v>
      </c>
      <c r="CZ13" s="60">
        <v>1.61637323564456E-4</v>
      </c>
      <c r="DA13" s="768"/>
      <c r="DB13" s="212">
        <v>79</v>
      </c>
      <c r="DC13" s="60">
        <v>1.15405628873028E-4</v>
      </c>
      <c r="DD13" s="60">
        <v>1.0092374416885099</v>
      </c>
      <c r="DE13" s="768"/>
      <c r="DS13" s="665" t="s">
        <v>328</v>
      </c>
      <c r="DT13" s="686" t="s">
        <v>292</v>
      </c>
      <c r="DU13" t="s">
        <v>80</v>
      </c>
      <c r="DV13" s="72">
        <v>134.5</v>
      </c>
      <c r="DW13">
        <v>3.98099776531352E-3</v>
      </c>
      <c r="DX13">
        <v>4.6804431984505201E-4</v>
      </c>
      <c r="DY13" s="767">
        <f>AVERAGE(DX13:DX22)</f>
        <v>5.6965691567758344E-4</v>
      </c>
      <c r="DZ13" s="72">
        <v>61</v>
      </c>
      <c r="EA13" s="162">
        <v>6.2167727509678005E-5</v>
      </c>
      <c r="EB13">
        <v>0.54111358891509498</v>
      </c>
      <c r="EC13" s="767">
        <f>AVERAGE(EB13:EB22)</f>
        <v>1.6073734805150028</v>
      </c>
    </row>
    <row r="14" spans="1:145" ht="15.75" thickBot="1" x14ac:dyDescent="0.3">
      <c r="B14" s="745" t="s">
        <v>93</v>
      </c>
      <c r="C14" s="744" t="s">
        <v>78</v>
      </c>
      <c r="D14" s="169" t="s">
        <v>80</v>
      </c>
      <c r="E14" s="164">
        <v>133.5</v>
      </c>
      <c r="F14" s="164">
        <v>3.0707656212262402E-3</v>
      </c>
      <c r="G14">
        <v>3.90563392692843E-4</v>
      </c>
      <c r="H14" s="782">
        <f>AVERAGE(G14:G17)</f>
        <v>1.96013088467569E-4</v>
      </c>
      <c r="I14" s="167">
        <v>28</v>
      </c>
      <c r="J14" s="165">
        <v>3.6536305996782197E-5</v>
      </c>
      <c r="K14">
        <v>0.31899372842346296</v>
      </c>
      <c r="L14" s="787">
        <f>AVERAGE(K14:K17)</f>
        <v>0.57817613276752733</v>
      </c>
      <c r="N14" s="745" t="s">
        <v>179</v>
      </c>
      <c r="O14" s="683" t="s">
        <v>182</v>
      </c>
      <c r="P14" s="169" t="s">
        <v>80</v>
      </c>
      <c r="Q14" s="164">
        <v>182.5</v>
      </c>
      <c r="R14" s="164">
        <v>1.33172796263865E-2</v>
      </c>
      <c r="S14">
        <v>1.69379319488531E-3</v>
      </c>
      <c r="T14" s="779">
        <f>AVERAGE(S14:S19)</f>
        <v>1.4029866920191581E-3</v>
      </c>
      <c r="U14">
        <v>158</v>
      </c>
      <c r="V14">
        <v>1.56757228690938E-4</v>
      </c>
      <c r="W14">
        <v>1.32939830851013</v>
      </c>
      <c r="X14" s="775">
        <f>AVERAGE(W14:W19)</f>
        <v>1.2277301889247056</v>
      </c>
      <c r="AL14" s="666"/>
      <c r="AM14" s="693"/>
      <c r="AN14" s="170" t="s">
        <v>83</v>
      </c>
      <c r="AO14" s="73">
        <v>59.5</v>
      </c>
      <c r="AP14" s="2">
        <v>8.3757517061195093E-5</v>
      </c>
      <c r="AQ14" s="2">
        <v>1.06529198541299E-5</v>
      </c>
      <c r="AR14" s="769"/>
      <c r="AS14" s="2">
        <v>56</v>
      </c>
      <c r="AT14" s="2">
        <v>5.9016510922796901E-5</v>
      </c>
      <c r="AU14" s="2">
        <v>0.51426048026090898</v>
      </c>
      <c r="AV14" s="769"/>
      <c r="BK14" s="647"/>
      <c r="BL14" s="681"/>
      <c r="BM14" s="168" t="s">
        <v>79</v>
      </c>
      <c r="BN14" s="72">
        <v>156</v>
      </c>
      <c r="BO14">
        <v>3.33911256662172E-3</v>
      </c>
      <c r="BP14">
        <v>4.24693804260579E-4</v>
      </c>
      <c r="BQ14" s="767"/>
      <c r="BR14">
        <v>109</v>
      </c>
      <c r="BS14">
        <v>1.3752485540964701E-4</v>
      </c>
      <c r="BT14">
        <v>1.1977207608423299</v>
      </c>
      <c r="BU14" s="767"/>
      <c r="CI14" s="751"/>
      <c r="CJ14" s="686"/>
      <c r="CK14" s="58" t="s">
        <v>79</v>
      </c>
      <c r="CL14" s="72">
        <v>30</v>
      </c>
      <c r="CM14">
        <v>7.0107381138777595E-4</v>
      </c>
      <c r="CN14">
        <v>8.9167914553708096E-5</v>
      </c>
      <c r="CO14" s="767"/>
      <c r="CP14" s="72">
        <v>22</v>
      </c>
      <c r="CQ14" s="162">
        <v>2.52010499673818E-5</v>
      </c>
      <c r="CR14">
        <v>0.221454475868754</v>
      </c>
      <c r="CS14" s="767"/>
      <c r="CU14" s="647"/>
      <c r="CV14" s="143" t="s">
        <v>94</v>
      </c>
      <c r="CW14" s="731" t="s">
        <v>300</v>
      </c>
      <c r="CX14" s="72">
        <v>207.5</v>
      </c>
      <c r="CY14">
        <v>2.82353261350261E-3</v>
      </c>
      <c r="CZ14">
        <v>3.3196160348587198E-4</v>
      </c>
      <c r="DA14" s="770">
        <f>AVERAGE(CZ14:CZ18)</f>
        <v>1.9933694358717922E-4</v>
      </c>
      <c r="DB14" s="72">
        <v>355.5</v>
      </c>
      <c r="DC14">
        <v>4.4432834552372001E-4</v>
      </c>
      <c r="DD14">
        <v>3.8857099700000299</v>
      </c>
      <c r="DE14" s="770">
        <f>AVERAGE(DD14:DD18)</f>
        <v>2.0286575820872157</v>
      </c>
      <c r="DS14" s="665"/>
      <c r="DT14" s="686"/>
      <c r="DU14" t="s">
        <v>79</v>
      </c>
      <c r="DV14" s="72">
        <v>147</v>
      </c>
      <c r="DW14">
        <v>4.3509789702683103E-3</v>
      </c>
      <c r="DX14">
        <v>5.1154286258158095E-4</v>
      </c>
      <c r="DY14" s="767"/>
      <c r="DZ14" s="72">
        <v>55</v>
      </c>
      <c r="EA14" s="162">
        <v>5.6052869066103198E-5</v>
      </c>
      <c r="EB14">
        <v>0.48788930148082299</v>
      </c>
      <c r="EC14" s="767"/>
    </row>
    <row r="15" spans="1:145" x14ac:dyDescent="0.25">
      <c r="B15" s="665"/>
      <c r="C15" s="741"/>
      <c r="D15" s="168" t="s">
        <v>79</v>
      </c>
      <c r="E15">
        <v>40</v>
      </c>
      <c r="F15">
        <v>9.2007958688426501E-4</v>
      </c>
      <c r="G15">
        <v>1.1702273938362302E-4</v>
      </c>
      <c r="H15" s="777"/>
      <c r="I15" s="72">
        <v>23</v>
      </c>
      <c r="J15" s="162">
        <v>3.0011965640213899E-5</v>
      </c>
      <c r="K15">
        <v>0.26203056263355901</v>
      </c>
      <c r="L15" s="788"/>
      <c r="N15" s="665"/>
      <c r="O15" s="681"/>
      <c r="P15" s="168" t="s">
        <v>79</v>
      </c>
      <c r="Q15">
        <v>101.5</v>
      </c>
      <c r="R15">
        <v>7.40659661412726E-3</v>
      </c>
      <c r="S15">
        <v>9.4202744811429807E-4</v>
      </c>
      <c r="T15" s="780"/>
      <c r="U15">
        <v>87</v>
      </c>
      <c r="V15" s="162">
        <v>8.6315689215896393E-5</v>
      </c>
      <c r="W15">
        <v>0.73201046101507294</v>
      </c>
      <c r="X15" s="773"/>
      <c r="BK15" s="647"/>
      <c r="BL15" s="681"/>
      <c r="BM15" s="168" t="s">
        <v>81</v>
      </c>
      <c r="BN15" s="72">
        <v>127</v>
      </c>
      <c r="BO15">
        <v>2.71838010231383E-3</v>
      </c>
      <c r="BP15">
        <v>3.4574431500700999E-4</v>
      </c>
      <c r="BQ15" s="767"/>
      <c r="BR15">
        <v>96.5</v>
      </c>
      <c r="BS15">
        <v>1.2175365639478E-4</v>
      </c>
      <c r="BT15">
        <v>1.0603674625806001</v>
      </c>
      <c r="BU15" s="767"/>
      <c r="CI15" s="751"/>
      <c r="CJ15" s="686"/>
      <c r="CK15" s="58" t="s">
        <v>81</v>
      </c>
      <c r="CL15" s="72">
        <v>61.5</v>
      </c>
      <c r="CM15">
        <v>1.43720131334494E-3</v>
      </c>
      <c r="CN15">
        <v>1.8279422483510199E-4</v>
      </c>
      <c r="CO15" s="767"/>
      <c r="CP15" s="72">
        <v>75</v>
      </c>
      <c r="CQ15" s="162">
        <v>8.5912670343347102E-5</v>
      </c>
      <c r="CR15">
        <v>0.75495844046166005</v>
      </c>
      <c r="CS15" s="767"/>
      <c r="CU15" s="647"/>
      <c r="CV15" s="143" t="s">
        <v>209</v>
      </c>
      <c r="CW15" s="731"/>
      <c r="CX15" s="72">
        <v>23.5</v>
      </c>
      <c r="CY15">
        <v>3.19773573095476E-4</v>
      </c>
      <c r="CZ15" s="162">
        <v>3.7595651479122902E-5</v>
      </c>
      <c r="DA15" s="767"/>
      <c r="DB15" s="72">
        <v>26</v>
      </c>
      <c r="DC15" s="162">
        <v>3.2496587858274898E-5</v>
      </c>
      <c r="DD15">
        <v>0.28418694576652798</v>
      </c>
      <c r="DE15" s="767"/>
      <c r="DS15" s="665"/>
      <c r="DT15" s="686"/>
      <c r="DU15" t="s">
        <v>81</v>
      </c>
      <c r="DV15" s="72">
        <v>134</v>
      </c>
      <c r="DW15">
        <v>3.9661985171153304E-3</v>
      </c>
      <c r="DX15">
        <v>4.6630437813559099E-4</v>
      </c>
      <c r="DY15" s="767"/>
      <c r="DZ15" s="72">
        <v>77.5</v>
      </c>
      <c r="EA15" s="162">
        <v>7.8983588229509006E-5</v>
      </c>
      <c r="EB15">
        <v>0.68748037935934203</v>
      </c>
      <c r="EC15" s="767"/>
    </row>
    <row r="16" spans="1:145" x14ac:dyDescent="0.25">
      <c r="B16" s="665"/>
      <c r="C16" s="741"/>
      <c r="D16" s="168" t="s">
        <v>83</v>
      </c>
      <c r="E16">
        <v>59</v>
      </c>
      <c r="F16">
        <v>1.3571173906542901E-3</v>
      </c>
      <c r="G16">
        <v>1.7260854059084402E-4</v>
      </c>
      <c r="H16" s="777"/>
      <c r="I16" s="72">
        <v>130.5</v>
      </c>
      <c r="J16">
        <v>1.70285283306431E-4</v>
      </c>
      <c r="K16">
        <v>1.4867386271165</v>
      </c>
      <c r="L16" s="788"/>
      <c r="N16" s="665"/>
      <c r="O16" s="681"/>
      <c r="P16" s="168" t="s">
        <v>81</v>
      </c>
      <c r="Q16">
        <v>129</v>
      </c>
      <c r="R16">
        <v>9.4133099824868591E-3</v>
      </c>
      <c r="S16">
        <v>1.1972565596723599E-3</v>
      </c>
      <c r="T16" s="780"/>
      <c r="U16">
        <v>98.5</v>
      </c>
      <c r="V16" s="162">
        <v>9.7725234342135503E-5</v>
      </c>
      <c r="W16">
        <v>0.82877046448258196</v>
      </c>
      <c r="X16" s="773"/>
      <c r="BK16" s="647"/>
      <c r="BL16" s="681"/>
      <c r="BM16" s="168" t="s">
        <v>82</v>
      </c>
      <c r="BN16" s="72">
        <v>105.5</v>
      </c>
      <c r="BO16">
        <v>2.25818189601661E-3</v>
      </c>
      <c r="BP16">
        <v>2.8721279711212198E-4</v>
      </c>
      <c r="BQ16" s="767"/>
      <c r="BR16">
        <v>84</v>
      </c>
      <c r="BS16">
        <v>1.05982457379912E-4</v>
      </c>
      <c r="BT16">
        <v>0.92301416431886096</v>
      </c>
      <c r="BU16" s="767"/>
      <c r="CI16" s="751"/>
      <c r="CJ16" s="686"/>
      <c r="CK16" s="58" t="s">
        <v>82</v>
      </c>
      <c r="CL16" s="72">
        <v>62</v>
      </c>
      <c r="CM16">
        <v>1.4488858768680699E-3</v>
      </c>
      <c r="CN16">
        <v>1.8428035674433E-4</v>
      </c>
      <c r="CO16" s="767"/>
      <c r="CP16" s="72">
        <v>13</v>
      </c>
      <c r="CQ16" s="162">
        <v>1.48915295261802E-5</v>
      </c>
      <c r="CR16">
        <v>0.13085946301335399</v>
      </c>
      <c r="CS16" s="767"/>
      <c r="CU16" s="647"/>
      <c r="CV16" s="143" t="s">
        <v>210</v>
      </c>
      <c r="CW16" s="731"/>
      <c r="CX16" s="72">
        <v>189.5</v>
      </c>
      <c r="CY16">
        <v>2.5785996638975602E-3</v>
      </c>
      <c r="CZ16">
        <v>3.0316493426782101E-4</v>
      </c>
      <c r="DA16" s="767"/>
      <c r="DB16" s="72">
        <v>353.5</v>
      </c>
      <c r="DC16">
        <v>4.4182860799616E-4</v>
      </c>
      <c r="DD16">
        <v>3.8638494357102902</v>
      </c>
      <c r="DE16" s="767"/>
      <c r="DS16" s="665"/>
      <c r="DT16" s="686"/>
      <c r="DU16" t="s">
        <v>82</v>
      </c>
      <c r="DV16" s="72">
        <v>126</v>
      </c>
      <c r="DW16">
        <v>3.7294105459442701E-3</v>
      </c>
      <c r="DX16">
        <v>4.3846531078421197E-4</v>
      </c>
      <c r="DY16" s="767"/>
      <c r="DZ16" s="72">
        <v>46</v>
      </c>
      <c r="EA16" s="162">
        <v>4.6880581400740802E-5</v>
      </c>
      <c r="EB16">
        <v>0.40805287032941601</v>
      </c>
      <c r="EC16" s="767"/>
    </row>
    <row r="17" spans="2:133" ht="15.75" thickBot="1" x14ac:dyDescent="0.3">
      <c r="B17" s="666"/>
      <c r="C17" s="693"/>
      <c r="D17" s="170" t="s">
        <v>94</v>
      </c>
      <c r="E17" s="2">
        <v>35.5</v>
      </c>
      <c r="F17" s="2">
        <v>8.1657063335978603E-4</v>
      </c>
      <c r="G17" s="2">
        <v>1.0385768120296599E-4</v>
      </c>
      <c r="H17" s="778"/>
      <c r="I17" s="73">
        <v>21.5</v>
      </c>
      <c r="J17" s="163">
        <v>2.80546635332435E-5</v>
      </c>
      <c r="K17" s="2">
        <v>0.24494161289658697</v>
      </c>
      <c r="L17" s="789"/>
      <c r="N17" s="665"/>
      <c r="O17" s="681"/>
      <c r="P17" s="168" t="s">
        <v>82</v>
      </c>
      <c r="Q17">
        <v>177.5</v>
      </c>
      <c r="R17">
        <v>1.2952422650321101E-2</v>
      </c>
      <c r="S17">
        <v>1.6473879018747601E-3</v>
      </c>
      <c r="T17" s="780"/>
      <c r="U17">
        <v>175.5</v>
      </c>
      <c r="V17">
        <v>1.74119579969998E-4</v>
      </c>
      <c r="W17">
        <v>1.47664179204765</v>
      </c>
      <c r="X17" s="773"/>
      <c r="BK17" s="647"/>
      <c r="BL17" s="682"/>
      <c r="BM17" s="230" t="s">
        <v>83</v>
      </c>
      <c r="BN17" s="212">
        <v>122.5</v>
      </c>
      <c r="BO17" s="60">
        <v>2.6220595475074399E-3</v>
      </c>
      <c r="BP17" s="172">
        <v>3.3349353219180096E-4</v>
      </c>
      <c r="BQ17" s="768"/>
      <c r="BR17" s="60">
        <v>81</v>
      </c>
      <c r="BS17" s="60">
        <v>1.02197369616344E-4</v>
      </c>
      <c r="BT17" s="60">
        <v>0.89004937273604401</v>
      </c>
      <c r="BU17" s="768"/>
      <c r="CI17" s="751"/>
      <c r="CJ17" s="688"/>
      <c r="CK17" s="59" t="s">
        <v>83</v>
      </c>
      <c r="CL17" s="212">
        <v>69</v>
      </c>
      <c r="CM17" s="60">
        <v>1.61246976619188E-3</v>
      </c>
      <c r="CN17" s="60">
        <v>2.0508620347352901E-4</v>
      </c>
      <c r="CO17" s="768"/>
      <c r="CP17" s="212">
        <v>23.5</v>
      </c>
      <c r="CQ17" s="234">
        <v>2.6919303374248799E-5</v>
      </c>
      <c r="CR17" s="60">
        <v>0.23655364467798701</v>
      </c>
      <c r="CS17" s="768"/>
      <c r="CU17" s="647"/>
      <c r="CV17" s="143" t="s">
        <v>211</v>
      </c>
      <c r="CW17" s="731"/>
      <c r="CX17" s="72">
        <v>38.5</v>
      </c>
      <c r="CY17">
        <v>5.23884364433014E-4</v>
      </c>
      <c r="CZ17" s="162">
        <v>6.1592875827499205E-5</v>
      </c>
      <c r="DA17" s="767"/>
      <c r="DB17" s="72">
        <v>45</v>
      </c>
      <c r="DC17" s="162">
        <v>5.62440943700911E-5</v>
      </c>
      <c r="DD17">
        <v>0.49186202151899</v>
      </c>
      <c r="DE17" s="767"/>
      <c r="DS17" s="665"/>
      <c r="DT17" s="686"/>
      <c r="DU17" t="s">
        <v>83</v>
      </c>
      <c r="DV17" s="72">
        <v>467</v>
      </c>
      <c r="DW17">
        <v>1.3822497817110899E-2</v>
      </c>
      <c r="DX17">
        <v>1.62510555663672E-3</v>
      </c>
      <c r="DY17" s="767"/>
      <c r="DZ17" s="72">
        <v>307.5</v>
      </c>
      <c r="EA17">
        <v>3.1338649523321302E-4</v>
      </c>
      <c r="EB17">
        <v>2.7277447310064198</v>
      </c>
      <c r="EC17" s="767"/>
    </row>
    <row r="18" spans="2:133" x14ac:dyDescent="0.25">
      <c r="N18" s="665"/>
      <c r="O18" s="681"/>
      <c r="P18" s="168" t="s">
        <v>83</v>
      </c>
      <c r="Q18">
        <v>152.5</v>
      </c>
      <c r="R18">
        <v>1.11281377699942E-2</v>
      </c>
      <c r="S18">
        <v>1.4153614368219701E-3</v>
      </c>
      <c r="T18" s="780"/>
      <c r="U18">
        <v>153</v>
      </c>
      <c r="V18">
        <v>1.5179655689692099E-4</v>
      </c>
      <c r="W18">
        <v>1.28732874178513</v>
      </c>
      <c r="X18" s="773"/>
      <c r="BC18">
        <v>10</v>
      </c>
      <c r="BK18" s="647"/>
      <c r="BL18" s="681" t="s">
        <v>238</v>
      </c>
      <c r="BM18" s="168" t="s">
        <v>94</v>
      </c>
      <c r="BN18" s="72">
        <v>199</v>
      </c>
      <c r="BO18">
        <v>4.0647915517699196E-3</v>
      </c>
      <c r="BP18">
        <v>5.1699119248141206E-4</v>
      </c>
      <c r="BQ18" s="770">
        <f>AVERAGE(BP18:BP22)</f>
        <v>7.2456705318123618E-4</v>
      </c>
      <c r="BR18">
        <v>406.5</v>
      </c>
      <c r="BS18">
        <v>5.1102410361783697E-4</v>
      </c>
      <c r="BT18">
        <v>4.4505713266940798</v>
      </c>
      <c r="BU18" s="770">
        <f>AVERAGE(BT18:BT22)</f>
        <v>4.9739103412475272</v>
      </c>
      <c r="CI18" s="751"/>
      <c r="CJ18" s="686" t="s">
        <v>86</v>
      </c>
      <c r="CK18" s="58" t="s">
        <v>80</v>
      </c>
      <c r="CL18" s="72">
        <v>53.5</v>
      </c>
      <c r="CM18">
        <v>1.2502482969748701E-3</v>
      </c>
      <c r="CN18">
        <v>1.5901611428744601E-4</v>
      </c>
      <c r="CO18" s="770">
        <f>AVERAGE(CN18:CN21)</f>
        <v>3.84165098535559E-4</v>
      </c>
      <c r="CP18" s="72">
        <v>16.5</v>
      </c>
      <c r="CQ18" s="162">
        <v>1.89007874755364E-5</v>
      </c>
      <c r="CR18">
        <v>0.166090856901565</v>
      </c>
      <c r="CS18" s="770">
        <f>AVERAGE(CR18:CR21)</f>
        <v>0.24410322908260351</v>
      </c>
      <c r="CU18" s="650"/>
      <c r="CV18" s="142" t="s">
        <v>212</v>
      </c>
      <c r="CW18" s="734"/>
      <c r="CX18" s="212">
        <v>164</v>
      </c>
      <c r="CY18" s="60">
        <v>2.2316113186237499E-3</v>
      </c>
      <c r="CZ18" s="60">
        <v>2.62369652875581E-4</v>
      </c>
      <c r="DA18" s="768"/>
      <c r="DB18" s="212">
        <v>148</v>
      </c>
      <c r="DC18" s="60">
        <v>1.84980577039411E-4</v>
      </c>
      <c r="DD18" s="60">
        <v>1.61767953744024</v>
      </c>
      <c r="DE18" s="768"/>
      <c r="DS18" s="665"/>
      <c r="DT18" s="686"/>
      <c r="DU18" t="s">
        <v>94</v>
      </c>
      <c r="DV18" s="72">
        <v>129</v>
      </c>
      <c r="DW18">
        <v>3.8182060351334198E-3</v>
      </c>
      <c r="DX18">
        <v>4.4890496104097903E-4</v>
      </c>
      <c r="DY18" s="767"/>
      <c r="DZ18" s="72">
        <v>50.5</v>
      </c>
      <c r="EA18" s="162">
        <v>5.1466725233422E-5</v>
      </c>
      <c r="EB18">
        <v>0.44797108590512003</v>
      </c>
      <c r="EC18" s="767"/>
    </row>
    <row r="19" spans="2:133" x14ac:dyDescent="0.25">
      <c r="N19" s="746"/>
      <c r="O19" s="682"/>
      <c r="P19" s="230" t="s">
        <v>94</v>
      </c>
      <c r="Q19" s="60">
        <v>164</v>
      </c>
      <c r="R19" s="60">
        <v>1.19673088149445E-2</v>
      </c>
      <c r="S19" s="172">
        <v>1.52209361074625E-3</v>
      </c>
      <c r="T19" s="781"/>
      <c r="U19" s="60">
        <v>203.5</v>
      </c>
      <c r="V19" s="60">
        <v>2.0189934201649299E-4</v>
      </c>
      <c r="W19" s="172">
        <v>1.71223136570767</v>
      </c>
      <c r="X19" s="774"/>
      <c r="BK19" s="647"/>
      <c r="BL19" s="681"/>
      <c r="BM19" s="168" t="s">
        <v>209</v>
      </c>
      <c r="BN19" s="72">
        <v>196</v>
      </c>
      <c r="BO19">
        <v>4.0035132871703702E-3</v>
      </c>
      <c r="BP19">
        <v>5.0919735540882799E-4</v>
      </c>
      <c r="BQ19" s="767"/>
      <c r="BR19">
        <v>363</v>
      </c>
      <c r="BS19">
        <v>4.5633886743733001E-4</v>
      </c>
      <c r="BT19">
        <v>3.9743109264205398</v>
      </c>
      <c r="BU19" s="767"/>
      <c r="CI19" s="751"/>
      <c r="CJ19" s="686"/>
      <c r="CK19" s="58" t="s">
        <v>79</v>
      </c>
      <c r="CL19" s="72">
        <v>133.5</v>
      </c>
      <c r="CM19">
        <v>3.1197784606755998E-3</v>
      </c>
      <c r="CN19">
        <v>3.96797219764001E-4</v>
      </c>
      <c r="CO19" s="767"/>
      <c r="CP19" s="72">
        <v>21</v>
      </c>
      <c r="CQ19" s="162">
        <v>2.4055547696137201E-5</v>
      </c>
      <c r="CR19">
        <v>0.211388363329265</v>
      </c>
      <c r="CS19" s="767"/>
      <c r="CU19" s="647" t="s">
        <v>298</v>
      </c>
      <c r="CV19" s="160" t="s">
        <v>80</v>
      </c>
      <c r="CW19" s="731" t="s">
        <v>301</v>
      </c>
      <c r="CX19" s="72">
        <v>96</v>
      </c>
      <c r="CY19">
        <v>1.8409849269359099E-3</v>
      </c>
      <c r="CZ19">
        <v>2.1644386376711499E-4</v>
      </c>
      <c r="DA19" s="770">
        <f>AVERAGE(CZ19:CZ23)</f>
        <v>2.4124472315709741E-4</v>
      </c>
      <c r="DB19" s="72">
        <v>54.5</v>
      </c>
      <c r="DC19" s="162">
        <v>7.3080252173802305E-5</v>
      </c>
      <c r="DD19">
        <v>0.63909644150015199</v>
      </c>
      <c r="DE19" s="770">
        <f>AVERAGE(DD19:DD23)</f>
        <v>0.746980611441461</v>
      </c>
      <c r="DS19" s="665"/>
      <c r="DT19" s="686"/>
      <c r="DU19" t="s">
        <v>209</v>
      </c>
      <c r="DV19" s="72">
        <v>81</v>
      </c>
      <c r="DW19">
        <v>2.3974782081070301E-3</v>
      </c>
      <c r="DX19">
        <v>2.81870556932708E-4</v>
      </c>
      <c r="DY19" s="767"/>
      <c r="DZ19" s="72">
        <v>42.5</v>
      </c>
      <c r="EA19" s="162">
        <v>4.3313580641988799E-5</v>
      </c>
      <c r="EB19">
        <v>0.37700536932609102</v>
      </c>
      <c r="EC19" s="767"/>
    </row>
    <row r="20" spans="2:133" x14ac:dyDescent="0.25">
      <c r="N20" s="665" t="s">
        <v>186</v>
      </c>
      <c r="O20" s="681" t="s">
        <v>187</v>
      </c>
      <c r="P20" s="168" t="s">
        <v>80</v>
      </c>
      <c r="Q20">
        <v>164.5</v>
      </c>
      <c r="R20">
        <v>6.8289847852709799E-3</v>
      </c>
      <c r="S20">
        <v>8.6856237022680301E-4</v>
      </c>
      <c r="T20" s="777">
        <f>AVERAGE(S20:S25)</f>
        <v>6.7892185271527683E-4</v>
      </c>
      <c r="U20">
        <v>220.5</v>
      </c>
      <c r="V20">
        <v>2.2757684330792499E-4</v>
      </c>
      <c r="W20">
        <v>1.9299924671806798</v>
      </c>
      <c r="X20" s="775">
        <f>AVERAGE(W20:W25)</f>
        <v>1.4055538489256147</v>
      </c>
      <c r="BK20" s="647"/>
      <c r="BL20" s="681"/>
      <c r="BM20" s="168" t="s">
        <v>210</v>
      </c>
      <c r="BN20" s="72">
        <v>322.5</v>
      </c>
      <c r="BO20">
        <v>6.5874134444512504E-3</v>
      </c>
      <c r="BP20">
        <v>8.3783748530279092E-4</v>
      </c>
      <c r="BQ20" s="767"/>
      <c r="BR20">
        <v>480.5</v>
      </c>
      <c r="BS20">
        <v>6.0405186171800899E-4</v>
      </c>
      <c r="BT20">
        <v>5.2607614329065298</v>
      </c>
      <c r="BU20" s="767"/>
      <c r="CI20" s="751"/>
      <c r="CJ20" s="686"/>
      <c r="CK20" s="58" t="s">
        <v>81</v>
      </c>
      <c r="CL20" s="72">
        <v>72</v>
      </c>
      <c r="CM20">
        <v>1.68257714733066E-3</v>
      </c>
      <c r="CN20">
        <v>2.1400299492889901E-4</v>
      </c>
      <c r="CO20" s="767"/>
      <c r="CP20" s="72">
        <v>23.5</v>
      </c>
      <c r="CQ20" s="162">
        <v>2.6919303374248799E-5</v>
      </c>
      <c r="CR20">
        <v>0.23655364467798701</v>
      </c>
      <c r="CS20" s="767"/>
      <c r="CU20" s="647"/>
      <c r="CV20" s="143" t="s">
        <v>79</v>
      </c>
      <c r="CW20" s="731"/>
      <c r="CX20" s="72">
        <v>117.5</v>
      </c>
      <c r="CY20">
        <v>2.2532888428642701E-3</v>
      </c>
      <c r="CZ20">
        <v>2.64918270756626E-4</v>
      </c>
      <c r="DA20" s="767"/>
      <c r="DB20" s="72">
        <v>81.5</v>
      </c>
      <c r="DC20">
        <v>1.09285147746145E-4</v>
      </c>
      <c r="DD20">
        <v>0.95571302719747497</v>
      </c>
      <c r="DE20" s="767"/>
      <c r="DS20" s="665"/>
      <c r="DT20" s="686"/>
      <c r="DU20" t="s">
        <v>210</v>
      </c>
      <c r="DV20" s="72">
        <v>152</v>
      </c>
      <c r="DW20">
        <v>4.4989714522502304E-3</v>
      </c>
      <c r="DX20">
        <v>5.2894227967619195E-4</v>
      </c>
      <c r="DY20" s="767"/>
      <c r="DZ20" s="72">
        <v>392.5</v>
      </c>
      <c r="EA20">
        <v>4.0001365651719099E-4</v>
      </c>
      <c r="EB20">
        <v>3.4817554696586002</v>
      </c>
      <c r="EC20" s="767"/>
    </row>
    <row r="21" spans="2:133" ht="15.75" thickBot="1" x14ac:dyDescent="0.3">
      <c r="N21" s="665"/>
      <c r="O21" s="681"/>
      <c r="P21" s="168" t="s">
        <v>79</v>
      </c>
      <c r="Q21">
        <v>135.5</v>
      </c>
      <c r="R21">
        <v>5.6250908109678902E-3</v>
      </c>
      <c r="S21">
        <v>7.1544195237526896E-4</v>
      </c>
      <c r="T21" s="777"/>
      <c r="U21">
        <v>181.5</v>
      </c>
      <c r="V21">
        <v>1.8732515673645499E-4</v>
      </c>
      <c r="W21">
        <v>1.5886332552983899</v>
      </c>
      <c r="X21" s="773"/>
      <c r="BK21" s="647"/>
      <c r="BL21" s="681"/>
      <c r="BM21" s="168" t="s">
        <v>211</v>
      </c>
      <c r="BN21" s="72">
        <v>458</v>
      </c>
      <c r="BO21">
        <v>9.3551483955307702E-3</v>
      </c>
      <c r="BP21">
        <v>1.1898591264145101E-3</v>
      </c>
      <c r="BQ21" s="767"/>
      <c r="BR21">
        <v>611.5</v>
      </c>
      <c r="BS21">
        <v>7.6873613619263801E-4</v>
      </c>
      <c r="BT21">
        <v>6.6950168912015497</v>
      </c>
      <c r="BU21" s="767"/>
      <c r="CI21" s="791"/>
      <c r="CJ21" s="687"/>
      <c r="CK21" s="56" t="s">
        <v>82</v>
      </c>
      <c r="CL21" s="73">
        <v>258</v>
      </c>
      <c r="CM21" s="2">
        <v>6.0292347779348698E-3</v>
      </c>
      <c r="CN21" s="2">
        <v>7.6684406516189002E-4</v>
      </c>
      <c r="CO21" s="769"/>
      <c r="CP21" s="73">
        <v>36</v>
      </c>
      <c r="CQ21" s="163">
        <v>4.1238081764806603E-5</v>
      </c>
      <c r="CR21" s="2">
        <v>0.36238005142159702</v>
      </c>
      <c r="CS21" s="769"/>
      <c r="CU21" s="647"/>
      <c r="CV21" s="143" t="s">
        <v>81</v>
      </c>
      <c r="CW21" s="731"/>
      <c r="CX21" s="72">
        <v>114</v>
      </c>
      <c r="CY21">
        <v>2.1861696007363898E-3</v>
      </c>
      <c r="CZ21">
        <v>2.5702708822344998E-4</v>
      </c>
      <c r="DA21" s="767"/>
      <c r="DB21" s="72">
        <v>86.5</v>
      </c>
      <c r="DC21">
        <v>1.1598975803731899E-4</v>
      </c>
      <c r="DD21">
        <v>1.0143457282525301</v>
      </c>
      <c r="DE21" s="767"/>
      <c r="DS21" s="665"/>
      <c r="DT21" s="686"/>
      <c r="DU21" t="s">
        <v>211</v>
      </c>
      <c r="DV21" s="72">
        <v>128</v>
      </c>
      <c r="DW21">
        <v>3.7886075387370301E-3</v>
      </c>
      <c r="DX21">
        <v>4.45425077622057E-4</v>
      </c>
      <c r="DY21" s="767"/>
      <c r="DZ21" s="72">
        <v>486</v>
      </c>
      <c r="EA21">
        <v>4.9530353392956603E-4</v>
      </c>
      <c r="EB21">
        <v>4.3111672821760001</v>
      </c>
      <c r="EC21" s="767"/>
    </row>
    <row r="22" spans="2:133" ht="15.75" thickBot="1" x14ac:dyDescent="0.3">
      <c r="N22" s="665"/>
      <c r="O22" s="681"/>
      <c r="P22" s="168" t="s">
        <v>81</v>
      </c>
      <c r="Q22">
        <v>127.5</v>
      </c>
      <c r="R22">
        <v>5.2929821284015202E-3</v>
      </c>
      <c r="S22">
        <v>6.7320183710588006E-4</v>
      </c>
      <c r="T22" s="777"/>
      <c r="U22">
        <v>169.5</v>
      </c>
      <c r="V22">
        <v>1.74940022406772E-4</v>
      </c>
      <c r="W22">
        <v>1.48359965164229</v>
      </c>
      <c r="X22" s="773"/>
      <c r="BK22" s="648"/>
      <c r="BL22" s="684"/>
      <c r="BM22" s="170" t="s">
        <v>212</v>
      </c>
      <c r="BN22" s="73">
        <v>219</v>
      </c>
      <c r="BO22" s="2">
        <v>4.4733133157669001E-3</v>
      </c>
      <c r="BP22" s="2">
        <v>5.6895010629864006E-4</v>
      </c>
      <c r="BQ22" s="769"/>
      <c r="BR22" s="2">
        <v>410</v>
      </c>
      <c r="BS22" s="2">
        <v>5.1542406514960197E-4</v>
      </c>
      <c r="BT22" s="2">
        <v>4.4888911290149398</v>
      </c>
      <c r="BU22" s="769"/>
      <c r="CU22" s="647"/>
      <c r="CV22" s="143" t="s">
        <v>82</v>
      </c>
      <c r="CW22" s="731"/>
      <c r="CX22" s="72">
        <v>96.5</v>
      </c>
      <c r="CY22">
        <v>1.8505733900970401E-3</v>
      </c>
      <c r="CZ22">
        <v>2.1757117555756901E-4</v>
      </c>
      <c r="DA22" s="767"/>
      <c r="DB22" s="72">
        <v>47</v>
      </c>
      <c r="DC22" s="162">
        <v>6.3023336737040497E-5</v>
      </c>
      <c r="DD22">
        <v>0.55114738991756196</v>
      </c>
      <c r="DE22" s="767"/>
      <c r="DS22" s="666"/>
      <c r="DT22" s="687"/>
      <c r="DU22" s="2" t="s">
        <v>212</v>
      </c>
      <c r="DV22" s="73">
        <v>138.5</v>
      </c>
      <c r="DW22" s="2">
        <v>4.0993917508990504E-3</v>
      </c>
      <c r="DX22" s="2">
        <v>4.8196385352074098E-4</v>
      </c>
      <c r="DY22" s="769"/>
      <c r="DZ22" s="73">
        <v>293.5</v>
      </c>
      <c r="EA22" s="2">
        <v>2.9911849219820501E-4</v>
      </c>
      <c r="EB22" s="2">
        <v>2.6035547269931198</v>
      </c>
      <c r="EC22" s="769"/>
    </row>
    <row r="23" spans="2:133" x14ac:dyDescent="0.25">
      <c r="N23" s="665"/>
      <c r="O23" s="681"/>
      <c r="P23" s="168" t="s">
        <v>82</v>
      </c>
      <c r="Q23">
        <v>101.5</v>
      </c>
      <c r="R23">
        <v>4.2136289100608198E-3</v>
      </c>
      <c r="S23">
        <v>5.3592146248036799E-4</v>
      </c>
      <c r="T23" s="777"/>
      <c r="U23">
        <v>177</v>
      </c>
      <c r="V23">
        <v>1.8268073136282399E-4</v>
      </c>
      <c r="W23">
        <v>1.54924565392735</v>
      </c>
      <c r="X23" s="773"/>
      <c r="CU23" s="647"/>
      <c r="CV23" s="142" t="s">
        <v>83</v>
      </c>
      <c r="CW23" s="734"/>
      <c r="CX23" s="212">
        <v>111</v>
      </c>
      <c r="CY23" s="60">
        <v>2.1286388217696501E-3</v>
      </c>
      <c r="CZ23" s="60">
        <v>2.5026321748072698E-4</v>
      </c>
      <c r="DA23" s="768"/>
      <c r="DB23" s="212">
        <v>49</v>
      </c>
      <c r="DC23" s="234">
        <v>6.5705180853510304E-5</v>
      </c>
      <c r="DD23" s="60">
        <v>0.57460047033958594</v>
      </c>
      <c r="DE23" s="768"/>
    </row>
    <row r="24" spans="2:133" x14ac:dyDescent="0.25">
      <c r="I24" s="162"/>
      <c r="K24" s="162"/>
      <c r="N24" s="665"/>
      <c r="O24" s="681"/>
      <c r="P24" s="168" t="s">
        <v>83</v>
      </c>
      <c r="Q24">
        <v>137</v>
      </c>
      <c r="R24">
        <v>5.6873611889490796E-3</v>
      </c>
      <c r="S24">
        <v>7.2336197398827897E-4</v>
      </c>
      <c r="T24" s="777"/>
      <c r="U24">
        <v>134</v>
      </c>
      <c r="V24">
        <v>1.3830066668146001E-4</v>
      </c>
      <c r="W24">
        <v>1.1728752408263601</v>
      </c>
      <c r="X24" s="773"/>
      <c r="CU24" s="647"/>
      <c r="CV24" s="143" t="s">
        <v>94</v>
      </c>
      <c r="CW24" s="731" t="s">
        <v>302</v>
      </c>
      <c r="CX24" s="72">
        <v>98</v>
      </c>
      <c r="CY24">
        <v>1.64528910079914E-3</v>
      </c>
      <c r="CZ24">
        <v>1.93435983521926E-4</v>
      </c>
      <c r="DA24" s="770">
        <f>AVERAGE(CZ24:CZ28)</f>
        <v>6.3952304756228608E-5</v>
      </c>
      <c r="DB24" s="72">
        <v>43.5</v>
      </c>
      <c r="DC24" s="162">
        <v>5.8974094781538298E-5</v>
      </c>
      <c r="DD24">
        <v>0.51573623509040001</v>
      </c>
      <c r="DE24" s="770">
        <f>AVERAGE(DD24:DD28)</f>
        <v>0.21933609998097481</v>
      </c>
    </row>
    <row r="25" spans="2:133" ht="15.75" thickBot="1" x14ac:dyDescent="0.3">
      <c r="I25" s="162"/>
      <c r="K25" s="162"/>
      <c r="L25" s="162"/>
      <c r="N25" s="666"/>
      <c r="O25" s="684"/>
      <c r="P25" s="170" t="s">
        <v>94</v>
      </c>
      <c r="Q25" s="2">
        <v>105.5</v>
      </c>
      <c r="R25" s="2">
        <v>4.379683251344E-3</v>
      </c>
      <c r="S25" s="2">
        <v>5.57041520115062E-4</v>
      </c>
      <c r="T25" s="778"/>
      <c r="U25" s="2">
        <v>81</v>
      </c>
      <c r="V25" s="163">
        <v>8.3599656725360207E-5</v>
      </c>
      <c r="W25" s="2">
        <v>0.708976824678619</v>
      </c>
      <c r="X25" s="776"/>
      <c r="CU25" s="647"/>
      <c r="CV25" s="143" t="s">
        <v>209</v>
      </c>
      <c r="CW25" s="731"/>
      <c r="CX25" s="72">
        <v>23</v>
      </c>
      <c r="CY25">
        <v>3.8613927875898201E-4</v>
      </c>
      <c r="CZ25" s="162">
        <v>4.5398241030656102E-5</v>
      </c>
      <c r="DA25" s="767"/>
      <c r="DB25" s="72">
        <v>9.5</v>
      </c>
      <c r="DC25" s="162">
        <v>1.28794000097612E-5</v>
      </c>
      <c r="DD25">
        <v>0.112632051341582</v>
      </c>
      <c r="DE25" s="767"/>
    </row>
    <row r="26" spans="2:133" x14ac:dyDescent="0.25">
      <c r="I26" s="162"/>
      <c r="K26" s="162"/>
      <c r="BP26">
        <v>10</v>
      </c>
      <c r="CU26" s="647"/>
      <c r="CV26" s="143" t="s">
        <v>210</v>
      </c>
      <c r="CW26" s="731"/>
      <c r="CX26" s="72">
        <v>18.5</v>
      </c>
      <c r="CY26">
        <v>3.1059028943657201E-4</v>
      </c>
      <c r="CZ26" s="162">
        <v>3.6515976481179897E-5</v>
      </c>
      <c r="DA26" s="767"/>
      <c r="DB26" s="72">
        <v>15</v>
      </c>
      <c r="DC26" s="162">
        <v>2.0335894752254599E-5</v>
      </c>
      <c r="DD26">
        <v>0.17784008106565499</v>
      </c>
      <c r="DE26" s="767"/>
    </row>
    <row r="27" spans="2:133" x14ac:dyDescent="0.25">
      <c r="I27" s="162"/>
      <c r="CU27" s="647"/>
      <c r="CV27" s="143" t="s">
        <v>211</v>
      </c>
      <c r="CW27" s="731"/>
      <c r="CX27" s="72">
        <v>11.5</v>
      </c>
      <c r="CY27">
        <v>1.9306963937949101E-4</v>
      </c>
      <c r="CZ27" s="162">
        <v>2.2699120515328102E-5</v>
      </c>
      <c r="DA27" s="767"/>
      <c r="DB27" s="72">
        <v>13</v>
      </c>
      <c r="DC27" s="162">
        <v>1.76244421186206E-5</v>
      </c>
      <c r="DD27">
        <v>0.15412807025690101</v>
      </c>
      <c r="DE27" s="767"/>
    </row>
    <row r="28" spans="2:133" ht="15.75" thickBot="1" x14ac:dyDescent="0.3">
      <c r="I28" s="162"/>
      <c r="K28" s="162"/>
      <c r="CU28" s="648"/>
      <c r="CV28" s="144" t="s">
        <v>212</v>
      </c>
      <c r="CW28" s="732"/>
      <c r="CX28" s="73">
        <v>11</v>
      </c>
      <c r="CY28" s="2">
        <v>1.84675307232557E-4</v>
      </c>
      <c r="CZ28" s="163">
        <v>2.17122022320529E-5</v>
      </c>
      <c r="DA28" s="769"/>
      <c r="DB28" s="73">
        <v>11.5</v>
      </c>
      <c r="DC28" s="163">
        <v>1.5590852643395201E-5</v>
      </c>
      <c r="DD28" s="2">
        <v>0.13634406215033601</v>
      </c>
      <c r="DE28" s="769"/>
    </row>
    <row r="29" spans="2:133" x14ac:dyDescent="0.25">
      <c r="I29" s="162"/>
      <c r="K29" s="162"/>
    </row>
    <row r="30" spans="2:133" x14ac:dyDescent="0.25">
      <c r="I30" s="162"/>
      <c r="AB30" s="162"/>
      <c r="AD30" s="162"/>
    </row>
    <row r="31" spans="2:133" x14ac:dyDescent="0.25">
      <c r="I31" s="162"/>
      <c r="K31" s="162"/>
      <c r="AB31" s="162"/>
      <c r="AD31" s="162"/>
    </row>
    <row r="32" spans="2:133" x14ac:dyDescent="0.25">
      <c r="I32" s="162"/>
      <c r="AB32" s="162"/>
      <c r="AD32" s="162"/>
    </row>
    <row r="33" spans="9:30" x14ac:dyDescent="0.25">
      <c r="I33" s="162"/>
      <c r="AB33" s="162"/>
    </row>
    <row r="34" spans="9:30" x14ac:dyDescent="0.25">
      <c r="I34" s="162"/>
      <c r="K34" s="162"/>
      <c r="AB34" s="162"/>
      <c r="AD34" s="162"/>
    </row>
    <row r="35" spans="9:30" x14ac:dyDescent="0.25">
      <c r="AB35" s="162"/>
      <c r="AD35" s="162"/>
    </row>
    <row r="36" spans="9:30" x14ac:dyDescent="0.25">
      <c r="K36" s="162"/>
      <c r="AB36" s="162"/>
    </row>
    <row r="37" spans="9:30" x14ac:dyDescent="0.25">
      <c r="K37" s="162"/>
      <c r="AB37" s="162"/>
    </row>
    <row r="41" spans="9:30" x14ac:dyDescent="0.25">
      <c r="I41" s="162"/>
    </row>
    <row r="42" spans="9:30" x14ac:dyDescent="0.25">
      <c r="I42" s="162"/>
    </row>
    <row r="43" spans="9:30" x14ac:dyDescent="0.25">
      <c r="I43" s="162"/>
    </row>
    <row r="44" spans="9:30" x14ac:dyDescent="0.25">
      <c r="I44" s="162"/>
    </row>
    <row r="45" spans="9:30" x14ac:dyDescent="0.25">
      <c r="I45" s="162"/>
    </row>
    <row r="46" spans="9:30" x14ac:dyDescent="0.25">
      <c r="I46" s="162"/>
      <c r="K46" s="162"/>
    </row>
  </sheetData>
  <mergeCells count="131">
    <mergeCell ref="EE3:EE12"/>
    <mergeCell ref="EF3:EF12"/>
    <mergeCell ref="EK3:EK12"/>
    <mergeCell ref="EO3:EO12"/>
    <mergeCell ref="DA24:DA28"/>
    <mergeCell ref="DE9:DE13"/>
    <mergeCell ref="DE19:DE23"/>
    <mergeCell ref="DE14:DE18"/>
    <mergeCell ref="DE24:DE28"/>
    <mergeCell ref="DA9:DA13"/>
    <mergeCell ref="DA3:DA8"/>
    <mergeCell ref="DE3:DE8"/>
    <mergeCell ref="DA14:DA18"/>
    <mergeCell ref="DA19:DA23"/>
    <mergeCell ref="DT3:DT12"/>
    <mergeCell ref="DT13:DT22"/>
    <mergeCell ref="DS13:DS22"/>
    <mergeCell ref="DS3:DS12"/>
    <mergeCell ref="EC13:EC22"/>
    <mergeCell ref="EC3:EC12"/>
    <mergeCell ref="DY13:DY22"/>
    <mergeCell ref="DY3:DY12"/>
    <mergeCell ref="DG3:DG12"/>
    <mergeCell ref="DH3:DH7"/>
    <mergeCell ref="CU19:CU28"/>
    <mergeCell ref="CW19:CW23"/>
    <mergeCell ref="CW24:CW28"/>
    <mergeCell ref="CU3:CU8"/>
    <mergeCell ref="CC3:CC7"/>
    <mergeCell ref="CC8:CC13"/>
    <mergeCell ref="CG3:CG7"/>
    <mergeCell ref="CG8:CG13"/>
    <mergeCell ref="CI3:CI12"/>
    <mergeCell ref="CJ3:CJ7"/>
    <mergeCell ref="CJ8:CJ12"/>
    <mergeCell ref="CI13:CI21"/>
    <mergeCell ref="CJ13:CJ17"/>
    <mergeCell ref="CJ18:CJ21"/>
    <mergeCell ref="CO18:CO21"/>
    <mergeCell ref="CS18:CS21"/>
    <mergeCell ref="CO3:CO7"/>
    <mergeCell ref="CS3:CS7"/>
    <mergeCell ref="CS8:CS12"/>
    <mergeCell ref="CO8:CO12"/>
    <mergeCell ref="CO13:CO17"/>
    <mergeCell ref="CS13:CS17"/>
    <mergeCell ref="CW3:CW8"/>
    <mergeCell ref="CU9:CU18"/>
    <mergeCell ref="BX8:BX13"/>
    <mergeCell ref="BU3:BU7"/>
    <mergeCell ref="BU8:BU12"/>
    <mergeCell ref="BU13:BU17"/>
    <mergeCell ref="BU18:BU22"/>
    <mergeCell ref="BQ18:BQ22"/>
    <mergeCell ref="BQ13:BQ17"/>
    <mergeCell ref="BQ8:BQ12"/>
    <mergeCell ref="BQ3:BQ7"/>
    <mergeCell ref="BW3:BW7"/>
    <mergeCell ref="BX3:BX7"/>
    <mergeCell ref="BW8:BW13"/>
    <mergeCell ref="Z3:Z5"/>
    <mergeCell ref="AF6:AF10"/>
    <mergeCell ref="AF3:AF5"/>
    <mergeCell ref="AJ3:AJ5"/>
    <mergeCell ref="AJ6:AJ10"/>
    <mergeCell ref="AL1:AV1"/>
    <mergeCell ref="AL3:AL9"/>
    <mergeCell ref="AM3:AM7"/>
    <mergeCell ref="AM8:AM9"/>
    <mergeCell ref="AL10:AL14"/>
    <mergeCell ref="AM10:AM14"/>
    <mergeCell ref="AR3:AR7"/>
    <mergeCell ref="AV3:AV7"/>
    <mergeCell ref="AR8:AR9"/>
    <mergeCell ref="Z1:AJ1"/>
    <mergeCell ref="AA3:AA5"/>
    <mergeCell ref="AA6:AA10"/>
    <mergeCell ref="Z6:Z10"/>
    <mergeCell ref="C4:C8"/>
    <mergeCell ref="C9:C13"/>
    <mergeCell ref="C14:C17"/>
    <mergeCell ref="B4:B8"/>
    <mergeCell ref="B9:B13"/>
    <mergeCell ref="B14:B17"/>
    <mergeCell ref="L14:L17"/>
    <mergeCell ref="L9:L13"/>
    <mergeCell ref="L4:L8"/>
    <mergeCell ref="H14:H17"/>
    <mergeCell ref="H9:H13"/>
    <mergeCell ref="H4:H8"/>
    <mergeCell ref="N1:X1"/>
    <mergeCell ref="N20:N25"/>
    <mergeCell ref="O20:O25"/>
    <mergeCell ref="X3:X7"/>
    <mergeCell ref="X8:X13"/>
    <mergeCell ref="X14:X19"/>
    <mergeCell ref="X20:X25"/>
    <mergeCell ref="T20:T25"/>
    <mergeCell ref="T14:T19"/>
    <mergeCell ref="T8:T13"/>
    <mergeCell ref="T3:T7"/>
    <mergeCell ref="N3:N7"/>
    <mergeCell ref="O3:O7"/>
    <mergeCell ref="N8:N13"/>
    <mergeCell ref="O8:O13"/>
    <mergeCell ref="N14:N19"/>
    <mergeCell ref="O14:O19"/>
    <mergeCell ref="DH8:DH12"/>
    <mergeCell ref="DM3:DM7"/>
    <mergeCell ref="DM8:DM12"/>
    <mergeCell ref="DQ3:DQ7"/>
    <mergeCell ref="DQ8:DQ12"/>
    <mergeCell ref="CW9:CW13"/>
    <mergeCell ref="CW14:CW18"/>
    <mergeCell ref="AV8:AV9"/>
    <mergeCell ref="AR10:AR14"/>
    <mergeCell ref="AV10:AV14"/>
    <mergeCell ref="AY3:AY6"/>
    <mergeCell ref="AY7:AY11"/>
    <mergeCell ref="AX7:AX11"/>
    <mergeCell ref="AX3:AX6"/>
    <mergeCell ref="BH7:BH11"/>
    <mergeCell ref="BH3:BH6"/>
    <mergeCell ref="BD3:BD6"/>
    <mergeCell ref="BD7:BD11"/>
    <mergeCell ref="BK3:BK12"/>
    <mergeCell ref="BL3:BL7"/>
    <mergeCell ref="BL8:BL12"/>
    <mergeCell ref="BK13:BK22"/>
    <mergeCell ref="BL13:BL17"/>
    <mergeCell ref="BL18:BL22"/>
  </mergeCells>
  <phoneticPr fontId="7" type="noConversion"/>
  <hyperlinks>
    <hyperlink ref="A1" location="'Table of Contents'!A1" display="Table of Contents" xr:uid="{91B80BC3-C1C7-4F1A-BA7C-1F787ED255D0}"/>
  </hyperlink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4C41-52FA-465E-BE5A-677F588505F9}">
  <dimension ref="B1:AC99"/>
  <sheetViews>
    <sheetView topLeftCell="A24" workbookViewId="0">
      <selection activeCell="T40" sqref="T40:T49"/>
    </sheetView>
  </sheetViews>
  <sheetFormatPr defaultRowHeight="15" x14ac:dyDescent="0.25"/>
  <cols>
    <col min="2" max="2" width="10.85546875" customWidth="1"/>
    <col min="3" max="3" width="10.140625" customWidth="1"/>
    <col min="7" max="7" width="11.7109375" customWidth="1"/>
    <col min="9" max="9" width="12.42578125" customWidth="1"/>
    <col min="17" max="17" width="12" customWidth="1"/>
    <col min="18" max="18" width="12.5703125" bestFit="1" customWidth="1"/>
    <col min="21" max="21" width="11" customWidth="1"/>
    <col min="26" max="26" width="11.140625" customWidth="1"/>
    <col min="27" max="27" width="12.7109375" customWidth="1"/>
    <col min="28" max="28" width="12" bestFit="1" customWidth="1"/>
  </cols>
  <sheetData>
    <row r="1" spans="2:15" ht="15.75" thickBot="1" x14ac:dyDescent="0.3"/>
    <row r="2" spans="2:15" x14ac:dyDescent="0.25">
      <c r="B2" s="672" t="s">
        <v>356</v>
      </c>
      <c r="C2" s="150"/>
      <c r="D2" s="132">
        <v>1</v>
      </c>
      <c r="E2" s="132">
        <v>2</v>
      </c>
      <c r="F2" s="132">
        <v>3</v>
      </c>
      <c r="G2" s="132">
        <v>4</v>
      </c>
      <c r="H2" s="132">
        <v>5</v>
      </c>
      <c r="I2" s="132">
        <v>6</v>
      </c>
      <c r="J2" s="132">
        <v>7</v>
      </c>
      <c r="K2" s="132">
        <v>8</v>
      </c>
      <c r="L2" s="132">
        <v>9</v>
      </c>
      <c r="M2" s="132">
        <v>10</v>
      </c>
      <c r="N2" s="132">
        <v>11</v>
      </c>
      <c r="O2" s="133">
        <v>12</v>
      </c>
    </row>
    <row r="3" spans="2:15" x14ac:dyDescent="0.25">
      <c r="B3" s="679"/>
      <c r="C3" s="122" t="s">
        <v>44</v>
      </c>
      <c r="D3" s="18">
        <v>17540</v>
      </c>
      <c r="E3" s="18">
        <v>17895</v>
      </c>
      <c r="F3" s="18">
        <v>31151</v>
      </c>
      <c r="G3" s="18">
        <v>34050</v>
      </c>
      <c r="H3" s="18">
        <v>36722</v>
      </c>
      <c r="I3" s="18">
        <v>36016</v>
      </c>
      <c r="J3" s="18">
        <v>35345</v>
      </c>
      <c r="K3" s="18">
        <v>34341</v>
      </c>
      <c r="L3" s="120">
        <v>51965</v>
      </c>
      <c r="M3" s="120">
        <v>54899</v>
      </c>
      <c r="N3" s="18">
        <v>34766</v>
      </c>
      <c r="O3" s="39">
        <v>31449</v>
      </c>
    </row>
    <row r="4" spans="2:15" x14ac:dyDescent="0.25">
      <c r="B4" s="679"/>
      <c r="C4" s="122" t="s">
        <v>45</v>
      </c>
      <c r="D4" s="18">
        <v>33548</v>
      </c>
      <c r="E4" s="18">
        <v>34770</v>
      </c>
      <c r="F4" s="18">
        <v>47972</v>
      </c>
      <c r="G4" s="120">
        <v>58125</v>
      </c>
      <c r="H4" s="18">
        <v>28549</v>
      </c>
      <c r="I4" s="18">
        <v>31057</v>
      </c>
      <c r="J4" s="18">
        <v>41890</v>
      </c>
      <c r="K4" s="18">
        <v>44873</v>
      </c>
      <c r="L4" s="18">
        <v>41246</v>
      </c>
      <c r="M4" s="18">
        <v>37201</v>
      </c>
      <c r="N4" s="18">
        <v>36416</v>
      </c>
      <c r="O4" s="39">
        <v>32130</v>
      </c>
    </row>
    <row r="5" spans="2:15" x14ac:dyDescent="0.25">
      <c r="B5" s="679"/>
      <c r="C5" s="122" t="s">
        <v>46</v>
      </c>
      <c r="D5" s="18">
        <v>46771</v>
      </c>
      <c r="E5" s="18">
        <v>47318</v>
      </c>
      <c r="F5" s="18">
        <v>30012</v>
      </c>
      <c r="G5" s="18">
        <v>29813</v>
      </c>
      <c r="H5" s="18">
        <v>41937</v>
      </c>
      <c r="I5" s="18">
        <v>42625</v>
      </c>
      <c r="J5" s="120">
        <v>53139</v>
      </c>
      <c r="K5" s="120">
        <v>51314</v>
      </c>
      <c r="L5" s="18">
        <v>38307</v>
      </c>
      <c r="M5" s="18">
        <v>39085</v>
      </c>
      <c r="N5" s="18">
        <v>31704</v>
      </c>
      <c r="O5" s="39">
        <v>25401</v>
      </c>
    </row>
    <row r="6" spans="2:15" x14ac:dyDescent="0.25">
      <c r="B6" s="679"/>
      <c r="C6" s="122" t="s">
        <v>47</v>
      </c>
      <c r="D6" s="120">
        <v>69760</v>
      </c>
      <c r="E6" s="120">
        <v>72493</v>
      </c>
      <c r="F6" s="18">
        <v>32118</v>
      </c>
      <c r="G6" s="18">
        <v>32767</v>
      </c>
      <c r="H6" s="18">
        <v>30360</v>
      </c>
      <c r="I6" s="18">
        <v>30797</v>
      </c>
      <c r="J6" s="18">
        <v>33458</v>
      </c>
      <c r="K6" s="18">
        <v>32568</v>
      </c>
      <c r="L6" s="18">
        <v>35962</v>
      </c>
      <c r="M6" s="18">
        <v>36611</v>
      </c>
      <c r="N6" s="18">
        <v>30941</v>
      </c>
      <c r="O6" s="39">
        <v>22172</v>
      </c>
    </row>
    <row r="7" spans="2:15" x14ac:dyDescent="0.25">
      <c r="B7" s="679"/>
      <c r="C7" s="122" t="s">
        <v>48</v>
      </c>
      <c r="D7" s="17">
        <v>116311</v>
      </c>
      <c r="E7" s="17">
        <v>119470</v>
      </c>
      <c r="F7" s="18">
        <v>25142</v>
      </c>
      <c r="G7" s="18">
        <v>25039</v>
      </c>
      <c r="H7" s="18">
        <v>25093</v>
      </c>
      <c r="I7" s="18">
        <v>26569</v>
      </c>
      <c r="J7" s="18">
        <v>43621</v>
      </c>
      <c r="K7" s="18">
        <v>42137</v>
      </c>
      <c r="L7" s="18">
        <v>32251</v>
      </c>
      <c r="M7" s="18">
        <v>33120</v>
      </c>
      <c r="N7" s="18">
        <v>29526</v>
      </c>
      <c r="O7" s="39">
        <v>28135</v>
      </c>
    </row>
    <row r="8" spans="2:15" x14ac:dyDescent="0.25">
      <c r="B8" s="679"/>
      <c r="C8" s="122" t="s">
        <v>49</v>
      </c>
      <c r="D8" s="82">
        <v>216206</v>
      </c>
      <c r="E8" s="82">
        <v>216104</v>
      </c>
      <c r="F8" s="18">
        <v>25329</v>
      </c>
      <c r="G8" s="18">
        <v>25895</v>
      </c>
      <c r="H8" s="18">
        <v>32312</v>
      </c>
      <c r="I8" s="18">
        <v>30995</v>
      </c>
      <c r="J8" s="18">
        <v>33854</v>
      </c>
      <c r="K8" s="18">
        <v>33859</v>
      </c>
      <c r="L8" s="18">
        <v>31983</v>
      </c>
      <c r="M8" s="18">
        <v>32581</v>
      </c>
      <c r="N8" s="18">
        <v>30</v>
      </c>
      <c r="O8" s="39">
        <v>35</v>
      </c>
    </row>
    <row r="9" spans="2:15" x14ac:dyDescent="0.25">
      <c r="B9" s="679"/>
      <c r="C9" s="122" t="s">
        <v>50</v>
      </c>
      <c r="D9" s="121">
        <v>349177</v>
      </c>
      <c r="E9" s="19">
        <v>369544</v>
      </c>
      <c r="F9" s="18">
        <v>26391</v>
      </c>
      <c r="G9" s="18">
        <v>25333</v>
      </c>
      <c r="H9" s="18">
        <v>35947</v>
      </c>
      <c r="I9" s="18">
        <v>35993</v>
      </c>
      <c r="J9" s="18">
        <v>38979</v>
      </c>
      <c r="K9" s="18">
        <v>39134</v>
      </c>
      <c r="L9" s="18">
        <v>32394</v>
      </c>
      <c r="M9" s="18">
        <v>31442</v>
      </c>
      <c r="N9" s="18">
        <v>28</v>
      </c>
      <c r="O9" s="39">
        <v>28</v>
      </c>
    </row>
    <row r="10" spans="2:15" ht="15.75" thickBot="1" x14ac:dyDescent="0.3">
      <c r="B10" s="673"/>
      <c r="C10" s="123" t="s">
        <v>51</v>
      </c>
      <c r="D10" s="152">
        <v>678370</v>
      </c>
      <c r="E10" s="152">
        <v>698557</v>
      </c>
      <c r="F10" s="40">
        <v>27132</v>
      </c>
      <c r="G10" s="40">
        <v>25568</v>
      </c>
      <c r="H10" s="40">
        <v>34954</v>
      </c>
      <c r="I10" s="40">
        <v>35871</v>
      </c>
      <c r="J10" s="40">
        <v>38892</v>
      </c>
      <c r="K10" s="40">
        <v>37220</v>
      </c>
      <c r="L10" s="40">
        <v>32712</v>
      </c>
      <c r="M10" s="40">
        <v>34029</v>
      </c>
      <c r="N10" s="40">
        <v>29</v>
      </c>
      <c r="O10" s="41">
        <v>33</v>
      </c>
    </row>
    <row r="11" spans="2:15" x14ac:dyDescent="0.25">
      <c r="B11" s="706" t="s">
        <v>117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25"/>
    </row>
    <row r="12" spans="2:15" x14ac:dyDescent="0.25">
      <c r="B12" s="707"/>
      <c r="C12">
        <f>AVERAGE(D3:E3)-$O$16</f>
        <v>0</v>
      </c>
      <c r="D12">
        <v>0</v>
      </c>
      <c r="O12" s="27"/>
    </row>
    <row r="13" spans="2:15" x14ac:dyDescent="0.25">
      <c r="B13" s="707"/>
      <c r="C13">
        <f t="shared" ref="C13:C19" si="0">AVERAGE(D4:E4)-$O$16</f>
        <v>16441.5</v>
      </c>
      <c r="D13">
        <v>3.9E-2</v>
      </c>
      <c r="O13" s="27"/>
    </row>
    <row r="14" spans="2:15" x14ac:dyDescent="0.25">
      <c r="B14" s="707"/>
      <c r="C14">
        <f t="shared" si="0"/>
        <v>29327</v>
      </c>
      <c r="D14">
        <v>7.8E-2</v>
      </c>
      <c r="O14" s="27"/>
    </row>
    <row r="15" spans="2:15" x14ac:dyDescent="0.25">
      <c r="B15" s="707"/>
      <c r="C15">
        <f t="shared" si="0"/>
        <v>53409</v>
      </c>
      <c r="D15">
        <v>0.156</v>
      </c>
      <c r="O15" s="27">
        <v>0</v>
      </c>
    </row>
    <row r="16" spans="2:15" x14ac:dyDescent="0.25">
      <c r="B16" s="707"/>
      <c r="C16">
        <f t="shared" si="0"/>
        <v>100173</v>
      </c>
      <c r="D16">
        <v>0.3125</v>
      </c>
      <c r="O16" s="27">
        <f>AVERAGE(D3:E3)</f>
        <v>17717.5</v>
      </c>
    </row>
    <row r="17" spans="2:18" x14ac:dyDescent="0.25">
      <c r="B17" s="707"/>
      <c r="D17">
        <v>0.625</v>
      </c>
      <c r="O17" s="27"/>
    </row>
    <row r="18" spans="2:18" x14ac:dyDescent="0.25">
      <c r="B18" s="707"/>
      <c r="C18">
        <f t="shared" si="0"/>
        <v>341643</v>
      </c>
      <c r="D18">
        <v>1.25</v>
      </c>
      <c r="O18" s="27"/>
    </row>
    <row r="19" spans="2:18" x14ac:dyDescent="0.25">
      <c r="B19" s="707"/>
      <c r="C19">
        <f t="shared" si="0"/>
        <v>670746</v>
      </c>
      <c r="D19">
        <v>2.5</v>
      </c>
      <c r="O19" s="27"/>
    </row>
    <row r="20" spans="2:18" x14ac:dyDescent="0.25">
      <c r="B20" s="707"/>
      <c r="O20" s="27"/>
    </row>
    <row r="21" spans="2:18" x14ac:dyDescent="0.25">
      <c r="B21" s="707"/>
      <c r="O21" s="27"/>
    </row>
    <row r="22" spans="2:18" x14ac:dyDescent="0.25">
      <c r="B22" s="707"/>
      <c r="O22" s="27"/>
      <c r="R22" s="483"/>
    </row>
    <row r="23" spans="2:18" x14ac:dyDescent="0.25">
      <c r="B23" s="707"/>
      <c r="C23" t="s">
        <v>118</v>
      </c>
      <c r="D23" s="162">
        <v>3.76399E-6</v>
      </c>
      <c r="O23" s="27"/>
    </row>
    <row r="24" spans="2:18" x14ac:dyDescent="0.25">
      <c r="B24" s="707"/>
      <c r="C24" t="s">
        <v>119</v>
      </c>
      <c r="D24">
        <v>-3.2210000000000003E-2</v>
      </c>
      <c r="O24" s="27"/>
    </row>
    <row r="25" spans="2:18" x14ac:dyDescent="0.25">
      <c r="B25" s="707"/>
      <c r="O25" s="27"/>
    </row>
    <row r="26" spans="2:18" x14ac:dyDescent="0.25">
      <c r="B26" s="707"/>
      <c r="C26" s="72"/>
      <c r="O26" s="27"/>
    </row>
    <row r="27" spans="2:18" ht="15.75" thickBot="1" x14ac:dyDescent="0.3">
      <c r="B27" s="708"/>
      <c r="C27" s="7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8"/>
    </row>
    <row r="28" spans="2:18" x14ac:dyDescent="0.25">
      <c r="B28" s="706" t="s">
        <v>357</v>
      </c>
      <c r="C28" s="150"/>
      <c r="D28" s="132">
        <v>1</v>
      </c>
      <c r="E28" s="132">
        <v>2</v>
      </c>
      <c r="F28" s="132">
        <v>3</v>
      </c>
      <c r="G28" s="132">
        <v>4</v>
      </c>
      <c r="H28" s="132">
        <v>5</v>
      </c>
      <c r="I28" s="132">
        <v>6</v>
      </c>
      <c r="J28" s="132">
        <v>7</v>
      </c>
      <c r="K28" s="132">
        <v>8</v>
      </c>
      <c r="L28" s="132">
        <v>9</v>
      </c>
      <c r="M28" s="132">
        <v>10</v>
      </c>
      <c r="N28" s="132">
        <v>11</v>
      </c>
      <c r="O28" s="133">
        <v>12</v>
      </c>
    </row>
    <row r="29" spans="2:18" x14ac:dyDescent="0.25">
      <c r="B29" s="707"/>
      <c r="C29" s="122" t="s">
        <v>44</v>
      </c>
      <c r="D29" s="479">
        <f>(D3-$O$16)*$D$23+$D$24</f>
        <v>-3.2878108225000001E-2</v>
      </c>
      <c r="E29" s="479">
        <f t="shared" ref="E29:O29" si="1">(E3-$O$16)*$D$23+$D$24</f>
        <v>-3.1541891775000004E-2</v>
      </c>
      <c r="F29" s="479">
        <f t="shared" si="1"/>
        <v>1.8353559664999998E-2</v>
      </c>
      <c r="G29" s="479">
        <f t="shared" si="1"/>
        <v>2.9265366675000001E-2</v>
      </c>
      <c r="H29" s="479">
        <f t="shared" si="1"/>
        <v>3.9322747955000001E-2</v>
      </c>
      <c r="I29" s="479">
        <f t="shared" si="1"/>
        <v>3.6665371015000003E-2</v>
      </c>
      <c r="J29" s="479">
        <f t="shared" si="1"/>
        <v>3.4139733724999996E-2</v>
      </c>
      <c r="K29" s="479">
        <f t="shared" si="1"/>
        <v>3.0360687764999991E-2</v>
      </c>
      <c r="L29" s="479">
        <f t="shared" si="1"/>
        <v>9.6697247524999988E-2</v>
      </c>
      <c r="M29" s="479">
        <f t="shared" si="1"/>
        <v>0.107740794185</v>
      </c>
      <c r="N29" s="479">
        <f t="shared" si="1"/>
        <v>3.1960383514999996E-2</v>
      </c>
      <c r="O29" s="480">
        <f t="shared" si="1"/>
        <v>1.9475228684999998E-2</v>
      </c>
    </row>
    <row r="30" spans="2:18" x14ac:dyDescent="0.25">
      <c r="B30" s="707"/>
      <c r="C30" s="122" t="s">
        <v>45</v>
      </c>
      <c r="D30" s="479">
        <f t="shared" ref="D30:O36" si="2">(D4-$O$16)*$D$23+$D$24</f>
        <v>2.7375843694999999E-2</v>
      </c>
      <c r="E30" s="479">
        <f t="shared" si="2"/>
        <v>3.1975439474999992E-2</v>
      </c>
      <c r="F30" s="479">
        <f t="shared" si="2"/>
        <v>8.1667635454999998E-2</v>
      </c>
      <c r="G30" s="479">
        <f t="shared" si="2"/>
        <v>0.119883425925</v>
      </c>
      <c r="H30" s="479">
        <f t="shared" si="2"/>
        <v>8.5596576849999995E-3</v>
      </c>
      <c r="I30" s="479">
        <f t="shared" si="2"/>
        <v>1.7999744605E-2</v>
      </c>
      <c r="J30" s="479">
        <f t="shared" si="2"/>
        <v>5.8775048274999991E-2</v>
      </c>
      <c r="K30" s="479">
        <f t="shared" si="2"/>
        <v>7.0003030445000003E-2</v>
      </c>
      <c r="L30" s="479">
        <f t="shared" si="2"/>
        <v>5.6351038714999996E-2</v>
      </c>
      <c r="M30" s="479">
        <f t="shared" si="2"/>
        <v>4.1125699165000001E-2</v>
      </c>
      <c r="N30" s="479">
        <f t="shared" si="2"/>
        <v>3.8170967015000001E-2</v>
      </c>
      <c r="O30" s="480">
        <f t="shared" si="2"/>
        <v>2.2038505874999996E-2</v>
      </c>
    </row>
    <row r="31" spans="2:18" x14ac:dyDescent="0.25">
      <c r="B31" s="707"/>
      <c r="C31" s="122" t="s">
        <v>46</v>
      </c>
      <c r="D31" s="479">
        <f t="shared" si="2"/>
        <v>7.7147083465000002E-2</v>
      </c>
      <c r="E31" s="479">
        <f t="shared" si="2"/>
        <v>7.9205985994999992E-2</v>
      </c>
      <c r="F31" s="479">
        <f t="shared" si="2"/>
        <v>1.4066375054999997E-2</v>
      </c>
      <c r="G31" s="479">
        <f t="shared" si="2"/>
        <v>1.3317341045E-2</v>
      </c>
      <c r="H31" s="479">
        <f t="shared" si="2"/>
        <v>5.8951955804999998E-2</v>
      </c>
      <c r="I31" s="479">
        <f t="shared" si="2"/>
        <v>6.1541580924999992E-2</v>
      </c>
      <c r="J31" s="479">
        <f t="shared" si="2"/>
        <v>0.101116171785</v>
      </c>
      <c r="K31" s="479">
        <f t="shared" si="2"/>
        <v>9.4246890034999989E-2</v>
      </c>
      <c r="L31" s="479">
        <f t="shared" si="2"/>
        <v>4.5288672104999997E-2</v>
      </c>
      <c r="M31" s="479">
        <f t="shared" si="2"/>
        <v>4.8217056324999993E-2</v>
      </c>
      <c r="N31" s="479">
        <f t="shared" si="2"/>
        <v>2.0435046134999996E-2</v>
      </c>
      <c r="O31" s="480">
        <f t="shared" si="2"/>
        <v>-3.2893828350000036E-3</v>
      </c>
    </row>
    <row r="32" spans="2:18" x14ac:dyDescent="0.25">
      <c r="B32" s="707"/>
      <c r="C32" s="122" t="s">
        <v>47</v>
      </c>
      <c r="D32" s="479">
        <f t="shared" si="2"/>
        <v>0.16367744957500002</v>
      </c>
      <c r="E32" s="479">
        <f t="shared" si="2"/>
        <v>0.17396443424500002</v>
      </c>
      <c r="F32" s="479">
        <f t="shared" si="2"/>
        <v>2.1993337995000001E-2</v>
      </c>
      <c r="G32" s="479">
        <f t="shared" si="2"/>
        <v>2.4436167504999995E-2</v>
      </c>
      <c r="H32" s="479">
        <f t="shared" si="2"/>
        <v>1.5376243574999997E-2</v>
      </c>
      <c r="I32" s="479">
        <f t="shared" si="2"/>
        <v>1.7021107204999997E-2</v>
      </c>
      <c r="J32" s="479">
        <f t="shared" si="2"/>
        <v>2.7037084594999997E-2</v>
      </c>
      <c r="K32" s="479">
        <f t="shared" si="2"/>
        <v>2.3687133494999998E-2</v>
      </c>
      <c r="L32" s="479">
        <f t="shared" si="2"/>
        <v>3.6462115554999994E-2</v>
      </c>
      <c r="M32" s="479">
        <f t="shared" si="2"/>
        <v>3.8904945065000002E-2</v>
      </c>
      <c r="N32" s="479">
        <f t="shared" si="2"/>
        <v>1.7563121764999995E-2</v>
      </c>
      <c r="O32" s="480">
        <f t="shared" si="2"/>
        <v>-1.5443306545000004E-2</v>
      </c>
    </row>
    <row r="33" spans="2:29" x14ac:dyDescent="0.25">
      <c r="B33" s="707"/>
      <c r="C33" s="122" t="s">
        <v>48</v>
      </c>
      <c r="D33" s="479">
        <f t="shared" si="2"/>
        <v>0.33889494806499998</v>
      </c>
      <c r="E33" s="479">
        <f t="shared" si="2"/>
        <v>0.35078539247500001</v>
      </c>
      <c r="F33" s="479">
        <f t="shared" si="2"/>
        <v>-4.2642562450000039E-3</v>
      </c>
      <c r="G33" s="479">
        <f t="shared" si="2"/>
        <v>-4.6519472150000039E-3</v>
      </c>
      <c r="H33" s="479">
        <f t="shared" si="2"/>
        <v>-4.4486917550000012E-3</v>
      </c>
      <c r="I33" s="479">
        <f t="shared" si="2"/>
        <v>1.1069574849999972E-3</v>
      </c>
      <c r="J33" s="479">
        <f t="shared" si="2"/>
        <v>6.5290514965000004E-2</v>
      </c>
      <c r="K33" s="479">
        <f t="shared" si="2"/>
        <v>5.9704753804999997E-2</v>
      </c>
      <c r="L33" s="479">
        <f t="shared" si="2"/>
        <v>2.2493948664999999E-2</v>
      </c>
      <c r="M33" s="479">
        <f t="shared" si="2"/>
        <v>2.5764855975000001E-2</v>
      </c>
      <c r="N33" s="479">
        <f t="shared" si="2"/>
        <v>1.2237075914999999E-2</v>
      </c>
      <c r="O33" s="480">
        <f t="shared" si="2"/>
        <v>7.0013658249999944E-3</v>
      </c>
    </row>
    <row r="34" spans="2:29" x14ac:dyDescent="0.25">
      <c r="B34" s="707"/>
      <c r="C34" s="122" t="s">
        <v>49</v>
      </c>
      <c r="D34" s="479">
        <f t="shared" si="2"/>
        <v>0.71489872911500008</v>
      </c>
      <c r="E34" s="479">
        <f t="shared" si="2"/>
        <v>0.71451480213500007</v>
      </c>
      <c r="F34" s="479">
        <f t="shared" si="2"/>
        <v>-3.5603901150000027E-3</v>
      </c>
      <c r="G34" s="479">
        <f t="shared" si="2"/>
        <v>-1.4299717750000038E-3</v>
      </c>
      <c r="H34" s="479">
        <f t="shared" si="2"/>
        <v>2.2723552054999999E-2</v>
      </c>
      <c r="I34" s="479">
        <f t="shared" si="2"/>
        <v>1.7766377224999998E-2</v>
      </c>
      <c r="J34" s="479">
        <f t="shared" si="2"/>
        <v>2.8527624634999998E-2</v>
      </c>
      <c r="K34" s="479">
        <f t="shared" si="2"/>
        <v>2.8546444584999997E-2</v>
      </c>
      <c r="L34" s="479">
        <f t="shared" si="2"/>
        <v>2.1485199344999997E-2</v>
      </c>
      <c r="M34" s="479">
        <f t="shared" si="2"/>
        <v>2.3736065364999996E-2</v>
      </c>
      <c r="N34" s="479">
        <f t="shared" si="2"/>
        <v>-9.8785573124999998E-2</v>
      </c>
      <c r="O34" s="480">
        <f t="shared" si="2"/>
        <v>-9.8766753174999999E-2</v>
      </c>
    </row>
    <row r="35" spans="2:29" x14ac:dyDescent="0.25">
      <c r="B35" s="707"/>
      <c r="C35" s="122" t="s">
        <v>50</v>
      </c>
      <c r="D35" s="479">
        <f t="shared" si="2"/>
        <v>1.215400243405</v>
      </c>
      <c r="E35" s="479">
        <f t="shared" si="2"/>
        <v>1.292061427735</v>
      </c>
      <c r="F35" s="479">
        <f t="shared" si="2"/>
        <v>4.3696726499999755E-4</v>
      </c>
      <c r="G35" s="479">
        <f t="shared" si="2"/>
        <v>-3.5453341550000031E-3</v>
      </c>
      <c r="H35" s="479">
        <f t="shared" si="2"/>
        <v>3.6405655704999998E-2</v>
      </c>
      <c r="I35" s="479">
        <f t="shared" si="2"/>
        <v>3.6578799245000002E-2</v>
      </c>
      <c r="J35" s="479">
        <f t="shared" si="2"/>
        <v>4.7818073384999993E-2</v>
      </c>
      <c r="K35" s="479">
        <f t="shared" si="2"/>
        <v>4.8401491835000005E-2</v>
      </c>
      <c r="L35" s="479">
        <f t="shared" si="2"/>
        <v>2.3032199234999995E-2</v>
      </c>
      <c r="M35" s="479">
        <f t="shared" si="2"/>
        <v>1.9448880754999995E-2</v>
      </c>
      <c r="N35" s="479">
        <f t="shared" si="2"/>
        <v>-9.8793101105000003E-2</v>
      </c>
      <c r="O35" s="480">
        <f t="shared" si="2"/>
        <v>-9.8793101105000003E-2</v>
      </c>
    </row>
    <row r="36" spans="2:29" ht="15.75" thickBot="1" x14ac:dyDescent="0.3">
      <c r="B36" s="708"/>
      <c r="C36" s="123" t="s">
        <v>51</v>
      </c>
      <c r="D36" s="481">
        <f t="shared" si="2"/>
        <v>2.4544794034750002</v>
      </c>
      <c r="E36" s="481">
        <f t="shared" si="2"/>
        <v>2.5304630696050001</v>
      </c>
      <c r="F36" s="481">
        <f t="shared" si="2"/>
        <v>3.226083854999999E-3</v>
      </c>
      <c r="G36" s="481">
        <f t="shared" si="2"/>
        <v>-2.6607965050000036E-3</v>
      </c>
      <c r="H36" s="481">
        <f t="shared" si="2"/>
        <v>3.2668013634999993E-2</v>
      </c>
      <c r="I36" s="481">
        <f t="shared" si="2"/>
        <v>3.6119592465000003E-2</v>
      </c>
      <c r="J36" s="481">
        <f t="shared" si="2"/>
        <v>4.7490606254999998E-2</v>
      </c>
      <c r="K36" s="481">
        <f t="shared" si="2"/>
        <v>4.1197214974999993E-2</v>
      </c>
      <c r="L36" s="481">
        <f t="shared" si="2"/>
        <v>2.4229148054999997E-2</v>
      </c>
      <c r="M36" s="481">
        <f t="shared" si="2"/>
        <v>2.9186322884999998E-2</v>
      </c>
      <c r="N36" s="481">
        <f t="shared" si="2"/>
        <v>-9.8789337115E-2</v>
      </c>
      <c r="O36" s="482">
        <f t="shared" si="2"/>
        <v>-9.8774281155000004E-2</v>
      </c>
    </row>
    <row r="37" spans="2:29" ht="26.25" thickBot="1" x14ac:dyDescent="0.3">
      <c r="B37" s="672" t="s">
        <v>122</v>
      </c>
      <c r="C37" s="340" t="s">
        <v>53</v>
      </c>
      <c r="D37" s="310" t="s">
        <v>8</v>
      </c>
      <c r="E37" s="310" t="s">
        <v>22</v>
      </c>
      <c r="F37" s="308" t="s">
        <v>54</v>
      </c>
      <c r="G37" s="484" t="s">
        <v>358</v>
      </c>
      <c r="H37" s="474" t="s">
        <v>359</v>
      </c>
      <c r="I37" s="485" t="s">
        <v>360</v>
      </c>
      <c r="J37" s="474" t="s">
        <v>359</v>
      </c>
    </row>
    <row r="38" spans="2:29" ht="15.75" thickBot="1" x14ac:dyDescent="0.3">
      <c r="B38" s="679"/>
      <c r="C38" s="477" t="s">
        <v>235</v>
      </c>
      <c r="D38" s="733" t="s">
        <v>234</v>
      </c>
      <c r="E38" s="683" t="s">
        <v>27</v>
      </c>
      <c r="F38" s="143" t="s">
        <v>44</v>
      </c>
      <c r="G38" s="486">
        <f>AVERAGE(F29:G29)</f>
        <v>2.380946317E-2</v>
      </c>
      <c r="H38" s="793">
        <f>AVERAGE(G38:G41)</f>
        <v>4.0372901165000002E-2</v>
      </c>
      <c r="I38" s="72">
        <f>AVERAGE(F3:G3)-$O$16</f>
        <v>14883</v>
      </c>
      <c r="J38" s="793">
        <f>AVERAGE(I38:I41)</f>
        <v>19283.5</v>
      </c>
      <c r="M38" s="644" t="s">
        <v>364</v>
      </c>
      <c r="N38" s="645"/>
      <c r="O38" s="645"/>
      <c r="P38" s="645"/>
      <c r="Q38" s="645"/>
      <c r="R38" s="646"/>
      <c r="T38" s="644" t="s">
        <v>383</v>
      </c>
      <c r="U38" s="645"/>
      <c r="V38" s="645"/>
      <c r="W38" s="646"/>
      <c r="X38" s="89"/>
      <c r="Z38" s="644" t="s">
        <v>383</v>
      </c>
      <c r="AA38" s="645"/>
      <c r="AB38" s="645"/>
      <c r="AC38" s="646"/>
    </row>
    <row r="39" spans="2:29" ht="15.75" thickBot="1" x14ac:dyDescent="0.3">
      <c r="B39" s="679"/>
      <c r="C39" s="477" t="s">
        <v>235</v>
      </c>
      <c r="D39" s="731"/>
      <c r="E39" s="681"/>
      <c r="F39" s="143" t="s">
        <v>45</v>
      </c>
      <c r="G39" s="486">
        <f t="shared" ref="G39:G45" si="3">AVERAGE(F30:G30)</f>
        <v>0.10077553069</v>
      </c>
      <c r="H39" s="794"/>
      <c r="I39" s="72">
        <f t="shared" ref="I39:I45" si="4">AVERAGE(F4:G4)-$O$16</f>
        <v>35331</v>
      </c>
      <c r="J39" s="794"/>
      <c r="M39" s="51" t="s">
        <v>20</v>
      </c>
      <c r="N39" s="54" t="s">
        <v>361</v>
      </c>
      <c r="O39" s="52" t="s">
        <v>362</v>
      </c>
      <c r="P39" s="54" t="s">
        <v>359</v>
      </c>
      <c r="Q39" s="492" t="s">
        <v>360</v>
      </c>
      <c r="R39" s="495" t="s">
        <v>359</v>
      </c>
      <c r="T39" s="63" t="s">
        <v>20</v>
      </c>
      <c r="U39" s="495" t="s">
        <v>361</v>
      </c>
      <c r="V39" s="473" t="s">
        <v>365</v>
      </c>
      <c r="W39" s="495" t="s">
        <v>366</v>
      </c>
      <c r="X39" s="68"/>
      <c r="Z39" s="63" t="s">
        <v>20</v>
      </c>
      <c r="AA39" s="495" t="s">
        <v>361</v>
      </c>
      <c r="AB39" s="473" t="s">
        <v>365</v>
      </c>
      <c r="AC39" s="495" t="s">
        <v>366</v>
      </c>
    </row>
    <row r="40" spans="2:29" x14ac:dyDescent="0.25">
      <c r="B40" s="679"/>
      <c r="C40" s="477" t="s">
        <v>235</v>
      </c>
      <c r="D40" s="731"/>
      <c r="E40" s="681"/>
      <c r="F40" s="143" t="s">
        <v>46</v>
      </c>
      <c r="G40" s="486">
        <f t="shared" si="3"/>
        <v>1.3691858049999998E-2</v>
      </c>
      <c r="H40" s="794"/>
      <c r="I40" s="72">
        <f t="shared" si="4"/>
        <v>12195</v>
      </c>
      <c r="J40" s="794"/>
      <c r="M40" s="649" t="s">
        <v>24</v>
      </c>
      <c r="N40" s="664" t="s">
        <v>167</v>
      </c>
      <c r="O40" s="493">
        <v>6.0423842938000003E-2</v>
      </c>
      <c r="P40" s="664">
        <f>AVERAGE(O40:O47)</f>
        <v>5.0139730328624996E-2</v>
      </c>
      <c r="Q40" s="500">
        <v>14746</v>
      </c>
      <c r="R40" s="803">
        <f>AVERAGE(Q40:Q47)</f>
        <v>14388.5625</v>
      </c>
      <c r="T40" s="647" t="s">
        <v>24</v>
      </c>
      <c r="U40" s="496" t="s">
        <v>367</v>
      </c>
      <c r="V40">
        <f>TTEST(O48:O52,O53:O57,2,2)</f>
        <v>7.8775888159404242E-3</v>
      </c>
      <c r="W40" s="58">
        <f>TTEST(Q48:Q52,Q53:Q57,2,2)</f>
        <v>7.8775888159404311E-3</v>
      </c>
      <c r="Z40" s="649" t="s">
        <v>24</v>
      </c>
      <c r="AA40" s="505" t="s">
        <v>384</v>
      </c>
      <c r="AB40" s="50">
        <f>TTEST(O40:O47,O53:O57,2,2)</f>
        <v>5.0277260265185622E-3</v>
      </c>
      <c r="AC40" s="55">
        <f>TTEST(Q40:Q47,Q53:Q57,2,2)</f>
        <v>0.14736696300381449</v>
      </c>
    </row>
    <row r="41" spans="2:29" x14ac:dyDescent="0.25">
      <c r="B41" s="679"/>
      <c r="C41" s="139" t="s">
        <v>235</v>
      </c>
      <c r="D41" s="734"/>
      <c r="E41" s="682"/>
      <c r="F41" s="142" t="s">
        <v>47</v>
      </c>
      <c r="G41" s="487">
        <f t="shared" si="3"/>
        <v>2.3214752749999998E-2</v>
      </c>
      <c r="H41" s="795"/>
      <c r="I41" s="212">
        <f t="shared" si="4"/>
        <v>14725</v>
      </c>
      <c r="J41" s="795"/>
      <c r="M41" s="647"/>
      <c r="N41" s="662"/>
      <c r="O41" s="490">
        <v>7.65821070055E-2</v>
      </c>
      <c r="P41" s="662"/>
      <c r="Q41" s="501">
        <v>18905.5</v>
      </c>
      <c r="R41" s="797"/>
      <c r="T41" s="647"/>
      <c r="U41" s="496" t="s">
        <v>368</v>
      </c>
      <c r="V41">
        <f>TTEST(O48:O52,O58:O62,2,2)</f>
        <v>0.84716939316903961</v>
      </c>
      <c r="W41" s="58">
        <f>TTEST(Q48:Q52,Q58:Q62,2,2)</f>
        <v>0.84716939316903961</v>
      </c>
      <c r="Z41" s="647"/>
      <c r="AA41" s="496" t="s">
        <v>385</v>
      </c>
      <c r="AB41">
        <f>TTEST(O40:O47,O63:O66,2,2)</f>
        <v>0.60754115423948418</v>
      </c>
      <c r="AC41" s="58">
        <f>TTEST(Q40:Q47,Q63:Q66,2,2)</f>
        <v>0.2883205557577001</v>
      </c>
    </row>
    <row r="42" spans="2:29" x14ac:dyDescent="0.25">
      <c r="B42" s="679"/>
      <c r="C42" s="477" t="s">
        <v>227</v>
      </c>
      <c r="D42" s="731" t="s">
        <v>86</v>
      </c>
      <c r="E42" s="681" t="s">
        <v>27</v>
      </c>
      <c r="F42" s="143" t="s">
        <v>44</v>
      </c>
      <c r="G42" s="486">
        <f t="shared" si="3"/>
        <v>-4.4581017300000039E-3</v>
      </c>
      <c r="H42" s="793">
        <f>AVERAGE(G42:G46)</f>
        <v>5.9538474079999983E-3</v>
      </c>
      <c r="I42" s="72">
        <f t="shared" si="4"/>
        <v>7373</v>
      </c>
      <c r="J42" s="793">
        <f>AVERAGE(I42:I46)</f>
        <v>10139.200000000001</v>
      </c>
      <c r="M42" s="647"/>
      <c r="N42" s="662"/>
      <c r="O42" s="490">
        <v>5.90894605105E-2</v>
      </c>
      <c r="P42" s="662"/>
      <c r="Q42" s="501">
        <v>14402.5</v>
      </c>
      <c r="R42" s="797"/>
      <c r="T42" s="647"/>
      <c r="U42" s="496" t="s">
        <v>369</v>
      </c>
      <c r="V42">
        <f>TTEST(O48:O52,O63:O66,2,2)</f>
        <v>0.50582926888627788</v>
      </c>
      <c r="W42" s="58">
        <f>TTEST(Q48:Q52,Q63:Q66,2,2)</f>
        <v>0.50582926888627733</v>
      </c>
      <c r="Z42" s="647"/>
      <c r="AA42" s="496" t="s">
        <v>386</v>
      </c>
      <c r="AB42">
        <f>TTEST(O40:O47,O67:O70,2,2)</f>
        <v>5.9498205107201947E-2</v>
      </c>
      <c r="AC42" s="58">
        <f>TTEST(Q40:Q47,Q67:Q70,2,2)</f>
        <v>0.85602760308893133</v>
      </c>
    </row>
    <row r="43" spans="2:29" x14ac:dyDescent="0.25">
      <c r="B43" s="679"/>
      <c r="C43" s="477" t="s">
        <v>227</v>
      </c>
      <c r="D43" s="731"/>
      <c r="E43" s="681"/>
      <c r="F43" s="143" t="s">
        <v>45</v>
      </c>
      <c r="G43" s="486">
        <f t="shared" si="3"/>
        <v>-2.4951809450000032E-3</v>
      </c>
      <c r="H43" s="794"/>
      <c r="I43" s="72">
        <f t="shared" si="4"/>
        <v>7894.5</v>
      </c>
      <c r="J43" s="794"/>
      <c r="M43" s="647"/>
      <c r="N43" s="662"/>
      <c r="O43" s="490">
        <v>3.4823900588000001E-2</v>
      </c>
      <c r="P43" s="662"/>
      <c r="Q43" s="501">
        <v>8156</v>
      </c>
      <c r="R43" s="797"/>
      <c r="T43" s="647"/>
      <c r="U43" s="496" t="s">
        <v>370</v>
      </c>
      <c r="V43">
        <f>TTEST(O48:O52,O67:O70,2,2)</f>
        <v>4.5953303939371991E-2</v>
      </c>
      <c r="W43" s="58">
        <f>TTEST(Q48:Q52,Q67:Q70,2,2)</f>
        <v>4.5953303939372046E-2</v>
      </c>
      <c r="Z43" s="647"/>
      <c r="AA43" s="496" t="s">
        <v>387</v>
      </c>
      <c r="AB43">
        <f>TTEST(O40:O47,O71:O75,2,2)</f>
        <v>4.9335410591307166E-2</v>
      </c>
      <c r="AC43" s="58">
        <f>TTEST(Q40:Q47,Q71:Q75,2,2)</f>
        <v>9.4834627666202195E-2</v>
      </c>
    </row>
    <row r="44" spans="2:29" x14ac:dyDescent="0.25">
      <c r="B44" s="679"/>
      <c r="C44" s="477" t="s">
        <v>227</v>
      </c>
      <c r="D44" s="731"/>
      <c r="E44" s="681"/>
      <c r="F44" s="143" t="s">
        <v>46</v>
      </c>
      <c r="G44" s="486">
        <f t="shared" si="3"/>
        <v>-1.5541834450000028E-3</v>
      </c>
      <c r="H44" s="794"/>
      <c r="I44" s="72">
        <f t="shared" si="4"/>
        <v>8144.5</v>
      </c>
      <c r="J44" s="794"/>
      <c r="M44" s="647"/>
      <c r="N44" s="662"/>
      <c r="O44" s="490">
        <v>8.2007041677999992E-2</v>
      </c>
      <c r="P44" s="662"/>
      <c r="Q44" s="501">
        <v>20302</v>
      </c>
      <c r="R44" s="797"/>
      <c r="T44" s="647"/>
      <c r="U44" s="496" t="s">
        <v>371</v>
      </c>
      <c r="V44">
        <f>TTEST(O53:O57,O58:O62,2,2)</f>
        <v>1.6784266108403889E-2</v>
      </c>
      <c r="W44" s="58">
        <f>TTEST(Q53:Q57,Q58:Q62,2,2)</f>
        <v>1.6784266108403889E-2</v>
      </c>
      <c r="Z44" s="647"/>
      <c r="AA44" s="496" t="s">
        <v>379</v>
      </c>
      <c r="AB44">
        <f>TTEST(O53:O57,O63:O66,2,2)</f>
        <v>0.12898431929162871</v>
      </c>
      <c r="AC44" s="58">
        <f>TTEST(Q53:Q57,Q63:Q66,2,2)</f>
        <v>0.12898431929162882</v>
      </c>
    </row>
    <row r="45" spans="2:29" x14ac:dyDescent="0.25">
      <c r="B45" s="679"/>
      <c r="C45" s="477" t="s">
        <v>227</v>
      </c>
      <c r="D45" s="731"/>
      <c r="E45" s="681"/>
      <c r="F45" s="143" t="s">
        <v>47</v>
      </c>
      <c r="G45" s="486">
        <f t="shared" si="3"/>
        <v>2.8264367499999769E-4</v>
      </c>
      <c r="H45" s="794"/>
      <c r="I45" s="72">
        <f t="shared" si="4"/>
        <v>8632.5</v>
      </c>
      <c r="J45" s="794"/>
      <c r="M45" s="647"/>
      <c r="N45" s="662"/>
      <c r="O45" s="490">
        <v>4.9295539211999993E-2</v>
      </c>
      <c r="P45" s="662"/>
      <c r="Q45" s="501">
        <v>18662</v>
      </c>
      <c r="R45" s="797"/>
      <c r="T45" s="647"/>
      <c r="U45" s="496" t="s">
        <v>372</v>
      </c>
      <c r="V45">
        <f>TTEST(O53:O57,O63:O66,2,2)</f>
        <v>0.12898431929162871</v>
      </c>
      <c r="W45" s="58">
        <f>TTEST(Q53:Q57,Q63:Q66,2,2)</f>
        <v>0.12898431929162882</v>
      </c>
      <c r="Z45" s="647"/>
      <c r="AA45" s="496" t="s">
        <v>388</v>
      </c>
      <c r="AB45">
        <f>TTEST(O53:O57,O67:O70,2,2)</f>
        <v>9.4957253196802566E-2</v>
      </c>
      <c r="AC45" s="58">
        <f>TTEST(Q53:Q57,Q67:Q70,2,2)</f>
        <v>9.4957253196802566E-2</v>
      </c>
    </row>
    <row r="46" spans="2:29" x14ac:dyDescent="0.25">
      <c r="B46" s="679"/>
      <c r="C46" s="139" t="s">
        <v>227</v>
      </c>
      <c r="D46" s="734"/>
      <c r="E46" s="682"/>
      <c r="F46" s="142" t="s">
        <v>48</v>
      </c>
      <c r="G46" s="487">
        <f>AVERAGE(H29:I29)</f>
        <v>3.7994059485000002E-2</v>
      </c>
      <c r="H46" s="795"/>
      <c r="I46" s="212">
        <f>AVERAGE(H3:I3)-$O$16</f>
        <v>18651.5</v>
      </c>
      <c r="J46" s="795"/>
      <c r="M46" s="647"/>
      <c r="N46" s="662"/>
      <c r="O46" s="490">
        <v>2.6511873049999995E-2</v>
      </c>
      <c r="P46" s="662"/>
      <c r="Q46" s="501">
        <v>12025</v>
      </c>
      <c r="R46" s="797"/>
      <c r="T46" s="647"/>
      <c r="U46" s="496" t="s">
        <v>373</v>
      </c>
      <c r="V46">
        <f>TTEST(O53:O57,O67:O70,2,2)</f>
        <v>9.4957253196802566E-2</v>
      </c>
      <c r="W46" s="58">
        <f>TTEST(Q53:Q57,Q67:Q70,2,2)</f>
        <v>9.4957253196802566E-2</v>
      </c>
      <c r="Z46" s="647"/>
      <c r="AA46" s="496" t="s">
        <v>389</v>
      </c>
      <c r="AB46">
        <f>TTEST(O53:O57,O71:O75,2,2)</f>
        <v>3.6943508626338585E-5</v>
      </c>
      <c r="AC46" s="58">
        <f>TTEST(Q53:Q57,Q71:Q75,2,2)</f>
        <v>5.766856921148149E-3</v>
      </c>
    </row>
    <row r="47" spans="2:29" x14ac:dyDescent="0.25">
      <c r="B47" s="679"/>
      <c r="C47" s="477" t="s">
        <v>293</v>
      </c>
      <c r="D47" s="731" t="s">
        <v>292</v>
      </c>
      <c r="E47" s="681" t="s">
        <v>27</v>
      </c>
      <c r="F47" s="143" t="s">
        <v>44</v>
      </c>
      <c r="G47" s="486">
        <f t="shared" ref="G47:G53" si="5">AVERAGE(H30:I30)</f>
        <v>1.3279701145E-2</v>
      </c>
      <c r="H47" s="793">
        <f>AVERAGE(G47:G50)</f>
        <v>2.2013569441249999E-2</v>
      </c>
      <c r="I47" s="72">
        <f t="shared" ref="I47:I53" si="6">AVERAGE(H4:I4)-$O$16</f>
        <v>12085.5</v>
      </c>
      <c r="J47" s="793">
        <f>AVERAGE(I47:I50)</f>
        <v>14405.875</v>
      </c>
      <c r="M47" s="647"/>
      <c r="N47" s="728"/>
      <c r="O47" s="494">
        <v>1.2384077646999997E-2</v>
      </c>
      <c r="P47" s="728"/>
      <c r="Q47" s="503">
        <v>7909.5</v>
      </c>
      <c r="R47" s="798"/>
      <c r="T47" s="647"/>
      <c r="U47" s="496" t="s">
        <v>374</v>
      </c>
      <c r="V47">
        <f>TTEST(O58:O62,O63:O66,2,2)</f>
        <v>0.61964715639487378</v>
      </c>
      <c r="W47" s="58">
        <f>TTEST(Q58:Q62,Q63:Q66,2,2)</f>
        <v>0.61964715639487378</v>
      </c>
      <c r="Z47" s="647"/>
      <c r="AA47" s="496" t="s">
        <v>390</v>
      </c>
      <c r="AB47">
        <f>TTEST(O63:O66,O67:O70,2,2)</f>
        <v>0.44216132151206489</v>
      </c>
      <c r="AC47" s="58">
        <f>TTEST(Q63:Q66,Q67:Q70,2,2)</f>
        <v>0.44216132151206489</v>
      </c>
    </row>
    <row r="48" spans="2:29" x14ac:dyDescent="0.25">
      <c r="B48" s="679"/>
      <c r="C48" s="477" t="s">
        <v>293</v>
      </c>
      <c r="D48" s="731"/>
      <c r="E48" s="681"/>
      <c r="F48" s="143" t="s">
        <v>45</v>
      </c>
      <c r="G48" s="486">
        <f t="shared" si="5"/>
        <v>6.0246768364999995E-2</v>
      </c>
      <c r="H48" s="794"/>
      <c r="I48" s="72">
        <f t="shared" si="6"/>
        <v>24563.5</v>
      </c>
      <c r="J48" s="794"/>
      <c r="M48" s="647"/>
      <c r="N48" s="799">
        <v>0.05</v>
      </c>
      <c r="O48" s="490">
        <f>G61</f>
        <v>4.4343910614999996E-2</v>
      </c>
      <c r="P48" s="797">
        <f t="shared" ref="P48:R52" si="7">H61</f>
        <v>5.5947538987000001E-2</v>
      </c>
      <c r="Q48" s="490">
        <f t="shared" si="7"/>
        <v>20338.5</v>
      </c>
      <c r="R48" s="797">
        <f t="shared" si="7"/>
        <v>23421.3</v>
      </c>
      <c r="T48" s="647"/>
      <c r="U48" s="496" t="s">
        <v>375</v>
      </c>
      <c r="V48">
        <f>TTEST(O58:O62,O67:O70,2,2)</f>
        <v>9.6177774446185318E-2</v>
      </c>
      <c r="W48" s="58">
        <f>TTEST(Q58:Q62,Q67:Q70,2,2)</f>
        <v>9.6177774446185388E-2</v>
      </c>
      <c r="Z48" s="647"/>
      <c r="AA48" s="496" t="s">
        <v>391</v>
      </c>
      <c r="AB48">
        <f>TTEST(O63:O66,O71:O75,2,2)</f>
        <v>9.7167631130752496E-2</v>
      </c>
      <c r="AC48" s="58">
        <f>TTEST(Q63:Q66,Q71:Q75,2,2)</f>
        <v>0.86871847552187897</v>
      </c>
    </row>
    <row r="49" spans="2:29" x14ac:dyDescent="0.25">
      <c r="B49" s="679"/>
      <c r="C49" s="477" t="s">
        <v>293</v>
      </c>
      <c r="D49" s="731"/>
      <c r="E49" s="681"/>
      <c r="F49" s="143" t="s">
        <v>46</v>
      </c>
      <c r="G49" s="486">
        <f t="shared" si="5"/>
        <v>1.6198675389999997E-2</v>
      </c>
      <c r="H49" s="794"/>
      <c r="I49" s="72">
        <f t="shared" si="6"/>
        <v>12861</v>
      </c>
      <c r="J49" s="794"/>
      <c r="M49" s="647"/>
      <c r="N49" s="799"/>
      <c r="O49" s="490">
        <f>G62</f>
        <v>0.102219020855</v>
      </c>
      <c r="P49" s="797"/>
      <c r="Q49" s="490">
        <f t="shared" si="7"/>
        <v>35714.5</v>
      </c>
      <c r="R49" s="797"/>
      <c r="T49" s="650"/>
      <c r="U49" s="393" t="s">
        <v>376</v>
      </c>
      <c r="V49" s="60">
        <f>TTEST(O63:O66,O67:O70,2,2)</f>
        <v>0.44216132151206489</v>
      </c>
      <c r="W49" s="59">
        <f>TTEST(Q63:Q66,Q67:Q70,2,2)</f>
        <v>0.44216132151206489</v>
      </c>
      <c r="Z49" s="650"/>
      <c r="AA49" s="393" t="s">
        <v>392</v>
      </c>
      <c r="AB49" s="60">
        <f>TTEST(O67:O70,O71:O75,2,2)</f>
        <v>5.5822093035692202E-7</v>
      </c>
      <c r="AC49" s="59">
        <f>TTEST(Q67:Q70,Q71:Q75,2,2)</f>
        <v>2.2239716255388854E-3</v>
      </c>
    </row>
    <row r="50" spans="2:29" x14ac:dyDescent="0.25">
      <c r="B50" s="679"/>
      <c r="C50" s="139" t="s">
        <v>293</v>
      </c>
      <c r="D50" s="734"/>
      <c r="E50" s="682"/>
      <c r="F50" s="142" t="s">
        <v>47</v>
      </c>
      <c r="G50" s="487">
        <f>AVERAGE(H33:I33)</f>
        <v>-1.670867135000002E-3</v>
      </c>
      <c r="H50" s="795"/>
      <c r="I50" s="212">
        <f t="shared" si="6"/>
        <v>8113.5</v>
      </c>
      <c r="J50" s="795"/>
      <c r="M50" s="647"/>
      <c r="N50" s="799"/>
      <c r="O50" s="490">
        <f>G63</f>
        <v>4.8738368939999999E-2</v>
      </c>
      <c r="P50" s="797"/>
      <c r="Q50" s="490">
        <f t="shared" si="7"/>
        <v>21506</v>
      </c>
      <c r="R50" s="797"/>
      <c r="T50" s="647" t="s">
        <v>28</v>
      </c>
      <c r="U50" s="496" t="s">
        <v>378</v>
      </c>
      <c r="V50">
        <f>TTEST(O81:O85,O86:O90,2,2)</f>
        <v>3.8764426745700666E-2</v>
      </c>
      <c r="W50" s="58">
        <f>TTEST(Q81:Q85,Q86:Q90,2,2)</f>
        <v>3.8764426745700735E-2</v>
      </c>
      <c r="Z50" s="805" t="s">
        <v>28</v>
      </c>
      <c r="AA50" s="506" t="s">
        <v>384</v>
      </c>
      <c r="AB50" s="164">
        <f>TTEST(O76:O80,O86:O90,2,2)</f>
        <v>9.572095506673528E-2</v>
      </c>
      <c r="AC50" s="412">
        <f>TTEST(Q76:Q80,Q86:Q90,2,2)</f>
        <v>7.5182691369184646E-3</v>
      </c>
    </row>
    <row r="51" spans="2:29" x14ac:dyDescent="0.25">
      <c r="B51" s="679"/>
      <c r="C51" s="477" t="s">
        <v>289</v>
      </c>
      <c r="D51" s="731" t="s">
        <v>87</v>
      </c>
      <c r="E51" s="681" t="s">
        <v>27</v>
      </c>
      <c r="F51" s="143" t="s">
        <v>44</v>
      </c>
      <c r="G51" s="486">
        <f t="shared" si="5"/>
        <v>2.0244964639999998E-2</v>
      </c>
      <c r="H51" s="793">
        <f>AVERAGE(G51:G55)</f>
        <v>3.7554049053999998E-2</v>
      </c>
      <c r="I51" s="72">
        <f t="shared" si="6"/>
        <v>13936</v>
      </c>
      <c r="J51" s="793">
        <f>AVERAGE(I51:I55)</f>
        <v>18534.599999999999</v>
      </c>
      <c r="M51" s="647"/>
      <c r="N51" s="799"/>
      <c r="O51" s="490">
        <f>G64</f>
        <v>4.6752864214999995E-2</v>
      </c>
      <c r="P51" s="797"/>
      <c r="Q51" s="490">
        <f t="shared" si="7"/>
        <v>20978.5</v>
      </c>
      <c r="R51" s="797"/>
      <c r="T51" s="647"/>
      <c r="U51" s="496" t="s">
        <v>377</v>
      </c>
      <c r="V51">
        <f>TTEST(O81:O85,O91:O94,2,2)</f>
        <v>0.61428602357881334</v>
      </c>
      <c r="W51" s="58">
        <f>TTEST(Q81:Q85,Q91:Q94,2,2)</f>
        <v>0.61428602357881368</v>
      </c>
      <c r="Z51" s="647"/>
      <c r="AA51" s="496" t="s">
        <v>385</v>
      </c>
      <c r="AB51">
        <f>TTEST(O76:O80,O91:O94,2,2)</f>
        <v>0.97666149061176899</v>
      </c>
      <c r="AC51" s="58">
        <f>TTEST(Q76:Q80,Q91:Q94,2,2)</f>
        <v>0.31469554949880318</v>
      </c>
    </row>
    <row r="52" spans="2:29" x14ac:dyDescent="0.25">
      <c r="B52" s="679"/>
      <c r="C52" s="477" t="s">
        <v>289</v>
      </c>
      <c r="D52" s="731"/>
      <c r="E52" s="681"/>
      <c r="F52" s="143" t="s">
        <v>45</v>
      </c>
      <c r="G52" s="486">
        <f t="shared" si="5"/>
        <v>3.6492227475E-2</v>
      </c>
      <c r="H52" s="794"/>
      <c r="I52" s="72">
        <f t="shared" si="6"/>
        <v>18252.5</v>
      </c>
      <c r="J52" s="794"/>
      <c r="M52" s="647"/>
      <c r="N52" s="800"/>
      <c r="O52" s="494">
        <f>G65</f>
        <v>3.7683530309999998E-2</v>
      </c>
      <c r="P52" s="798"/>
      <c r="Q52" s="494">
        <f t="shared" si="7"/>
        <v>18569</v>
      </c>
      <c r="R52" s="798"/>
      <c r="T52" s="650"/>
      <c r="U52" s="393" t="s">
        <v>379</v>
      </c>
      <c r="V52" s="60">
        <f>TTEST(O86:O90,O91:O94,2,2)</f>
        <v>0.31391012448452454</v>
      </c>
      <c r="W52" s="59">
        <f>TTEST(Q86:Q90,Q91:Q94,2,2)</f>
        <v>0.31391012448452454</v>
      </c>
      <c r="Z52" s="647"/>
      <c r="AA52" s="496" t="s">
        <v>386</v>
      </c>
      <c r="AC52" s="58"/>
    </row>
    <row r="53" spans="2:29" x14ac:dyDescent="0.25">
      <c r="B53" s="679"/>
      <c r="C53" s="477" t="s">
        <v>289</v>
      </c>
      <c r="D53" s="731"/>
      <c r="E53" s="681"/>
      <c r="F53" s="143" t="s">
        <v>46</v>
      </c>
      <c r="G53" s="486">
        <f t="shared" si="5"/>
        <v>3.4393803049999998E-2</v>
      </c>
      <c r="H53" s="794"/>
      <c r="I53" s="72">
        <f t="shared" si="6"/>
        <v>17695</v>
      </c>
      <c r="J53" s="794"/>
      <c r="M53" s="647"/>
      <c r="N53" s="799">
        <v>0.15</v>
      </c>
      <c r="O53" s="490">
        <f>G42</f>
        <v>-4.4581017300000039E-3</v>
      </c>
      <c r="P53" s="797">
        <f t="shared" ref="P53:R57" si="8">H42</f>
        <v>5.9538474079999983E-3</v>
      </c>
      <c r="Q53" s="490">
        <f t="shared" si="8"/>
        <v>7373</v>
      </c>
      <c r="R53" s="797">
        <f t="shared" si="8"/>
        <v>10139.200000000001</v>
      </c>
      <c r="T53" s="647" t="s">
        <v>380</v>
      </c>
      <c r="U53" s="496">
        <v>5</v>
      </c>
      <c r="V53">
        <f>TTEST(O48:O52,O81:O85,2,2)</f>
        <v>1.337215202277477E-2</v>
      </c>
      <c r="W53" s="58">
        <f>TTEST(Q48:Q52,Q81:Q85,2,2)</f>
        <v>1.3372152022774782E-2</v>
      </c>
      <c r="Z53" s="647"/>
      <c r="AA53" s="496" t="s">
        <v>387</v>
      </c>
      <c r="AB53">
        <f>TTEST(O76:O80,O95:O99,2,2)</f>
        <v>0.59262625226540799</v>
      </c>
      <c r="AC53" s="58">
        <f>TTEST(Q76:Q80,Q95:Q99,2,2)</f>
        <v>0.59262625226540799</v>
      </c>
    </row>
    <row r="54" spans="2:29" x14ac:dyDescent="0.25">
      <c r="B54" s="679"/>
      <c r="C54" s="477" t="s">
        <v>289</v>
      </c>
      <c r="D54" s="731"/>
      <c r="E54" s="681"/>
      <c r="F54" s="143" t="s">
        <v>47</v>
      </c>
      <c r="G54" s="486">
        <f>AVERAGE(J29:K29)</f>
        <v>3.2250210744999994E-2</v>
      </c>
      <c r="H54" s="794"/>
      <c r="I54" s="72">
        <f>AVERAGE(J3:K3)-$O$16</f>
        <v>17125.5</v>
      </c>
      <c r="J54" s="794"/>
      <c r="M54" s="647"/>
      <c r="N54" s="799"/>
      <c r="O54" s="490">
        <f>G43</f>
        <v>-2.4951809450000032E-3</v>
      </c>
      <c r="P54" s="797"/>
      <c r="Q54" s="490">
        <f t="shared" si="8"/>
        <v>7894.5</v>
      </c>
      <c r="R54" s="797"/>
      <c r="T54" s="647"/>
      <c r="U54" s="496">
        <v>15</v>
      </c>
      <c r="V54">
        <f>TTEST(O53:O57,O86:O90,2,2)</f>
        <v>1.9504632180883785E-2</v>
      </c>
      <c r="W54" s="58">
        <f>TTEST(Q53:Q57,Q86:Q90,2,2)</f>
        <v>1.9504632180883805E-2</v>
      </c>
      <c r="Z54" s="647"/>
      <c r="AA54" s="496" t="s">
        <v>379</v>
      </c>
      <c r="AB54">
        <f>TTEST(O86:O90,O91:O94,2,2)</f>
        <v>0.31391012448452454</v>
      </c>
      <c r="AC54" s="58">
        <f>TTEST(Q86:Q90,Q91:Q94,2,2)</f>
        <v>0.31391012448452454</v>
      </c>
    </row>
    <row r="55" spans="2:29" ht="15.75" thickBot="1" x14ac:dyDescent="0.3">
      <c r="B55" s="679"/>
      <c r="C55" s="139" t="s">
        <v>289</v>
      </c>
      <c r="D55" s="734"/>
      <c r="E55" s="682"/>
      <c r="F55" s="142" t="s">
        <v>48</v>
      </c>
      <c r="G55" s="487">
        <f t="shared" ref="G55:G61" si="9">AVERAGE(J30:K30)</f>
        <v>6.4389039359999997E-2</v>
      </c>
      <c r="H55" s="795"/>
      <c r="I55" s="212">
        <f t="shared" ref="I55:I61" si="10">AVERAGE(J4:K4)-$O$16</f>
        <v>25664</v>
      </c>
      <c r="J55" s="795"/>
      <c r="M55" s="647"/>
      <c r="N55" s="799"/>
      <c r="O55" s="490">
        <f>G44</f>
        <v>-1.5541834450000028E-3</v>
      </c>
      <c r="P55" s="797"/>
      <c r="Q55" s="490">
        <f t="shared" si="8"/>
        <v>8144.5</v>
      </c>
      <c r="R55" s="797"/>
      <c r="T55" s="648"/>
      <c r="U55" s="497">
        <v>50</v>
      </c>
      <c r="V55" s="2">
        <f>TTEST(O63:O66,O91:O94,2,2)</f>
        <v>0.47781977604790637</v>
      </c>
      <c r="W55" s="56">
        <f>TTEST(Q63:Q66,Q91:Q94,2,2)</f>
        <v>0.47781977604790693</v>
      </c>
      <c r="Z55" s="647"/>
      <c r="AA55" s="496" t="s">
        <v>388</v>
      </c>
      <c r="AC55" s="58"/>
    </row>
    <row r="56" spans="2:29" ht="15.75" thickBot="1" x14ac:dyDescent="0.3">
      <c r="B56" s="679"/>
      <c r="C56" s="477" t="s">
        <v>218</v>
      </c>
      <c r="D56" s="731" t="s">
        <v>233</v>
      </c>
      <c r="E56" s="681" t="s">
        <v>27</v>
      </c>
      <c r="F56" s="143" t="s">
        <v>44</v>
      </c>
      <c r="G56" s="486">
        <f t="shared" si="9"/>
        <v>9.7681530909999995E-2</v>
      </c>
      <c r="H56" s="793">
        <f>AVERAGE(G56:G60)</f>
        <v>5.2437618312000001E-2</v>
      </c>
      <c r="I56" s="72">
        <f t="shared" si="10"/>
        <v>34509</v>
      </c>
      <c r="J56" s="793">
        <f>AVERAGE(I56:I60)</f>
        <v>22488.799999999999</v>
      </c>
      <c r="M56" s="647"/>
      <c r="N56" s="799"/>
      <c r="O56" s="490">
        <f>G45</f>
        <v>2.8264367499999769E-4</v>
      </c>
      <c r="P56" s="797"/>
      <c r="Q56" s="490">
        <f t="shared" si="8"/>
        <v>8632.5</v>
      </c>
      <c r="R56" s="797"/>
      <c r="Z56" s="647"/>
      <c r="AA56" s="496" t="s">
        <v>389</v>
      </c>
      <c r="AB56">
        <f>TTEST(O86:O90,O95:O99,2,2)</f>
        <v>0.23408044014877194</v>
      </c>
      <c r="AC56" s="58">
        <f>TTEST(Q86:Q90,Q95:Q99,2,2)</f>
        <v>2.9854742464644635E-2</v>
      </c>
    </row>
    <row r="57" spans="2:29" ht="15.75" thickBot="1" x14ac:dyDescent="0.3">
      <c r="B57" s="679"/>
      <c r="C57" s="477" t="s">
        <v>218</v>
      </c>
      <c r="D57" s="731"/>
      <c r="E57" s="681"/>
      <c r="F57" s="143" t="s">
        <v>45</v>
      </c>
      <c r="G57" s="486">
        <f t="shared" si="9"/>
        <v>2.5362109044999998E-2</v>
      </c>
      <c r="H57" s="794"/>
      <c r="I57" s="72">
        <f t="shared" si="10"/>
        <v>15295.5</v>
      </c>
      <c r="J57" s="794"/>
      <c r="M57" s="647"/>
      <c r="N57" s="800"/>
      <c r="O57" s="494">
        <f>G46</f>
        <v>3.7994059485000002E-2</v>
      </c>
      <c r="P57" s="798"/>
      <c r="Q57" s="494">
        <f t="shared" si="8"/>
        <v>18651.5</v>
      </c>
      <c r="R57" s="798"/>
      <c r="T57" s="654" t="s">
        <v>382</v>
      </c>
      <c r="U57" s="652"/>
      <c r="V57" s="652"/>
      <c r="W57" s="652"/>
      <c r="X57" s="806"/>
      <c r="Y57" s="68"/>
      <c r="Z57" s="647"/>
      <c r="AA57" s="496" t="s">
        <v>390</v>
      </c>
      <c r="AC57" s="58"/>
    </row>
    <row r="58" spans="2:29" ht="15.75" thickBot="1" x14ac:dyDescent="0.3">
      <c r="B58" s="679"/>
      <c r="C58" s="477" t="s">
        <v>218</v>
      </c>
      <c r="D58" s="731"/>
      <c r="E58" s="681"/>
      <c r="F58" s="143" t="s">
        <v>46</v>
      </c>
      <c r="G58" s="486">
        <f t="shared" si="9"/>
        <v>6.2497634385E-2</v>
      </c>
      <c r="H58" s="794"/>
      <c r="I58" s="72">
        <f t="shared" si="10"/>
        <v>25161.5</v>
      </c>
      <c r="J58" s="794"/>
      <c r="M58" s="647"/>
      <c r="N58" s="799">
        <v>0.3</v>
      </c>
      <c r="O58" s="490">
        <f>G56</f>
        <v>9.7681530909999995E-2</v>
      </c>
      <c r="P58" s="797">
        <f t="shared" ref="P58:R62" si="11">H56</f>
        <v>5.2437618312000001E-2</v>
      </c>
      <c r="Q58" s="490">
        <f t="shared" si="11"/>
        <v>34509</v>
      </c>
      <c r="R58" s="797">
        <f t="shared" si="11"/>
        <v>22488.799999999999</v>
      </c>
      <c r="T58" s="51" t="s">
        <v>20</v>
      </c>
      <c r="U58" s="54" t="s">
        <v>361</v>
      </c>
      <c r="V58" s="52" t="s">
        <v>106</v>
      </c>
      <c r="W58" s="498" t="s">
        <v>381</v>
      </c>
      <c r="X58" s="54" t="s">
        <v>108</v>
      </c>
      <c r="Z58" s="647"/>
      <c r="AA58" s="496" t="s">
        <v>391</v>
      </c>
      <c r="AB58">
        <f>TTEST(O91:O94,O95:O99,2,2)</f>
        <v>0.81078413477668598</v>
      </c>
      <c r="AC58" s="58">
        <f>TTEST(Q91:Q94,Q95:Q99,2,2)</f>
        <v>0.50946651834267287</v>
      </c>
    </row>
    <row r="59" spans="2:29" x14ac:dyDescent="0.25">
      <c r="B59" s="679"/>
      <c r="C59" s="477" t="s">
        <v>218</v>
      </c>
      <c r="D59" s="731"/>
      <c r="E59" s="681"/>
      <c r="F59" s="143" t="s">
        <v>47</v>
      </c>
      <c r="G59" s="486">
        <f t="shared" si="9"/>
        <v>2.8537034609999998E-2</v>
      </c>
      <c r="H59" s="794"/>
      <c r="I59" s="72">
        <f t="shared" si="10"/>
        <v>16139</v>
      </c>
      <c r="J59" s="794"/>
      <c r="M59" s="647"/>
      <c r="N59" s="799"/>
      <c r="O59" s="490">
        <f>G57</f>
        <v>2.5362109044999998E-2</v>
      </c>
      <c r="P59" s="797"/>
      <c r="Q59" s="490">
        <f t="shared" si="11"/>
        <v>15295.5</v>
      </c>
      <c r="R59" s="797"/>
      <c r="T59" s="667" t="s">
        <v>24</v>
      </c>
      <c r="U59" s="505" t="s">
        <v>167</v>
      </c>
      <c r="V59" s="249">
        <f>AVERAGE(Q40:Q47)</f>
        <v>14388.5625</v>
      </c>
      <c r="W59" s="352">
        <f>STDEV(Q40:Q47)</f>
        <v>4783.4716206470493</v>
      </c>
      <c r="X59" s="55">
        <f>COUNT(Q40:Q47)</f>
        <v>8</v>
      </c>
      <c r="Z59" s="650"/>
      <c r="AA59" s="393" t="s">
        <v>392</v>
      </c>
      <c r="AB59" s="60"/>
      <c r="AC59" s="59"/>
    </row>
    <row r="60" spans="2:29" x14ac:dyDescent="0.25">
      <c r="B60" s="679"/>
      <c r="C60" s="139" t="s">
        <v>218</v>
      </c>
      <c r="D60" s="734"/>
      <c r="E60" s="682"/>
      <c r="F60" s="142" t="s">
        <v>48</v>
      </c>
      <c r="G60" s="487">
        <f t="shared" si="9"/>
        <v>4.8109782609999999E-2</v>
      </c>
      <c r="H60" s="795"/>
      <c r="I60" s="212">
        <f t="shared" si="10"/>
        <v>21339</v>
      </c>
      <c r="J60" s="795"/>
      <c r="M60" s="647"/>
      <c r="N60" s="799"/>
      <c r="O60" s="490">
        <f>G58</f>
        <v>6.2497634385E-2</v>
      </c>
      <c r="P60" s="797"/>
      <c r="Q60" s="490">
        <f t="shared" si="11"/>
        <v>25161.5</v>
      </c>
      <c r="R60" s="797"/>
      <c r="T60" s="665"/>
      <c r="U60" s="499">
        <v>0.05</v>
      </c>
      <c r="V60" s="162">
        <f>AVERAGE(Q48:Q52)</f>
        <v>23421.3</v>
      </c>
      <c r="W60" s="143">
        <f>STDEV(Q48:Q52)</f>
        <v>6960.7270327890355</v>
      </c>
      <c r="X60" s="58">
        <f>COUNT(Q48:Q52)</f>
        <v>5</v>
      </c>
      <c r="Z60" s="647" t="s">
        <v>393</v>
      </c>
      <c r="AA60" s="496" t="s">
        <v>167</v>
      </c>
      <c r="AB60">
        <f>TTEST(O40:O47,O76:O80,2,2)</f>
        <v>3.2382158967328489E-2</v>
      </c>
      <c r="AC60" s="58">
        <f>TTEST(Q40:Q47,Q76:Q80,2,2)</f>
        <v>0.15022137243645003</v>
      </c>
    </row>
    <row r="61" spans="2:29" x14ac:dyDescent="0.25">
      <c r="B61" s="679"/>
      <c r="C61" s="477" t="s">
        <v>206</v>
      </c>
      <c r="D61" s="731" t="s">
        <v>17</v>
      </c>
      <c r="E61" s="681" t="s">
        <v>27</v>
      </c>
      <c r="F61" s="143" t="s">
        <v>44</v>
      </c>
      <c r="G61" s="486">
        <f t="shared" si="9"/>
        <v>4.4343910614999996E-2</v>
      </c>
      <c r="H61" s="793">
        <f>AVERAGE(G61:G65)</f>
        <v>5.5947538987000001E-2</v>
      </c>
      <c r="I61" s="72">
        <f t="shared" si="10"/>
        <v>20338.5</v>
      </c>
      <c r="J61" s="793">
        <f>AVERAGE(I61:I65)</f>
        <v>23421.3</v>
      </c>
      <c r="M61" s="647"/>
      <c r="N61" s="799"/>
      <c r="O61" s="490">
        <f>G59</f>
        <v>2.8537034609999998E-2</v>
      </c>
      <c r="P61" s="797"/>
      <c r="Q61" s="490">
        <f t="shared" si="11"/>
        <v>16139</v>
      </c>
      <c r="R61" s="797"/>
      <c r="T61" s="665"/>
      <c r="U61" s="499">
        <v>0.15</v>
      </c>
      <c r="V61" s="162">
        <f>AVERAGE(Q53:Q57)</f>
        <v>10139.200000000001</v>
      </c>
      <c r="W61" s="143">
        <f>STDEV(Q53:Q57)</f>
        <v>4780.1350608534067</v>
      </c>
      <c r="X61" s="58">
        <f>COUNT(Q53:Q57)</f>
        <v>5</v>
      </c>
      <c r="Z61" s="647"/>
      <c r="AA61" s="496">
        <v>15</v>
      </c>
      <c r="AB61">
        <f>TTEST(O53:O57,O86:O90,2,2)</f>
        <v>1.9504632180883785E-2</v>
      </c>
      <c r="AC61" s="58">
        <f>TTEST(Q53:Q57,Q86:Q90,2,2)</f>
        <v>1.9504632180883805E-2</v>
      </c>
    </row>
    <row r="62" spans="2:29" x14ac:dyDescent="0.25">
      <c r="B62" s="679"/>
      <c r="C62" s="477" t="s">
        <v>206</v>
      </c>
      <c r="D62" s="731"/>
      <c r="E62" s="681"/>
      <c r="F62" s="143" t="s">
        <v>45</v>
      </c>
      <c r="G62" s="486">
        <f>AVERAGE(L29:M29)</f>
        <v>0.102219020855</v>
      </c>
      <c r="H62" s="794"/>
      <c r="I62" s="72">
        <f>AVERAGE(L3:M3)-$O$16</f>
        <v>35714.5</v>
      </c>
      <c r="J62" s="794"/>
      <c r="M62" s="647"/>
      <c r="N62" s="800"/>
      <c r="O62" s="494">
        <f>G60</f>
        <v>4.8109782609999999E-2</v>
      </c>
      <c r="P62" s="798"/>
      <c r="Q62" s="494">
        <f t="shared" si="11"/>
        <v>21339</v>
      </c>
      <c r="R62" s="798"/>
      <c r="T62" s="665"/>
      <c r="U62" s="499">
        <v>0.3</v>
      </c>
      <c r="V62" s="162">
        <f>AVERAGE(Q58:Q62)</f>
        <v>22488.799999999999</v>
      </c>
      <c r="W62" s="143">
        <f>STDEV(Q58:Q62)</f>
        <v>7826.4630948468703</v>
      </c>
      <c r="X62" s="58">
        <f>COUNT(Q58:Q62)</f>
        <v>5</v>
      </c>
      <c r="Z62" s="647"/>
      <c r="AA62" s="496">
        <v>50</v>
      </c>
      <c r="AB62">
        <f>TTEST(O63:O66,O91:O94,2,2)</f>
        <v>0.47781977604790637</v>
      </c>
      <c r="AC62" s="58">
        <f>TTEST(Q63:Q66,Q91:Q94,2,2)</f>
        <v>0.47781977604790693</v>
      </c>
    </row>
    <row r="63" spans="2:29" x14ac:dyDescent="0.25">
      <c r="B63" s="679"/>
      <c r="C63" s="477" t="s">
        <v>206</v>
      </c>
      <c r="D63" s="731"/>
      <c r="E63" s="681"/>
      <c r="F63" s="143" t="s">
        <v>46</v>
      </c>
      <c r="G63" s="486">
        <f t="shared" ref="G63:G69" si="12">AVERAGE(L30:M30)</f>
        <v>4.8738368939999999E-2</v>
      </c>
      <c r="H63" s="794"/>
      <c r="I63" s="72">
        <f t="shared" ref="I63:I69" si="13">AVERAGE(L4:M4)-$O$16</f>
        <v>21506</v>
      </c>
      <c r="J63" s="794"/>
      <c r="M63" s="647"/>
      <c r="N63" s="799">
        <v>0.5</v>
      </c>
      <c r="O63" s="490">
        <f>G38</f>
        <v>2.380946317E-2</v>
      </c>
      <c r="P63" s="797">
        <f t="shared" ref="P63:R66" si="14">H38</f>
        <v>4.0372901165000002E-2</v>
      </c>
      <c r="Q63" s="490">
        <f t="shared" si="14"/>
        <v>14883</v>
      </c>
      <c r="R63" s="797">
        <f t="shared" si="14"/>
        <v>19283.5</v>
      </c>
      <c r="T63" s="665"/>
      <c r="U63" s="499">
        <v>0.5</v>
      </c>
      <c r="V63" s="162">
        <f>AVERAGE(Q63:Q66)</f>
        <v>19283.5</v>
      </c>
      <c r="W63" s="143">
        <f>STDEV(Q63:Q66)</f>
        <v>10768.989599772116</v>
      </c>
      <c r="X63" s="58">
        <f>COUNT(Q63:Q66)</f>
        <v>4</v>
      </c>
      <c r="Z63" s="647"/>
      <c r="AA63" s="496" t="s">
        <v>394</v>
      </c>
      <c r="AC63" s="58"/>
    </row>
    <row r="64" spans="2:29" ht="15.75" thickBot="1" x14ac:dyDescent="0.3">
      <c r="B64" s="679"/>
      <c r="C64" s="477" t="s">
        <v>206</v>
      </c>
      <c r="D64" s="731"/>
      <c r="E64" s="681"/>
      <c r="F64" s="143" t="s">
        <v>47</v>
      </c>
      <c r="G64" s="486">
        <f t="shared" si="12"/>
        <v>4.6752864214999995E-2</v>
      </c>
      <c r="H64" s="794"/>
      <c r="I64" s="72">
        <f t="shared" si="13"/>
        <v>20978.5</v>
      </c>
      <c r="J64" s="794"/>
      <c r="M64" s="647"/>
      <c r="N64" s="799"/>
      <c r="O64" s="490">
        <f>G39</f>
        <v>0.10077553069</v>
      </c>
      <c r="P64" s="797"/>
      <c r="Q64" s="490">
        <f t="shared" si="14"/>
        <v>35331</v>
      </c>
      <c r="R64" s="797"/>
      <c r="T64" s="665"/>
      <c r="U64" s="496" t="s">
        <v>363</v>
      </c>
      <c r="V64" s="162">
        <f>AVERAGE(Q67:Q70)</f>
        <v>14846.5</v>
      </c>
      <c r="W64" s="143">
        <f>STDEV(Q67:Q70)</f>
        <v>622.37301248260007</v>
      </c>
      <c r="X64" s="58">
        <f>COUNT(Q67:Q70)</f>
        <v>4</v>
      </c>
      <c r="Z64" s="648"/>
      <c r="AA64" s="497" t="s">
        <v>166</v>
      </c>
      <c r="AB64" s="2">
        <f>TTEST(O71:O75,O95:O99,2,2)</f>
        <v>2.2686275680457689E-5</v>
      </c>
      <c r="AC64" s="56">
        <f>TTEST(Q71:Q75,Q95:Q99,2,2)</f>
        <v>1.9549549667382256E-3</v>
      </c>
    </row>
    <row r="65" spans="2:24" x14ac:dyDescent="0.25">
      <c r="B65" s="679"/>
      <c r="C65" s="139" t="s">
        <v>206</v>
      </c>
      <c r="D65" s="734"/>
      <c r="E65" s="682"/>
      <c r="F65" s="142" t="s">
        <v>48</v>
      </c>
      <c r="G65" s="487">
        <f t="shared" si="12"/>
        <v>3.7683530309999998E-2</v>
      </c>
      <c r="H65" s="795"/>
      <c r="I65" s="212">
        <f t="shared" si="13"/>
        <v>18569</v>
      </c>
      <c r="J65" s="795"/>
      <c r="M65" s="647"/>
      <c r="N65" s="799"/>
      <c r="O65" s="490">
        <f>G40</f>
        <v>1.3691858049999998E-2</v>
      </c>
      <c r="P65" s="797"/>
      <c r="Q65" s="490">
        <f t="shared" si="14"/>
        <v>12195</v>
      </c>
      <c r="R65" s="797"/>
      <c r="T65" s="746"/>
      <c r="U65" s="504" t="s">
        <v>166</v>
      </c>
      <c r="V65" s="234">
        <f>AVERAGE(Q71:Q75)</f>
        <v>18463.3</v>
      </c>
      <c r="W65" s="142">
        <f>STDEV(Q71:Q75)</f>
        <v>1420.6555529050665</v>
      </c>
      <c r="X65" s="59">
        <f>COUNT(Q71:Q75)</f>
        <v>5</v>
      </c>
    </row>
    <row r="66" spans="2:24" x14ac:dyDescent="0.25">
      <c r="B66" s="679"/>
      <c r="C66" s="477" t="s">
        <v>298</v>
      </c>
      <c r="D66" s="731" t="s">
        <v>330</v>
      </c>
      <c r="E66" s="681" t="s">
        <v>27</v>
      </c>
      <c r="F66" s="143" t="s">
        <v>44</v>
      </c>
      <c r="G66" s="486">
        <f t="shared" si="12"/>
        <v>2.412940232E-2</v>
      </c>
      <c r="H66" s="793">
        <f>AVERAGE(G66:G69)</f>
        <v>2.3672077534999995E-2</v>
      </c>
      <c r="I66" s="72">
        <f t="shared" si="13"/>
        <v>14968</v>
      </c>
      <c r="J66" s="793">
        <f>AVERAGE(I66:I69)</f>
        <v>14846.5</v>
      </c>
      <c r="M66" s="647"/>
      <c r="N66" s="800"/>
      <c r="O66" s="494">
        <f>G41</f>
        <v>2.3214752749999998E-2</v>
      </c>
      <c r="P66" s="798"/>
      <c r="Q66" s="494">
        <f t="shared" si="14"/>
        <v>14725</v>
      </c>
      <c r="R66" s="798"/>
      <c r="T66" s="745" t="s">
        <v>28</v>
      </c>
      <c r="U66" s="176" t="s">
        <v>167</v>
      </c>
      <c r="V66" s="162">
        <f>AVERAGE(Q76:Q80)</f>
        <v>10823.5</v>
      </c>
      <c r="W66">
        <f>STDEV(Q76:Q80)</f>
        <v>2217.0480937498851</v>
      </c>
      <c r="X66" s="27">
        <f>COUNT(Q76:Q80)</f>
        <v>5</v>
      </c>
    </row>
    <row r="67" spans="2:24" x14ac:dyDescent="0.25">
      <c r="B67" s="679"/>
      <c r="C67" s="477" t="s">
        <v>298</v>
      </c>
      <c r="D67" s="731"/>
      <c r="E67" s="681"/>
      <c r="F67" s="143" t="s">
        <v>45</v>
      </c>
      <c r="G67" s="486">
        <f t="shared" si="12"/>
        <v>2.2610632354999997E-2</v>
      </c>
      <c r="H67" s="794"/>
      <c r="I67" s="72">
        <f t="shared" si="13"/>
        <v>14564.5</v>
      </c>
      <c r="J67" s="794"/>
      <c r="M67" s="647"/>
      <c r="N67" s="662" t="s">
        <v>363</v>
      </c>
      <c r="O67" s="490">
        <f>G66</f>
        <v>2.412940232E-2</v>
      </c>
      <c r="P67" s="797">
        <f t="shared" ref="P67:R70" si="15">H66</f>
        <v>2.3672077534999995E-2</v>
      </c>
      <c r="Q67" s="490">
        <f t="shared" si="15"/>
        <v>14968</v>
      </c>
      <c r="R67" s="797">
        <f t="shared" si="15"/>
        <v>14846.5</v>
      </c>
      <c r="T67" s="665"/>
      <c r="U67" s="489">
        <v>0.05</v>
      </c>
      <c r="V67" s="162">
        <f>AVERAGE(Q81:Q85)</f>
        <v>12546.5</v>
      </c>
      <c r="W67" s="143">
        <f>STDEV(Q81:Q85)</f>
        <v>3274.4191851380301</v>
      </c>
      <c r="X67" s="58">
        <f>COUNT(Q81:Q85)</f>
        <v>5</v>
      </c>
    </row>
    <row r="68" spans="2:24" x14ac:dyDescent="0.25">
      <c r="B68" s="679"/>
      <c r="C68" s="477" t="s">
        <v>298</v>
      </c>
      <c r="D68" s="731"/>
      <c r="E68" s="681"/>
      <c r="F68" s="143" t="s">
        <v>46</v>
      </c>
      <c r="G68" s="486">
        <f t="shared" si="12"/>
        <v>2.1240539994999995E-2</v>
      </c>
      <c r="H68" s="794"/>
      <c r="I68" s="72">
        <f t="shared" si="13"/>
        <v>14200.5</v>
      </c>
      <c r="J68" s="794"/>
      <c r="M68" s="647"/>
      <c r="N68" s="662"/>
      <c r="O68" s="490">
        <f>G67</f>
        <v>2.2610632354999997E-2</v>
      </c>
      <c r="P68" s="797"/>
      <c r="Q68" s="490">
        <f t="shared" si="15"/>
        <v>14564.5</v>
      </c>
      <c r="R68" s="797"/>
      <c r="T68" s="665"/>
      <c r="U68" s="489">
        <v>0.15</v>
      </c>
      <c r="V68" s="162">
        <f>AVERAGE(Q86:Q90)</f>
        <v>18534.599999999999</v>
      </c>
      <c r="W68" s="143">
        <f>STDEV(Q86:Q90)</f>
        <v>4322.7750837858785</v>
      </c>
      <c r="X68" s="58">
        <f>COUNT(Q86:Q90)</f>
        <v>5</v>
      </c>
    </row>
    <row r="69" spans="2:24" x14ac:dyDescent="0.25">
      <c r="B69" s="679"/>
      <c r="C69" s="139" t="s">
        <v>298</v>
      </c>
      <c r="D69" s="734"/>
      <c r="E69" s="682"/>
      <c r="F69" s="142" t="s">
        <v>47</v>
      </c>
      <c r="G69" s="487">
        <f t="shared" si="12"/>
        <v>2.6707735469999997E-2</v>
      </c>
      <c r="H69" s="795"/>
      <c r="I69" s="212">
        <f t="shared" si="13"/>
        <v>15653</v>
      </c>
      <c r="J69" s="795"/>
      <c r="M69" s="647"/>
      <c r="N69" s="662"/>
      <c r="O69" s="490">
        <f>G68</f>
        <v>2.1240539994999995E-2</v>
      </c>
      <c r="P69" s="797"/>
      <c r="Q69" s="490">
        <f t="shared" si="15"/>
        <v>14200.5</v>
      </c>
      <c r="R69" s="797"/>
      <c r="T69" s="665"/>
      <c r="U69" s="489">
        <v>0.5</v>
      </c>
      <c r="V69" s="162">
        <f>AVERAGE(Q91:Q94)</f>
        <v>14405.875</v>
      </c>
      <c r="W69" s="143">
        <f>STDEV(Q91:Q94)</f>
        <v>7083.8338886862666</v>
      </c>
      <c r="X69" s="58">
        <f>COUNT(Q91:Q94)</f>
        <v>4</v>
      </c>
    </row>
    <row r="70" spans="2:24" ht="15.75" thickBot="1" x14ac:dyDescent="0.3">
      <c r="B70" s="679"/>
      <c r="C70" s="477" t="s">
        <v>70</v>
      </c>
      <c r="D70" s="731" t="s">
        <v>18</v>
      </c>
      <c r="E70" s="681" t="s">
        <v>27</v>
      </c>
      <c r="F70" s="143" t="s">
        <v>44</v>
      </c>
      <c r="G70" s="486">
        <f>AVERAGE(N29:O29)</f>
        <v>2.5717806099999997E-2</v>
      </c>
      <c r="H70" s="793">
        <f>AVERAGE(G70:G74)</f>
        <v>1.5014900534999997E-2</v>
      </c>
      <c r="I70" s="72">
        <f>AVERAGE(N3:O3)-$O$16</f>
        <v>15390</v>
      </c>
      <c r="J70" s="793">
        <f>AVERAGE(I70:I74)</f>
        <v>12546.5</v>
      </c>
      <c r="M70" s="647"/>
      <c r="N70" s="728"/>
      <c r="O70" s="494">
        <f>G69</f>
        <v>2.6707735469999997E-2</v>
      </c>
      <c r="P70" s="798"/>
      <c r="Q70" s="494">
        <f t="shared" si="15"/>
        <v>15653</v>
      </c>
      <c r="R70" s="798"/>
      <c r="T70" s="666"/>
      <c r="U70" s="389" t="s">
        <v>166</v>
      </c>
      <c r="V70" s="163">
        <f>AVERAGE(Q95:Q99)</f>
        <v>11744.5</v>
      </c>
      <c r="W70" s="2">
        <f>STDEV(Q95:Q99)</f>
        <v>2728.9470802246547</v>
      </c>
      <c r="X70" s="8">
        <f>COUNT(Q95:Q99)</f>
        <v>4</v>
      </c>
    </row>
    <row r="71" spans="2:24" x14ac:dyDescent="0.25">
      <c r="B71" s="679"/>
      <c r="C71" s="477" t="s">
        <v>70</v>
      </c>
      <c r="D71" s="731"/>
      <c r="E71" s="681"/>
      <c r="F71" s="143" t="s">
        <v>45</v>
      </c>
      <c r="G71" s="486">
        <f>AVERAGE(N30:O30)</f>
        <v>3.0104736444999999E-2</v>
      </c>
      <c r="H71" s="794"/>
      <c r="I71" s="72">
        <f>AVERAGE(N4:O4)-$O$16</f>
        <v>16555.5</v>
      </c>
      <c r="J71" s="794"/>
      <c r="M71" s="647"/>
      <c r="N71" s="727" t="s">
        <v>166</v>
      </c>
      <c r="O71" s="490">
        <v>7.1687429105500008E-2</v>
      </c>
      <c r="P71" s="801">
        <f>AVERAGE(O71:O75)</f>
        <v>7.4864308142500002E-2</v>
      </c>
      <c r="Q71" s="490">
        <v>17645.5</v>
      </c>
      <c r="R71" s="801">
        <f>AVERAGE(Q71:Q75)</f>
        <v>18463.3</v>
      </c>
    </row>
    <row r="72" spans="2:24" x14ac:dyDescent="0.25">
      <c r="B72" s="679"/>
      <c r="C72" s="477" t="s">
        <v>70</v>
      </c>
      <c r="D72" s="731"/>
      <c r="E72" s="681"/>
      <c r="F72" s="143" t="s">
        <v>46</v>
      </c>
      <c r="G72" s="486">
        <f>AVERAGE(N31:O31)</f>
        <v>8.572831649999996E-3</v>
      </c>
      <c r="H72" s="794"/>
      <c r="I72" s="72">
        <f>AVERAGE(N5:O5)-$O$16</f>
        <v>10835</v>
      </c>
      <c r="J72" s="794"/>
      <c r="M72" s="647"/>
      <c r="N72" s="662"/>
      <c r="O72" s="490">
        <v>8.2292564555500006E-2</v>
      </c>
      <c r="P72" s="797"/>
      <c r="Q72" s="490">
        <v>20375.5</v>
      </c>
      <c r="R72" s="797"/>
    </row>
    <row r="73" spans="2:24" x14ac:dyDescent="0.25">
      <c r="B73" s="679"/>
      <c r="C73" s="477" t="s">
        <v>70</v>
      </c>
      <c r="D73" s="731"/>
      <c r="E73" s="681"/>
      <c r="F73" s="143" t="s">
        <v>47</v>
      </c>
      <c r="G73" s="486">
        <f>AVERAGE(N32:O32)</f>
        <v>1.0599076099999955E-3</v>
      </c>
      <c r="H73" s="794"/>
      <c r="I73" s="72">
        <f>AVERAGE(N6:O6)-$O$16</f>
        <v>8839</v>
      </c>
      <c r="J73" s="794"/>
      <c r="M73" s="647"/>
      <c r="N73" s="662"/>
      <c r="O73" s="490">
        <v>6.7806648770499994E-2</v>
      </c>
      <c r="P73" s="797"/>
      <c r="Q73" s="490">
        <v>16646.5</v>
      </c>
      <c r="R73" s="797"/>
    </row>
    <row r="74" spans="2:24" ht="15.75" thickBot="1" x14ac:dyDescent="0.3">
      <c r="B74" s="673"/>
      <c r="C74" s="478" t="s">
        <v>70</v>
      </c>
      <c r="D74" s="732"/>
      <c r="E74" s="684"/>
      <c r="F74" s="144" t="s">
        <v>48</v>
      </c>
      <c r="G74" s="488">
        <f>AVERAGE(N33:O33)</f>
        <v>9.6192208699999969E-3</v>
      </c>
      <c r="H74" s="796"/>
      <c r="I74" s="73">
        <f>AVERAGE(N7:O7)-$O$16</f>
        <v>11113</v>
      </c>
      <c r="J74" s="795"/>
      <c r="M74" s="647"/>
      <c r="N74" s="662"/>
      <c r="O74" s="490">
        <v>7.7452271965500002E-2</v>
      </c>
      <c r="P74" s="797"/>
      <c r="Q74" s="490">
        <v>19129.5</v>
      </c>
      <c r="R74" s="797"/>
    </row>
    <row r="75" spans="2:24" ht="15.75" thickBot="1" x14ac:dyDescent="0.3">
      <c r="M75" s="648"/>
      <c r="N75" s="663"/>
      <c r="O75" s="491">
        <v>7.5082626315500001E-2</v>
      </c>
      <c r="P75" s="802"/>
      <c r="Q75" s="491">
        <v>18519.5</v>
      </c>
      <c r="R75" s="802"/>
    </row>
    <row r="76" spans="2:24" x14ac:dyDescent="0.25">
      <c r="M76" s="649" t="s">
        <v>28</v>
      </c>
      <c r="N76" s="664" t="s">
        <v>167</v>
      </c>
      <c r="O76" s="493">
        <v>3.0955666306999995E-2</v>
      </c>
      <c r="P76" s="803">
        <f>AVERAGE(O76:O80)</f>
        <v>2.2387332610999996E-2</v>
      </c>
      <c r="Q76" s="493">
        <v>13319.5</v>
      </c>
      <c r="R76" s="803">
        <f>AVERAGE(Q76:Q80)</f>
        <v>10823.5</v>
      </c>
    </row>
    <row r="77" spans="2:24" x14ac:dyDescent="0.25">
      <c r="M77" s="647"/>
      <c r="N77" s="662"/>
      <c r="O77" s="490">
        <v>1.6762647209999999E-2</v>
      </c>
      <c r="P77" s="797"/>
      <c r="Q77" s="490">
        <v>9185</v>
      </c>
      <c r="R77" s="797"/>
    </row>
    <row r="78" spans="2:24" x14ac:dyDescent="0.25">
      <c r="M78" s="647"/>
      <c r="N78" s="662"/>
      <c r="O78" s="490">
        <v>1.4109072711999997E-2</v>
      </c>
      <c r="P78" s="797"/>
      <c r="Q78" s="490">
        <v>8412</v>
      </c>
      <c r="R78" s="797"/>
    </row>
    <row r="79" spans="2:24" x14ac:dyDescent="0.25">
      <c r="M79" s="647"/>
      <c r="N79" s="662"/>
      <c r="O79" s="490">
        <v>2.0370547335999998E-2</v>
      </c>
      <c r="P79" s="797"/>
      <c r="Q79" s="490">
        <v>10236</v>
      </c>
      <c r="R79" s="797"/>
    </row>
    <row r="80" spans="2:24" x14ac:dyDescent="0.25">
      <c r="M80" s="647"/>
      <c r="N80" s="728"/>
      <c r="O80" s="494">
        <v>2.9738729489999994E-2</v>
      </c>
      <c r="P80" s="798"/>
      <c r="Q80" s="494">
        <v>12965</v>
      </c>
      <c r="R80" s="798"/>
    </row>
    <row r="81" spans="13:18" x14ac:dyDescent="0.25">
      <c r="M81" s="647"/>
      <c r="N81" s="799">
        <v>0.05</v>
      </c>
      <c r="O81" s="490">
        <f>G70</f>
        <v>2.5717806099999997E-2</v>
      </c>
      <c r="P81" s="797">
        <f>AVERAGE(O81:O85)</f>
        <v>1.5014900534999997E-2</v>
      </c>
      <c r="Q81" s="490">
        <f>I70</f>
        <v>15390</v>
      </c>
      <c r="R81" s="797">
        <f>AVERAGE(Q81:Q85)</f>
        <v>12546.5</v>
      </c>
    </row>
    <row r="82" spans="13:18" x14ac:dyDescent="0.25">
      <c r="M82" s="647"/>
      <c r="N82" s="799"/>
      <c r="O82" s="490">
        <f>G71</f>
        <v>3.0104736444999999E-2</v>
      </c>
      <c r="P82" s="797"/>
      <c r="Q82" s="490">
        <f>I71</f>
        <v>16555.5</v>
      </c>
      <c r="R82" s="797"/>
    </row>
    <row r="83" spans="13:18" x14ac:dyDescent="0.25">
      <c r="M83" s="647"/>
      <c r="N83" s="799"/>
      <c r="O83" s="490">
        <f>G72</f>
        <v>8.572831649999996E-3</v>
      </c>
      <c r="P83" s="797"/>
      <c r="Q83" s="490">
        <f>I72</f>
        <v>10835</v>
      </c>
      <c r="R83" s="797"/>
    </row>
    <row r="84" spans="13:18" x14ac:dyDescent="0.25">
      <c r="M84" s="647"/>
      <c r="N84" s="799"/>
      <c r="O84" s="490">
        <f>G73</f>
        <v>1.0599076099999955E-3</v>
      </c>
      <c r="P84" s="797"/>
      <c r="Q84" s="490">
        <f>I73</f>
        <v>8839</v>
      </c>
      <c r="R84" s="797"/>
    </row>
    <row r="85" spans="13:18" x14ac:dyDescent="0.25">
      <c r="M85" s="647"/>
      <c r="N85" s="800"/>
      <c r="O85" s="494">
        <f>G74</f>
        <v>9.6192208699999969E-3</v>
      </c>
      <c r="P85" s="798"/>
      <c r="Q85" s="494">
        <f>I74</f>
        <v>11113</v>
      </c>
      <c r="R85" s="798"/>
    </row>
    <row r="86" spans="13:18" x14ac:dyDescent="0.25">
      <c r="M86" s="647"/>
      <c r="N86" s="799">
        <v>0.15</v>
      </c>
      <c r="O86" s="490">
        <f>G51</f>
        <v>2.0244964639999998E-2</v>
      </c>
      <c r="P86" s="797">
        <f>AVERAGE(O86:O90)</f>
        <v>3.7554049053999998E-2</v>
      </c>
      <c r="Q86" s="490">
        <f>I51</f>
        <v>13936</v>
      </c>
      <c r="R86" s="797">
        <f>AVERAGE(Q86:Q90)</f>
        <v>18534.599999999999</v>
      </c>
    </row>
    <row r="87" spans="13:18" x14ac:dyDescent="0.25">
      <c r="M87" s="647"/>
      <c r="N87" s="799"/>
      <c r="O87" s="490">
        <f>G52</f>
        <v>3.6492227475E-2</v>
      </c>
      <c r="P87" s="797"/>
      <c r="Q87" s="490">
        <f>I52</f>
        <v>18252.5</v>
      </c>
      <c r="R87" s="797"/>
    </row>
    <row r="88" spans="13:18" x14ac:dyDescent="0.25">
      <c r="M88" s="647"/>
      <c r="N88" s="799"/>
      <c r="O88" s="490">
        <f>G53</f>
        <v>3.4393803049999998E-2</v>
      </c>
      <c r="P88" s="797"/>
      <c r="Q88" s="490">
        <f>I53</f>
        <v>17695</v>
      </c>
      <c r="R88" s="797"/>
    </row>
    <row r="89" spans="13:18" x14ac:dyDescent="0.25">
      <c r="M89" s="647"/>
      <c r="N89" s="799"/>
      <c r="O89" s="490">
        <f>G54</f>
        <v>3.2250210744999994E-2</v>
      </c>
      <c r="P89" s="797"/>
      <c r="Q89" s="490">
        <f>I54</f>
        <v>17125.5</v>
      </c>
      <c r="R89" s="797"/>
    </row>
    <row r="90" spans="13:18" x14ac:dyDescent="0.25">
      <c r="M90" s="647"/>
      <c r="N90" s="800"/>
      <c r="O90" s="494">
        <f>G55</f>
        <v>6.4389039359999997E-2</v>
      </c>
      <c r="P90" s="798"/>
      <c r="Q90" s="494">
        <f>I55</f>
        <v>25664</v>
      </c>
      <c r="R90" s="798"/>
    </row>
    <row r="91" spans="13:18" x14ac:dyDescent="0.25">
      <c r="M91" s="647"/>
      <c r="N91" s="804">
        <v>0.5</v>
      </c>
      <c r="O91" s="502">
        <f>G47</f>
        <v>1.3279701145E-2</v>
      </c>
      <c r="P91" s="801">
        <v>2.2387332610999996E-2</v>
      </c>
      <c r="Q91" s="502">
        <f>I47</f>
        <v>12085.5</v>
      </c>
      <c r="R91" s="801">
        <v>2.2387332610999996E-2</v>
      </c>
    </row>
    <row r="92" spans="13:18" x14ac:dyDescent="0.25">
      <c r="M92" s="647"/>
      <c r="N92" s="799"/>
      <c r="O92" s="490">
        <f>G48</f>
        <v>6.0246768364999995E-2</v>
      </c>
      <c r="P92" s="797"/>
      <c r="Q92" s="490">
        <f>I48</f>
        <v>24563.5</v>
      </c>
      <c r="R92" s="797"/>
    </row>
    <row r="93" spans="13:18" x14ac:dyDescent="0.25">
      <c r="M93" s="647"/>
      <c r="N93" s="799"/>
      <c r="O93" s="490">
        <f>G49</f>
        <v>1.6198675389999997E-2</v>
      </c>
      <c r="P93" s="797"/>
      <c r="Q93" s="490">
        <f>I49</f>
        <v>12861</v>
      </c>
      <c r="R93" s="797"/>
    </row>
    <row r="94" spans="13:18" ht="15.75" thickBot="1" x14ac:dyDescent="0.3">
      <c r="M94" s="647"/>
      <c r="N94" s="800"/>
      <c r="O94" s="494">
        <f>G50</f>
        <v>-1.670867135000002E-3</v>
      </c>
      <c r="P94" s="798"/>
      <c r="Q94" s="494">
        <f>I50</f>
        <v>8113.5</v>
      </c>
      <c r="R94" s="798"/>
    </row>
    <row r="95" spans="13:18" x14ac:dyDescent="0.25">
      <c r="M95" s="647"/>
      <c r="N95" s="727" t="s">
        <v>166</v>
      </c>
      <c r="O95" s="72">
        <v>2.3309046391999995E-2</v>
      </c>
      <c r="P95" s="803">
        <f>AVERAGE(O95:O99)</f>
        <v>2.5548965356999995E-2</v>
      </c>
      <c r="Q95" s="72">
        <v>11092</v>
      </c>
      <c r="R95" s="803">
        <f>AVERAGE(Q95:Q99)</f>
        <v>11744.5</v>
      </c>
    </row>
    <row r="96" spans="13:18" x14ac:dyDescent="0.25">
      <c r="M96" s="647"/>
      <c r="N96" s="662"/>
      <c r="O96" s="72"/>
      <c r="P96" s="797"/>
      <c r="Q96" s="72"/>
      <c r="R96" s="797"/>
    </row>
    <row r="97" spans="13:18" x14ac:dyDescent="0.25">
      <c r="M97" s="647"/>
      <c r="N97" s="662"/>
      <c r="O97" s="72">
        <v>2.4328595713999996E-2</v>
      </c>
      <c r="P97" s="797"/>
      <c r="Q97" s="72">
        <v>11389</v>
      </c>
      <c r="R97" s="797"/>
    </row>
    <row r="98" spans="13:18" x14ac:dyDescent="0.25">
      <c r="M98" s="647"/>
      <c r="N98" s="662"/>
      <c r="O98" s="72">
        <v>1.6081231248999996E-2</v>
      </c>
      <c r="P98" s="797"/>
      <c r="Q98" s="72">
        <v>8986.5</v>
      </c>
      <c r="R98" s="797"/>
    </row>
    <row r="99" spans="13:18" ht="15.75" thickBot="1" x14ac:dyDescent="0.3">
      <c r="M99" s="648"/>
      <c r="N99" s="663"/>
      <c r="O99" s="73">
        <v>3.8476988072999999E-2</v>
      </c>
      <c r="P99" s="798"/>
      <c r="Q99" s="73">
        <v>15510.5</v>
      </c>
      <c r="R99" s="798"/>
    </row>
  </sheetData>
  <mergeCells count="86">
    <mergeCell ref="T59:T65"/>
    <mergeCell ref="Z38:AC38"/>
    <mergeCell ref="Z50:Z59"/>
    <mergeCell ref="Z40:Z49"/>
    <mergeCell ref="Z60:Z64"/>
    <mergeCell ref="T57:X57"/>
    <mergeCell ref="T40:T49"/>
    <mergeCell ref="T53:T55"/>
    <mergeCell ref="T50:T52"/>
    <mergeCell ref="T38:W38"/>
    <mergeCell ref="M76:M99"/>
    <mergeCell ref="N95:N99"/>
    <mergeCell ref="P95:P99"/>
    <mergeCell ref="R95:R99"/>
    <mergeCell ref="T66:T70"/>
    <mergeCell ref="N91:N94"/>
    <mergeCell ref="N81:N85"/>
    <mergeCell ref="N86:N90"/>
    <mergeCell ref="P76:P80"/>
    <mergeCell ref="N76:N80"/>
    <mergeCell ref="R86:R90"/>
    <mergeCell ref="R91:R94"/>
    <mergeCell ref="P91:P94"/>
    <mergeCell ref="P86:P90"/>
    <mergeCell ref="P81:P85"/>
    <mergeCell ref="R76:R80"/>
    <mergeCell ref="N40:N47"/>
    <mergeCell ref="P71:P75"/>
    <mergeCell ref="R71:R75"/>
    <mergeCell ref="N71:N75"/>
    <mergeCell ref="P63:P66"/>
    <mergeCell ref="P58:P62"/>
    <mergeCell ref="P67:P70"/>
    <mergeCell ref="R58:R62"/>
    <mergeCell ref="R63:R66"/>
    <mergeCell ref="R67:R70"/>
    <mergeCell ref="P53:P57"/>
    <mergeCell ref="P48:P52"/>
    <mergeCell ref="R48:R52"/>
    <mergeCell ref="R53:R57"/>
    <mergeCell ref="R40:R47"/>
    <mergeCell ref="P40:P47"/>
    <mergeCell ref="R81:R85"/>
    <mergeCell ref="J38:J41"/>
    <mergeCell ref="J42:J46"/>
    <mergeCell ref="J51:J55"/>
    <mergeCell ref="J56:J60"/>
    <mergeCell ref="J61:J65"/>
    <mergeCell ref="J70:J74"/>
    <mergeCell ref="J66:J69"/>
    <mergeCell ref="J47:J50"/>
    <mergeCell ref="N67:N70"/>
    <mergeCell ref="N63:N66"/>
    <mergeCell ref="N58:N62"/>
    <mergeCell ref="N53:N57"/>
    <mergeCell ref="N48:N52"/>
    <mergeCell ref="M40:M75"/>
    <mergeCell ref="M38:R38"/>
    <mergeCell ref="E61:E65"/>
    <mergeCell ref="E66:E69"/>
    <mergeCell ref="E70:E74"/>
    <mergeCell ref="H38:H41"/>
    <mergeCell ref="H42:H46"/>
    <mergeCell ref="H51:H55"/>
    <mergeCell ref="H56:H60"/>
    <mergeCell ref="H61:H65"/>
    <mergeCell ref="H70:H74"/>
    <mergeCell ref="H47:H50"/>
    <mergeCell ref="H66:H69"/>
    <mergeCell ref="E47:E50"/>
    <mergeCell ref="E42:E46"/>
    <mergeCell ref="E38:E41"/>
    <mergeCell ref="E51:E55"/>
    <mergeCell ref="E56:E60"/>
    <mergeCell ref="B2:B10"/>
    <mergeCell ref="B11:B27"/>
    <mergeCell ref="B28:B36"/>
    <mergeCell ref="D70:D74"/>
    <mergeCell ref="D66:D69"/>
    <mergeCell ref="D61:D65"/>
    <mergeCell ref="D56:D60"/>
    <mergeCell ref="D51:D55"/>
    <mergeCell ref="D47:D50"/>
    <mergeCell ref="D42:D46"/>
    <mergeCell ref="D38:D41"/>
    <mergeCell ref="B37:B74"/>
  </mergeCells>
  <phoneticPr fontId="7" type="noConversion"/>
  <conditionalFormatting sqref="V40:W55">
    <cfRule type="cellIs" dxfId="20" priority="2" operator="lessThan">
      <formula>0.05</formula>
    </cfRule>
  </conditionalFormatting>
  <conditionalFormatting sqref="AB40:AC51 AB53:AC54 AB56:AC56 AB58:AC58 AB60:AC62 AB64:AC64">
    <cfRule type="cellIs" dxfId="19" priority="1" operator="lessThan">
      <formula>0.05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C435-2846-44A3-A2D9-34DDEADB2EB1}">
  <dimension ref="B1:O48"/>
  <sheetViews>
    <sheetView workbookViewId="0">
      <selection activeCell="H20" sqref="H20:H24"/>
    </sheetView>
  </sheetViews>
  <sheetFormatPr defaultRowHeight="15" x14ac:dyDescent="0.25"/>
  <cols>
    <col min="1" max="1" width="25" bestFit="1" customWidth="1"/>
    <col min="2" max="2" width="10.42578125" bestFit="1" customWidth="1"/>
    <col min="3" max="3" width="11.28515625" bestFit="1" customWidth="1"/>
    <col min="6" max="6" width="12" bestFit="1" customWidth="1"/>
    <col min="7" max="7" width="12" customWidth="1"/>
    <col min="12" max="12" width="11.140625" customWidth="1"/>
    <col min="13" max="13" width="10.7109375" customWidth="1"/>
    <col min="14" max="14" width="11" customWidth="1"/>
    <col min="16" max="16" width="25" bestFit="1" customWidth="1"/>
  </cols>
  <sheetData>
    <row r="1" spans="2:15" x14ac:dyDescent="0.25">
      <c r="B1" s="596" t="s">
        <v>8</v>
      </c>
      <c r="C1" s="11" t="s">
        <v>53</v>
      </c>
      <c r="D1" s="11" t="s">
        <v>54</v>
      </c>
      <c r="E1" s="10" t="s">
        <v>538</v>
      </c>
      <c r="F1" s="11" t="s">
        <v>535</v>
      </c>
      <c r="G1" s="11" t="s">
        <v>536</v>
      </c>
      <c r="H1" s="12" t="s">
        <v>537</v>
      </c>
    </row>
    <row r="2" spans="2:15" ht="15.75" thickBot="1" x14ac:dyDescent="0.3">
      <c r="B2" s="665" t="s">
        <v>86</v>
      </c>
      <c r="C2" s="681" t="s">
        <v>336</v>
      </c>
      <c r="D2" t="s">
        <v>500</v>
      </c>
      <c r="E2" s="30">
        <v>12</v>
      </c>
      <c r="F2">
        <v>1271</v>
      </c>
      <c r="G2">
        <v>1.348E-3</v>
      </c>
      <c r="H2" s="27">
        <v>0.45101200000000002</v>
      </c>
    </row>
    <row r="3" spans="2:15" x14ac:dyDescent="0.25">
      <c r="B3" s="665"/>
      <c r="C3" s="681"/>
      <c r="D3" t="s">
        <v>497</v>
      </c>
      <c r="E3" s="30">
        <v>10</v>
      </c>
      <c r="F3">
        <v>2891</v>
      </c>
      <c r="G3">
        <v>1.7149999999999999E-3</v>
      </c>
      <c r="H3" s="27">
        <v>0.37169099999999999</v>
      </c>
      <c r="K3" s="71"/>
      <c r="L3" s="50"/>
      <c r="M3" s="11" t="s">
        <v>535</v>
      </c>
      <c r="N3" s="11" t="s">
        <v>536</v>
      </c>
      <c r="O3" s="12" t="s">
        <v>537</v>
      </c>
    </row>
    <row r="4" spans="2:15" x14ac:dyDescent="0.25">
      <c r="B4" s="665"/>
      <c r="C4" s="681"/>
      <c r="D4" t="s">
        <v>501</v>
      </c>
      <c r="E4" s="30">
        <v>1</v>
      </c>
      <c r="F4">
        <v>3368.666667</v>
      </c>
      <c r="G4">
        <v>2.1150000000000001E-3</v>
      </c>
      <c r="H4" s="27">
        <v>0.29273100000000002</v>
      </c>
      <c r="K4" s="647" t="s">
        <v>24</v>
      </c>
      <c r="L4" s="597" t="s">
        <v>167</v>
      </c>
      <c r="M4">
        <f>AVERAGE(F20:F24)</f>
        <v>2663.7333334</v>
      </c>
      <c r="N4">
        <f t="shared" ref="N4:O4" si="0">AVERAGE(G20:G24)</f>
        <v>2.8784000000000001E-3</v>
      </c>
      <c r="O4" s="27">
        <f t="shared" si="0"/>
        <v>0.26587560923314291</v>
      </c>
    </row>
    <row r="5" spans="2:15" x14ac:dyDescent="0.25">
      <c r="B5" s="665"/>
      <c r="C5" s="681"/>
      <c r="D5" t="s">
        <v>523</v>
      </c>
      <c r="E5" s="30">
        <v>6</v>
      </c>
      <c r="F5">
        <v>1803.25</v>
      </c>
      <c r="G5">
        <v>1.691E-3</v>
      </c>
      <c r="H5" s="27">
        <v>0.41850100000000001</v>
      </c>
      <c r="K5" s="647"/>
      <c r="L5" s="598">
        <v>0.15</v>
      </c>
      <c r="M5">
        <f>AVERAGE(F2:F6)</f>
        <v>2683.3166667999999</v>
      </c>
      <c r="N5">
        <f t="shared" ref="N5" si="1">AVERAGE(G2:G6)</f>
        <v>1.678E-3</v>
      </c>
      <c r="O5" s="27">
        <f>AVERAGE(H2:H6)</f>
        <v>0.37003760000000002</v>
      </c>
    </row>
    <row r="6" spans="2:15" x14ac:dyDescent="0.25">
      <c r="B6" s="746"/>
      <c r="C6" s="265" t="s">
        <v>534</v>
      </c>
      <c r="D6" s="60" t="s">
        <v>503</v>
      </c>
      <c r="E6" s="90">
        <v>8</v>
      </c>
      <c r="F6" s="60">
        <v>4082.666667</v>
      </c>
      <c r="G6" s="60">
        <v>1.521E-3</v>
      </c>
      <c r="H6" s="61">
        <v>0.31625300000000001</v>
      </c>
      <c r="K6" s="650"/>
      <c r="L6" s="600">
        <v>0.5</v>
      </c>
      <c r="M6" s="60">
        <f>AVERAGE(F11:F14)</f>
        <v>3024.5555556666664</v>
      </c>
      <c r="N6" s="60">
        <f t="shared" ref="N6:O6" si="2">AVERAGE(G11:G14)</f>
        <v>1.967E-3</v>
      </c>
      <c r="O6" s="61">
        <f t="shared" si="2"/>
        <v>0.34028666666666663</v>
      </c>
    </row>
    <row r="7" spans="2:15" x14ac:dyDescent="0.25">
      <c r="B7" s="665" t="s">
        <v>87</v>
      </c>
      <c r="C7" s="704" t="s">
        <v>494</v>
      </c>
      <c r="D7" t="s">
        <v>493</v>
      </c>
      <c r="E7" s="30">
        <v>5</v>
      </c>
      <c r="F7">
        <v>4720.6666670000004</v>
      </c>
      <c r="G7">
        <v>2.33E-3</v>
      </c>
      <c r="H7" s="27">
        <v>0.24965899999999999</v>
      </c>
      <c r="K7" s="647" t="s">
        <v>28</v>
      </c>
      <c r="L7" s="597" t="s">
        <v>167</v>
      </c>
      <c r="M7">
        <f>AVERAGE(F25:F28)</f>
        <v>3325.5</v>
      </c>
      <c r="N7">
        <f t="shared" ref="N7:O7" si="3">AVERAGE(G25:G28)</f>
        <v>3.2144999999999999E-3</v>
      </c>
      <c r="O7" s="27">
        <f t="shared" si="3"/>
        <v>0.25012866991805432</v>
      </c>
    </row>
    <row r="8" spans="2:15" x14ac:dyDescent="0.25">
      <c r="B8" s="665"/>
      <c r="C8" s="704"/>
      <c r="D8" t="s">
        <v>502</v>
      </c>
      <c r="E8" s="30">
        <v>15</v>
      </c>
      <c r="F8">
        <v>4131.3333329999996</v>
      </c>
      <c r="G8">
        <v>2.4380000000000001E-3</v>
      </c>
      <c r="H8" s="27">
        <v>0.24137500000000001</v>
      </c>
      <c r="K8" s="647"/>
      <c r="L8" s="598">
        <v>0.15</v>
      </c>
      <c r="M8">
        <f>AVERAGE(F7:F10)</f>
        <v>4320.25</v>
      </c>
      <c r="N8">
        <f t="shared" ref="N8:O8" si="4">AVERAGE(G7:G10)</f>
        <v>2.4289999999999997E-3</v>
      </c>
      <c r="O8" s="27">
        <f t="shared" si="4"/>
        <v>0.22788975</v>
      </c>
    </row>
    <row r="9" spans="2:15" ht="15.75" thickBot="1" x14ac:dyDescent="0.3">
      <c r="B9" s="665"/>
      <c r="C9" s="704"/>
      <c r="D9" t="s">
        <v>500</v>
      </c>
      <c r="E9" s="30">
        <v>7</v>
      </c>
      <c r="F9">
        <v>5842</v>
      </c>
      <c r="G9">
        <v>2.9150000000000001E-3</v>
      </c>
      <c r="H9" s="27">
        <v>0.19089800000000001</v>
      </c>
      <c r="K9" s="648"/>
      <c r="L9" s="601">
        <v>0.5</v>
      </c>
      <c r="M9" s="2">
        <f>AVERAGE(F15:F19)</f>
        <v>3459.666667</v>
      </c>
      <c r="N9" s="2">
        <f t="shared" ref="N9:O9" si="5">AVERAGE(G15:G19)</f>
        <v>2.3787999999999999E-3</v>
      </c>
      <c r="O9" s="8">
        <f t="shared" si="5"/>
        <v>0.27792520000000004</v>
      </c>
    </row>
    <row r="10" spans="2:15" ht="15.75" thickBot="1" x14ac:dyDescent="0.3">
      <c r="B10" s="746"/>
      <c r="C10" s="807"/>
      <c r="D10" s="60" t="s">
        <v>499</v>
      </c>
      <c r="E10" s="90">
        <v>17</v>
      </c>
      <c r="F10" s="60">
        <v>2587</v>
      </c>
      <c r="G10" s="60">
        <v>2.0330000000000001E-3</v>
      </c>
      <c r="H10" s="61">
        <v>0.229627</v>
      </c>
    </row>
    <row r="11" spans="2:15" x14ac:dyDescent="0.25">
      <c r="B11" s="665" t="s">
        <v>234</v>
      </c>
      <c r="C11" s="704" t="s">
        <v>496</v>
      </c>
      <c r="D11" t="s">
        <v>502</v>
      </c>
      <c r="E11" s="30">
        <v>14</v>
      </c>
      <c r="F11">
        <v>1966.333333</v>
      </c>
      <c r="G11">
        <v>1.4300000000000001E-3</v>
      </c>
      <c r="H11" s="27">
        <v>0.39524399999999998</v>
      </c>
      <c r="K11" s="649" t="s">
        <v>151</v>
      </c>
      <c r="L11" s="28" t="s">
        <v>384</v>
      </c>
      <c r="M11" s="50">
        <f>TTEST(F20:F24,F2:F6,2,2)</f>
        <v>0.97091977116343875</v>
      </c>
      <c r="N11" s="50">
        <f t="shared" ref="N11" si="6">TTEST(G20:G24,G2:G6,2,2)</f>
        <v>7.9288280769127962E-3</v>
      </c>
      <c r="O11" s="25">
        <f>TTEST(H20:H24,H2:H6,2,2)</f>
        <v>9.8794360095801528E-3</v>
      </c>
    </row>
    <row r="12" spans="2:15" x14ac:dyDescent="0.25">
      <c r="B12" s="665"/>
      <c r="C12" s="704"/>
      <c r="D12" t="s">
        <v>498</v>
      </c>
      <c r="E12" s="30">
        <v>4</v>
      </c>
      <c r="F12">
        <v>3415.666667</v>
      </c>
      <c r="G12">
        <v>2.7959999999999999E-3</v>
      </c>
      <c r="H12" s="27">
        <v>0.28203099999999998</v>
      </c>
      <c r="K12" s="647"/>
      <c r="L12" s="30" t="s">
        <v>513</v>
      </c>
      <c r="M12">
        <f>TTEST(F20:F24,F11:F14,2,2)</f>
        <v>0.41371390200955799</v>
      </c>
      <c r="N12">
        <f t="shared" ref="N12:O12" si="7">TTEST(G20:G24,G11:G14,2,2)</f>
        <v>0.13166945424261989</v>
      </c>
      <c r="O12" s="27">
        <f t="shared" si="7"/>
        <v>3.0314980341599969E-2</v>
      </c>
    </row>
    <row r="13" spans="2:15" x14ac:dyDescent="0.25">
      <c r="B13" s="665"/>
      <c r="C13" s="704"/>
      <c r="D13" t="s">
        <v>499</v>
      </c>
      <c r="E13" s="30">
        <v>9</v>
      </c>
      <c r="F13">
        <v>3691.666667</v>
      </c>
      <c r="G13">
        <v>1.6750000000000001E-3</v>
      </c>
      <c r="H13" s="27">
        <v>0.34358499999999997</v>
      </c>
      <c r="K13" s="650"/>
      <c r="L13" s="90" t="s">
        <v>533</v>
      </c>
      <c r="M13" s="60">
        <f>TTEST(F11:F14,F2:F6,2,2)</f>
        <v>0.67952685200579244</v>
      </c>
      <c r="N13" s="60">
        <f t="shared" ref="N13" si="8">TTEST(G11:G14,G2:G6,2,2)</f>
        <v>0.44193543486876968</v>
      </c>
      <c r="O13" s="61">
        <f>TTEST(H11:H14,H2:H6,2,2)</f>
        <v>0.54495200682853029</v>
      </c>
    </row>
    <row r="14" spans="2:15" x14ac:dyDescent="0.25">
      <c r="B14" s="746"/>
      <c r="C14" s="807"/>
      <c r="D14" s="60"/>
      <c r="E14" s="90"/>
      <c r="F14" s="60"/>
      <c r="G14" s="60"/>
      <c r="H14" s="61"/>
      <c r="K14" s="647" t="s">
        <v>157</v>
      </c>
      <c r="L14" s="30" t="s">
        <v>384</v>
      </c>
      <c r="M14">
        <f>TTEST(F25:F28,F7:F10,2,2)</f>
        <v>0.21982481581611543</v>
      </c>
      <c r="N14">
        <f t="shared" ref="N14:O14" si="9">TTEST(G25:G28,G7:G10,2,2)</f>
        <v>4.5996818459742669E-2</v>
      </c>
      <c r="O14" s="27">
        <f t="shared" si="9"/>
        <v>0.399524806536246</v>
      </c>
    </row>
    <row r="15" spans="2:15" x14ac:dyDescent="0.25">
      <c r="B15" s="665" t="s">
        <v>292</v>
      </c>
      <c r="C15" s="704" t="s">
        <v>495</v>
      </c>
      <c r="D15" t="s">
        <v>493</v>
      </c>
      <c r="E15" s="30">
        <v>16</v>
      </c>
      <c r="F15">
        <v>4422.6666670000004</v>
      </c>
      <c r="G15">
        <v>2.3869999999999998E-3</v>
      </c>
      <c r="H15" s="27">
        <v>0.25557099999999999</v>
      </c>
      <c r="K15" s="647"/>
      <c r="L15" s="30" t="s">
        <v>513</v>
      </c>
      <c r="M15">
        <f>TTEST(F25:F28,F15:F19,2,2)</f>
        <v>0.78036343447563739</v>
      </c>
      <c r="N15">
        <f t="shared" ref="N15:O15" si="10">TTEST(G25:G28,G15:G19,2,2)</f>
        <v>1.0982506464332385E-2</v>
      </c>
      <c r="O15" s="27">
        <f t="shared" si="10"/>
        <v>0.33997987382218398</v>
      </c>
    </row>
    <row r="16" spans="2:15" x14ac:dyDescent="0.25">
      <c r="B16" s="665"/>
      <c r="C16" s="704"/>
      <c r="D16" t="s">
        <v>498</v>
      </c>
      <c r="E16" s="30">
        <v>11</v>
      </c>
      <c r="F16">
        <v>2438.666667</v>
      </c>
      <c r="G16">
        <v>2.1510000000000001E-3</v>
      </c>
      <c r="H16" s="27">
        <v>0.219169</v>
      </c>
      <c r="K16" s="650"/>
      <c r="L16" s="90" t="s">
        <v>533</v>
      </c>
      <c r="M16" s="60">
        <f>TTEST(F15:F19,F7:F10,2,2)</f>
        <v>0.2701602586827756</v>
      </c>
      <c r="N16" s="60">
        <f t="shared" ref="N16:O16" si="11">TTEST(G15:G19,G7:G10,2,2)</f>
        <v>0.79762456616898358</v>
      </c>
      <c r="O16" s="61">
        <f t="shared" si="11"/>
        <v>6.7005151753699616E-2</v>
      </c>
    </row>
    <row r="17" spans="2:15" x14ac:dyDescent="0.25">
      <c r="B17" s="665"/>
      <c r="C17" s="704"/>
      <c r="D17" t="s">
        <v>499</v>
      </c>
      <c r="E17" s="30">
        <v>3</v>
      </c>
      <c r="F17">
        <v>3852.666667</v>
      </c>
      <c r="G17">
        <v>2.6640000000000001E-3</v>
      </c>
      <c r="H17" s="27">
        <v>0.30948399999999998</v>
      </c>
      <c r="K17" s="699" t="s">
        <v>155</v>
      </c>
      <c r="L17" s="30" t="s">
        <v>167</v>
      </c>
      <c r="M17">
        <f>TTEST(F25:F28,F20:F24,2,2)</f>
        <v>3.4611570660913714E-2</v>
      </c>
      <c r="N17">
        <f t="shared" ref="N17:O17" si="12">TTEST(G25:G28,G20:G24,2,2)</f>
        <v>0.45294540306293518</v>
      </c>
      <c r="O17" s="27">
        <f t="shared" si="12"/>
        <v>0.46939858719442251</v>
      </c>
    </row>
    <row r="18" spans="2:15" x14ac:dyDescent="0.25">
      <c r="B18" s="665"/>
      <c r="C18" s="704"/>
      <c r="D18" t="s">
        <v>501</v>
      </c>
      <c r="E18" s="30">
        <v>2</v>
      </c>
      <c r="F18">
        <v>2879.666667</v>
      </c>
      <c r="G18">
        <v>2.4299999999999999E-3</v>
      </c>
      <c r="H18" s="27">
        <v>0.30968600000000002</v>
      </c>
      <c r="K18" s="699"/>
      <c r="L18" s="602">
        <v>0.15</v>
      </c>
      <c r="M18">
        <f>TTEST(F7:F10,F2:F6,2,2)</f>
        <v>8.968239891394604E-2</v>
      </c>
      <c r="N18">
        <f t="shared" ref="N18" si="13">TTEST(G7:G10,G2:G6,2,2)</f>
        <v>1.0416640581269015E-2</v>
      </c>
      <c r="O18" s="27">
        <f>TTEST(H7:H10,H2:H6,2,2)</f>
        <v>5.2979580155907771E-3</v>
      </c>
    </row>
    <row r="19" spans="2:15" ht="15.75" thickBot="1" x14ac:dyDescent="0.3">
      <c r="B19" s="746"/>
      <c r="C19" s="807"/>
      <c r="D19" s="60" t="s">
        <v>523</v>
      </c>
      <c r="E19" s="90">
        <v>13</v>
      </c>
      <c r="F19" s="60">
        <v>3704.666667</v>
      </c>
      <c r="G19" s="60">
        <v>2.2620000000000001E-3</v>
      </c>
      <c r="H19" s="61">
        <v>0.29571599999999998</v>
      </c>
      <c r="K19" s="700"/>
      <c r="L19" s="603">
        <v>0.5</v>
      </c>
      <c r="M19" s="2">
        <f>TTEST(F15:F19,F11:F14,2,2)</f>
        <v>0.50499979186480681</v>
      </c>
      <c r="N19" s="2">
        <f t="shared" ref="N19:O19" si="14">TTEST(G15:G19,G11:G14,2,2)</f>
        <v>0.25600157334811335</v>
      </c>
      <c r="O19" s="8">
        <f t="shared" si="14"/>
        <v>0.11281783085043122</v>
      </c>
    </row>
    <row r="20" spans="2:15" x14ac:dyDescent="0.25">
      <c r="B20" s="665" t="s">
        <v>133</v>
      </c>
      <c r="C20" s="426"/>
      <c r="E20" s="30"/>
      <c r="F20">
        <v>2470</v>
      </c>
      <c r="G20">
        <v>3.5000000000000001E-3</v>
      </c>
      <c r="H20" s="27">
        <v>0.27521673317737716</v>
      </c>
    </row>
    <row r="21" spans="2:15" x14ac:dyDescent="0.25">
      <c r="B21" s="665"/>
      <c r="C21" s="426"/>
      <c r="E21" s="30"/>
      <c r="F21">
        <v>2844</v>
      </c>
      <c r="G21">
        <v>3.686E-3</v>
      </c>
      <c r="H21" s="27">
        <v>0.24193831298833737</v>
      </c>
    </row>
    <row r="22" spans="2:15" x14ac:dyDescent="0.25">
      <c r="B22" s="665"/>
      <c r="C22" s="426"/>
      <c r="E22" s="30"/>
      <c r="F22">
        <v>2830.666667</v>
      </c>
      <c r="G22">
        <v>1.9629999999999999E-3</v>
      </c>
      <c r="H22" s="27">
        <v>0.25809100000000001</v>
      </c>
    </row>
    <row r="23" spans="2:15" x14ac:dyDescent="0.25">
      <c r="B23" s="665"/>
      <c r="C23" s="426"/>
      <c r="E23" s="30"/>
      <c r="F23">
        <v>2396.666667</v>
      </c>
      <c r="G23">
        <v>2.601E-3</v>
      </c>
      <c r="H23" s="27">
        <v>0.26238</v>
      </c>
    </row>
    <row r="24" spans="2:15" x14ac:dyDescent="0.25">
      <c r="B24" s="746"/>
      <c r="C24" s="530"/>
      <c r="D24" s="60"/>
      <c r="E24" s="90"/>
      <c r="F24" s="60">
        <v>2777.333333</v>
      </c>
      <c r="G24" s="60">
        <v>2.6419999999999998E-3</v>
      </c>
      <c r="H24" s="61">
        <v>0.29175200000000001</v>
      </c>
    </row>
    <row r="25" spans="2:15" x14ac:dyDescent="0.25">
      <c r="B25" s="665" t="s">
        <v>146</v>
      </c>
      <c r="C25" s="68"/>
      <c r="E25" s="30"/>
      <c r="F25">
        <v>2828.333333</v>
      </c>
      <c r="G25">
        <v>3.2910000000000001E-3</v>
      </c>
      <c r="H25" s="27">
        <v>0.22211940561735535</v>
      </c>
    </row>
    <row r="26" spans="2:15" x14ac:dyDescent="0.25">
      <c r="B26" s="665"/>
      <c r="C26" s="248"/>
      <c r="E26" s="30"/>
      <c r="F26">
        <v>3101</v>
      </c>
      <c r="G26">
        <v>3.3059999999999999E-3</v>
      </c>
      <c r="H26" s="27">
        <v>0.2078821424666214</v>
      </c>
    </row>
    <row r="27" spans="2:15" x14ac:dyDescent="0.25">
      <c r="B27" s="665"/>
      <c r="C27" s="248"/>
      <c r="E27" s="30"/>
      <c r="F27">
        <v>3329</v>
      </c>
      <c r="G27">
        <v>2.5200000000000001E-3</v>
      </c>
      <c r="H27" s="27">
        <v>0.27645114539823695</v>
      </c>
    </row>
    <row r="28" spans="2:15" ht="15.75" thickBot="1" x14ac:dyDescent="0.3">
      <c r="B28" s="666"/>
      <c r="C28" s="599"/>
      <c r="D28" s="2"/>
      <c r="E28" s="9"/>
      <c r="F28" s="2">
        <v>4043.666667</v>
      </c>
      <c r="G28" s="2">
        <v>3.741E-3</v>
      </c>
      <c r="H28" s="8">
        <v>0.29406198619000357</v>
      </c>
    </row>
    <row r="34" spans="3:14" x14ac:dyDescent="0.25">
      <c r="C34" s="27">
        <v>0.27521673317737716</v>
      </c>
      <c r="D34" s="27">
        <v>0.45101200000000002</v>
      </c>
      <c r="E34" s="27">
        <v>0.39524399999999998</v>
      </c>
      <c r="H34" t="s">
        <v>539</v>
      </c>
    </row>
    <row r="35" spans="3:14" x14ac:dyDescent="0.25">
      <c r="C35" s="27">
        <v>0.24193831298833737</v>
      </c>
      <c r="D35" s="27">
        <v>0.37169099999999999</v>
      </c>
      <c r="E35" s="27">
        <v>0.28203099999999998</v>
      </c>
    </row>
    <row r="36" spans="3:14" ht="15.75" thickBot="1" x14ac:dyDescent="0.3">
      <c r="C36" s="27">
        <v>0.25809100000000001</v>
      </c>
      <c r="D36" s="27">
        <v>0.29273100000000002</v>
      </c>
      <c r="E36" s="27">
        <v>0.34358499999999997</v>
      </c>
      <c r="H36" t="s">
        <v>540</v>
      </c>
    </row>
    <row r="37" spans="3:14" x14ac:dyDescent="0.25">
      <c r="C37" s="27">
        <v>0.26238</v>
      </c>
      <c r="D37" s="27">
        <v>0.41850100000000001</v>
      </c>
      <c r="H37" s="604" t="s">
        <v>541</v>
      </c>
      <c r="I37" s="604" t="s">
        <v>108</v>
      </c>
      <c r="J37" s="604" t="s">
        <v>542</v>
      </c>
      <c r="K37" s="604" t="s">
        <v>58</v>
      </c>
      <c r="L37" s="604" t="s">
        <v>543</v>
      </c>
    </row>
    <row r="38" spans="3:14" x14ac:dyDescent="0.25">
      <c r="C38" s="61">
        <v>0.29175200000000001</v>
      </c>
      <c r="D38" s="61">
        <v>0.31625300000000001</v>
      </c>
      <c r="H38" t="s">
        <v>544</v>
      </c>
      <c r="I38">
        <v>5</v>
      </c>
      <c r="J38">
        <v>1.3293780461657145</v>
      </c>
      <c r="K38">
        <v>0.26587560923314291</v>
      </c>
      <c r="L38">
        <v>3.5066444299894568E-4</v>
      </c>
    </row>
    <row r="39" spans="3:14" x14ac:dyDescent="0.25">
      <c r="H39" t="s">
        <v>545</v>
      </c>
      <c r="I39">
        <v>5</v>
      </c>
      <c r="J39">
        <v>1.8501880000000002</v>
      </c>
      <c r="K39">
        <v>0.37003760000000002</v>
      </c>
      <c r="L39">
        <v>4.4443454817999772E-3</v>
      </c>
    </row>
    <row r="40" spans="3:14" ht="15.75" thickBot="1" x14ac:dyDescent="0.3">
      <c r="H40" s="2" t="s">
        <v>546</v>
      </c>
      <c r="I40" s="2">
        <v>3</v>
      </c>
      <c r="J40" s="2">
        <v>1.0208599999999999</v>
      </c>
      <c r="K40" s="2">
        <v>0.34028666666666663</v>
      </c>
      <c r="L40" s="2">
        <v>3.2124550943333496E-3</v>
      </c>
    </row>
    <row r="43" spans="3:14" ht="15.75" thickBot="1" x14ac:dyDescent="0.3">
      <c r="H43" t="s">
        <v>547</v>
      </c>
    </row>
    <row r="44" spans="3:14" x14ac:dyDescent="0.25">
      <c r="H44" s="604" t="s">
        <v>548</v>
      </c>
      <c r="I44" s="604" t="s">
        <v>549</v>
      </c>
      <c r="J44" s="604" t="s">
        <v>550</v>
      </c>
      <c r="K44" s="604" t="s">
        <v>551</v>
      </c>
      <c r="L44" s="604" t="s">
        <v>49</v>
      </c>
      <c r="M44" s="604" t="s">
        <v>552</v>
      </c>
      <c r="N44" s="604" t="s">
        <v>553</v>
      </c>
    </row>
    <row r="45" spans="3:14" x14ac:dyDescent="0.25">
      <c r="H45" t="s">
        <v>554</v>
      </c>
      <c r="I45">
        <v>2.8274989273197292E-2</v>
      </c>
      <c r="J45">
        <v>2</v>
      </c>
      <c r="K45">
        <v>1.4137494636598646E-2</v>
      </c>
      <c r="L45">
        <v>5.5213912538451249</v>
      </c>
      <c r="M45">
        <v>2.4237296052826963E-2</v>
      </c>
      <c r="N45">
        <v>4.1028210151304032</v>
      </c>
    </row>
    <row r="46" spans="3:14" x14ac:dyDescent="0.25">
      <c r="H46" t="s">
        <v>555</v>
      </c>
      <c r="I46">
        <v>2.5604949887862452E-2</v>
      </c>
      <c r="J46">
        <v>10</v>
      </c>
      <c r="K46">
        <v>2.5604949887862451E-3</v>
      </c>
    </row>
    <row r="48" spans="3:14" ht="15.75" thickBot="1" x14ac:dyDescent="0.3">
      <c r="H48" s="2" t="s">
        <v>556</v>
      </c>
      <c r="I48" s="2">
        <v>5.3879939161059744E-2</v>
      </c>
      <c r="J48" s="2">
        <v>12</v>
      </c>
      <c r="K48" s="2"/>
      <c r="L48" s="2"/>
      <c r="M48" s="2"/>
      <c r="N48" s="2"/>
    </row>
  </sheetData>
  <mergeCells count="15">
    <mergeCell ref="K4:K6"/>
    <mergeCell ref="K7:K9"/>
    <mergeCell ref="K11:K13"/>
    <mergeCell ref="K14:K16"/>
    <mergeCell ref="K17:K19"/>
    <mergeCell ref="C7:C10"/>
    <mergeCell ref="C11:C14"/>
    <mergeCell ref="C15:C19"/>
    <mergeCell ref="B25:B28"/>
    <mergeCell ref="B2:B6"/>
    <mergeCell ref="C2:C5"/>
    <mergeCell ref="B15:B19"/>
    <mergeCell ref="B20:B24"/>
    <mergeCell ref="B7:B10"/>
    <mergeCell ref="B11:B14"/>
  </mergeCells>
  <conditionalFormatting sqref="M11:O19">
    <cfRule type="cellIs" dxfId="18" priority="1" operator="lessThan">
      <formula>0.05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88E8D-3A3A-403B-A7FD-F4DF64AC76FE}">
  <dimension ref="B1:O48"/>
  <sheetViews>
    <sheetView topLeftCell="B1" workbookViewId="0">
      <selection activeCell="B2" sqref="B2:F4"/>
    </sheetView>
  </sheetViews>
  <sheetFormatPr defaultRowHeight="15" x14ac:dyDescent="0.25"/>
  <cols>
    <col min="2" max="2" width="10.42578125" bestFit="1" customWidth="1"/>
    <col min="3" max="3" width="11.28515625" bestFit="1" customWidth="1"/>
    <col min="6" max="6" width="12" bestFit="1" customWidth="1"/>
    <col min="7" max="7" width="12.140625" bestFit="1" customWidth="1"/>
    <col min="10" max="10" width="11.5703125" customWidth="1"/>
    <col min="18" max="18" width="26.140625" bestFit="1" customWidth="1"/>
  </cols>
  <sheetData>
    <row r="1" spans="2:15" x14ac:dyDescent="0.25">
      <c r="B1" s="596" t="s">
        <v>8</v>
      </c>
      <c r="C1" s="11" t="s">
        <v>53</v>
      </c>
      <c r="D1" s="11" t="s">
        <v>54</v>
      </c>
      <c r="E1" s="10" t="s">
        <v>522</v>
      </c>
      <c r="F1" s="12" t="s">
        <v>557</v>
      </c>
      <c r="G1" t="s">
        <v>558</v>
      </c>
    </row>
    <row r="2" spans="2:15" x14ac:dyDescent="0.25">
      <c r="B2" s="665" t="s">
        <v>86</v>
      </c>
      <c r="C2" s="704" t="s">
        <v>336</v>
      </c>
      <c r="D2" t="s">
        <v>499</v>
      </c>
      <c r="E2" s="30">
        <v>14</v>
      </c>
      <c r="F2" s="27">
        <v>8.3184491666110402E-2</v>
      </c>
      <c r="G2">
        <v>3.6204504460188101E-2</v>
      </c>
    </row>
    <row r="3" spans="2:15" x14ac:dyDescent="0.25">
      <c r="B3" s="665"/>
      <c r="C3" s="704"/>
      <c r="D3" t="s">
        <v>501</v>
      </c>
      <c r="E3" s="30">
        <v>10</v>
      </c>
      <c r="F3" s="27">
        <v>0.103810482598025</v>
      </c>
      <c r="G3">
        <v>6.3834815130342698E-2</v>
      </c>
    </row>
    <row r="4" spans="2:15" x14ac:dyDescent="0.25">
      <c r="B4" s="746"/>
      <c r="C4" s="807"/>
      <c r="D4" s="60" t="s">
        <v>498</v>
      </c>
      <c r="E4" s="90">
        <v>11</v>
      </c>
      <c r="F4" s="59">
        <v>8.4121834013870397E-2</v>
      </c>
      <c r="G4">
        <v>5.7633377286462097E-2</v>
      </c>
      <c r="I4" s="704" t="s">
        <v>24</v>
      </c>
      <c r="J4" s="597" t="s">
        <v>167</v>
      </c>
      <c r="K4">
        <f>AVERAGE(F18:F21)</f>
        <v>5.6488977677390327E-2</v>
      </c>
      <c r="L4" t="e">
        <f>AVERAGE(G18:G21)</f>
        <v>#DIV/0!</v>
      </c>
    </row>
    <row r="5" spans="2:15" x14ac:dyDescent="0.25">
      <c r="B5" s="665" t="s">
        <v>87</v>
      </c>
      <c r="C5" s="704" t="s">
        <v>494</v>
      </c>
      <c r="D5" t="s">
        <v>493</v>
      </c>
      <c r="E5" s="30">
        <v>5</v>
      </c>
      <c r="F5" s="27">
        <v>0.176450358079556</v>
      </c>
      <c r="G5">
        <v>0.10261870456536699</v>
      </c>
      <c r="I5" s="704"/>
      <c r="J5" s="598">
        <v>0.15</v>
      </c>
      <c r="K5">
        <f>AVERAGE(F2:F4)</f>
        <v>9.0372269426001947E-2</v>
      </c>
      <c r="L5">
        <f>AVERAGE(G2:G4)</f>
        <v>5.2557565625664299E-2</v>
      </c>
    </row>
    <row r="6" spans="2:15" x14ac:dyDescent="0.25">
      <c r="B6" s="665"/>
      <c r="C6" s="704"/>
      <c r="D6" t="s">
        <v>502</v>
      </c>
      <c r="E6" s="30">
        <v>13</v>
      </c>
      <c r="F6" s="27">
        <v>0.103619221702541</v>
      </c>
      <c r="G6">
        <v>6.6226656717255694E-2</v>
      </c>
      <c r="I6" s="704"/>
      <c r="J6" s="598">
        <v>0.5</v>
      </c>
      <c r="K6">
        <f>AVERAGE(F9:F12)</f>
        <v>0.13253132589428551</v>
      </c>
      <c r="L6">
        <f>AVERAGE(G9:G12)</f>
        <v>6.6662719254901678E-2</v>
      </c>
    </row>
    <row r="7" spans="2:15" x14ac:dyDescent="0.25">
      <c r="B7" s="665"/>
      <c r="C7" s="704"/>
      <c r="D7" t="s">
        <v>500</v>
      </c>
      <c r="E7" s="30">
        <v>15</v>
      </c>
      <c r="F7" s="27">
        <v>0.116063461567562</v>
      </c>
      <c r="G7">
        <v>6.7988730165355393E-2</v>
      </c>
      <c r="I7" s="704" t="s">
        <v>28</v>
      </c>
      <c r="J7" s="597" t="s">
        <v>167</v>
      </c>
      <c r="K7">
        <f>AVERAGE(F22:F25)</f>
        <v>0.12769615229680148</v>
      </c>
      <c r="L7" t="e">
        <f>AVERAGE(G22:G25)</f>
        <v>#DIV/0!</v>
      </c>
    </row>
    <row r="8" spans="2:15" x14ac:dyDescent="0.25">
      <c r="B8" s="746"/>
      <c r="C8" s="807"/>
      <c r="D8" s="60" t="s">
        <v>499</v>
      </c>
      <c r="E8" s="90">
        <v>7</v>
      </c>
      <c r="F8" s="61">
        <v>0.108528693435815</v>
      </c>
      <c r="G8">
        <v>7.3676191672317398E-2</v>
      </c>
      <c r="I8" s="704"/>
      <c r="J8" s="598">
        <v>0.15</v>
      </c>
      <c r="K8">
        <f>AVERAGE(F5:F8)</f>
        <v>0.12616543369636851</v>
      </c>
      <c r="L8">
        <f>AVERAGE(G5:G8)</f>
        <v>7.7627570780073873E-2</v>
      </c>
    </row>
    <row r="9" spans="2:15" x14ac:dyDescent="0.25">
      <c r="B9" s="665" t="s">
        <v>234</v>
      </c>
      <c r="C9" s="704" t="s">
        <v>496</v>
      </c>
      <c r="D9" t="s">
        <v>502</v>
      </c>
      <c r="E9" s="30">
        <v>1</v>
      </c>
      <c r="F9" s="27">
        <v>0.11472706614114001</v>
      </c>
      <c r="G9">
        <v>7.5533015629570904E-2</v>
      </c>
      <c r="I9" s="704"/>
      <c r="J9" s="598">
        <v>0.5</v>
      </c>
      <c r="K9">
        <f>AVERAGE(F13:F17)</f>
        <v>0.13879876126519083</v>
      </c>
      <c r="L9">
        <f>AVERAGE(G13:G17)</f>
        <v>6.2514068475907833E-2</v>
      </c>
    </row>
    <row r="10" spans="2:15" x14ac:dyDescent="0.25">
      <c r="B10" s="665"/>
      <c r="C10" s="704"/>
      <c r="D10" t="s">
        <v>500</v>
      </c>
      <c r="E10" s="30">
        <v>2</v>
      </c>
      <c r="F10" s="27">
        <v>0.19141770854898399</v>
      </c>
      <c r="G10">
        <v>5.6595477480400003E-2</v>
      </c>
    </row>
    <row r="11" spans="2:15" x14ac:dyDescent="0.25">
      <c r="B11" s="665"/>
      <c r="C11" s="704"/>
      <c r="D11" t="s">
        <v>499</v>
      </c>
      <c r="E11" s="30">
        <v>9</v>
      </c>
      <c r="F11" s="58">
        <v>9.1449202992732501E-2</v>
      </c>
      <c r="G11">
        <v>6.78596646547341E-2</v>
      </c>
    </row>
    <row r="12" spans="2:15" x14ac:dyDescent="0.25">
      <c r="B12" s="746"/>
      <c r="C12" s="807"/>
      <c r="D12" s="60"/>
      <c r="E12" s="90"/>
      <c r="F12" s="61"/>
    </row>
    <row r="13" spans="2:15" x14ac:dyDescent="0.25">
      <c r="B13" s="665" t="s">
        <v>292</v>
      </c>
      <c r="C13" s="704" t="s">
        <v>495</v>
      </c>
      <c r="D13" t="s">
        <v>493</v>
      </c>
      <c r="E13" s="30">
        <v>12</v>
      </c>
      <c r="F13" s="27"/>
    </row>
    <row r="14" spans="2:15" x14ac:dyDescent="0.25">
      <c r="B14" s="665"/>
      <c r="C14" s="704"/>
      <c r="D14" t="s">
        <v>499</v>
      </c>
      <c r="E14" s="30">
        <v>3</v>
      </c>
      <c r="F14" s="27">
        <v>0.20015891520170501</v>
      </c>
      <c r="G14">
        <v>8.4756896863707604E-2</v>
      </c>
      <c r="I14" s="704" t="s">
        <v>151</v>
      </c>
      <c r="J14" t="s">
        <v>384</v>
      </c>
      <c r="K14">
        <f>TTEST(F18:F21,F2:F4,2,2)</f>
        <v>3.5971617750350092E-2</v>
      </c>
      <c r="O14" s="61"/>
    </row>
    <row r="15" spans="2:15" x14ac:dyDescent="0.25">
      <c r="B15" s="665"/>
      <c r="C15" s="704"/>
      <c r="D15" t="s">
        <v>501</v>
      </c>
      <c r="E15" s="30">
        <v>8</v>
      </c>
      <c r="F15" s="27">
        <v>0.105170539997232</v>
      </c>
      <c r="G15">
        <v>6.0909350920950102E-2</v>
      </c>
      <c r="I15" s="704"/>
      <c r="J15" t="s">
        <v>513</v>
      </c>
      <c r="K15">
        <f>TTEST(F18:F21,F9:F12,2,2)</f>
        <v>3.8925494021911151E-2</v>
      </c>
    </row>
    <row r="16" spans="2:15" x14ac:dyDescent="0.25">
      <c r="B16" s="665"/>
      <c r="C16" s="704"/>
      <c r="D16" t="s">
        <v>503</v>
      </c>
      <c r="E16" s="30">
        <v>6</v>
      </c>
      <c r="F16" s="27">
        <v>0.161192391295396</v>
      </c>
      <c r="G16">
        <v>6.8587858644139396E-2</v>
      </c>
      <c r="I16" s="704"/>
      <c r="J16" t="s">
        <v>533</v>
      </c>
      <c r="K16">
        <f>TTEST(F9:F12,F2:F4,2,2)</f>
        <v>0.24467769097453165</v>
      </c>
    </row>
    <row r="17" spans="2:11" x14ac:dyDescent="0.25">
      <c r="B17" s="665"/>
      <c r="C17" s="704"/>
      <c r="D17" t="s">
        <v>523</v>
      </c>
      <c r="E17" s="30">
        <v>4</v>
      </c>
      <c r="F17" s="27">
        <v>8.86731985664303E-2</v>
      </c>
      <c r="G17">
        <v>3.5802167474834203E-2</v>
      </c>
      <c r="I17" s="704" t="s">
        <v>157</v>
      </c>
      <c r="J17" t="s">
        <v>384</v>
      </c>
      <c r="K17">
        <f>TTEST(F22:F25,F5:F8,2,2)</f>
        <v>0.97127958992072361</v>
      </c>
    </row>
    <row r="18" spans="2:11" x14ac:dyDescent="0.25">
      <c r="B18" s="745" t="s">
        <v>133</v>
      </c>
      <c r="C18" s="683" t="s">
        <v>524</v>
      </c>
      <c r="D18" s="814" t="s">
        <v>525</v>
      </c>
      <c r="E18" s="815"/>
      <c r="F18" s="161">
        <v>4.0899519439776398E-2</v>
      </c>
      <c r="I18" s="704"/>
      <c r="J18" t="s">
        <v>513</v>
      </c>
      <c r="K18">
        <f>TTEST(F22:F25,F13:F17,2,2)</f>
        <v>0.81380182238859311</v>
      </c>
    </row>
    <row r="19" spans="2:11" x14ac:dyDescent="0.25">
      <c r="B19" s="665"/>
      <c r="C19" s="681"/>
      <c r="D19" s="810" t="s">
        <v>526</v>
      </c>
      <c r="E19" s="811"/>
      <c r="F19" s="27">
        <v>4.40533176002657E-2</v>
      </c>
      <c r="I19" s="704"/>
      <c r="J19" t="s">
        <v>533</v>
      </c>
      <c r="K19">
        <f>TTEST(F13:F17,F5:F8,2,2)</f>
        <v>0.69562583488507301</v>
      </c>
    </row>
    <row r="20" spans="2:11" x14ac:dyDescent="0.25">
      <c r="B20" s="665"/>
      <c r="C20" s="681"/>
      <c r="D20" s="810" t="s">
        <v>527</v>
      </c>
      <c r="E20" s="811"/>
      <c r="F20" s="27">
        <v>7.9242985586962703E-2</v>
      </c>
      <c r="I20" s="816" t="s">
        <v>155</v>
      </c>
      <c r="J20" t="s">
        <v>167</v>
      </c>
      <c r="K20">
        <f>TTEST(F22:F25,F18:F21,2,2)</f>
        <v>0.11113500970194595</v>
      </c>
    </row>
    <row r="21" spans="2:11" x14ac:dyDescent="0.25">
      <c r="B21" s="746"/>
      <c r="C21" s="682"/>
      <c r="D21" s="812" t="s">
        <v>528</v>
      </c>
      <c r="E21" s="813"/>
      <c r="F21" s="61">
        <v>6.1760088082556501E-2</v>
      </c>
      <c r="I21" s="816"/>
      <c r="J21" s="527">
        <v>0.15</v>
      </c>
      <c r="K21">
        <f>TTEST(F5:F8,F2:F4,2,2)</f>
        <v>0.14647299560734559</v>
      </c>
    </row>
    <row r="22" spans="2:11" x14ac:dyDescent="0.25">
      <c r="B22" s="745" t="s">
        <v>146</v>
      </c>
      <c r="C22" s="544" t="s">
        <v>529</v>
      </c>
      <c r="D22" s="810" t="s">
        <v>530</v>
      </c>
      <c r="E22" s="811"/>
      <c r="F22" s="27">
        <v>0.23327810805423699</v>
      </c>
      <c r="I22" s="816"/>
      <c r="J22" s="527">
        <v>0.5</v>
      </c>
      <c r="K22">
        <f>TTEST(F13:F17,F9:F12,2,2)</f>
        <v>0.88017785106164204</v>
      </c>
    </row>
    <row r="23" spans="2:11" x14ac:dyDescent="0.25">
      <c r="B23" s="665"/>
      <c r="C23" s="704" t="s">
        <v>524</v>
      </c>
      <c r="D23" s="810" t="s">
        <v>527</v>
      </c>
      <c r="E23" s="811"/>
      <c r="F23" s="27">
        <v>0.10330256806799799</v>
      </c>
    </row>
    <row r="24" spans="2:11" x14ac:dyDescent="0.25">
      <c r="B24" s="665"/>
      <c r="C24" s="704"/>
      <c r="D24" s="810" t="s">
        <v>531</v>
      </c>
      <c r="E24" s="811"/>
      <c r="F24" s="27">
        <v>5.9957703252215999E-2</v>
      </c>
    </row>
    <row r="25" spans="2:11" ht="15.75" thickBot="1" x14ac:dyDescent="0.3">
      <c r="B25" s="666"/>
      <c r="C25" s="653"/>
      <c r="D25" s="808" t="s">
        <v>532</v>
      </c>
      <c r="E25" s="809"/>
      <c r="F25" s="8">
        <v>0.11424622981275501</v>
      </c>
    </row>
    <row r="33" spans="3:14" x14ac:dyDescent="0.25">
      <c r="C33" s="161">
        <v>4.0899519439776398E-2</v>
      </c>
      <c r="D33" s="27">
        <v>8.3184491666110402E-2</v>
      </c>
      <c r="E33" s="27">
        <v>0.11472706614114001</v>
      </c>
    </row>
    <row r="34" spans="3:14" x14ac:dyDescent="0.25">
      <c r="C34" s="27">
        <v>4.40533176002657E-2</v>
      </c>
      <c r="D34" s="27">
        <v>0.103810482598025</v>
      </c>
      <c r="E34" s="27">
        <v>0.19141770854898399</v>
      </c>
      <c r="H34" t="s">
        <v>539</v>
      </c>
    </row>
    <row r="35" spans="3:14" x14ac:dyDescent="0.25">
      <c r="C35" s="27">
        <v>7.9242985586962703E-2</v>
      </c>
      <c r="D35" s="27">
        <v>8.4121834013870397E-2</v>
      </c>
      <c r="E35" s="61">
        <v>9.1449202992732501E-2</v>
      </c>
    </row>
    <row r="36" spans="3:14" ht="15.75" thickBot="1" x14ac:dyDescent="0.3">
      <c r="C36" s="61">
        <v>6.1760088082556501E-2</v>
      </c>
      <c r="E36" s="61"/>
      <c r="H36" t="s">
        <v>540</v>
      </c>
    </row>
    <row r="37" spans="3:14" x14ac:dyDescent="0.25">
      <c r="H37" s="604" t="s">
        <v>541</v>
      </c>
      <c r="I37" s="604" t="s">
        <v>108</v>
      </c>
      <c r="J37" s="604" t="s">
        <v>542</v>
      </c>
      <c r="K37" s="604" t="s">
        <v>58</v>
      </c>
      <c r="L37" s="604" t="s">
        <v>543</v>
      </c>
    </row>
    <row r="38" spans="3:14" x14ac:dyDescent="0.25">
      <c r="H38" t="s">
        <v>544</v>
      </c>
      <c r="I38">
        <v>4</v>
      </c>
      <c r="J38">
        <v>0.22595591070956131</v>
      </c>
      <c r="K38">
        <v>5.6488977677390327E-2</v>
      </c>
      <c r="L38">
        <v>3.1440211018281147E-4</v>
      </c>
    </row>
    <row r="39" spans="3:14" x14ac:dyDescent="0.25">
      <c r="H39" t="s">
        <v>545</v>
      </c>
      <c r="I39">
        <v>3</v>
      </c>
      <c r="J39">
        <v>0.26111680827800582</v>
      </c>
      <c r="K39">
        <v>8.7038936092668606E-2</v>
      </c>
      <c r="L39">
        <v>2.4086994354402189E-4</v>
      </c>
    </row>
    <row r="40" spans="3:14" ht="15.75" thickBot="1" x14ac:dyDescent="0.3">
      <c r="H40" s="2" t="s">
        <v>546</v>
      </c>
      <c r="I40" s="2">
        <v>3</v>
      </c>
      <c r="J40" s="2">
        <v>0.39759397768285654</v>
      </c>
      <c r="K40" s="2">
        <v>0.13253132589428551</v>
      </c>
      <c r="L40" s="2">
        <v>2.7361692748056748E-3</v>
      </c>
    </row>
    <row r="43" spans="3:14" x14ac:dyDescent="0.25">
      <c r="H43" t="s">
        <v>547</v>
      </c>
    </row>
    <row r="44" spans="3:14" x14ac:dyDescent="0.25">
      <c r="H44" t="s">
        <v>548</v>
      </c>
      <c r="I44" t="s">
        <v>549</v>
      </c>
      <c r="J44" t="s">
        <v>550</v>
      </c>
      <c r="K44" t="s">
        <v>551</v>
      </c>
      <c r="L44" t="s">
        <v>49</v>
      </c>
      <c r="M44" t="s">
        <v>552</v>
      </c>
      <c r="N44" t="s">
        <v>553</v>
      </c>
    </row>
    <row r="45" spans="3:14" x14ac:dyDescent="0.25">
      <c r="H45" t="s">
        <v>554</v>
      </c>
      <c r="I45">
        <v>9.9214881946937568E-3</v>
      </c>
      <c r="J45">
        <v>2</v>
      </c>
      <c r="K45">
        <v>4.9607440973468784E-3</v>
      </c>
      <c r="L45">
        <v>5.0346201227362437</v>
      </c>
      <c r="M45">
        <v>4.4166549500190735E-2</v>
      </c>
      <c r="N45">
        <v>4.7374141277758826</v>
      </c>
    </row>
    <row r="46" spans="3:14" x14ac:dyDescent="0.25">
      <c r="H46" t="s">
        <v>555</v>
      </c>
      <c r="I46">
        <v>6.8972847672478408E-3</v>
      </c>
      <c r="J46">
        <v>7</v>
      </c>
      <c r="K46">
        <v>9.8532639532112015E-4</v>
      </c>
    </row>
    <row r="48" spans="3:14" x14ac:dyDescent="0.25">
      <c r="H48" t="s">
        <v>556</v>
      </c>
      <c r="I48">
        <v>1.6818772961941598E-2</v>
      </c>
      <c r="J48">
        <v>9</v>
      </c>
    </row>
  </sheetData>
  <mergeCells count="25">
    <mergeCell ref="I7:I9"/>
    <mergeCell ref="I4:I6"/>
    <mergeCell ref="I20:I22"/>
    <mergeCell ref="I17:I19"/>
    <mergeCell ref="I14:I16"/>
    <mergeCell ref="B18:B21"/>
    <mergeCell ref="C18:C21"/>
    <mergeCell ref="B22:B25"/>
    <mergeCell ref="C23:C25"/>
    <mergeCell ref="D25:E25"/>
    <mergeCell ref="D24:E24"/>
    <mergeCell ref="D23:E23"/>
    <mergeCell ref="D22:E22"/>
    <mergeCell ref="D21:E21"/>
    <mergeCell ref="D20:E20"/>
    <mergeCell ref="D19:E19"/>
    <mergeCell ref="D18:E18"/>
    <mergeCell ref="C2:C4"/>
    <mergeCell ref="C5:C8"/>
    <mergeCell ref="C9:C12"/>
    <mergeCell ref="C13:C17"/>
    <mergeCell ref="B13:B17"/>
    <mergeCell ref="B9:B12"/>
    <mergeCell ref="B5:B8"/>
    <mergeCell ref="B2:B4"/>
  </mergeCells>
  <conditionalFormatting sqref="K14:K22">
    <cfRule type="cellIs" dxfId="17" priority="1" operator="lessThan">
      <formula>0.05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E6A0-C538-4506-819C-AB960FA091B6}">
  <dimension ref="B1:P38"/>
  <sheetViews>
    <sheetView topLeftCell="A5" workbookViewId="0">
      <selection activeCell="G14" sqref="G14"/>
    </sheetView>
  </sheetViews>
  <sheetFormatPr defaultRowHeight="15" x14ac:dyDescent="0.25"/>
  <cols>
    <col min="2" max="2" width="10.5703125" customWidth="1"/>
    <col min="8" max="8" width="17" bestFit="1" customWidth="1"/>
    <col min="9" max="9" width="12" bestFit="1" customWidth="1"/>
    <col min="12" max="12" width="10.140625" bestFit="1" customWidth="1"/>
    <col min="15" max="15" width="17" bestFit="1" customWidth="1"/>
    <col min="16" max="16" width="12" bestFit="1" customWidth="1"/>
  </cols>
  <sheetData>
    <row r="1" spans="2:16" x14ac:dyDescent="0.25">
      <c r="B1" s="817" t="s">
        <v>53</v>
      </c>
      <c r="C1" s="819" t="s">
        <v>8</v>
      </c>
      <c r="D1" s="819" t="s">
        <v>54</v>
      </c>
      <c r="E1" s="820" t="s">
        <v>487</v>
      </c>
      <c r="F1" s="705" t="s">
        <v>488</v>
      </c>
      <c r="G1" s="705"/>
      <c r="H1" s="704" t="s">
        <v>489</v>
      </c>
      <c r="I1" s="704" t="s">
        <v>490</v>
      </c>
    </row>
    <row r="2" spans="2:16" x14ac:dyDescent="0.25">
      <c r="B2" s="818"/>
      <c r="C2" s="820"/>
      <c r="D2" s="820"/>
      <c r="E2" s="820"/>
      <c r="F2" t="s">
        <v>491</v>
      </c>
      <c r="G2" t="s">
        <v>492</v>
      </c>
      <c r="H2" s="704"/>
      <c r="I2" s="704"/>
    </row>
    <row r="3" spans="2:16" x14ac:dyDescent="0.25">
      <c r="B3" s="683" t="s">
        <v>336</v>
      </c>
      <c r="C3" s="718" t="s">
        <v>86</v>
      </c>
      <c r="D3" s="718" t="s">
        <v>500</v>
      </c>
      <c r="E3" s="164">
        <v>1</v>
      </c>
      <c r="F3" s="164">
        <v>0.90816249686080897</v>
      </c>
      <c r="G3" s="164">
        <v>0.27786630428321302</v>
      </c>
      <c r="H3" s="164">
        <v>0.93750026551304899</v>
      </c>
      <c r="I3" s="126">
        <v>126.85796795037901</v>
      </c>
    </row>
    <row r="4" spans="2:16" x14ac:dyDescent="0.25">
      <c r="B4" s="681"/>
      <c r="C4" s="704"/>
      <c r="D4" s="704"/>
      <c r="E4">
        <v>2</v>
      </c>
      <c r="F4">
        <v>0.88802643521214697</v>
      </c>
      <c r="G4">
        <v>0.37493219257069799</v>
      </c>
      <c r="H4">
        <v>0.93818609204998904</v>
      </c>
      <c r="I4" s="30">
        <v>128.203394696988</v>
      </c>
      <c r="M4" t="s">
        <v>491</v>
      </c>
      <c r="N4" t="s">
        <v>504</v>
      </c>
      <c r="O4" s="248" t="s">
        <v>489</v>
      </c>
      <c r="P4" s="248" t="s">
        <v>490</v>
      </c>
    </row>
    <row r="5" spans="2:16" x14ac:dyDescent="0.25">
      <c r="B5" s="681"/>
      <c r="C5" s="704"/>
      <c r="D5" s="704" t="s">
        <v>497</v>
      </c>
      <c r="E5">
        <v>1</v>
      </c>
      <c r="F5">
        <v>0.88929590931319502</v>
      </c>
      <c r="G5">
        <v>0.34866439012230499</v>
      </c>
      <c r="H5">
        <v>0.93140069432208195</v>
      </c>
      <c r="I5" s="30">
        <v>117.484052528677</v>
      </c>
      <c r="L5" t="s">
        <v>86</v>
      </c>
      <c r="M5">
        <f>AVERAGE(F3:F10)</f>
        <v>0.90350744475812683</v>
      </c>
      <c r="N5">
        <f t="shared" ref="N5:P5" si="0">AVERAGE(G3:G10)</f>
        <v>0.30313764104640617</v>
      </c>
      <c r="O5">
        <f t="shared" si="0"/>
        <v>0.94072753691316591</v>
      </c>
      <c r="P5">
        <f t="shared" si="0"/>
        <v>135.488844452813</v>
      </c>
    </row>
    <row r="6" spans="2:16" x14ac:dyDescent="0.25">
      <c r="B6" s="681"/>
      <c r="C6" s="704"/>
      <c r="D6" s="704"/>
      <c r="E6">
        <v>2</v>
      </c>
      <c r="F6">
        <v>0.86827755979951904</v>
      </c>
      <c r="G6">
        <v>0.38558473747862898</v>
      </c>
      <c r="H6">
        <v>0.94056833777876803</v>
      </c>
      <c r="I6" s="30">
        <v>130.521769866564</v>
      </c>
      <c r="L6" t="s">
        <v>234</v>
      </c>
      <c r="M6">
        <f>AVERAGE(F24:F32)</f>
        <v>0.85021349940734048</v>
      </c>
      <c r="N6">
        <f t="shared" ref="N6:P6" si="1">AVERAGE(G24:G32)</f>
        <v>0.38082926558426616</v>
      </c>
      <c r="O6">
        <f t="shared" si="1"/>
        <v>0.93179699990046871</v>
      </c>
      <c r="P6">
        <f t="shared" si="1"/>
        <v>113.74055688468329</v>
      </c>
    </row>
    <row r="7" spans="2:16" x14ac:dyDescent="0.25">
      <c r="B7" s="681"/>
      <c r="C7" s="704"/>
      <c r="D7" s="704" t="s">
        <v>501</v>
      </c>
      <c r="E7">
        <v>1</v>
      </c>
      <c r="F7">
        <v>0.90218747194168403</v>
      </c>
      <c r="G7">
        <v>0.27147395682403003</v>
      </c>
      <c r="H7">
        <v>0.93952941274953405</v>
      </c>
      <c r="I7" s="30">
        <v>131.615137159113</v>
      </c>
      <c r="L7" t="s">
        <v>87</v>
      </c>
      <c r="M7">
        <f>AVERAGE(F11:F23)</f>
        <v>0.88592078953014541</v>
      </c>
      <c r="N7">
        <f t="shared" ref="N7:P7" si="2">AVERAGE(G11:G23)</f>
        <v>0.3050328653679994</v>
      </c>
      <c r="O7">
        <f t="shared" si="2"/>
        <v>0.93797036825643465</v>
      </c>
      <c r="P7">
        <f t="shared" si="2"/>
        <v>132.02412924958008</v>
      </c>
    </row>
    <row r="8" spans="2:16" x14ac:dyDescent="0.25">
      <c r="B8" s="681"/>
      <c r="C8" s="704"/>
      <c r="D8" s="704"/>
      <c r="E8">
        <v>2</v>
      </c>
      <c r="F8">
        <v>0.92874066124833099</v>
      </c>
      <c r="G8">
        <v>0.22227962479760499</v>
      </c>
      <c r="H8">
        <v>0.94614195543121205</v>
      </c>
      <c r="I8" s="30">
        <v>154.511833600606</v>
      </c>
      <c r="L8" t="s">
        <v>292</v>
      </c>
      <c r="M8">
        <f>AVERAGE(F33:F38)</f>
        <v>0.91647178477658153</v>
      </c>
      <c r="N8">
        <f t="shared" ref="N8:P8" si="3">AVERAGE(G33:G38)</f>
        <v>0.26663507642710765</v>
      </c>
      <c r="O8">
        <f t="shared" si="3"/>
        <v>0.94650827473041244</v>
      </c>
      <c r="P8">
        <f t="shared" si="3"/>
        <v>144.40096921537366</v>
      </c>
    </row>
    <row r="9" spans="2:16" x14ac:dyDescent="0.25">
      <c r="B9" s="681"/>
      <c r="C9" s="704"/>
      <c r="D9" s="704" t="s">
        <v>503</v>
      </c>
      <c r="E9">
        <v>1</v>
      </c>
      <c r="F9">
        <v>0.92965465083038201</v>
      </c>
      <c r="G9">
        <v>0.25372326768638997</v>
      </c>
      <c r="H9">
        <v>0.947333464286648</v>
      </c>
      <c r="I9" s="30">
        <v>152.68855057495199</v>
      </c>
    </row>
    <row r="10" spans="2:16" x14ac:dyDescent="0.25">
      <c r="B10" s="682"/>
      <c r="C10" s="807"/>
      <c r="D10" s="807"/>
      <c r="E10" s="60">
        <v>2</v>
      </c>
      <c r="F10" s="60">
        <v>0.91371437285894797</v>
      </c>
      <c r="G10" s="60">
        <v>0.290576654608379</v>
      </c>
      <c r="H10" s="60">
        <v>0.94516007317404505</v>
      </c>
      <c r="I10" s="90">
        <v>142.02804924522499</v>
      </c>
    </row>
    <row r="11" spans="2:16" x14ac:dyDescent="0.25">
      <c r="B11" s="683" t="s">
        <v>494</v>
      </c>
      <c r="C11" s="718" t="s">
        <v>87</v>
      </c>
      <c r="D11" s="718" t="s">
        <v>493</v>
      </c>
      <c r="E11" s="164">
        <v>1</v>
      </c>
      <c r="F11" s="164">
        <v>0.90142499788494901</v>
      </c>
      <c r="G11" s="164">
        <v>0.25518101829964002</v>
      </c>
      <c r="H11" s="164">
        <v>0.93634403789369502</v>
      </c>
      <c r="I11" s="126">
        <v>133.517272834214</v>
      </c>
    </row>
    <row r="12" spans="2:16" x14ac:dyDescent="0.25">
      <c r="B12" s="681"/>
      <c r="C12" s="704"/>
      <c r="D12" s="704"/>
      <c r="E12">
        <v>2</v>
      </c>
      <c r="F12">
        <v>0.86757730728767102</v>
      </c>
      <c r="G12">
        <v>0.365394615354795</v>
      </c>
      <c r="H12">
        <v>0.93597051566779699</v>
      </c>
      <c r="I12" s="30">
        <v>127.107749173098</v>
      </c>
      <c r="M12" t="s">
        <v>491</v>
      </c>
      <c r="N12" t="s">
        <v>504</v>
      </c>
      <c r="O12" s="248" t="s">
        <v>489</v>
      </c>
      <c r="P12" s="248" t="s">
        <v>490</v>
      </c>
    </row>
    <row r="13" spans="2:16" x14ac:dyDescent="0.25">
      <c r="B13" s="681"/>
      <c r="C13" s="704"/>
      <c r="D13" s="704" t="s">
        <v>500</v>
      </c>
      <c r="E13">
        <v>1</v>
      </c>
      <c r="F13">
        <v>0.91581737386777895</v>
      </c>
      <c r="G13">
        <v>0.31704867554260002</v>
      </c>
      <c r="H13">
        <v>0.93788124140343199</v>
      </c>
      <c r="I13" s="30">
        <v>126.47857675962899</v>
      </c>
      <c r="K13" s="526" t="s">
        <v>24</v>
      </c>
      <c r="L13" t="s">
        <v>379</v>
      </c>
      <c r="M13">
        <f>TTEST(F3:F10,F24:F32,2,2)</f>
        <v>5.6942651573121714E-2</v>
      </c>
      <c r="N13">
        <f t="shared" ref="N13:P13" si="4">TTEST(G3:G10,G24:G32,2,2)</f>
        <v>4.139674035030308E-2</v>
      </c>
      <c r="O13">
        <f t="shared" si="4"/>
        <v>2.132010065595032E-2</v>
      </c>
      <c r="P13">
        <f t="shared" si="4"/>
        <v>3.4445124425522989E-3</v>
      </c>
    </row>
    <row r="14" spans="2:16" x14ac:dyDescent="0.25">
      <c r="B14" s="681"/>
      <c r="C14" s="704"/>
      <c r="D14" s="704"/>
      <c r="E14">
        <v>2</v>
      </c>
      <c r="F14">
        <v>0.88847696937281495</v>
      </c>
      <c r="G14">
        <v>0.343294189102062</v>
      </c>
      <c r="H14">
        <v>0.94259674959288897</v>
      </c>
      <c r="I14" s="30">
        <v>131.48651296349499</v>
      </c>
      <c r="K14" s="526" t="s">
        <v>28</v>
      </c>
      <c r="L14" t="s">
        <v>379</v>
      </c>
      <c r="M14">
        <f>TTEST(F11:F23,F33:F38,2,2)</f>
        <v>0.21353148618950521</v>
      </c>
      <c r="N14">
        <f t="shared" ref="N14:P14" si="5">TTEST(G11:G23,G33:G38,2,2)</f>
        <v>0.19597968151892114</v>
      </c>
      <c r="O14">
        <f t="shared" si="5"/>
        <v>2.095700407136809E-2</v>
      </c>
      <c r="P14">
        <f t="shared" si="5"/>
        <v>4.5276800883139422E-2</v>
      </c>
    </row>
    <row r="15" spans="2:16" x14ac:dyDescent="0.25">
      <c r="B15" s="681"/>
      <c r="C15" s="704"/>
      <c r="D15" s="704" t="s">
        <v>497</v>
      </c>
      <c r="E15">
        <v>1</v>
      </c>
      <c r="F15">
        <v>0.79133059915594794</v>
      </c>
      <c r="G15">
        <v>0.34972019349117001</v>
      </c>
      <c r="H15">
        <v>0.92724869902722495</v>
      </c>
      <c r="I15" s="30">
        <v>118.763420387501</v>
      </c>
      <c r="K15" s="527">
        <v>0.15</v>
      </c>
      <c r="L15" t="s">
        <v>505</v>
      </c>
      <c r="M15">
        <f>TTEST(F3:F10,F11:F23,2,2)</f>
        <v>0.41192304147615655</v>
      </c>
      <c r="N15">
        <f t="shared" ref="N15:P15" si="6">TTEST(G3:G10,G11:G23,2,2)</f>
        <v>0.94514852363074708</v>
      </c>
      <c r="O15">
        <f t="shared" si="6"/>
        <v>0.39901233856041152</v>
      </c>
      <c r="P15">
        <f t="shared" si="6"/>
        <v>0.56784519339947837</v>
      </c>
    </row>
    <row r="16" spans="2:16" x14ac:dyDescent="0.25">
      <c r="B16" s="681"/>
      <c r="C16" s="704"/>
      <c r="D16" s="704"/>
      <c r="E16">
        <v>2</v>
      </c>
      <c r="F16">
        <v>0.94976202168365098</v>
      </c>
      <c r="G16">
        <v>0.18322581282316799</v>
      </c>
      <c r="H16">
        <v>0.95131080136811497</v>
      </c>
      <c r="I16" s="30">
        <v>150.53116572804399</v>
      </c>
      <c r="K16" s="527">
        <v>0.5</v>
      </c>
      <c r="L16" t="s">
        <v>505</v>
      </c>
      <c r="M16">
        <f>TTEST(F24:F32,F33:F38,2,2)</f>
        <v>4.1458760211155202E-2</v>
      </c>
      <c r="N16">
        <f t="shared" ref="N16:P16" si="7">TTEST(G24:G32,G33:G38,2,2)</f>
        <v>9.1016176145849535E-3</v>
      </c>
      <c r="O16">
        <f t="shared" si="7"/>
        <v>1.2211082714225169E-3</v>
      </c>
      <c r="P16">
        <f t="shared" si="7"/>
        <v>1.2351134102964531E-4</v>
      </c>
    </row>
    <row r="17" spans="2:9" x14ac:dyDescent="0.25">
      <c r="B17" s="681"/>
      <c r="C17" s="704"/>
      <c r="D17" s="704" t="s">
        <v>498</v>
      </c>
      <c r="E17">
        <v>1</v>
      </c>
      <c r="F17">
        <v>0.89652779136809202</v>
      </c>
      <c r="G17">
        <v>0.31578890181087299</v>
      </c>
      <c r="H17">
        <v>0.933732767700025</v>
      </c>
      <c r="I17" s="30">
        <v>118.439780108504</v>
      </c>
    </row>
    <row r="18" spans="2:9" x14ac:dyDescent="0.25">
      <c r="B18" s="681"/>
      <c r="C18" s="704"/>
      <c r="D18" s="704"/>
      <c r="E18">
        <v>2</v>
      </c>
      <c r="F18">
        <v>0.75930310586765704</v>
      </c>
      <c r="G18">
        <v>0.39188224962641399</v>
      </c>
      <c r="H18">
        <v>0.92213138072816503</v>
      </c>
      <c r="I18" s="30">
        <v>110.161023569737</v>
      </c>
    </row>
    <row r="19" spans="2:9" x14ac:dyDescent="0.25">
      <c r="B19" s="681"/>
      <c r="C19" s="704"/>
      <c r="D19" s="704" t="s">
        <v>499</v>
      </c>
      <c r="E19">
        <v>1</v>
      </c>
      <c r="I19" s="30"/>
    </row>
    <row r="20" spans="2:9" x14ac:dyDescent="0.25">
      <c r="B20" s="681"/>
      <c r="C20" s="704"/>
      <c r="D20" s="704"/>
      <c r="E20">
        <v>2</v>
      </c>
      <c r="F20">
        <v>0.89329584341989998</v>
      </c>
      <c r="G20">
        <v>0.32627745594186103</v>
      </c>
      <c r="H20">
        <v>0.93835194360583796</v>
      </c>
      <c r="I20" s="30">
        <v>128.676108213113</v>
      </c>
    </row>
    <row r="21" spans="2:9" x14ac:dyDescent="0.25">
      <c r="B21" s="681"/>
      <c r="C21" s="704"/>
      <c r="D21" s="704"/>
      <c r="E21">
        <v>3</v>
      </c>
      <c r="F21">
        <v>0.91914390925034795</v>
      </c>
      <c r="G21">
        <v>0.31211761869784299</v>
      </c>
      <c r="H21">
        <v>0.94178441634270704</v>
      </c>
      <c r="I21" s="30">
        <v>145.080123385316</v>
      </c>
    </row>
    <row r="22" spans="2:9" x14ac:dyDescent="0.25">
      <c r="B22" s="681"/>
      <c r="C22" s="704"/>
      <c r="D22" s="704" t="s">
        <v>501</v>
      </c>
      <c r="E22">
        <v>1</v>
      </c>
      <c r="F22">
        <v>0.92217925926413602</v>
      </c>
      <c r="G22">
        <v>0.26066302457033302</v>
      </c>
      <c r="H22">
        <v>0.94331726567609397</v>
      </c>
      <c r="I22" s="30">
        <v>146.29239749531101</v>
      </c>
    </row>
    <row r="23" spans="2:9" x14ac:dyDescent="0.25">
      <c r="B23" s="682"/>
      <c r="C23" s="807"/>
      <c r="D23" s="807"/>
      <c r="E23" s="60">
        <v>2</v>
      </c>
      <c r="F23" s="60">
        <v>0.9262102959388</v>
      </c>
      <c r="G23" s="60">
        <v>0.23980062915523401</v>
      </c>
      <c r="H23" s="60">
        <v>0.94497460007123601</v>
      </c>
      <c r="I23" s="90">
        <v>147.75542037699901</v>
      </c>
    </row>
    <row r="24" spans="2:9" x14ac:dyDescent="0.25">
      <c r="B24" s="683" t="s">
        <v>496</v>
      </c>
      <c r="C24" s="718" t="s">
        <v>234</v>
      </c>
      <c r="D24" s="718" t="s">
        <v>500</v>
      </c>
      <c r="E24" s="164">
        <v>1</v>
      </c>
      <c r="F24" s="164">
        <v>0.89686706850695797</v>
      </c>
      <c r="G24" s="164">
        <v>0.34792194138305599</v>
      </c>
      <c r="H24" s="164">
        <v>0.93575294575768297</v>
      </c>
      <c r="I24" s="126">
        <v>121.58634045527999</v>
      </c>
    </row>
    <row r="25" spans="2:9" x14ac:dyDescent="0.25">
      <c r="B25" s="681"/>
      <c r="C25" s="704"/>
      <c r="D25" s="704"/>
      <c r="E25">
        <v>2</v>
      </c>
      <c r="F25">
        <v>0.917178237133075</v>
      </c>
      <c r="G25">
        <v>0.286959273089466</v>
      </c>
      <c r="H25">
        <v>0.941401734418433</v>
      </c>
      <c r="I25" s="30">
        <v>131.775361817728</v>
      </c>
    </row>
    <row r="26" spans="2:9" x14ac:dyDescent="0.25">
      <c r="B26" s="681"/>
      <c r="C26" s="704"/>
      <c r="D26" s="704" t="s">
        <v>497</v>
      </c>
      <c r="E26">
        <v>1</v>
      </c>
      <c r="F26">
        <v>0.925145307431117</v>
      </c>
      <c r="G26">
        <v>0.29227187502830998</v>
      </c>
      <c r="H26">
        <v>0.93888463604583505</v>
      </c>
      <c r="I26" s="30">
        <v>122.93513293171399</v>
      </c>
    </row>
    <row r="27" spans="2:9" x14ac:dyDescent="0.25">
      <c r="B27" s="681"/>
      <c r="C27" s="704"/>
      <c r="D27" s="704"/>
      <c r="E27">
        <v>2</v>
      </c>
      <c r="F27">
        <v>0.91994483229649104</v>
      </c>
      <c r="G27">
        <v>0.27994707000097702</v>
      </c>
      <c r="H27">
        <v>0.94104789074258999</v>
      </c>
      <c r="I27" s="30">
        <v>123.906422797673</v>
      </c>
    </row>
    <row r="28" spans="2:9" x14ac:dyDescent="0.25">
      <c r="B28" s="681"/>
      <c r="C28" s="704"/>
      <c r="D28" s="704" t="s">
        <v>498</v>
      </c>
      <c r="E28">
        <v>1</v>
      </c>
      <c r="F28">
        <v>0.84131172980495095</v>
      </c>
      <c r="G28">
        <v>0.41472471135450301</v>
      </c>
      <c r="H28">
        <v>0.93012379611777596</v>
      </c>
      <c r="I28" s="30">
        <v>113.595444771586</v>
      </c>
    </row>
    <row r="29" spans="2:9" x14ac:dyDescent="0.25">
      <c r="B29" s="681"/>
      <c r="C29" s="704"/>
      <c r="D29" s="704"/>
      <c r="E29">
        <v>2</v>
      </c>
      <c r="F29">
        <v>0.84535553469129099</v>
      </c>
      <c r="G29">
        <v>0.40753908674997602</v>
      </c>
      <c r="H29">
        <v>0.93184910408751098</v>
      </c>
      <c r="I29" s="30">
        <v>108.39681469641801</v>
      </c>
    </row>
    <row r="30" spans="2:9" x14ac:dyDescent="0.25">
      <c r="B30" s="681"/>
      <c r="C30" s="704"/>
      <c r="D30" s="704"/>
      <c r="E30">
        <v>3</v>
      </c>
      <c r="F30">
        <v>0.80106306153898799</v>
      </c>
      <c r="G30">
        <v>0.45442101139664498</v>
      </c>
      <c r="H30">
        <v>0.92845135227197695</v>
      </c>
      <c r="I30" s="30">
        <v>111.315689288437</v>
      </c>
    </row>
    <row r="31" spans="2:9" x14ac:dyDescent="0.25">
      <c r="B31" s="681"/>
      <c r="C31" s="704"/>
      <c r="D31" s="704" t="s">
        <v>499</v>
      </c>
      <c r="E31">
        <v>1</v>
      </c>
      <c r="F31">
        <v>0.76915148923430099</v>
      </c>
      <c r="G31">
        <v>0.45595857933518402</v>
      </c>
      <c r="H31">
        <v>0.91981560467227896</v>
      </c>
      <c r="I31" s="30">
        <v>95.843521302158905</v>
      </c>
    </row>
    <row r="32" spans="2:9" x14ac:dyDescent="0.25">
      <c r="B32" s="682"/>
      <c r="C32" s="807"/>
      <c r="D32" s="807"/>
      <c r="E32" s="60">
        <v>2</v>
      </c>
      <c r="F32" s="60">
        <v>0.73590423402889205</v>
      </c>
      <c r="G32" s="60">
        <v>0.48771984192027801</v>
      </c>
      <c r="H32" s="60">
        <v>0.91884593499013401</v>
      </c>
      <c r="I32" s="90">
        <v>94.310283901154506</v>
      </c>
    </row>
    <row r="33" spans="2:9" x14ac:dyDescent="0.25">
      <c r="B33" s="683" t="s">
        <v>495</v>
      </c>
      <c r="C33" s="718" t="s">
        <v>292</v>
      </c>
      <c r="D33" s="718" t="s">
        <v>502</v>
      </c>
      <c r="E33" s="164">
        <v>1</v>
      </c>
      <c r="F33" s="164">
        <v>0.92061306807017196</v>
      </c>
      <c r="G33" s="164">
        <v>0.24217981281454701</v>
      </c>
      <c r="H33" s="164">
        <v>0.94809793890035499</v>
      </c>
      <c r="I33" s="126">
        <v>144.236369878494</v>
      </c>
    </row>
    <row r="34" spans="2:9" x14ac:dyDescent="0.25">
      <c r="B34" s="681"/>
      <c r="C34" s="704"/>
      <c r="D34" s="704"/>
      <c r="E34">
        <v>2</v>
      </c>
      <c r="F34">
        <v>0.91878175917737304</v>
      </c>
      <c r="G34">
        <v>0.31468166889390597</v>
      </c>
      <c r="H34">
        <v>0.94352675200834402</v>
      </c>
      <c r="I34" s="30">
        <v>138.39821310333599</v>
      </c>
    </row>
    <row r="35" spans="2:9" x14ac:dyDescent="0.25">
      <c r="B35" s="681"/>
      <c r="C35" s="704"/>
      <c r="D35" s="704" t="s">
        <v>500</v>
      </c>
      <c r="E35">
        <v>1</v>
      </c>
      <c r="F35">
        <v>0.92549443795473296</v>
      </c>
      <c r="G35">
        <v>0.24413071267127201</v>
      </c>
      <c r="H35">
        <v>0.94864719179905199</v>
      </c>
      <c r="I35" s="30">
        <v>151.33924249954501</v>
      </c>
    </row>
    <row r="36" spans="2:9" x14ac:dyDescent="0.25">
      <c r="B36" s="681"/>
      <c r="C36" s="704"/>
      <c r="D36" s="704"/>
      <c r="E36">
        <v>2</v>
      </c>
      <c r="F36">
        <v>0.90064414064810805</v>
      </c>
      <c r="G36">
        <v>0.34325159120703103</v>
      </c>
      <c r="H36">
        <v>0.94580163384386695</v>
      </c>
      <c r="I36" s="30">
        <v>141.38115714103699</v>
      </c>
    </row>
    <row r="37" spans="2:9" x14ac:dyDescent="0.25">
      <c r="B37" s="681"/>
      <c r="C37" s="704"/>
      <c r="D37" s="704" t="s">
        <v>503</v>
      </c>
      <c r="E37">
        <v>1</v>
      </c>
      <c r="F37">
        <v>0.90087531357339101</v>
      </c>
      <c r="G37">
        <v>0.244532596198376</v>
      </c>
      <c r="H37">
        <v>0.94393842042026999</v>
      </c>
      <c r="I37" s="30">
        <v>138.03413815281999</v>
      </c>
    </row>
    <row r="38" spans="2:9" x14ac:dyDescent="0.25">
      <c r="B38" s="682"/>
      <c r="C38" s="807"/>
      <c r="D38" s="807"/>
      <c r="E38" s="60">
        <v>2</v>
      </c>
      <c r="F38" s="60">
        <v>0.93242198923571196</v>
      </c>
      <c r="G38" s="60">
        <v>0.21103407677751401</v>
      </c>
      <c r="H38" s="60">
        <v>0.94903771141058701</v>
      </c>
      <c r="I38" s="90">
        <v>153.01669451701</v>
      </c>
    </row>
  </sheetData>
  <mergeCells count="32">
    <mergeCell ref="D9:D10"/>
    <mergeCell ref="D7:D8"/>
    <mergeCell ref="D5:D6"/>
    <mergeCell ref="D3:D4"/>
    <mergeCell ref="D19:D21"/>
    <mergeCell ref="D17:D18"/>
    <mergeCell ref="D15:D16"/>
    <mergeCell ref="D13:D14"/>
    <mergeCell ref="D11:D12"/>
    <mergeCell ref="B33:B38"/>
    <mergeCell ref="B24:B32"/>
    <mergeCell ref="B11:B23"/>
    <mergeCell ref="B3:B10"/>
    <mergeCell ref="D37:D38"/>
    <mergeCell ref="D35:D36"/>
    <mergeCell ref="D33:D34"/>
    <mergeCell ref="D31:D32"/>
    <mergeCell ref="D28:D30"/>
    <mergeCell ref="D26:D27"/>
    <mergeCell ref="C33:C38"/>
    <mergeCell ref="C24:C32"/>
    <mergeCell ref="C11:C23"/>
    <mergeCell ref="C3:C10"/>
    <mergeCell ref="D24:D25"/>
    <mergeCell ref="D22:D23"/>
    <mergeCell ref="F1:G1"/>
    <mergeCell ref="H1:H2"/>
    <mergeCell ref="I1:I2"/>
    <mergeCell ref="B1:B2"/>
    <mergeCell ref="C1:C2"/>
    <mergeCell ref="D1:D2"/>
    <mergeCell ref="E1:E2"/>
  </mergeCells>
  <conditionalFormatting sqref="M13:P16">
    <cfRule type="cellIs" dxfId="16" priority="1" operator="lessThan">
      <formula>0.025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56E79-EF63-4EB3-B9AB-12DB055D9F77}">
  <dimension ref="A1:G344"/>
  <sheetViews>
    <sheetView topLeftCell="A319" workbookViewId="0">
      <selection activeCell="G328" sqref="G328"/>
    </sheetView>
  </sheetViews>
  <sheetFormatPr defaultRowHeight="15" x14ac:dyDescent="0.25"/>
  <cols>
    <col min="1" max="1" width="11.28515625" bestFit="1" customWidth="1"/>
    <col min="4" max="4" width="22.28515625" bestFit="1" customWidth="1"/>
    <col min="5" max="5" width="23.42578125" bestFit="1" customWidth="1"/>
    <col min="6" max="6" width="15.85546875" bestFit="1" customWidth="1"/>
    <col min="7" max="7" width="20" bestFit="1" customWidth="1"/>
  </cols>
  <sheetData>
    <row r="1" spans="1:7" x14ac:dyDescent="0.25">
      <c r="A1" t="s">
        <v>53</v>
      </c>
      <c r="B1" t="s">
        <v>54</v>
      </c>
      <c r="C1" t="s">
        <v>487</v>
      </c>
      <c r="D1" t="s">
        <v>506</v>
      </c>
      <c r="E1" t="s">
        <v>507</v>
      </c>
      <c r="F1" t="s">
        <v>508</v>
      </c>
      <c r="G1" t="s">
        <v>509</v>
      </c>
    </row>
    <row r="2" spans="1:7" x14ac:dyDescent="0.25">
      <c r="A2" t="s">
        <v>494</v>
      </c>
      <c r="B2" t="s">
        <v>497</v>
      </c>
      <c r="C2">
        <v>0</v>
      </c>
      <c r="D2">
        <v>94.74</v>
      </c>
      <c r="E2">
        <v>18.600000000000001</v>
      </c>
      <c r="F2">
        <v>2.95</v>
      </c>
      <c r="G2">
        <v>0.74</v>
      </c>
    </row>
    <row r="3" spans="1:7" x14ac:dyDescent="0.25">
      <c r="A3" t="s">
        <v>494</v>
      </c>
      <c r="B3" t="s">
        <v>497</v>
      </c>
      <c r="C3">
        <v>0</v>
      </c>
      <c r="D3">
        <v>94.35</v>
      </c>
      <c r="E3">
        <v>15.43</v>
      </c>
      <c r="F3">
        <v>4.0199999999999996</v>
      </c>
      <c r="G3">
        <v>0.79</v>
      </c>
    </row>
    <row r="4" spans="1:7" x14ac:dyDescent="0.25">
      <c r="A4" t="s">
        <v>494</v>
      </c>
      <c r="B4" t="s">
        <v>497</v>
      </c>
      <c r="C4">
        <v>0</v>
      </c>
      <c r="D4">
        <v>94.66</v>
      </c>
      <c r="E4">
        <v>16.2</v>
      </c>
      <c r="F4">
        <v>3.69</v>
      </c>
      <c r="G4">
        <v>0.82</v>
      </c>
    </row>
    <row r="5" spans="1:7" x14ac:dyDescent="0.25">
      <c r="A5" t="s">
        <v>494</v>
      </c>
      <c r="B5" t="s">
        <v>497</v>
      </c>
      <c r="C5">
        <v>0</v>
      </c>
      <c r="D5">
        <v>94.1</v>
      </c>
      <c r="E5">
        <v>15.95</v>
      </c>
      <c r="F5">
        <v>3.8</v>
      </c>
      <c r="G5">
        <v>0.83</v>
      </c>
    </row>
    <row r="6" spans="1:7" x14ac:dyDescent="0.25">
      <c r="A6" t="s">
        <v>494</v>
      </c>
      <c r="B6" t="s">
        <v>497</v>
      </c>
      <c r="C6">
        <v>0</v>
      </c>
      <c r="D6">
        <v>95.5</v>
      </c>
      <c r="E6">
        <v>14.34</v>
      </c>
      <c r="F6">
        <v>4.59</v>
      </c>
      <c r="G6">
        <v>0.74</v>
      </c>
    </row>
    <row r="7" spans="1:7" x14ac:dyDescent="0.25">
      <c r="A7" t="s">
        <v>494</v>
      </c>
      <c r="B7" t="s">
        <v>497</v>
      </c>
      <c r="C7">
        <v>0</v>
      </c>
      <c r="D7">
        <v>95.53</v>
      </c>
      <c r="E7">
        <v>14</v>
      </c>
      <c r="F7">
        <v>4.8</v>
      </c>
      <c r="G7">
        <v>0.71</v>
      </c>
    </row>
    <row r="8" spans="1:7" x14ac:dyDescent="0.25">
      <c r="A8" t="s">
        <v>494</v>
      </c>
      <c r="B8" t="s">
        <v>497</v>
      </c>
      <c r="C8">
        <v>0</v>
      </c>
      <c r="D8">
        <v>95.66</v>
      </c>
      <c r="E8">
        <v>11.84</v>
      </c>
      <c r="F8">
        <v>6.56</v>
      </c>
      <c r="G8">
        <v>0.72</v>
      </c>
    </row>
    <row r="9" spans="1:7" x14ac:dyDescent="0.25">
      <c r="A9" t="s">
        <v>494</v>
      </c>
      <c r="B9" t="s">
        <v>497</v>
      </c>
      <c r="C9">
        <v>0</v>
      </c>
      <c r="D9">
        <v>95.48</v>
      </c>
      <c r="E9">
        <v>9.85</v>
      </c>
      <c r="F9">
        <v>8.85</v>
      </c>
      <c r="G9">
        <v>0.77</v>
      </c>
    </row>
    <row r="10" spans="1:7" x14ac:dyDescent="0.25">
      <c r="A10" t="s">
        <v>494</v>
      </c>
      <c r="B10" t="s">
        <v>497</v>
      </c>
      <c r="C10">
        <v>0</v>
      </c>
      <c r="D10">
        <v>94.88</v>
      </c>
      <c r="E10">
        <v>7.8</v>
      </c>
      <c r="F10">
        <v>11.87</v>
      </c>
      <c r="G10">
        <v>0.8</v>
      </c>
    </row>
    <row r="11" spans="1:7" x14ac:dyDescent="0.25">
      <c r="A11" t="s">
        <v>494</v>
      </c>
      <c r="B11" t="s">
        <v>497</v>
      </c>
      <c r="C11">
        <v>0</v>
      </c>
      <c r="D11">
        <v>94.22</v>
      </c>
      <c r="E11">
        <v>8.16</v>
      </c>
      <c r="F11">
        <v>11.29</v>
      </c>
      <c r="G11">
        <v>0.82</v>
      </c>
    </row>
    <row r="12" spans="1:7" x14ac:dyDescent="0.25">
      <c r="A12" t="s">
        <v>494</v>
      </c>
      <c r="B12" t="s">
        <v>497</v>
      </c>
      <c r="C12">
        <v>0</v>
      </c>
      <c r="D12">
        <v>93.86</v>
      </c>
      <c r="E12">
        <v>6.94</v>
      </c>
      <c r="F12">
        <v>13.39</v>
      </c>
      <c r="G12">
        <v>0.83</v>
      </c>
    </row>
    <row r="13" spans="1:7" x14ac:dyDescent="0.25">
      <c r="A13" t="s">
        <v>494</v>
      </c>
      <c r="B13" t="s">
        <v>497</v>
      </c>
      <c r="C13">
        <v>0</v>
      </c>
      <c r="D13">
        <v>93.73</v>
      </c>
      <c r="E13">
        <v>7.58</v>
      </c>
      <c r="F13">
        <v>12.23</v>
      </c>
      <c r="G13">
        <v>0.79</v>
      </c>
    </row>
    <row r="14" spans="1:7" x14ac:dyDescent="0.25">
      <c r="A14" t="s">
        <v>494</v>
      </c>
      <c r="B14" t="s">
        <v>497</v>
      </c>
      <c r="C14">
        <v>0</v>
      </c>
      <c r="D14">
        <v>93.49</v>
      </c>
      <c r="E14">
        <v>8.73</v>
      </c>
      <c r="F14">
        <v>10.41</v>
      </c>
      <c r="G14">
        <v>0.77</v>
      </c>
    </row>
    <row r="15" spans="1:7" x14ac:dyDescent="0.25">
      <c r="A15" t="s">
        <v>494</v>
      </c>
      <c r="B15" t="s">
        <v>497</v>
      </c>
      <c r="C15">
        <v>0</v>
      </c>
      <c r="D15">
        <v>93.12</v>
      </c>
      <c r="E15">
        <v>9.1199999999999992</v>
      </c>
      <c r="F15">
        <v>9.84</v>
      </c>
      <c r="G15">
        <v>0.79</v>
      </c>
    </row>
    <row r="16" spans="1:7" x14ac:dyDescent="0.25">
      <c r="A16" t="s">
        <v>494</v>
      </c>
      <c r="B16" t="s">
        <v>497</v>
      </c>
      <c r="C16">
        <v>0</v>
      </c>
      <c r="D16">
        <v>93.07</v>
      </c>
      <c r="E16">
        <v>10.29</v>
      </c>
      <c r="F16">
        <v>8.2899999999999991</v>
      </c>
      <c r="G16">
        <v>0.75</v>
      </c>
    </row>
    <row r="17" spans="1:7" x14ac:dyDescent="0.25">
      <c r="A17" t="s">
        <v>494</v>
      </c>
      <c r="B17" t="s">
        <v>497</v>
      </c>
      <c r="C17">
        <v>0</v>
      </c>
      <c r="D17">
        <v>92.67</v>
      </c>
      <c r="E17">
        <v>11.85</v>
      </c>
      <c r="F17">
        <v>6.55</v>
      </c>
      <c r="G17">
        <v>0.74</v>
      </c>
    </row>
    <row r="18" spans="1:7" x14ac:dyDescent="0.25">
      <c r="A18" t="s">
        <v>494</v>
      </c>
      <c r="B18" t="s">
        <v>497</v>
      </c>
      <c r="C18">
        <v>1</v>
      </c>
      <c r="D18">
        <v>94.29</v>
      </c>
      <c r="E18">
        <v>13.12</v>
      </c>
      <c r="F18">
        <v>5.43</v>
      </c>
      <c r="G18">
        <v>0.83</v>
      </c>
    </row>
    <row r="19" spans="1:7" x14ac:dyDescent="0.25">
      <c r="A19" t="s">
        <v>494</v>
      </c>
      <c r="B19" t="s">
        <v>497</v>
      </c>
      <c r="C19">
        <v>1</v>
      </c>
      <c r="D19">
        <v>94.12</v>
      </c>
      <c r="E19">
        <v>10.61</v>
      </c>
      <c r="F19">
        <v>7.9</v>
      </c>
      <c r="G19">
        <v>0.87</v>
      </c>
    </row>
    <row r="20" spans="1:7" x14ac:dyDescent="0.25">
      <c r="A20" t="s">
        <v>494</v>
      </c>
      <c r="B20" t="s">
        <v>497</v>
      </c>
      <c r="C20">
        <v>1</v>
      </c>
      <c r="D20">
        <v>94.46</v>
      </c>
      <c r="E20">
        <v>9.7100000000000009</v>
      </c>
      <c r="F20">
        <v>9.0399999999999991</v>
      </c>
      <c r="G20">
        <v>0.87</v>
      </c>
    </row>
    <row r="21" spans="1:7" x14ac:dyDescent="0.25">
      <c r="A21" t="s">
        <v>494</v>
      </c>
      <c r="B21" t="s">
        <v>497</v>
      </c>
      <c r="C21">
        <v>1</v>
      </c>
      <c r="D21">
        <v>93.23</v>
      </c>
      <c r="E21">
        <v>8.23</v>
      </c>
      <c r="F21">
        <v>11.17</v>
      </c>
      <c r="G21">
        <v>0.93</v>
      </c>
    </row>
    <row r="22" spans="1:7" x14ac:dyDescent="0.25">
      <c r="A22" t="s">
        <v>494</v>
      </c>
      <c r="B22" t="s">
        <v>497</v>
      </c>
      <c r="C22">
        <v>1</v>
      </c>
      <c r="D22">
        <v>92.32</v>
      </c>
      <c r="E22">
        <v>6.32</v>
      </c>
      <c r="F22">
        <v>14.6</v>
      </c>
      <c r="G22">
        <v>0.94</v>
      </c>
    </row>
    <row r="23" spans="1:7" x14ac:dyDescent="0.25">
      <c r="A23" t="s">
        <v>494</v>
      </c>
      <c r="B23" t="s">
        <v>497</v>
      </c>
      <c r="C23">
        <v>1</v>
      </c>
      <c r="D23">
        <v>91.95</v>
      </c>
      <c r="E23">
        <v>5.34</v>
      </c>
      <c r="F23">
        <v>16.8</v>
      </c>
      <c r="G23">
        <v>0.93</v>
      </c>
    </row>
    <row r="24" spans="1:7" x14ac:dyDescent="0.25">
      <c r="A24" t="s">
        <v>494</v>
      </c>
      <c r="B24" t="s">
        <v>497</v>
      </c>
      <c r="C24">
        <v>1</v>
      </c>
      <c r="D24">
        <v>91.41</v>
      </c>
      <c r="E24">
        <v>4.7699999999999996</v>
      </c>
      <c r="F24">
        <v>18.260000000000002</v>
      </c>
      <c r="G24">
        <v>0.92</v>
      </c>
    </row>
    <row r="25" spans="1:7" x14ac:dyDescent="0.25">
      <c r="A25" t="s">
        <v>494</v>
      </c>
      <c r="B25" t="s">
        <v>497</v>
      </c>
      <c r="C25">
        <v>1</v>
      </c>
      <c r="D25">
        <v>90.89</v>
      </c>
      <c r="E25">
        <v>4.45</v>
      </c>
      <c r="F25">
        <v>19.149999999999999</v>
      </c>
      <c r="G25">
        <v>0.91</v>
      </c>
    </row>
    <row r="26" spans="1:7" x14ac:dyDescent="0.25">
      <c r="A26" t="s">
        <v>494</v>
      </c>
      <c r="B26" t="s">
        <v>497</v>
      </c>
      <c r="C26">
        <v>1</v>
      </c>
      <c r="D26">
        <v>90.2</v>
      </c>
      <c r="E26">
        <v>4.38</v>
      </c>
      <c r="F26">
        <v>19.37</v>
      </c>
      <c r="G26">
        <v>0.91</v>
      </c>
    </row>
    <row r="27" spans="1:7" x14ac:dyDescent="0.25">
      <c r="A27" t="s">
        <v>494</v>
      </c>
      <c r="B27" t="s">
        <v>497</v>
      </c>
      <c r="C27">
        <v>1</v>
      </c>
      <c r="D27">
        <v>89.7</v>
      </c>
      <c r="E27">
        <v>4.68</v>
      </c>
      <c r="F27">
        <v>18.489999999999998</v>
      </c>
      <c r="G27">
        <v>0.91</v>
      </c>
    </row>
    <row r="28" spans="1:7" x14ac:dyDescent="0.25">
      <c r="A28" t="s">
        <v>494</v>
      </c>
      <c r="B28" t="s">
        <v>497</v>
      </c>
      <c r="C28">
        <v>1</v>
      </c>
      <c r="D28">
        <v>89.29</v>
      </c>
      <c r="E28">
        <v>6.11</v>
      </c>
      <c r="F28">
        <v>15.05</v>
      </c>
      <c r="G28">
        <v>0.91</v>
      </c>
    </row>
    <row r="29" spans="1:7" x14ac:dyDescent="0.25">
      <c r="A29" t="s">
        <v>494</v>
      </c>
      <c r="B29" t="s">
        <v>497</v>
      </c>
      <c r="C29">
        <v>1</v>
      </c>
      <c r="D29">
        <v>89.02</v>
      </c>
      <c r="E29">
        <v>7.97</v>
      </c>
      <c r="F29">
        <v>11.58</v>
      </c>
      <c r="G29">
        <v>0.92</v>
      </c>
    </row>
    <row r="30" spans="1:7" x14ac:dyDescent="0.25">
      <c r="A30" t="s">
        <v>494</v>
      </c>
      <c r="B30" t="s">
        <v>498</v>
      </c>
      <c r="C30">
        <v>0</v>
      </c>
      <c r="D30">
        <v>71.52</v>
      </c>
      <c r="E30">
        <v>7.25</v>
      </c>
      <c r="F30">
        <v>12.82</v>
      </c>
      <c r="G30">
        <v>0.88</v>
      </c>
    </row>
    <row r="31" spans="1:7" x14ac:dyDescent="0.25">
      <c r="A31" t="s">
        <v>494</v>
      </c>
      <c r="B31" t="s">
        <v>498</v>
      </c>
      <c r="C31">
        <v>0</v>
      </c>
      <c r="D31">
        <v>73.75</v>
      </c>
      <c r="E31">
        <v>9.06</v>
      </c>
      <c r="F31">
        <v>9.92</v>
      </c>
      <c r="G31">
        <v>0.83</v>
      </c>
    </row>
    <row r="32" spans="1:7" x14ac:dyDescent="0.25">
      <c r="A32" t="s">
        <v>494</v>
      </c>
      <c r="B32" t="s">
        <v>498</v>
      </c>
      <c r="C32">
        <v>0</v>
      </c>
      <c r="D32">
        <v>75.11</v>
      </c>
      <c r="E32">
        <v>12.35</v>
      </c>
      <c r="F32">
        <v>6.08</v>
      </c>
      <c r="G32">
        <v>0.76</v>
      </c>
    </row>
    <row r="33" spans="1:7" x14ac:dyDescent="0.25">
      <c r="A33" t="s">
        <v>494</v>
      </c>
      <c r="B33" t="s">
        <v>498</v>
      </c>
      <c r="C33">
        <v>0</v>
      </c>
      <c r="D33">
        <v>73.56</v>
      </c>
      <c r="E33">
        <v>12.56</v>
      </c>
      <c r="F33">
        <v>5.89</v>
      </c>
      <c r="G33">
        <v>0.73</v>
      </c>
    </row>
    <row r="34" spans="1:7" x14ac:dyDescent="0.25">
      <c r="A34" t="s">
        <v>494</v>
      </c>
      <c r="B34" t="s">
        <v>498</v>
      </c>
      <c r="C34">
        <v>0</v>
      </c>
      <c r="D34">
        <v>72.819999999999993</v>
      </c>
      <c r="E34">
        <v>7.32</v>
      </c>
      <c r="F34">
        <v>12.69</v>
      </c>
      <c r="G34">
        <v>0.79</v>
      </c>
    </row>
    <row r="35" spans="1:7" x14ac:dyDescent="0.25">
      <c r="A35" t="s">
        <v>494</v>
      </c>
      <c r="B35" t="s">
        <v>498</v>
      </c>
      <c r="C35">
        <v>0</v>
      </c>
      <c r="D35">
        <v>73.180000000000007</v>
      </c>
      <c r="E35">
        <v>4.1500000000000004</v>
      </c>
      <c r="F35">
        <v>20.059999999999999</v>
      </c>
      <c r="G35">
        <v>0.87</v>
      </c>
    </row>
    <row r="36" spans="1:7" x14ac:dyDescent="0.25">
      <c r="A36" t="s">
        <v>494</v>
      </c>
      <c r="B36" t="s">
        <v>498</v>
      </c>
      <c r="C36">
        <v>0</v>
      </c>
      <c r="D36">
        <v>73.69</v>
      </c>
      <c r="E36">
        <v>4.08</v>
      </c>
      <c r="F36">
        <v>20.28</v>
      </c>
      <c r="G36">
        <v>0.91</v>
      </c>
    </row>
    <row r="37" spans="1:7" x14ac:dyDescent="0.25">
      <c r="A37" t="s">
        <v>494</v>
      </c>
      <c r="B37" t="s">
        <v>498</v>
      </c>
      <c r="C37">
        <v>0</v>
      </c>
      <c r="D37">
        <v>73.8</v>
      </c>
      <c r="E37">
        <v>5.44</v>
      </c>
      <c r="F37">
        <v>16.54</v>
      </c>
      <c r="G37">
        <v>0.9</v>
      </c>
    </row>
    <row r="38" spans="1:7" x14ac:dyDescent="0.25">
      <c r="A38" t="s">
        <v>494</v>
      </c>
      <c r="B38" t="s">
        <v>498</v>
      </c>
      <c r="C38">
        <v>0</v>
      </c>
      <c r="D38">
        <v>73.86</v>
      </c>
      <c r="E38">
        <v>6.58</v>
      </c>
      <c r="F38">
        <v>14.08</v>
      </c>
      <c r="G38">
        <v>0.87</v>
      </c>
    </row>
    <row r="39" spans="1:7" x14ac:dyDescent="0.25">
      <c r="A39" t="s">
        <v>494</v>
      </c>
      <c r="B39" t="s">
        <v>498</v>
      </c>
      <c r="C39">
        <v>0</v>
      </c>
      <c r="D39">
        <v>73.58</v>
      </c>
      <c r="E39">
        <v>8.6</v>
      </c>
      <c r="F39">
        <v>10.6</v>
      </c>
      <c r="G39">
        <v>0.78</v>
      </c>
    </row>
    <row r="40" spans="1:7" x14ac:dyDescent="0.25">
      <c r="A40" t="s">
        <v>494</v>
      </c>
      <c r="B40" t="s">
        <v>498</v>
      </c>
      <c r="C40">
        <v>0</v>
      </c>
      <c r="D40">
        <v>71.27</v>
      </c>
      <c r="E40">
        <v>13.51</v>
      </c>
      <c r="F40">
        <v>5.14</v>
      </c>
      <c r="G40">
        <v>0.54</v>
      </c>
    </row>
    <row r="41" spans="1:7" x14ac:dyDescent="0.25">
      <c r="A41" t="s">
        <v>494</v>
      </c>
      <c r="B41" t="s">
        <v>498</v>
      </c>
      <c r="C41">
        <v>1</v>
      </c>
      <c r="D41">
        <v>81.150000000000006</v>
      </c>
      <c r="E41">
        <v>11.92</v>
      </c>
      <c r="F41">
        <v>6.48</v>
      </c>
      <c r="G41">
        <v>0.87</v>
      </c>
    </row>
    <row r="42" spans="1:7" x14ac:dyDescent="0.25">
      <c r="A42" t="s">
        <v>494</v>
      </c>
      <c r="B42" t="s">
        <v>498</v>
      </c>
      <c r="C42">
        <v>1</v>
      </c>
      <c r="D42">
        <v>81.709999999999994</v>
      </c>
      <c r="E42">
        <v>13.2</v>
      </c>
      <c r="F42">
        <v>5.37</v>
      </c>
      <c r="G42">
        <v>0.85</v>
      </c>
    </row>
    <row r="43" spans="1:7" x14ac:dyDescent="0.25">
      <c r="A43" t="s">
        <v>494</v>
      </c>
      <c r="B43" t="s">
        <v>498</v>
      </c>
      <c r="C43">
        <v>1</v>
      </c>
      <c r="D43">
        <v>81.3</v>
      </c>
      <c r="E43">
        <v>13.11</v>
      </c>
      <c r="F43">
        <v>5.44</v>
      </c>
      <c r="G43">
        <v>0.86</v>
      </c>
    </row>
    <row r="44" spans="1:7" x14ac:dyDescent="0.25">
      <c r="A44" t="s">
        <v>494</v>
      </c>
      <c r="B44" t="s">
        <v>498</v>
      </c>
      <c r="C44">
        <v>1</v>
      </c>
      <c r="D44">
        <v>81.569999999999993</v>
      </c>
      <c r="E44">
        <v>12.47</v>
      </c>
      <c r="F44">
        <v>5.97</v>
      </c>
      <c r="G44">
        <v>0.87</v>
      </c>
    </row>
    <row r="45" spans="1:7" x14ac:dyDescent="0.25">
      <c r="A45" t="s">
        <v>494</v>
      </c>
      <c r="B45" t="s">
        <v>498</v>
      </c>
      <c r="C45">
        <v>1</v>
      </c>
      <c r="D45">
        <v>82.29</v>
      </c>
      <c r="E45">
        <v>12.19</v>
      </c>
      <c r="F45">
        <v>6.22</v>
      </c>
      <c r="G45">
        <v>0.84</v>
      </c>
    </row>
    <row r="46" spans="1:7" x14ac:dyDescent="0.25">
      <c r="A46" t="s">
        <v>494</v>
      </c>
      <c r="B46" t="s">
        <v>498</v>
      </c>
      <c r="C46">
        <v>1</v>
      </c>
      <c r="D46">
        <v>82.06</v>
      </c>
      <c r="E46">
        <v>9.52</v>
      </c>
      <c r="F46">
        <v>9.2799999999999994</v>
      </c>
      <c r="G46">
        <v>0.8</v>
      </c>
    </row>
    <row r="47" spans="1:7" x14ac:dyDescent="0.25">
      <c r="A47" t="s">
        <v>494</v>
      </c>
      <c r="B47" t="s">
        <v>498</v>
      </c>
      <c r="C47">
        <v>1</v>
      </c>
      <c r="D47">
        <v>82.38</v>
      </c>
      <c r="E47">
        <v>8.15</v>
      </c>
      <c r="F47">
        <v>11.3</v>
      </c>
      <c r="G47">
        <v>0.79</v>
      </c>
    </row>
    <row r="48" spans="1:7" x14ac:dyDescent="0.25">
      <c r="A48" t="s">
        <v>494</v>
      </c>
      <c r="B48" t="s">
        <v>498</v>
      </c>
      <c r="C48">
        <v>1</v>
      </c>
      <c r="D48">
        <v>83.62</v>
      </c>
      <c r="E48">
        <v>9.69</v>
      </c>
      <c r="F48">
        <v>9.06</v>
      </c>
      <c r="G48">
        <v>0.78</v>
      </c>
    </row>
    <row r="49" spans="1:7" x14ac:dyDescent="0.25">
      <c r="A49" t="s">
        <v>494</v>
      </c>
      <c r="B49" t="s">
        <v>498</v>
      </c>
      <c r="C49">
        <v>1</v>
      </c>
      <c r="D49">
        <v>84.8</v>
      </c>
      <c r="E49">
        <v>11.47</v>
      </c>
      <c r="F49">
        <v>6.95</v>
      </c>
      <c r="G49">
        <v>0.74</v>
      </c>
    </row>
    <row r="50" spans="1:7" x14ac:dyDescent="0.25">
      <c r="A50" t="s">
        <v>494</v>
      </c>
      <c r="B50" t="s">
        <v>498</v>
      </c>
      <c r="C50">
        <v>1</v>
      </c>
      <c r="D50">
        <v>85.8</v>
      </c>
      <c r="E50">
        <v>13.55</v>
      </c>
      <c r="F50">
        <v>5.1100000000000003</v>
      </c>
      <c r="G50">
        <v>0.65</v>
      </c>
    </row>
    <row r="51" spans="1:7" x14ac:dyDescent="0.25">
      <c r="A51" t="s">
        <v>494</v>
      </c>
      <c r="B51" t="s">
        <v>498</v>
      </c>
      <c r="C51">
        <v>1</v>
      </c>
      <c r="D51">
        <v>86.43</v>
      </c>
      <c r="E51">
        <v>14.34</v>
      </c>
      <c r="F51">
        <v>4.59</v>
      </c>
      <c r="G51">
        <v>0.62</v>
      </c>
    </row>
    <row r="52" spans="1:7" x14ac:dyDescent="0.25">
      <c r="A52" t="s">
        <v>494</v>
      </c>
      <c r="B52" t="s">
        <v>498</v>
      </c>
      <c r="C52">
        <v>1</v>
      </c>
      <c r="D52">
        <v>87.51</v>
      </c>
      <c r="E52">
        <v>21.12</v>
      </c>
      <c r="F52">
        <v>2.44</v>
      </c>
      <c r="G52">
        <v>0.46</v>
      </c>
    </row>
    <row r="53" spans="1:7" x14ac:dyDescent="0.25">
      <c r="A53" t="s">
        <v>494</v>
      </c>
      <c r="B53" t="s">
        <v>498</v>
      </c>
      <c r="C53">
        <v>1</v>
      </c>
      <c r="D53">
        <v>88.42</v>
      </c>
      <c r="E53">
        <v>25.11</v>
      </c>
      <c r="F53">
        <v>1.89</v>
      </c>
      <c r="G53">
        <v>0.39</v>
      </c>
    </row>
    <row r="54" spans="1:7" x14ac:dyDescent="0.25">
      <c r="A54" t="s">
        <v>494</v>
      </c>
      <c r="B54" t="s">
        <v>499</v>
      </c>
      <c r="C54">
        <v>1</v>
      </c>
      <c r="D54">
        <v>55.33</v>
      </c>
      <c r="E54">
        <v>40.01</v>
      </c>
      <c r="F54">
        <v>0.84</v>
      </c>
      <c r="G54">
        <v>0.16</v>
      </c>
    </row>
    <row r="55" spans="1:7" x14ac:dyDescent="0.25">
      <c r="A55" t="s">
        <v>494</v>
      </c>
      <c r="B55" t="s">
        <v>499</v>
      </c>
      <c r="C55">
        <v>1</v>
      </c>
      <c r="D55">
        <v>67.849999999999994</v>
      </c>
      <c r="E55">
        <v>18.71</v>
      </c>
      <c r="F55">
        <v>2.93</v>
      </c>
      <c r="G55">
        <v>0.49</v>
      </c>
    </row>
    <row r="56" spans="1:7" x14ac:dyDescent="0.25">
      <c r="A56" t="s">
        <v>494</v>
      </c>
      <c r="B56" t="s">
        <v>499</v>
      </c>
      <c r="C56">
        <v>1</v>
      </c>
      <c r="D56">
        <v>69.88</v>
      </c>
      <c r="E56">
        <v>18.579999999999998</v>
      </c>
      <c r="F56">
        <v>2.96</v>
      </c>
      <c r="G56">
        <v>0.51</v>
      </c>
    </row>
    <row r="57" spans="1:7" x14ac:dyDescent="0.25">
      <c r="A57" t="s">
        <v>494</v>
      </c>
      <c r="B57" t="s">
        <v>499</v>
      </c>
      <c r="C57">
        <v>1</v>
      </c>
      <c r="D57">
        <v>71.61</v>
      </c>
      <c r="E57">
        <v>16.11</v>
      </c>
      <c r="F57">
        <v>3.73</v>
      </c>
      <c r="G57">
        <v>0.54</v>
      </c>
    </row>
    <row r="58" spans="1:7" x14ac:dyDescent="0.25">
      <c r="A58" t="s">
        <v>494</v>
      </c>
      <c r="B58" t="s">
        <v>499</v>
      </c>
      <c r="C58">
        <v>1</v>
      </c>
      <c r="D58">
        <v>72.59</v>
      </c>
      <c r="E58">
        <v>14</v>
      </c>
      <c r="F58">
        <v>4.8</v>
      </c>
      <c r="G58">
        <v>0.54</v>
      </c>
    </row>
    <row r="59" spans="1:7" x14ac:dyDescent="0.25">
      <c r="A59" t="s">
        <v>494</v>
      </c>
      <c r="B59" t="s">
        <v>499</v>
      </c>
      <c r="C59">
        <v>1</v>
      </c>
      <c r="D59">
        <v>73.680000000000007</v>
      </c>
      <c r="E59">
        <v>11.52</v>
      </c>
      <c r="F59">
        <v>6.89</v>
      </c>
      <c r="G59">
        <v>0.56999999999999995</v>
      </c>
    </row>
    <row r="60" spans="1:7" x14ac:dyDescent="0.25">
      <c r="A60" t="s">
        <v>494</v>
      </c>
      <c r="B60" t="s">
        <v>499</v>
      </c>
      <c r="C60">
        <v>1</v>
      </c>
      <c r="D60">
        <v>75.14</v>
      </c>
      <c r="E60">
        <v>8.9</v>
      </c>
      <c r="F60">
        <v>10.16</v>
      </c>
      <c r="G60">
        <v>0.65</v>
      </c>
    </row>
    <row r="61" spans="1:7" x14ac:dyDescent="0.25">
      <c r="A61" t="s">
        <v>494</v>
      </c>
      <c r="B61" t="s">
        <v>499</v>
      </c>
      <c r="C61">
        <v>1</v>
      </c>
      <c r="D61">
        <v>76.72</v>
      </c>
      <c r="E61">
        <v>6.72</v>
      </c>
      <c r="F61">
        <v>13.8</v>
      </c>
      <c r="G61">
        <v>0.72</v>
      </c>
    </row>
    <row r="62" spans="1:7" x14ac:dyDescent="0.25">
      <c r="A62" t="s">
        <v>494</v>
      </c>
      <c r="B62" t="s">
        <v>499</v>
      </c>
      <c r="C62">
        <v>1</v>
      </c>
      <c r="D62">
        <v>77.02</v>
      </c>
      <c r="E62">
        <v>7.18</v>
      </c>
      <c r="F62">
        <v>12.94</v>
      </c>
      <c r="G62">
        <v>0.73</v>
      </c>
    </row>
    <row r="63" spans="1:7" x14ac:dyDescent="0.25">
      <c r="A63" t="s">
        <v>494</v>
      </c>
      <c r="B63" t="s">
        <v>499</v>
      </c>
      <c r="C63">
        <v>1</v>
      </c>
      <c r="D63">
        <v>77.87</v>
      </c>
      <c r="E63">
        <v>6.97</v>
      </c>
      <c r="F63">
        <v>13.33</v>
      </c>
      <c r="G63">
        <v>0.74</v>
      </c>
    </row>
    <row r="64" spans="1:7" x14ac:dyDescent="0.25">
      <c r="A64" t="s">
        <v>494</v>
      </c>
      <c r="B64" t="s">
        <v>499</v>
      </c>
      <c r="C64">
        <v>1</v>
      </c>
      <c r="D64">
        <v>78.44</v>
      </c>
      <c r="E64">
        <v>6.05</v>
      </c>
      <c r="F64">
        <v>15.16</v>
      </c>
      <c r="G64">
        <v>0.77</v>
      </c>
    </row>
    <row r="65" spans="1:7" x14ac:dyDescent="0.25">
      <c r="A65" t="s">
        <v>494</v>
      </c>
      <c r="B65" t="s">
        <v>499</v>
      </c>
      <c r="C65">
        <v>1</v>
      </c>
      <c r="D65">
        <v>78.66</v>
      </c>
      <c r="E65">
        <v>7.22</v>
      </c>
      <c r="F65">
        <v>12.87</v>
      </c>
      <c r="G65">
        <v>0.76</v>
      </c>
    </row>
    <row r="66" spans="1:7" x14ac:dyDescent="0.25">
      <c r="A66" t="s">
        <v>494</v>
      </c>
      <c r="B66" t="s">
        <v>499</v>
      </c>
      <c r="C66">
        <v>1</v>
      </c>
      <c r="D66">
        <v>78.989999999999995</v>
      </c>
      <c r="E66">
        <v>8.02</v>
      </c>
      <c r="F66">
        <v>11.51</v>
      </c>
      <c r="G66">
        <v>0.77</v>
      </c>
    </row>
    <row r="67" spans="1:7" x14ac:dyDescent="0.25">
      <c r="A67" t="s">
        <v>494</v>
      </c>
      <c r="B67" t="s">
        <v>499</v>
      </c>
      <c r="C67">
        <v>1</v>
      </c>
      <c r="D67">
        <v>78.88</v>
      </c>
      <c r="E67">
        <v>9.51</v>
      </c>
      <c r="F67">
        <v>9.3000000000000007</v>
      </c>
      <c r="G67">
        <v>0.74</v>
      </c>
    </row>
    <row r="68" spans="1:7" x14ac:dyDescent="0.25">
      <c r="A68" t="s">
        <v>494</v>
      </c>
      <c r="B68" t="s">
        <v>499</v>
      </c>
      <c r="C68">
        <v>1</v>
      </c>
      <c r="D68">
        <v>78.959999999999994</v>
      </c>
      <c r="E68">
        <v>11.29</v>
      </c>
      <c r="F68">
        <v>7.13</v>
      </c>
      <c r="G68">
        <v>0.71</v>
      </c>
    </row>
    <row r="69" spans="1:7" x14ac:dyDescent="0.25">
      <c r="A69" t="s">
        <v>494</v>
      </c>
      <c r="B69" t="s">
        <v>499</v>
      </c>
      <c r="C69">
        <v>2</v>
      </c>
      <c r="D69">
        <v>77.739999999999995</v>
      </c>
      <c r="E69">
        <v>10.98</v>
      </c>
      <c r="F69">
        <v>7.48</v>
      </c>
      <c r="G69">
        <v>0.87</v>
      </c>
    </row>
    <row r="70" spans="1:7" x14ac:dyDescent="0.25">
      <c r="A70" t="s">
        <v>494</v>
      </c>
      <c r="B70" t="s">
        <v>499</v>
      </c>
      <c r="C70">
        <v>2</v>
      </c>
      <c r="D70">
        <v>78.62</v>
      </c>
      <c r="E70">
        <v>10.23</v>
      </c>
      <c r="F70">
        <v>8.36</v>
      </c>
      <c r="G70">
        <v>0.88</v>
      </c>
    </row>
    <row r="71" spans="1:7" x14ac:dyDescent="0.25">
      <c r="A71" t="s">
        <v>494</v>
      </c>
      <c r="B71" t="s">
        <v>499</v>
      </c>
      <c r="C71">
        <v>2</v>
      </c>
      <c r="D71">
        <v>79.180000000000007</v>
      </c>
      <c r="E71">
        <v>9.7899999999999991</v>
      </c>
      <c r="F71">
        <v>8.92</v>
      </c>
      <c r="G71">
        <v>0.88</v>
      </c>
    </row>
    <row r="72" spans="1:7" x14ac:dyDescent="0.25">
      <c r="A72" t="s">
        <v>494</v>
      </c>
      <c r="B72" t="s">
        <v>499</v>
      </c>
      <c r="C72">
        <v>2</v>
      </c>
      <c r="D72">
        <v>79.63</v>
      </c>
      <c r="E72">
        <v>7.51</v>
      </c>
      <c r="F72">
        <v>12.36</v>
      </c>
      <c r="G72">
        <v>0.91</v>
      </c>
    </row>
    <row r="73" spans="1:7" x14ac:dyDescent="0.25">
      <c r="A73" t="s">
        <v>494</v>
      </c>
      <c r="B73" t="s">
        <v>499</v>
      </c>
      <c r="C73">
        <v>2</v>
      </c>
      <c r="D73">
        <v>79.19</v>
      </c>
      <c r="E73">
        <v>5.32</v>
      </c>
      <c r="F73">
        <v>16.84</v>
      </c>
      <c r="G73">
        <v>0.92</v>
      </c>
    </row>
    <row r="74" spans="1:7" x14ac:dyDescent="0.25">
      <c r="A74" t="s">
        <v>494</v>
      </c>
      <c r="B74" t="s">
        <v>499</v>
      </c>
      <c r="C74">
        <v>2</v>
      </c>
      <c r="D74">
        <v>79.73</v>
      </c>
      <c r="E74">
        <v>3.89</v>
      </c>
      <c r="F74">
        <v>20.9</v>
      </c>
      <c r="G74">
        <v>0.94</v>
      </c>
    </row>
    <row r="75" spans="1:7" x14ac:dyDescent="0.25">
      <c r="A75" t="s">
        <v>494</v>
      </c>
      <c r="B75" t="s">
        <v>499</v>
      </c>
      <c r="C75">
        <v>2</v>
      </c>
      <c r="D75">
        <v>79.989999999999995</v>
      </c>
      <c r="E75">
        <v>3.09</v>
      </c>
      <c r="F75">
        <v>23.91</v>
      </c>
      <c r="G75">
        <v>0.92</v>
      </c>
    </row>
    <row r="76" spans="1:7" x14ac:dyDescent="0.25">
      <c r="A76" t="s">
        <v>494</v>
      </c>
      <c r="B76" t="s">
        <v>499</v>
      </c>
      <c r="C76">
        <v>2</v>
      </c>
      <c r="D76">
        <v>80.180000000000007</v>
      </c>
      <c r="E76">
        <v>2.56</v>
      </c>
      <c r="F76">
        <v>26.36</v>
      </c>
      <c r="G76">
        <v>0.94</v>
      </c>
    </row>
    <row r="77" spans="1:7" x14ac:dyDescent="0.25">
      <c r="A77" t="s">
        <v>494</v>
      </c>
      <c r="B77" t="s">
        <v>499</v>
      </c>
      <c r="C77">
        <v>2</v>
      </c>
      <c r="D77">
        <v>79.900000000000006</v>
      </c>
      <c r="E77">
        <v>1.52</v>
      </c>
      <c r="F77">
        <v>33.119999999999997</v>
      </c>
      <c r="G77">
        <v>0.93</v>
      </c>
    </row>
    <row r="78" spans="1:7" x14ac:dyDescent="0.25">
      <c r="A78" t="s">
        <v>494</v>
      </c>
      <c r="B78" t="s">
        <v>499</v>
      </c>
      <c r="C78">
        <v>2</v>
      </c>
      <c r="D78">
        <v>79.930000000000007</v>
      </c>
      <c r="E78">
        <v>1.86</v>
      </c>
      <c r="F78">
        <v>30.5</v>
      </c>
      <c r="G78">
        <v>0.91</v>
      </c>
    </row>
    <row r="79" spans="1:7" x14ac:dyDescent="0.25">
      <c r="A79" t="s">
        <v>494</v>
      </c>
      <c r="B79" t="s">
        <v>499</v>
      </c>
      <c r="C79">
        <v>2</v>
      </c>
      <c r="D79">
        <v>80.28</v>
      </c>
      <c r="E79">
        <v>2.9</v>
      </c>
      <c r="F79">
        <v>24.72</v>
      </c>
      <c r="G79">
        <v>0.92</v>
      </c>
    </row>
    <row r="80" spans="1:7" x14ac:dyDescent="0.25">
      <c r="A80" t="s">
        <v>494</v>
      </c>
      <c r="B80" t="s">
        <v>499</v>
      </c>
      <c r="C80">
        <v>2</v>
      </c>
      <c r="D80">
        <v>80.790000000000006</v>
      </c>
      <c r="E80">
        <v>2.92</v>
      </c>
      <c r="F80">
        <v>24.64</v>
      </c>
      <c r="G80">
        <v>0.92</v>
      </c>
    </row>
    <row r="81" spans="1:7" x14ac:dyDescent="0.25">
      <c r="A81" t="s">
        <v>494</v>
      </c>
      <c r="B81" t="s">
        <v>499</v>
      </c>
      <c r="C81">
        <v>2</v>
      </c>
      <c r="D81">
        <v>81.03</v>
      </c>
      <c r="E81">
        <v>2.75</v>
      </c>
      <c r="F81">
        <v>25.43</v>
      </c>
      <c r="G81">
        <v>0.93</v>
      </c>
    </row>
    <row r="82" spans="1:7" x14ac:dyDescent="0.25">
      <c r="A82" t="s">
        <v>494</v>
      </c>
      <c r="B82" t="s">
        <v>493</v>
      </c>
      <c r="C82">
        <v>0</v>
      </c>
      <c r="D82">
        <v>90.31</v>
      </c>
      <c r="E82">
        <v>7.45</v>
      </c>
      <c r="F82">
        <v>12.46</v>
      </c>
      <c r="G82">
        <v>0.69</v>
      </c>
    </row>
    <row r="83" spans="1:7" x14ac:dyDescent="0.25">
      <c r="A83" t="s">
        <v>494</v>
      </c>
      <c r="B83" t="s">
        <v>493</v>
      </c>
      <c r="C83">
        <v>0</v>
      </c>
      <c r="D83">
        <v>90.08</v>
      </c>
      <c r="E83">
        <v>7.9</v>
      </c>
      <c r="F83">
        <v>11.71</v>
      </c>
      <c r="G83">
        <v>0.76</v>
      </c>
    </row>
    <row r="84" spans="1:7" x14ac:dyDescent="0.25">
      <c r="A84" t="s">
        <v>494</v>
      </c>
      <c r="B84" t="s">
        <v>493</v>
      </c>
      <c r="C84">
        <v>0</v>
      </c>
      <c r="D84">
        <v>89.97</v>
      </c>
      <c r="E84">
        <v>9.5</v>
      </c>
      <c r="F84">
        <v>9.31</v>
      </c>
      <c r="G84">
        <v>0.81</v>
      </c>
    </row>
    <row r="85" spans="1:7" x14ac:dyDescent="0.25">
      <c r="A85" t="s">
        <v>494</v>
      </c>
      <c r="B85" t="s">
        <v>493</v>
      </c>
      <c r="C85">
        <v>0</v>
      </c>
      <c r="D85">
        <v>89.86</v>
      </c>
      <c r="E85">
        <v>10</v>
      </c>
      <c r="F85">
        <v>8.66</v>
      </c>
      <c r="G85">
        <v>0.84</v>
      </c>
    </row>
    <row r="86" spans="1:7" x14ac:dyDescent="0.25">
      <c r="A86" t="s">
        <v>494</v>
      </c>
      <c r="B86" t="s">
        <v>493</v>
      </c>
      <c r="C86">
        <v>0</v>
      </c>
      <c r="D86">
        <v>89.27</v>
      </c>
      <c r="E86">
        <v>10.34</v>
      </c>
      <c r="F86">
        <v>8.23</v>
      </c>
      <c r="G86">
        <v>0.87</v>
      </c>
    </row>
    <row r="87" spans="1:7" x14ac:dyDescent="0.25">
      <c r="A87" t="s">
        <v>494</v>
      </c>
      <c r="B87" t="s">
        <v>493</v>
      </c>
      <c r="C87">
        <v>0</v>
      </c>
      <c r="D87">
        <v>88.82</v>
      </c>
      <c r="E87">
        <v>9.69</v>
      </c>
      <c r="F87">
        <v>9.06</v>
      </c>
      <c r="G87">
        <v>0.9</v>
      </c>
    </row>
    <row r="88" spans="1:7" x14ac:dyDescent="0.25">
      <c r="A88" t="s">
        <v>494</v>
      </c>
      <c r="B88" t="s">
        <v>493</v>
      </c>
      <c r="C88">
        <v>0</v>
      </c>
      <c r="D88">
        <v>87.88</v>
      </c>
      <c r="E88">
        <v>8.83</v>
      </c>
      <c r="F88">
        <v>10.25</v>
      </c>
      <c r="G88">
        <v>0.91</v>
      </c>
    </row>
    <row r="89" spans="1:7" x14ac:dyDescent="0.25">
      <c r="A89" t="s">
        <v>494</v>
      </c>
      <c r="B89" t="s">
        <v>493</v>
      </c>
      <c r="C89">
        <v>0</v>
      </c>
      <c r="D89">
        <v>86.81</v>
      </c>
      <c r="E89">
        <v>7.53</v>
      </c>
      <c r="F89">
        <v>12.32</v>
      </c>
      <c r="G89">
        <v>0.91</v>
      </c>
    </row>
    <row r="90" spans="1:7" x14ac:dyDescent="0.25">
      <c r="A90" t="s">
        <v>494</v>
      </c>
      <c r="B90" t="s">
        <v>493</v>
      </c>
      <c r="C90">
        <v>0</v>
      </c>
      <c r="D90">
        <v>86.48</v>
      </c>
      <c r="E90">
        <v>5.67</v>
      </c>
      <c r="F90">
        <v>16.02</v>
      </c>
      <c r="G90">
        <v>0.92</v>
      </c>
    </row>
    <row r="91" spans="1:7" x14ac:dyDescent="0.25">
      <c r="A91" t="s">
        <v>494</v>
      </c>
      <c r="B91" t="s">
        <v>493</v>
      </c>
      <c r="C91">
        <v>0</v>
      </c>
      <c r="D91">
        <v>86.49</v>
      </c>
      <c r="E91">
        <v>4.68</v>
      </c>
      <c r="F91">
        <v>18.489999999999998</v>
      </c>
      <c r="G91">
        <v>0.92</v>
      </c>
    </row>
    <row r="92" spans="1:7" x14ac:dyDescent="0.25">
      <c r="A92" t="s">
        <v>494</v>
      </c>
      <c r="B92" t="s">
        <v>493</v>
      </c>
      <c r="C92">
        <v>0</v>
      </c>
      <c r="D92">
        <v>86.36</v>
      </c>
      <c r="E92">
        <v>4.59</v>
      </c>
      <c r="F92">
        <v>18.77</v>
      </c>
      <c r="G92">
        <v>0.92</v>
      </c>
    </row>
    <row r="93" spans="1:7" x14ac:dyDescent="0.25">
      <c r="A93" t="s">
        <v>494</v>
      </c>
      <c r="B93" t="s">
        <v>493</v>
      </c>
      <c r="C93">
        <v>0</v>
      </c>
      <c r="D93">
        <v>85.72</v>
      </c>
      <c r="E93">
        <v>4.8499999999999996</v>
      </c>
      <c r="F93">
        <v>18.05</v>
      </c>
      <c r="G93">
        <v>0.93</v>
      </c>
    </row>
    <row r="94" spans="1:7" x14ac:dyDescent="0.25">
      <c r="A94" t="s">
        <v>494</v>
      </c>
      <c r="B94" t="s">
        <v>493</v>
      </c>
      <c r="C94">
        <v>0</v>
      </c>
      <c r="D94">
        <v>85.65</v>
      </c>
      <c r="E94">
        <v>4.8499999999999996</v>
      </c>
      <c r="F94">
        <v>18.03</v>
      </c>
      <c r="G94">
        <v>0.93</v>
      </c>
    </row>
    <row r="95" spans="1:7" x14ac:dyDescent="0.25">
      <c r="A95" t="s">
        <v>494</v>
      </c>
      <c r="B95" t="s">
        <v>493</v>
      </c>
      <c r="C95">
        <v>1</v>
      </c>
      <c r="D95">
        <v>84.36</v>
      </c>
      <c r="E95">
        <v>19.260000000000002</v>
      </c>
      <c r="F95">
        <v>2.8</v>
      </c>
      <c r="G95">
        <v>0.78</v>
      </c>
    </row>
    <row r="96" spans="1:7" x14ac:dyDescent="0.25">
      <c r="A96" t="s">
        <v>494</v>
      </c>
      <c r="B96" t="s">
        <v>493</v>
      </c>
      <c r="C96">
        <v>1</v>
      </c>
      <c r="D96">
        <v>83.46</v>
      </c>
      <c r="E96">
        <v>20.079999999999998</v>
      </c>
      <c r="F96">
        <v>2.63</v>
      </c>
      <c r="G96">
        <v>0.77</v>
      </c>
    </row>
    <row r="97" spans="1:7" x14ac:dyDescent="0.25">
      <c r="A97" t="s">
        <v>494</v>
      </c>
      <c r="B97" t="s">
        <v>493</v>
      </c>
      <c r="C97">
        <v>1</v>
      </c>
      <c r="D97">
        <v>82.45</v>
      </c>
      <c r="E97">
        <v>18.100000000000001</v>
      </c>
      <c r="F97">
        <v>3.08</v>
      </c>
      <c r="G97">
        <v>0.83</v>
      </c>
    </row>
    <row r="98" spans="1:7" x14ac:dyDescent="0.25">
      <c r="A98" t="s">
        <v>494</v>
      </c>
      <c r="B98" t="s">
        <v>493</v>
      </c>
      <c r="C98">
        <v>1</v>
      </c>
      <c r="D98">
        <v>83</v>
      </c>
      <c r="E98">
        <v>16.63</v>
      </c>
      <c r="F98">
        <v>3.54</v>
      </c>
      <c r="G98">
        <v>0.87</v>
      </c>
    </row>
    <row r="99" spans="1:7" x14ac:dyDescent="0.25">
      <c r="A99" t="s">
        <v>494</v>
      </c>
      <c r="B99" t="s">
        <v>493</v>
      </c>
      <c r="C99">
        <v>1</v>
      </c>
      <c r="D99">
        <v>83.76</v>
      </c>
      <c r="E99">
        <v>15.22</v>
      </c>
      <c r="F99">
        <v>4.12</v>
      </c>
      <c r="G99">
        <v>0.87</v>
      </c>
    </row>
    <row r="100" spans="1:7" x14ac:dyDescent="0.25">
      <c r="A100" t="s">
        <v>494</v>
      </c>
      <c r="B100" t="s">
        <v>493</v>
      </c>
      <c r="C100">
        <v>1</v>
      </c>
      <c r="D100">
        <v>83.32</v>
      </c>
      <c r="E100">
        <v>13.21</v>
      </c>
      <c r="F100">
        <v>5.35</v>
      </c>
      <c r="G100">
        <v>0.89</v>
      </c>
    </row>
    <row r="101" spans="1:7" x14ac:dyDescent="0.25">
      <c r="A101" t="s">
        <v>494</v>
      </c>
      <c r="B101" t="s">
        <v>493</v>
      </c>
      <c r="C101">
        <v>1</v>
      </c>
      <c r="D101">
        <v>82.18</v>
      </c>
      <c r="E101">
        <v>12.23</v>
      </c>
      <c r="F101">
        <v>6.19</v>
      </c>
      <c r="G101">
        <v>0.85</v>
      </c>
    </row>
    <row r="102" spans="1:7" x14ac:dyDescent="0.25">
      <c r="A102" t="s">
        <v>494</v>
      </c>
      <c r="B102" t="s">
        <v>493</v>
      </c>
      <c r="C102">
        <v>1</v>
      </c>
      <c r="D102">
        <v>82.42</v>
      </c>
      <c r="E102">
        <v>12.14</v>
      </c>
      <c r="F102">
        <v>6.27</v>
      </c>
      <c r="G102">
        <v>0.82</v>
      </c>
    </row>
    <row r="103" spans="1:7" x14ac:dyDescent="0.25">
      <c r="A103" t="s">
        <v>494</v>
      </c>
      <c r="B103" t="s">
        <v>493</v>
      </c>
      <c r="C103">
        <v>1</v>
      </c>
      <c r="D103">
        <v>82.35</v>
      </c>
      <c r="E103">
        <v>11.86</v>
      </c>
      <c r="F103">
        <v>6.54</v>
      </c>
      <c r="G103">
        <v>0.85</v>
      </c>
    </row>
    <row r="104" spans="1:7" x14ac:dyDescent="0.25">
      <c r="A104" t="s">
        <v>494</v>
      </c>
      <c r="B104" t="s">
        <v>493</v>
      </c>
      <c r="C104">
        <v>1</v>
      </c>
      <c r="D104">
        <v>82.61</v>
      </c>
      <c r="E104">
        <v>11.04</v>
      </c>
      <c r="F104">
        <v>7.41</v>
      </c>
      <c r="G104">
        <v>0.87</v>
      </c>
    </row>
    <row r="105" spans="1:7" x14ac:dyDescent="0.25">
      <c r="A105" t="s">
        <v>494</v>
      </c>
      <c r="B105" t="s">
        <v>493</v>
      </c>
      <c r="C105">
        <v>1</v>
      </c>
      <c r="D105">
        <v>82.81</v>
      </c>
      <c r="E105">
        <v>10.96</v>
      </c>
      <c r="F105">
        <v>7.5</v>
      </c>
      <c r="G105">
        <v>0.85</v>
      </c>
    </row>
    <row r="106" spans="1:7" x14ac:dyDescent="0.25">
      <c r="A106" t="s">
        <v>494</v>
      </c>
      <c r="B106" t="s">
        <v>493</v>
      </c>
      <c r="C106">
        <v>1</v>
      </c>
      <c r="D106">
        <v>83.5</v>
      </c>
      <c r="E106">
        <v>11.37</v>
      </c>
      <c r="F106">
        <v>7.05</v>
      </c>
      <c r="G106">
        <v>0.81</v>
      </c>
    </row>
    <row r="107" spans="1:7" x14ac:dyDescent="0.25">
      <c r="A107" t="s">
        <v>494</v>
      </c>
      <c r="B107" t="s">
        <v>493</v>
      </c>
      <c r="C107">
        <v>1</v>
      </c>
      <c r="D107">
        <v>83.95</v>
      </c>
      <c r="E107">
        <v>12.46</v>
      </c>
      <c r="F107">
        <v>5.98</v>
      </c>
      <c r="G107">
        <v>0.72</v>
      </c>
    </row>
    <row r="108" spans="1:7" x14ac:dyDescent="0.25">
      <c r="A108" t="s">
        <v>336</v>
      </c>
      <c r="B108" t="s">
        <v>500</v>
      </c>
      <c r="C108">
        <v>0</v>
      </c>
      <c r="D108">
        <v>98.93</v>
      </c>
      <c r="E108">
        <v>12.67</v>
      </c>
      <c r="F108">
        <v>5.79</v>
      </c>
      <c r="G108">
        <v>0.6</v>
      </c>
    </row>
    <row r="109" spans="1:7" x14ac:dyDescent="0.25">
      <c r="A109" t="s">
        <v>336</v>
      </c>
      <c r="B109" t="s">
        <v>500</v>
      </c>
      <c r="C109">
        <v>0</v>
      </c>
      <c r="D109">
        <v>96.52</v>
      </c>
      <c r="E109">
        <v>12.55</v>
      </c>
      <c r="F109">
        <v>5.9</v>
      </c>
      <c r="G109">
        <v>0.72</v>
      </c>
    </row>
    <row r="110" spans="1:7" x14ac:dyDescent="0.25">
      <c r="A110" t="s">
        <v>336</v>
      </c>
      <c r="B110" t="s">
        <v>500</v>
      </c>
      <c r="C110">
        <v>0</v>
      </c>
      <c r="D110">
        <v>95.32</v>
      </c>
      <c r="E110">
        <v>12.72</v>
      </c>
      <c r="F110">
        <v>5.75</v>
      </c>
      <c r="G110">
        <v>0.72</v>
      </c>
    </row>
    <row r="111" spans="1:7" x14ac:dyDescent="0.25">
      <c r="A111" t="s">
        <v>336</v>
      </c>
      <c r="B111" t="s">
        <v>500</v>
      </c>
      <c r="C111">
        <v>0</v>
      </c>
      <c r="D111">
        <v>95.06</v>
      </c>
      <c r="E111">
        <v>11.97</v>
      </c>
      <c r="F111">
        <v>6.43</v>
      </c>
      <c r="G111">
        <v>0.74</v>
      </c>
    </row>
    <row r="112" spans="1:7" x14ac:dyDescent="0.25">
      <c r="A112" t="s">
        <v>336</v>
      </c>
      <c r="B112" t="s">
        <v>500</v>
      </c>
      <c r="C112">
        <v>0</v>
      </c>
      <c r="D112">
        <v>94.87</v>
      </c>
      <c r="E112">
        <v>10.68</v>
      </c>
      <c r="F112">
        <v>7.82</v>
      </c>
      <c r="G112">
        <v>0.72</v>
      </c>
    </row>
    <row r="113" spans="1:7" x14ac:dyDescent="0.25">
      <c r="A113" t="s">
        <v>336</v>
      </c>
      <c r="B113" t="s">
        <v>500</v>
      </c>
      <c r="C113">
        <v>0</v>
      </c>
      <c r="D113">
        <v>94.53</v>
      </c>
      <c r="E113">
        <v>9.82</v>
      </c>
      <c r="F113">
        <v>8.89</v>
      </c>
      <c r="G113">
        <v>0.75</v>
      </c>
    </row>
    <row r="114" spans="1:7" x14ac:dyDescent="0.25">
      <c r="A114" t="s">
        <v>336</v>
      </c>
      <c r="B114" t="s">
        <v>500</v>
      </c>
      <c r="C114">
        <v>0</v>
      </c>
      <c r="D114">
        <v>94.6</v>
      </c>
      <c r="E114">
        <v>9.49</v>
      </c>
      <c r="F114">
        <v>9.32</v>
      </c>
      <c r="G114">
        <v>0.76</v>
      </c>
    </row>
    <row r="115" spans="1:7" x14ac:dyDescent="0.25">
      <c r="A115" t="s">
        <v>336</v>
      </c>
      <c r="B115" t="s">
        <v>500</v>
      </c>
      <c r="C115">
        <v>0</v>
      </c>
      <c r="D115">
        <v>94.38</v>
      </c>
      <c r="E115">
        <v>7.9</v>
      </c>
      <c r="F115">
        <v>11.71</v>
      </c>
      <c r="G115">
        <v>0.81</v>
      </c>
    </row>
    <row r="116" spans="1:7" x14ac:dyDescent="0.25">
      <c r="A116" t="s">
        <v>336</v>
      </c>
      <c r="B116" t="s">
        <v>500</v>
      </c>
      <c r="C116">
        <v>0</v>
      </c>
      <c r="D116">
        <v>94.51</v>
      </c>
      <c r="E116">
        <v>8.48</v>
      </c>
      <c r="F116">
        <v>10.79</v>
      </c>
      <c r="G116">
        <v>0.81</v>
      </c>
    </row>
    <row r="117" spans="1:7" x14ac:dyDescent="0.25">
      <c r="A117" t="s">
        <v>336</v>
      </c>
      <c r="B117" t="s">
        <v>500</v>
      </c>
      <c r="C117">
        <v>0</v>
      </c>
      <c r="D117">
        <v>93.97</v>
      </c>
      <c r="E117">
        <v>9.1</v>
      </c>
      <c r="F117">
        <v>9.86</v>
      </c>
      <c r="G117">
        <v>0.81</v>
      </c>
    </row>
    <row r="118" spans="1:7" x14ac:dyDescent="0.25">
      <c r="A118" t="s">
        <v>336</v>
      </c>
      <c r="B118" t="s">
        <v>500</v>
      </c>
      <c r="C118">
        <v>1</v>
      </c>
      <c r="D118">
        <v>100.66</v>
      </c>
      <c r="E118">
        <v>19.86</v>
      </c>
      <c r="F118">
        <v>2.67</v>
      </c>
      <c r="G118">
        <v>0.59</v>
      </c>
    </row>
    <row r="119" spans="1:7" x14ac:dyDescent="0.25">
      <c r="A119" t="s">
        <v>336</v>
      </c>
      <c r="B119" t="s">
        <v>500</v>
      </c>
      <c r="C119">
        <v>1</v>
      </c>
      <c r="D119">
        <v>99.6</v>
      </c>
      <c r="E119">
        <v>19.07</v>
      </c>
      <c r="F119">
        <v>2.84</v>
      </c>
      <c r="G119">
        <v>0.56999999999999995</v>
      </c>
    </row>
    <row r="120" spans="1:7" x14ac:dyDescent="0.25">
      <c r="A120" t="s">
        <v>336</v>
      </c>
      <c r="B120" t="s">
        <v>500</v>
      </c>
      <c r="C120">
        <v>1</v>
      </c>
      <c r="D120">
        <v>98.62</v>
      </c>
      <c r="E120">
        <v>14.77</v>
      </c>
      <c r="F120">
        <v>4.3499999999999996</v>
      </c>
      <c r="G120">
        <v>0.66</v>
      </c>
    </row>
    <row r="121" spans="1:7" x14ac:dyDescent="0.25">
      <c r="A121" t="s">
        <v>336</v>
      </c>
      <c r="B121" t="s">
        <v>500</v>
      </c>
      <c r="C121">
        <v>1</v>
      </c>
      <c r="D121">
        <v>98.08</v>
      </c>
      <c r="E121">
        <v>14.72</v>
      </c>
      <c r="F121">
        <v>4.38</v>
      </c>
      <c r="G121">
        <v>0.65</v>
      </c>
    </row>
    <row r="122" spans="1:7" x14ac:dyDescent="0.25">
      <c r="A122" t="s">
        <v>336</v>
      </c>
      <c r="B122" t="s">
        <v>500</v>
      </c>
      <c r="C122">
        <v>1</v>
      </c>
      <c r="D122">
        <v>98.68</v>
      </c>
      <c r="E122">
        <v>19.16</v>
      </c>
      <c r="F122">
        <v>2.82</v>
      </c>
      <c r="G122">
        <v>0.56000000000000005</v>
      </c>
    </row>
    <row r="123" spans="1:7" x14ac:dyDescent="0.25">
      <c r="A123" t="s">
        <v>336</v>
      </c>
      <c r="B123" t="s">
        <v>500</v>
      </c>
      <c r="C123">
        <v>1</v>
      </c>
      <c r="D123">
        <v>98.78</v>
      </c>
      <c r="E123">
        <v>20.100000000000001</v>
      </c>
      <c r="F123">
        <v>2.63</v>
      </c>
      <c r="G123">
        <v>0.54</v>
      </c>
    </row>
    <row r="124" spans="1:7" x14ac:dyDescent="0.25">
      <c r="A124" t="s">
        <v>336</v>
      </c>
      <c r="B124" t="s">
        <v>500</v>
      </c>
      <c r="C124">
        <v>1</v>
      </c>
      <c r="D124">
        <v>97.89</v>
      </c>
      <c r="E124">
        <v>20.13</v>
      </c>
      <c r="F124">
        <v>2.62</v>
      </c>
      <c r="G124">
        <v>0.53</v>
      </c>
    </row>
    <row r="125" spans="1:7" x14ac:dyDescent="0.25">
      <c r="A125" t="s">
        <v>336</v>
      </c>
      <c r="B125" t="s">
        <v>500</v>
      </c>
      <c r="C125">
        <v>1</v>
      </c>
      <c r="D125">
        <v>97.11</v>
      </c>
      <c r="E125">
        <v>21.29</v>
      </c>
      <c r="F125">
        <v>2.41</v>
      </c>
      <c r="G125">
        <v>0.51</v>
      </c>
    </row>
    <row r="126" spans="1:7" x14ac:dyDescent="0.25">
      <c r="A126" t="s">
        <v>336</v>
      </c>
      <c r="B126" t="s">
        <v>500</v>
      </c>
      <c r="C126">
        <v>1</v>
      </c>
      <c r="D126">
        <v>96.24</v>
      </c>
      <c r="E126">
        <v>16.71</v>
      </c>
      <c r="F126">
        <v>3.51</v>
      </c>
      <c r="G126">
        <v>0.56000000000000005</v>
      </c>
    </row>
    <row r="127" spans="1:7" x14ac:dyDescent="0.25">
      <c r="A127" t="s">
        <v>336</v>
      </c>
      <c r="B127" t="s">
        <v>500</v>
      </c>
      <c r="C127">
        <v>1</v>
      </c>
      <c r="D127">
        <v>95.87</v>
      </c>
      <c r="E127">
        <v>14.08</v>
      </c>
      <c r="F127">
        <v>4.75</v>
      </c>
      <c r="G127">
        <v>0.65</v>
      </c>
    </row>
    <row r="128" spans="1:7" x14ac:dyDescent="0.25">
      <c r="A128" t="s">
        <v>336</v>
      </c>
      <c r="B128" t="s">
        <v>497</v>
      </c>
      <c r="C128">
        <v>0</v>
      </c>
      <c r="D128">
        <v>55.94</v>
      </c>
      <c r="E128">
        <v>38.880000000000003</v>
      </c>
      <c r="F128">
        <v>0.89</v>
      </c>
      <c r="G128">
        <v>0.14000000000000001</v>
      </c>
    </row>
    <row r="129" spans="1:7" x14ac:dyDescent="0.25">
      <c r="A129" t="s">
        <v>336</v>
      </c>
      <c r="B129" t="s">
        <v>497</v>
      </c>
      <c r="C129">
        <v>0</v>
      </c>
      <c r="D129">
        <v>63.6</v>
      </c>
      <c r="E129">
        <v>29.23</v>
      </c>
      <c r="F129">
        <v>1.5</v>
      </c>
      <c r="G129">
        <v>0.28000000000000003</v>
      </c>
    </row>
    <row r="130" spans="1:7" x14ac:dyDescent="0.25">
      <c r="A130" t="s">
        <v>336</v>
      </c>
      <c r="B130" t="s">
        <v>497</v>
      </c>
      <c r="C130">
        <v>0</v>
      </c>
      <c r="D130">
        <v>68.91</v>
      </c>
      <c r="E130">
        <v>19.579999999999998</v>
      </c>
      <c r="F130">
        <v>2.73</v>
      </c>
      <c r="G130">
        <v>0.52</v>
      </c>
    </row>
    <row r="131" spans="1:7" x14ac:dyDescent="0.25">
      <c r="A131" t="s">
        <v>336</v>
      </c>
      <c r="B131" t="s">
        <v>497</v>
      </c>
      <c r="C131">
        <v>0</v>
      </c>
      <c r="D131">
        <v>69.47</v>
      </c>
      <c r="E131">
        <v>18.05</v>
      </c>
      <c r="F131">
        <v>3.1</v>
      </c>
      <c r="G131">
        <v>0.56999999999999995</v>
      </c>
    </row>
    <row r="132" spans="1:7" x14ac:dyDescent="0.25">
      <c r="A132" t="s">
        <v>336</v>
      </c>
      <c r="B132" t="s">
        <v>497</v>
      </c>
      <c r="C132">
        <v>0</v>
      </c>
      <c r="D132">
        <v>69.7</v>
      </c>
      <c r="E132">
        <v>17.63</v>
      </c>
      <c r="F132">
        <v>3.21</v>
      </c>
      <c r="G132">
        <v>0.59</v>
      </c>
    </row>
    <row r="133" spans="1:7" x14ac:dyDescent="0.25">
      <c r="A133" t="s">
        <v>336</v>
      </c>
      <c r="B133" t="s">
        <v>497</v>
      </c>
      <c r="C133">
        <v>0</v>
      </c>
      <c r="D133">
        <v>70.25</v>
      </c>
      <c r="E133">
        <v>18.170000000000002</v>
      </c>
      <c r="F133">
        <v>3.06</v>
      </c>
      <c r="G133">
        <v>0.61</v>
      </c>
    </row>
    <row r="134" spans="1:7" x14ac:dyDescent="0.25">
      <c r="A134" t="s">
        <v>336</v>
      </c>
      <c r="B134" t="s">
        <v>497</v>
      </c>
      <c r="C134">
        <v>0</v>
      </c>
      <c r="D134">
        <v>71.540000000000006</v>
      </c>
      <c r="E134">
        <v>16.09</v>
      </c>
      <c r="F134">
        <v>3.74</v>
      </c>
      <c r="G134">
        <v>0.69</v>
      </c>
    </row>
    <row r="135" spans="1:7" x14ac:dyDescent="0.25">
      <c r="A135" t="s">
        <v>336</v>
      </c>
      <c r="B135" t="s">
        <v>497</v>
      </c>
      <c r="C135">
        <v>0</v>
      </c>
      <c r="D135">
        <v>72.05</v>
      </c>
      <c r="E135">
        <v>15.57</v>
      </c>
      <c r="F135">
        <v>3.96</v>
      </c>
      <c r="G135">
        <v>0.75</v>
      </c>
    </row>
    <row r="136" spans="1:7" x14ac:dyDescent="0.25">
      <c r="A136" t="s">
        <v>336</v>
      </c>
      <c r="B136" t="s">
        <v>497</v>
      </c>
      <c r="C136">
        <v>1</v>
      </c>
      <c r="D136">
        <v>73.709999999999994</v>
      </c>
      <c r="E136">
        <v>25.59</v>
      </c>
      <c r="F136">
        <v>1.84</v>
      </c>
      <c r="G136">
        <v>0.4</v>
      </c>
    </row>
    <row r="137" spans="1:7" x14ac:dyDescent="0.25">
      <c r="A137" t="s">
        <v>336</v>
      </c>
      <c r="B137" t="s">
        <v>497</v>
      </c>
      <c r="C137">
        <v>1</v>
      </c>
      <c r="D137">
        <v>76.52</v>
      </c>
      <c r="E137">
        <v>16.91</v>
      </c>
      <c r="F137">
        <v>3.44</v>
      </c>
      <c r="G137">
        <v>0.54</v>
      </c>
    </row>
    <row r="138" spans="1:7" x14ac:dyDescent="0.25">
      <c r="A138" t="s">
        <v>336</v>
      </c>
      <c r="B138" t="s">
        <v>497</v>
      </c>
      <c r="C138">
        <v>1</v>
      </c>
      <c r="D138">
        <v>76.19</v>
      </c>
      <c r="E138">
        <v>15.33</v>
      </c>
      <c r="F138">
        <v>4.07</v>
      </c>
      <c r="G138">
        <v>0.65</v>
      </c>
    </row>
    <row r="139" spans="1:7" x14ac:dyDescent="0.25">
      <c r="A139" t="s">
        <v>336</v>
      </c>
      <c r="B139" t="s">
        <v>497</v>
      </c>
      <c r="C139">
        <v>1</v>
      </c>
      <c r="D139">
        <v>74.95</v>
      </c>
      <c r="E139">
        <v>14.88</v>
      </c>
      <c r="F139">
        <v>4.29</v>
      </c>
      <c r="G139">
        <v>0.67</v>
      </c>
    </row>
    <row r="140" spans="1:7" x14ac:dyDescent="0.25">
      <c r="A140" t="s">
        <v>336</v>
      </c>
      <c r="B140" t="s">
        <v>497</v>
      </c>
      <c r="C140">
        <v>1</v>
      </c>
      <c r="D140">
        <v>74.22</v>
      </c>
      <c r="E140">
        <v>14.88</v>
      </c>
      <c r="F140">
        <v>4.29</v>
      </c>
      <c r="G140">
        <v>0.67</v>
      </c>
    </row>
    <row r="141" spans="1:7" x14ac:dyDescent="0.25">
      <c r="A141" t="s">
        <v>336</v>
      </c>
      <c r="B141" t="s">
        <v>497</v>
      </c>
      <c r="C141">
        <v>1</v>
      </c>
      <c r="D141">
        <v>74.63</v>
      </c>
      <c r="E141">
        <v>13.83</v>
      </c>
      <c r="F141">
        <v>4.92</v>
      </c>
      <c r="G141">
        <v>0.7</v>
      </c>
    </row>
    <row r="142" spans="1:7" x14ac:dyDescent="0.25">
      <c r="A142" t="s">
        <v>336</v>
      </c>
      <c r="B142" t="s">
        <v>497</v>
      </c>
      <c r="C142">
        <v>1</v>
      </c>
      <c r="D142">
        <v>74.97</v>
      </c>
      <c r="E142">
        <v>14.29</v>
      </c>
      <c r="F142">
        <v>4.62</v>
      </c>
      <c r="G142">
        <v>0.69</v>
      </c>
    </row>
    <row r="143" spans="1:7" x14ac:dyDescent="0.25">
      <c r="A143" t="s">
        <v>336</v>
      </c>
      <c r="B143" t="s">
        <v>497</v>
      </c>
      <c r="C143">
        <v>1</v>
      </c>
      <c r="D143">
        <v>76.27</v>
      </c>
      <c r="E143">
        <v>15.25</v>
      </c>
      <c r="F143">
        <v>4.1100000000000003</v>
      </c>
      <c r="G143">
        <v>0.7</v>
      </c>
    </row>
    <row r="144" spans="1:7" x14ac:dyDescent="0.25">
      <c r="A144" t="s">
        <v>336</v>
      </c>
      <c r="B144" t="s">
        <v>497</v>
      </c>
      <c r="C144">
        <v>1</v>
      </c>
      <c r="D144">
        <v>77.62</v>
      </c>
      <c r="E144">
        <v>14.77</v>
      </c>
      <c r="F144">
        <v>4.3499999999999996</v>
      </c>
      <c r="G144">
        <v>0.72</v>
      </c>
    </row>
    <row r="145" spans="1:7" x14ac:dyDescent="0.25">
      <c r="A145" t="s">
        <v>336</v>
      </c>
      <c r="B145" t="s">
        <v>501</v>
      </c>
      <c r="C145">
        <v>0</v>
      </c>
      <c r="D145">
        <v>90.52</v>
      </c>
      <c r="E145">
        <v>10.02</v>
      </c>
      <c r="F145">
        <v>8.6300000000000008</v>
      </c>
      <c r="G145">
        <v>0.78</v>
      </c>
    </row>
    <row r="146" spans="1:7" x14ac:dyDescent="0.25">
      <c r="A146" t="s">
        <v>336</v>
      </c>
      <c r="B146" t="s">
        <v>501</v>
      </c>
      <c r="C146">
        <v>0</v>
      </c>
      <c r="D146">
        <v>88.61</v>
      </c>
      <c r="E146">
        <v>11.72</v>
      </c>
      <c r="F146">
        <v>6.68</v>
      </c>
      <c r="G146">
        <v>0.71</v>
      </c>
    </row>
    <row r="147" spans="1:7" x14ac:dyDescent="0.25">
      <c r="A147" t="s">
        <v>336</v>
      </c>
      <c r="B147" t="s">
        <v>501</v>
      </c>
      <c r="C147">
        <v>0</v>
      </c>
      <c r="D147">
        <v>88.21</v>
      </c>
      <c r="E147">
        <v>9.7799999999999994</v>
      </c>
      <c r="F147">
        <v>8.94</v>
      </c>
      <c r="G147">
        <v>0.69</v>
      </c>
    </row>
    <row r="148" spans="1:7" x14ac:dyDescent="0.25">
      <c r="A148" t="s">
        <v>336</v>
      </c>
      <c r="B148" t="s">
        <v>501</v>
      </c>
      <c r="C148">
        <v>0</v>
      </c>
      <c r="D148">
        <v>88.92</v>
      </c>
      <c r="E148">
        <v>7.2</v>
      </c>
      <c r="F148">
        <v>12.91</v>
      </c>
      <c r="G148">
        <v>0.75</v>
      </c>
    </row>
    <row r="149" spans="1:7" x14ac:dyDescent="0.25">
      <c r="A149" t="s">
        <v>336</v>
      </c>
      <c r="B149" t="s">
        <v>501</v>
      </c>
      <c r="C149">
        <v>0</v>
      </c>
      <c r="D149">
        <v>89.58</v>
      </c>
      <c r="E149">
        <v>5.56</v>
      </c>
      <c r="F149">
        <v>16.27</v>
      </c>
      <c r="G149">
        <v>0.82</v>
      </c>
    </row>
    <row r="150" spans="1:7" x14ac:dyDescent="0.25">
      <c r="A150" t="s">
        <v>336</v>
      </c>
      <c r="B150" t="s">
        <v>501</v>
      </c>
      <c r="C150">
        <v>0</v>
      </c>
      <c r="D150">
        <v>89.86</v>
      </c>
      <c r="E150">
        <v>5.29</v>
      </c>
      <c r="F150">
        <v>16.920000000000002</v>
      </c>
      <c r="G150">
        <v>0.86</v>
      </c>
    </row>
    <row r="151" spans="1:7" x14ac:dyDescent="0.25">
      <c r="A151" t="s">
        <v>336</v>
      </c>
      <c r="B151" t="s">
        <v>501</v>
      </c>
      <c r="C151">
        <v>0</v>
      </c>
      <c r="D151">
        <v>89.76</v>
      </c>
      <c r="E151">
        <v>5.33</v>
      </c>
      <c r="F151">
        <v>16.82</v>
      </c>
      <c r="G151">
        <v>0.87</v>
      </c>
    </row>
    <row r="152" spans="1:7" x14ac:dyDescent="0.25">
      <c r="A152" t="s">
        <v>336</v>
      </c>
      <c r="B152" t="s">
        <v>501</v>
      </c>
      <c r="C152">
        <v>0</v>
      </c>
      <c r="D152">
        <v>89.3</v>
      </c>
      <c r="E152">
        <v>5.73</v>
      </c>
      <c r="F152">
        <v>15.88</v>
      </c>
      <c r="G152">
        <v>0.86</v>
      </c>
    </row>
    <row r="153" spans="1:7" x14ac:dyDescent="0.25">
      <c r="A153" t="s">
        <v>336</v>
      </c>
      <c r="B153" t="s">
        <v>501</v>
      </c>
      <c r="C153">
        <v>1</v>
      </c>
      <c r="D153">
        <v>95.26</v>
      </c>
      <c r="E153">
        <v>10.210000000000001</v>
      </c>
      <c r="F153">
        <v>8.4</v>
      </c>
      <c r="G153">
        <v>0.84</v>
      </c>
    </row>
    <row r="154" spans="1:7" x14ac:dyDescent="0.25">
      <c r="A154" t="s">
        <v>336</v>
      </c>
      <c r="B154" t="s">
        <v>501</v>
      </c>
      <c r="C154">
        <v>1</v>
      </c>
      <c r="D154">
        <v>94.89</v>
      </c>
      <c r="E154">
        <v>9.64</v>
      </c>
      <c r="F154">
        <v>9.1300000000000008</v>
      </c>
      <c r="G154">
        <v>0.83</v>
      </c>
    </row>
    <row r="155" spans="1:7" x14ac:dyDescent="0.25">
      <c r="A155" t="s">
        <v>336</v>
      </c>
      <c r="B155" t="s">
        <v>501</v>
      </c>
      <c r="C155">
        <v>1</v>
      </c>
      <c r="D155">
        <v>94.56</v>
      </c>
      <c r="E155">
        <v>8.61</v>
      </c>
      <c r="F155">
        <v>10.58</v>
      </c>
      <c r="G155">
        <v>0.82</v>
      </c>
    </row>
    <row r="156" spans="1:7" x14ac:dyDescent="0.25">
      <c r="A156" t="s">
        <v>336</v>
      </c>
      <c r="B156" t="s">
        <v>501</v>
      </c>
      <c r="C156">
        <v>1</v>
      </c>
      <c r="D156">
        <v>94.37</v>
      </c>
      <c r="E156">
        <v>7.96</v>
      </c>
      <c r="F156">
        <v>11.59</v>
      </c>
      <c r="G156">
        <v>0.81</v>
      </c>
    </row>
    <row r="157" spans="1:7" x14ac:dyDescent="0.25">
      <c r="A157" t="s">
        <v>336</v>
      </c>
      <c r="B157" t="s">
        <v>501</v>
      </c>
      <c r="C157">
        <v>1</v>
      </c>
      <c r="D157">
        <v>94.18</v>
      </c>
      <c r="E157">
        <v>7.06</v>
      </c>
      <c r="F157">
        <v>13.16</v>
      </c>
      <c r="G157">
        <v>0.82</v>
      </c>
    </row>
    <row r="158" spans="1:7" x14ac:dyDescent="0.25">
      <c r="A158" t="s">
        <v>336</v>
      </c>
      <c r="B158" t="s">
        <v>501</v>
      </c>
      <c r="C158">
        <v>1</v>
      </c>
      <c r="D158">
        <v>94.15</v>
      </c>
      <c r="E158">
        <v>5.88</v>
      </c>
      <c r="F158">
        <v>15.55</v>
      </c>
      <c r="G158">
        <v>0.83</v>
      </c>
    </row>
    <row r="159" spans="1:7" x14ac:dyDescent="0.25">
      <c r="A159" t="s">
        <v>336</v>
      </c>
      <c r="B159" t="s">
        <v>501</v>
      </c>
      <c r="C159">
        <v>1</v>
      </c>
      <c r="D159">
        <v>94.1</v>
      </c>
      <c r="E159">
        <v>3.64</v>
      </c>
      <c r="F159">
        <v>21.76</v>
      </c>
      <c r="G159">
        <v>0.86</v>
      </c>
    </row>
    <row r="160" spans="1:7" x14ac:dyDescent="0.25">
      <c r="A160" t="s">
        <v>336</v>
      </c>
      <c r="B160" t="s">
        <v>501</v>
      </c>
      <c r="C160">
        <v>1</v>
      </c>
      <c r="D160">
        <v>93.85</v>
      </c>
      <c r="E160">
        <v>3.14</v>
      </c>
      <c r="F160">
        <v>23.67</v>
      </c>
      <c r="G160">
        <v>0.89</v>
      </c>
    </row>
    <row r="161" spans="1:7" x14ac:dyDescent="0.25">
      <c r="A161" t="s">
        <v>336</v>
      </c>
      <c r="B161" t="s">
        <v>501</v>
      </c>
      <c r="C161">
        <v>1</v>
      </c>
      <c r="D161">
        <v>93.17</v>
      </c>
      <c r="E161">
        <v>3.31</v>
      </c>
      <c r="F161">
        <v>22.99</v>
      </c>
      <c r="G161">
        <v>0.89</v>
      </c>
    </row>
    <row r="162" spans="1:7" x14ac:dyDescent="0.25">
      <c r="A162" t="s">
        <v>336</v>
      </c>
      <c r="B162" t="s">
        <v>501</v>
      </c>
      <c r="C162">
        <v>1</v>
      </c>
      <c r="D162">
        <v>92.5</v>
      </c>
      <c r="E162">
        <v>3.42</v>
      </c>
      <c r="F162">
        <v>22.58</v>
      </c>
      <c r="G162">
        <v>0.89</v>
      </c>
    </row>
    <row r="163" spans="1:7" x14ac:dyDescent="0.25">
      <c r="A163" t="s">
        <v>496</v>
      </c>
      <c r="B163" t="s">
        <v>500</v>
      </c>
      <c r="C163">
        <v>0</v>
      </c>
      <c r="D163">
        <v>83.9</v>
      </c>
      <c r="E163">
        <v>10.35</v>
      </c>
      <c r="F163">
        <v>8.2200000000000006</v>
      </c>
      <c r="G163">
        <v>0.89</v>
      </c>
    </row>
    <row r="164" spans="1:7" x14ac:dyDescent="0.25">
      <c r="A164" t="s">
        <v>496</v>
      </c>
      <c r="B164" t="s">
        <v>500</v>
      </c>
      <c r="C164">
        <v>0</v>
      </c>
      <c r="D164">
        <v>82.29</v>
      </c>
      <c r="E164">
        <v>9.9700000000000006</v>
      </c>
      <c r="F164">
        <v>8.69</v>
      </c>
      <c r="G164">
        <v>0.88</v>
      </c>
    </row>
    <row r="165" spans="1:7" x14ac:dyDescent="0.25">
      <c r="A165" t="s">
        <v>496</v>
      </c>
      <c r="B165" t="s">
        <v>500</v>
      </c>
      <c r="C165">
        <v>0</v>
      </c>
      <c r="D165">
        <v>81.2</v>
      </c>
      <c r="E165">
        <v>9.61</v>
      </c>
      <c r="F165">
        <v>9.16</v>
      </c>
      <c r="G165">
        <v>0.87</v>
      </c>
    </row>
    <row r="166" spans="1:7" x14ac:dyDescent="0.25">
      <c r="A166" t="s">
        <v>496</v>
      </c>
      <c r="B166" t="s">
        <v>500</v>
      </c>
      <c r="C166">
        <v>0</v>
      </c>
      <c r="D166">
        <v>80.08</v>
      </c>
      <c r="E166">
        <v>8.81</v>
      </c>
      <c r="F166">
        <v>10.28</v>
      </c>
      <c r="G166">
        <v>0.83</v>
      </c>
    </row>
    <row r="167" spans="1:7" x14ac:dyDescent="0.25">
      <c r="A167" t="s">
        <v>496</v>
      </c>
      <c r="B167" t="s">
        <v>500</v>
      </c>
      <c r="C167">
        <v>0</v>
      </c>
      <c r="D167">
        <v>79.52</v>
      </c>
      <c r="E167">
        <v>8.35</v>
      </c>
      <c r="F167">
        <v>10.99</v>
      </c>
      <c r="G167">
        <v>0.79</v>
      </c>
    </row>
    <row r="168" spans="1:7" x14ac:dyDescent="0.25">
      <c r="A168" t="s">
        <v>496</v>
      </c>
      <c r="B168" t="s">
        <v>500</v>
      </c>
      <c r="C168">
        <v>0</v>
      </c>
      <c r="D168">
        <v>79.17</v>
      </c>
      <c r="E168">
        <v>9.08</v>
      </c>
      <c r="F168">
        <v>9.89</v>
      </c>
      <c r="G168">
        <v>0.8</v>
      </c>
    </row>
    <row r="169" spans="1:7" x14ac:dyDescent="0.25">
      <c r="A169" t="s">
        <v>496</v>
      </c>
      <c r="B169" t="s">
        <v>500</v>
      </c>
      <c r="C169">
        <v>0</v>
      </c>
      <c r="D169">
        <v>78.540000000000006</v>
      </c>
      <c r="E169">
        <v>9.25</v>
      </c>
      <c r="F169">
        <v>9.66</v>
      </c>
      <c r="G169">
        <v>0.84</v>
      </c>
    </row>
    <row r="170" spans="1:7" x14ac:dyDescent="0.25">
      <c r="A170" t="s">
        <v>496</v>
      </c>
      <c r="B170" t="s">
        <v>500</v>
      </c>
      <c r="C170">
        <v>0</v>
      </c>
      <c r="D170">
        <v>78.290000000000006</v>
      </c>
      <c r="E170">
        <v>9.6199999999999992</v>
      </c>
      <c r="F170">
        <v>9.16</v>
      </c>
      <c r="G170">
        <v>0.87</v>
      </c>
    </row>
    <row r="171" spans="1:7" x14ac:dyDescent="0.25">
      <c r="A171" t="s">
        <v>496</v>
      </c>
      <c r="B171" t="s">
        <v>500</v>
      </c>
      <c r="C171">
        <v>0</v>
      </c>
      <c r="D171">
        <v>77.95</v>
      </c>
      <c r="E171">
        <v>9.8800000000000008</v>
      </c>
      <c r="F171">
        <v>8.81</v>
      </c>
      <c r="G171">
        <v>0.88</v>
      </c>
    </row>
    <row r="172" spans="1:7" x14ac:dyDescent="0.25">
      <c r="A172" t="s">
        <v>496</v>
      </c>
      <c r="B172" t="s">
        <v>500</v>
      </c>
      <c r="C172">
        <v>0</v>
      </c>
      <c r="D172">
        <v>77.61</v>
      </c>
      <c r="E172">
        <v>10.35</v>
      </c>
      <c r="F172">
        <v>8.2100000000000009</v>
      </c>
      <c r="G172">
        <v>0.88</v>
      </c>
    </row>
    <row r="173" spans="1:7" x14ac:dyDescent="0.25">
      <c r="A173" t="s">
        <v>496</v>
      </c>
      <c r="B173" t="s">
        <v>500</v>
      </c>
      <c r="C173">
        <v>0</v>
      </c>
      <c r="D173">
        <v>77.8</v>
      </c>
      <c r="E173">
        <v>11.35</v>
      </c>
      <c r="F173">
        <v>7.07</v>
      </c>
      <c r="G173">
        <v>0.87</v>
      </c>
    </row>
    <row r="174" spans="1:7" x14ac:dyDescent="0.25">
      <c r="A174" t="s">
        <v>496</v>
      </c>
      <c r="B174" t="s">
        <v>500</v>
      </c>
      <c r="C174">
        <v>1</v>
      </c>
      <c r="D174">
        <v>86.64</v>
      </c>
      <c r="E174">
        <v>12.12</v>
      </c>
      <c r="F174">
        <v>6.29</v>
      </c>
      <c r="G174">
        <v>0.88</v>
      </c>
    </row>
    <row r="175" spans="1:7" x14ac:dyDescent="0.25">
      <c r="A175" t="s">
        <v>496</v>
      </c>
      <c r="B175" t="s">
        <v>500</v>
      </c>
      <c r="C175">
        <v>1</v>
      </c>
      <c r="D175">
        <v>88.82</v>
      </c>
      <c r="E175">
        <v>11.88</v>
      </c>
      <c r="F175">
        <v>6.52</v>
      </c>
      <c r="G175">
        <v>0.87</v>
      </c>
    </row>
    <row r="176" spans="1:7" x14ac:dyDescent="0.25">
      <c r="A176" t="s">
        <v>496</v>
      </c>
      <c r="B176" t="s">
        <v>500</v>
      </c>
      <c r="C176">
        <v>1</v>
      </c>
      <c r="D176">
        <v>90.54</v>
      </c>
      <c r="E176">
        <v>11.09</v>
      </c>
      <c r="F176">
        <v>7.35</v>
      </c>
      <c r="G176">
        <v>0.85</v>
      </c>
    </row>
    <row r="177" spans="1:7" x14ac:dyDescent="0.25">
      <c r="A177" t="s">
        <v>496</v>
      </c>
      <c r="B177" t="s">
        <v>500</v>
      </c>
      <c r="C177">
        <v>1</v>
      </c>
      <c r="D177">
        <v>90.25</v>
      </c>
      <c r="E177">
        <v>10.32</v>
      </c>
      <c r="F177">
        <v>8.25</v>
      </c>
      <c r="G177">
        <v>0.89</v>
      </c>
    </row>
    <row r="178" spans="1:7" x14ac:dyDescent="0.25">
      <c r="A178" t="s">
        <v>496</v>
      </c>
      <c r="B178" t="s">
        <v>500</v>
      </c>
      <c r="C178">
        <v>1</v>
      </c>
      <c r="D178">
        <v>89.57</v>
      </c>
      <c r="E178">
        <v>10.17</v>
      </c>
      <c r="F178">
        <v>8.4499999999999993</v>
      </c>
      <c r="G178">
        <v>0.88</v>
      </c>
    </row>
    <row r="179" spans="1:7" x14ac:dyDescent="0.25">
      <c r="A179" t="s">
        <v>496</v>
      </c>
      <c r="B179" t="s">
        <v>500</v>
      </c>
      <c r="C179">
        <v>1</v>
      </c>
      <c r="D179">
        <v>88.77</v>
      </c>
      <c r="E179">
        <v>10.119999999999999</v>
      </c>
      <c r="F179">
        <v>8.5</v>
      </c>
      <c r="G179">
        <v>0.9</v>
      </c>
    </row>
    <row r="180" spans="1:7" x14ac:dyDescent="0.25">
      <c r="A180" t="s">
        <v>496</v>
      </c>
      <c r="B180" t="s">
        <v>500</v>
      </c>
      <c r="C180">
        <v>1</v>
      </c>
      <c r="D180">
        <v>86.82</v>
      </c>
      <c r="E180">
        <v>10.130000000000001</v>
      </c>
      <c r="F180">
        <v>8.49</v>
      </c>
      <c r="G180">
        <v>0.89</v>
      </c>
    </row>
    <row r="181" spans="1:7" x14ac:dyDescent="0.25">
      <c r="A181" t="s">
        <v>496</v>
      </c>
      <c r="B181" t="s">
        <v>500</v>
      </c>
      <c r="C181">
        <v>1</v>
      </c>
      <c r="D181">
        <v>84.96</v>
      </c>
      <c r="E181">
        <v>9.81</v>
      </c>
      <c r="F181">
        <v>8.9</v>
      </c>
      <c r="G181">
        <v>0.84</v>
      </c>
    </row>
    <row r="182" spans="1:7" x14ac:dyDescent="0.25">
      <c r="A182" t="s">
        <v>496</v>
      </c>
      <c r="B182" t="s">
        <v>500</v>
      </c>
      <c r="C182">
        <v>1</v>
      </c>
      <c r="D182">
        <v>84.49</v>
      </c>
      <c r="E182">
        <v>9.56</v>
      </c>
      <c r="F182">
        <v>9.23</v>
      </c>
      <c r="G182">
        <v>0.85</v>
      </c>
    </row>
    <row r="183" spans="1:7" x14ac:dyDescent="0.25">
      <c r="A183" t="s">
        <v>496</v>
      </c>
      <c r="B183" t="s">
        <v>500</v>
      </c>
      <c r="C183">
        <v>1</v>
      </c>
      <c r="D183">
        <v>84.11</v>
      </c>
      <c r="E183">
        <v>8.85</v>
      </c>
      <c r="F183">
        <v>10.23</v>
      </c>
      <c r="G183">
        <v>0.86</v>
      </c>
    </row>
    <row r="184" spans="1:7" x14ac:dyDescent="0.25">
      <c r="A184" t="s">
        <v>496</v>
      </c>
      <c r="B184" t="s">
        <v>497</v>
      </c>
      <c r="C184">
        <v>0</v>
      </c>
      <c r="D184">
        <v>75.819999999999993</v>
      </c>
      <c r="E184">
        <v>4.71</v>
      </c>
      <c r="F184">
        <v>18.420000000000002</v>
      </c>
      <c r="G184">
        <v>0.95</v>
      </c>
    </row>
    <row r="185" spans="1:7" x14ac:dyDescent="0.25">
      <c r="A185" t="s">
        <v>496</v>
      </c>
      <c r="B185" t="s">
        <v>497</v>
      </c>
      <c r="C185">
        <v>0</v>
      </c>
      <c r="D185">
        <v>75.989999999999995</v>
      </c>
      <c r="E185">
        <v>5.79</v>
      </c>
      <c r="F185">
        <v>15.74</v>
      </c>
      <c r="G185">
        <v>0.94</v>
      </c>
    </row>
    <row r="186" spans="1:7" x14ac:dyDescent="0.25">
      <c r="A186" t="s">
        <v>496</v>
      </c>
      <c r="B186" t="s">
        <v>497</v>
      </c>
      <c r="C186">
        <v>0</v>
      </c>
      <c r="D186">
        <v>77.19</v>
      </c>
      <c r="E186">
        <v>7.1</v>
      </c>
      <c r="F186">
        <v>13.09</v>
      </c>
      <c r="G186">
        <v>0.94</v>
      </c>
    </row>
    <row r="187" spans="1:7" x14ac:dyDescent="0.25">
      <c r="A187" t="s">
        <v>496</v>
      </c>
      <c r="B187" t="s">
        <v>497</v>
      </c>
      <c r="C187">
        <v>0</v>
      </c>
      <c r="D187">
        <v>79.680000000000007</v>
      </c>
      <c r="E187">
        <v>8.06</v>
      </c>
      <c r="F187">
        <v>11.44</v>
      </c>
      <c r="G187">
        <v>0.95</v>
      </c>
    </row>
    <row r="188" spans="1:7" x14ac:dyDescent="0.25">
      <c r="A188" t="s">
        <v>496</v>
      </c>
      <c r="B188" t="s">
        <v>497</v>
      </c>
      <c r="C188">
        <v>0</v>
      </c>
      <c r="D188">
        <v>81.819999999999993</v>
      </c>
      <c r="E188">
        <v>7.84</v>
      </c>
      <c r="F188">
        <v>11.8</v>
      </c>
      <c r="G188">
        <v>0.95</v>
      </c>
    </row>
    <row r="189" spans="1:7" x14ac:dyDescent="0.25">
      <c r="A189" t="s">
        <v>496</v>
      </c>
      <c r="B189" t="s">
        <v>497</v>
      </c>
      <c r="C189">
        <v>0</v>
      </c>
      <c r="D189">
        <v>82.47</v>
      </c>
      <c r="E189">
        <v>8.3800000000000008</v>
      </c>
      <c r="F189">
        <v>10.94</v>
      </c>
      <c r="G189">
        <v>0.94</v>
      </c>
    </row>
    <row r="190" spans="1:7" x14ac:dyDescent="0.25">
      <c r="A190" t="s">
        <v>496</v>
      </c>
      <c r="B190" t="s">
        <v>497</v>
      </c>
      <c r="C190">
        <v>0</v>
      </c>
      <c r="D190">
        <v>82.84</v>
      </c>
      <c r="E190">
        <v>8.8800000000000008</v>
      </c>
      <c r="F190">
        <v>10.18</v>
      </c>
      <c r="G190">
        <v>0.94</v>
      </c>
    </row>
    <row r="191" spans="1:7" x14ac:dyDescent="0.25">
      <c r="A191" t="s">
        <v>496</v>
      </c>
      <c r="B191" t="s">
        <v>497</v>
      </c>
      <c r="C191">
        <v>0</v>
      </c>
      <c r="D191">
        <v>83.41</v>
      </c>
      <c r="E191">
        <v>8.8800000000000008</v>
      </c>
      <c r="F191">
        <v>10.18</v>
      </c>
      <c r="G191">
        <v>0.93</v>
      </c>
    </row>
    <row r="192" spans="1:7" x14ac:dyDescent="0.25">
      <c r="A192" t="s">
        <v>496</v>
      </c>
      <c r="B192" t="s">
        <v>497</v>
      </c>
      <c r="C192">
        <v>0</v>
      </c>
      <c r="D192">
        <v>83.63</v>
      </c>
      <c r="E192">
        <v>8.5299999999999994</v>
      </c>
      <c r="F192">
        <v>10.71</v>
      </c>
      <c r="G192">
        <v>0.93</v>
      </c>
    </row>
    <row r="193" spans="1:7" x14ac:dyDescent="0.25">
      <c r="A193" t="s">
        <v>496</v>
      </c>
      <c r="B193" t="s">
        <v>497</v>
      </c>
      <c r="C193">
        <v>0</v>
      </c>
      <c r="D193">
        <v>84.23</v>
      </c>
      <c r="E193">
        <v>8.74</v>
      </c>
      <c r="F193">
        <v>10.39</v>
      </c>
      <c r="G193">
        <v>0.92</v>
      </c>
    </row>
    <row r="194" spans="1:7" x14ac:dyDescent="0.25">
      <c r="A194" t="s">
        <v>496</v>
      </c>
      <c r="B194" t="s">
        <v>497</v>
      </c>
      <c r="C194">
        <v>1</v>
      </c>
      <c r="D194">
        <v>83.65</v>
      </c>
      <c r="E194">
        <v>12.54</v>
      </c>
      <c r="F194">
        <v>5.91</v>
      </c>
      <c r="G194">
        <v>0.79</v>
      </c>
    </row>
    <row r="195" spans="1:7" x14ac:dyDescent="0.25">
      <c r="A195" t="s">
        <v>496</v>
      </c>
      <c r="B195" t="s">
        <v>497</v>
      </c>
      <c r="C195">
        <v>1</v>
      </c>
      <c r="D195">
        <v>83.5</v>
      </c>
      <c r="E195">
        <v>10.27</v>
      </c>
      <c r="F195">
        <v>8.31</v>
      </c>
      <c r="G195">
        <v>0.85</v>
      </c>
    </row>
    <row r="196" spans="1:7" x14ac:dyDescent="0.25">
      <c r="A196" t="s">
        <v>496</v>
      </c>
      <c r="B196" t="s">
        <v>497</v>
      </c>
      <c r="C196">
        <v>1</v>
      </c>
      <c r="D196">
        <v>84.41</v>
      </c>
      <c r="E196">
        <v>10.28</v>
      </c>
      <c r="F196">
        <v>8.31</v>
      </c>
      <c r="G196">
        <v>0.89</v>
      </c>
    </row>
    <row r="197" spans="1:7" x14ac:dyDescent="0.25">
      <c r="A197" t="s">
        <v>496</v>
      </c>
      <c r="B197" t="s">
        <v>497</v>
      </c>
      <c r="C197">
        <v>1</v>
      </c>
      <c r="D197">
        <v>84.54</v>
      </c>
      <c r="E197">
        <v>9.99</v>
      </c>
      <c r="F197">
        <v>8.67</v>
      </c>
      <c r="G197">
        <v>0.89</v>
      </c>
    </row>
    <row r="198" spans="1:7" x14ac:dyDescent="0.25">
      <c r="A198" t="s">
        <v>496</v>
      </c>
      <c r="B198" t="s">
        <v>497</v>
      </c>
      <c r="C198">
        <v>1</v>
      </c>
      <c r="D198">
        <v>85.22</v>
      </c>
      <c r="E198">
        <v>8.7100000000000009</v>
      </c>
      <c r="F198">
        <v>10.43</v>
      </c>
      <c r="G198">
        <v>0.88</v>
      </c>
    </row>
    <row r="199" spans="1:7" x14ac:dyDescent="0.25">
      <c r="A199" t="s">
        <v>496</v>
      </c>
      <c r="B199" t="s">
        <v>497</v>
      </c>
      <c r="C199">
        <v>1</v>
      </c>
      <c r="D199">
        <v>85.57</v>
      </c>
      <c r="E199">
        <v>8.18</v>
      </c>
      <c r="F199">
        <v>11.25</v>
      </c>
      <c r="G199">
        <v>0.87</v>
      </c>
    </row>
    <row r="200" spans="1:7" x14ac:dyDescent="0.25">
      <c r="A200" t="s">
        <v>496</v>
      </c>
      <c r="B200" t="s">
        <v>497</v>
      </c>
      <c r="C200">
        <v>1</v>
      </c>
      <c r="D200">
        <v>85.6</v>
      </c>
      <c r="E200">
        <v>7.68</v>
      </c>
      <c r="F200">
        <v>12.06</v>
      </c>
      <c r="G200">
        <v>0.87</v>
      </c>
    </row>
    <row r="201" spans="1:7" x14ac:dyDescent="0.25">
      <c r="A201" t="s">
        <v>496</v>
      </c>
      <c r="B201" t="s">
        <v>497</v>
      </c>
      <c r="C201">
        <v>1</v>
      </c>
      <c r="D201">
        <v>85.48</v>
      </c>
      <c r="E201">
        <v>7.27</v>
      </c>
      <c r="F201">
        <v>12.77</v>
      </c>
      <c r="G201">
        <v>0.89</v>
      </c>
    </row>
    <row r="202" spans="1:7" x14ac:dyDescent="0.25">
      <c r="A202" t="s">
        <v>496</v>
      </c>
      <c r="B202" t="s">
        <v>497</v>
      </c>
      <c r="C202">
        <v>1</v>
      </c>
      <c r="D202">
        <v>85.65</v>
      </c>
      <c r="E202">
        <v>7.67</v>
      </c>
      <c r="F202">
        <v>12.08</v>
      </c>
      <c r="G202">
        <v>0.88</v>
      </c>
    </row>
    <row r="203" spans="1:7" x14ac:dyDescent="0.25">
      <c r="A203" t="s">
        <v>496</v>
      </c>
      <c r="B203" t="s">
        <v>497</v>
      </c>
      <c r="C203">
        <v>1</v>
      </c>
      <c r="D203">
        <v>85.43</v>
      </c>
      <c r="E203">
        <v>8.06</v>
      </c>
      <c r="F203">
        <v>11.44</v>
      </c>
      <c r="G203">
        <v>0.89</v>
      </c>
    </row>
    <row r="204" spans="1:7" x14ac:dyDescent="0.25">
      <c r="A204" t="s">
        <v>495</v>
      </c>
      <c r="B204" t="s">
        <v>502</v>
      </c>
      <c r="C204">
        <v>0</v>
      </c>
      <c r="D204">
        <v>89.73</v>
      </c>
      <c r="E204">
        <v>12.25</v>
      </c>
      <c r="F204">
        <v>6.17</v>
      </c>
      <c r="G204">
        <v>0.72</v>
      </c>
    </row>
    <row r="205" spans="1:7" x14ac:dyDescent="0.25">
      <c r="A205" t="s">
        <v>495</v>
      </c>
      <c r="B205" t="s">
        <v>502</v>
      </c>
      <c r="C205">
        <v>0</v>
      </c>
      <c r="D205">
        <v>90.99</v>
      </c>
      <c r="E205">
        <v>12.47</v>
      </c>
      <c r="F205">
        <v>5.97</v>
      </c>
      <c r="G205">
        <v>0.8</v>
      </c>
    </row>
    <row r="206" spans="1:7" x14ac:dyDescent="0.25">
      <c r="A206" t="s">
        <v>495</v>
      </c>
      <c r="B206" t="s">
        <v>502</v>
      </c>
      <c r="C206">
        <v>0</v>
      </c>
      <c r="D206">
        <v>89.61</v>
      </c>
      <c r="E206">
        <v>12.71</v>
      </c>
      <c r="F206">
        <v>5.76</v>
      </c>
      <c r="G206">
        <v>0.88</v>
      </c>
    </row>
    <row r="207" spans="1:7" x14ac:dyDescent="0.25">
      <c r="A207" t="s">
        <v>495</v>
      </c>
      <c r="B207" t="s">
        <v>502</v>
      </c>
      <c r="C207">
        <v>0</v>
      </c>
      <c r="D207">
        <v>88.61</v>
      </c>
      <c r="E207">
        <v>11.86</v>
      </c>
      <c r="F207">
        <v>6.54</v>
      </c>
      <c r="G207">
        <v>0.9</v>
      </c>
    </row>
    <row r="208" spans="1:7" x14ac:dyDescent="0.25">
      <c r="A208" t="s">
        <v>495</v>
      </c>
      <c r="B208" t="s">
        <v>502</v>
      </c>
      <c r="C208">
        <v>0</v>
      </c>
      <c r="D208">
        <v>87.98</v>
      </c>
      <c r="E208">
        <v>10.050000000000001</v>
      </c>
      <c r="F208">
        <v>8.59</v>
      </c>
      <c r="G208">
        <v>0.91</v>
      </c>
    </row>
    <row r="209" spans="1:7" x14ac:dyDescent="0.25">
      <c r="A209" t="s">
        <v>495</v>
      </c>
      <c r="B209" t="s">
        <v>502</v>
      </c>
      <c r="C209">
        <v>0</v>
      </c>
      <c r="D209">
        <v>88.33</v>
      </c>
      <c r="E209">
        <v>9.36</v>
      </c>
      <c r="F209">
        <v>9.51</v>
      </c>
      <c r="G209">
        <v>0.89</v>
      </c>
    </row>
    <row r="210" spans="1:7" x14ac:dyDescent="0.25">
      <c r="A210" t="s">
        <v>495</v>
      </c>
      <c r="B210" t="s">
        <v>502</v>
      </c>
      <c r="C210">
        <v>0</v>
      </c>
      <c r="D210">
        <v>88.42</v>
      </c>
      <c r="E210">
        <v>8.93</v>
      </c>
      <c r="F210">
        <v>10.11</v>
      </c>
      <c r="G210">
        <v>0.87</v>
      </c>
    </row>
    <row r="211" spans="1:7" x14ac:dyDescent="0.25">
      <c r="A211" t="s">
        <v>495</v>
      </c>
      <c r="B211" t="s">
        <v>502</v>
      </c>
      <c r="C211">
        <v>0</v>
      </c>
      <c r="D211">
        <v>88.76</v>
      </c>
      <c r="E211">
        <v>8.1</v>
      </c>
      <c r="F211">
        <v>11.38</v>
      </c>
      <c r="G211">
        <v>0.85</v>
      </c>
    </row>
    <row r="212" spans="1:7" x14ac:dyDescent="0.25">
      <c r="A212" t="s">
        <v>495</v>
      </c>
      <c r="B212" t="s">
        <v>502</v>
      </c>
      <c r="C212">
        <v>0</v>
      </c>
      <c r="D212">
        <v>89.79</v>
      </c>
      <c r="E212">
        <v>8.6199999999999992</v>
      </c>
      <c r="F212">
        <v>10.57</v>
      </c>
      <c r="G212">
        <v>0.82</v>
      </c>
    </row>
    <row r="213" spans="1:7" x14ac:dyDescent="0.25">
      <c r="A213" t="s">
        <v>495</v>
      </c>
      <c r="B213" t="s">
        <v>502</v>
      </c>
      <c r="C213">
        <v>0</v>
      </c>
      <c r="D213">
        <v>89.96</v>
      </c>
      <c r="E213">
        <v>8.5500000000000007</v>
      </c>
      <c r="F213">
        <v>10.68</v>
      </c>
      <c r="G213">
        <v>0.83</v>
      </c>
    </row>
    <row r="214" spans="1:7" x14ac:dyDescent="0.25">
      <c r="A214" t="s">
        <v>495</v>
      </c>
      <c r="B214" t="s">
        <v>502</v>
      </c>
      <c r="C214">
        <v>0</v>
      </c>
      <c r="D214">
        <v>90.15</v>
      </c>
      <c r="E214">
        <v>7.87</v>
      </c>
      <c r="F214">
        <v>11.76</v>
      </c>
      <c r="G214">
        <v>0.83</v>
      </c>
    </row>
    <row r="215" spans="1:7" x14ac:dyDescent="0.25">
      <c r="A215" t="s">
        <v>495</v>
      </c>
      <c r="B215" t="s">
        <v>502</v>
      </c>
      <c r="C215">
        <v>0</v>
      </c>
      <c r="D215">
        <v>90.4</v>
      </c>
      <c r="E215">
        <v>8.84</v>
      </c>
      <c r="F215">
        <v>10.24</v>
      </c>
      <c r="G215">
        <v>0.83</v>
      </c>
    </row>
    <row r="216" spans="1:7" x14ac:dyDescent="0.25">
      <c r="A216" t="s">
        <v>495</v>
      </c>
      <c r="B216" t="s">
        <v>502</v>
      </c>
      <c r="C216">
        <v>1</v>
      </c>
      <c r="D216">
        <v>88.32</v>
      </c>
      <c r="E216">
        <v>14.05</v>
      </c>
      <c r="F216">
        <v>4.7699999999999996</v>
      </c>
      <c r="G216">
        <v>0.56999999999999995</v>
      </c>
    </row>
    <row r="217" spans="1:7" x14ac:dyDescent="0.25">
      <c r="A217" t="s">
        <v>495</v>
      </c>
      <c r="B217" t="s">
        <v>502</v>
      </c>
      <c r="C217">
        <v>1</v>
      </c>
      <c r="D217">
        <v>86.68</v>
      </c>
      <c r="E217">
        <v>11.78</v>
      </c>
      <c r="F217">
        <v>6.62</v>
      </c>
      <c r="G217">
        <v>0.7</v>
      </c>
    </row>
    <row r="218" spans="1:7" x14ac:dyDescent="0.25">
      <c r="A218" t="s">
        <v>495</v>
      </c>
      <c r="B218" t="s">
        <v>502</v>
      </c>
      <c r="C218">
        <v>1</v>
      </c>
      <c r="D218">
        <v>85.73</v>
      </c>
      <c r="E218">
        <v>11.35</v>
      </c>
      <c r="F218">
        <v>7.07</v>
      </c>
      <c r="G218">
        <v>0.79</v>
      </c>
    </row>
    <row r="219" spans="1:7" x14ac:dyDescent="0.25">
      <c r="A219" t="s">
        <v>495</v>
      </c>
      <c r="B219" t="s">
        <v>502</v>
      </c>
      <c r="C219">
        <v>1</v>
      </c>
      <c r="D219">
        <v>82.28</v>
      </c>
      <c r="E219">
        <v>11.92</v>
      </c>
      <c r="F219">
        <v>6.48</v>
      </c>
      <c r="G219">
        <v>0.85</v>
      </c>
    </row>
    <row r="220" spans="1:7" x14ac:dyDescent="0.25">
      <c r="A220" t="s">
        <v>495</v>
      </c>
      <c r="B220" t="s">
        <v>502</v>
      </c>
      <c r="C220">
        <v>1</v>
      </c>
      <c r="D220">
        <v>79.69</v>
      </c>
      <c r="E220">
        <v>11.4</v>
      </c>
      <c r="F220">
        <v>7.02</v>
      </c>
      <c r="G220">
        <v>0.89</v>
      </c>
    </row>
    <row r="221" spans="1:7" x14ac:dyDescent="0.25">
      <c r="A221" t="s">
        <v>495</v>
      </c>
      <c r="B221" t="s">
        <v>502</v>
      </c>
      <c r="C221">
        <v>1</v>
      </c>
      <c r="D221">
        <v>78.52</v>
      </c>
      <c r="E221">
        <v>11.28</v>
      </c>
      <c r="F221">
        <v>7.15</v>
      </c>
      <c r="G221">
        <v>0.89</v>
      </c>
    </row>
    <row r="222" spans="1:7" x14ac:dyDescent="0.25">
      <c r="A222" t="s">
        <v>495</v>
      </c>
      <c r="B222" t="s">
        <v>502</v>
      </c>
      <c r="C222">
        <v>1</v>
      </c>
      <c r="D222">
        <v>78.83</v>
      </c>
      <c r="E222">
        <v>11.16</v>
      </c>
      <c r="F222">
        <v>7.27</v>
      </c>
      <c r="G222">
        <v>0.89</v>
      </c>
    </row>
    <row r="223" spans="1:7" x14ac:dyDescent="0.25">
      <c r="A223" t="s">
        <v>495</v>
      </c>
      <c r="B223" t="s">
        <v>502</v>
      </c>
      <c r="C223">
        <v>1</v>
      </c>
      <c r="D223">
        <v>79.5</v>
      </c>
      <c r="E223">
        <v>10.77</v>
      </c>
      <c r="F223">
        <v>7.71</v>
      </c>
      <c r="G223">
        <v>0.9</v>
      </c>
    </row>
    <row r="224" spans="1:7" x14ac:dyDescent="0.25">
      <c r="A224" t="s">
        <v>495</v>
      </c>
      <c r="B224" t="s">
        <v>502</v>
      </c>
      <c r="C224">
        <v>1</v>
      </c>
      <c r="D224">
        <v>79.989999999999995</v>
      </c>
      <c r="E224">
        <v>9.9</v>
      </c>
      <c r="F224">
        <v>8.7899999999999991</v>
      </c>
      <c r="G224">
        <v>0.9</v>
      </c>
    </row>
    <row r="225" spans="1:7" x14ac:dyDescent="0.25">
      <c r="A225" t="s">
        <v>495</v>
      </c>
      <c r="B225" t="s">
        <v>502</v>
      </c>
      <c r="C225">
        <v>1</v>
      </c>
      <c r="D225">
        <v>80.540000000000006</v>
      </c>
      <c r="E225">
        <v>9.8699999999999992</v>
      </c>
      <c r="F225">
        <v>8.83</v>
      </c>
      <c r="G225">
        <v>0.89</v>
      </c>
    </row>
    <row r="226" spans="1:7" x14ac:dyDescent="0.25">
      <c r="A226" t="s">
        <v>495</v>
      </c>
      <c r="B226" t="s">
        <v>502</v>
      </c>
      <c r="C226">
        <v>1</v>
      </c>
      <c r="D226">
        <v>81.03</v>
      </c>
      <c r="E226">
        <v>9.93</v>
      </c>
      <c r="F226">
        <v>8.74</v>
      </c>
      <c r="G226">
        <v>0.92</v>
      </c>
    </row>
    <row r="227" spans="1:7" x14ac:dyDescent="0.25">
      <c r="A227" t="s">
        <v>495</v>
      </c>
      <c r="B227" t="s">
        <v>502</v>
      </c>
      <c r="C227">
        <v>1</v>
      </c>
      <c r="D227">
        <v>81.760000000000005</v>
      </c>
      <c r="E227">
        <v>10.1</v>
      </c>
      <c r="F227">
        <v>8.5299999999999994</v>
      </c>
      <c r="G227">
        <v>0.92</v>
      </c>
    </row>
    <row r="228" spans="1:7" x14ac:dyDescent="0.25">
      <c r="A228" t="s">
        <v>495</v>
      </c>
      <c r="B228" t="s">
        <v>500</v>
      </c>
      <c r="C228">
        <v>0</v>
      </c>
      <c r="D228">
        <v>108.32</v>
      </c>
      <c r="E228">
        <v>18.3</v>
      </c>
      <c r="F228">
        <v>3.03</v>
      </c>
      <c r="G228">
        <v>0.41</v>
      </c>
    </row>
    <row r="229" spans="1:7" x14ac:dyDescent="0.25">
      <c r="A229" t="s">
        <v>495</v>
      </c>
      <c r="B229" t="s">
        <v>500</v>
      </c>
      <c r="C229">
        <v>0</v>
      </c>
      <c r="D229">
        <v>99.46</v>
      </c>
      <c r="E229">
        <v>11.52</v>
      </c>
      <c r="F229">
        <v>6.89</v>
      </c>
      <c r="G229">
        <v>0.79</v>
      </c>
    </row>
    <row r="230" spans="1:7" x14ac:dyDescent="0.25">
      <c r="A230" t="s">
        <v>495</v>
      </c>
      <c r="B230" t="s">
        <v>500</v>
      </c>
      <c r="C230">
        <v>0</v>
      </c>
      <c r="D230">
        <v>95.36</v>
      </c>
      <c r="E230">
        <v>9.66</v>
      </c>
      <c r="F230">
        <v>9.1</v>
      </c>
      <c r="G230">
        <v>0.9</v>
      </c>
    </row>
    <row r="231" spans="1:7" x14ac:dyDescent="0.25">
      <c r="A231" t="s">
        <v>495</v>
      </c>
      <c r="B231" t="s">
        <v>500</v>
      </c>
      <c r="C231">
        <v>0</v>
      </c>
      <c r="D231">
        <v>95.23</v>
      </c>
      <c r="E231">
        <v>8.23</v>
      </c>
      <c r="F231">
        <v>11.17</v>
      </c>
      <c r="G231">
        <v>0.92</v>
      </c>
    </row>
    <row r="232" spans="1:7" x14ac:dyDescent="0.25">
      <c r="A232" t="s">
        <v>495</v>
      </c>
      <c r="B232" t="s">
        <v>500</v>
      </c>
      <c r="C232">
        <v>0</v>
      </c>
      <c r="D232">
        <v>94.29</v>
      </c>
      <c r="E232">
        <v>5.73</v>
      </c>
      <c r="F232">
        <v>15.87</v>
      </c>
      <c r="G232">
        <v>0.94</v>
      </c>
    </row>
    <row r="233" spans="1:7" x14ac:dyDescent="0.25">
      <c r="A233" t="s">
        <v>495</v>
      </c>
      <c r="B233" t="s">
        <v>500</v>
      </c>
      <c r="C233">
        <v>0</v>
      </c>
      <c r="D233">
        <v>92.87</v>
      </c>
      <c r="E233">
        <v>4.47</v>
      </c>
      <c r="F233">
        <v>19.09</v>
      </c>
      <c r="G233">
        <v>0.95</v>
      </c>
    </row>
    <row r="234" spans="1:7" x14ac:dyDescent="0.25">
      <c r="A234" t="s">
        <v>495</v>
      </c>
      <c r="B234" t="s">
        <v>500</v>
      </c>
      <c r="C234">
        <v>0</v>
      </c>
      <c r="D234">
        <v>91.97</v>
      </c>
      <c r="E234">
        <v>4.1500000000000004</v>
      </c>
      <c r="F234">
        <v>20.059999999999999</v>
      </c>
      <c r="G234">
        <v>0.95</v>
      </c>
    </row>
    <row r="235" spans="1:7" x14ac:dyDescent="0.25">
      <c r="A235" t="s">
        <v>495</v>
      </c>
      <c r="B235" t="s">
        <v>500</v>
      </c>
      <c r="C235">
        <v>0</v>
      </c>
      <c r="D235">
        <v>91.65</v>
      </c>
      <c r="E235">
        <v>4.0999999999999996</v>
      </c>
      <c r="F235">
        <v>20.22</v>
      </c>
      <c r="G235">
        <v>0.96</v>
      </c>
    </row>
    <row r="236" spans="1:7" x14ac:dyDescent="0.25">
      <c r="A236" t="s">
        <v>495</v>
      </c>
      <c r="B236" t="s">
        <v>500</v>
      </c>
      <c r="C236">
        <v>0</v>
      </c>
      <c r="D236">
        <v>91.09</v>
      </c>
      <c r="E236">
        <v>3.8</v>
      </c>
      <c r="F236">
        <v>21.2</v>
      </c>
      <c r="G236">
        <v>0.95</v>
      </c>
    </row>
    <row r="237" spans="1:7" x14ac:dyDescent="0.25">
      <c r="A237" t="s">
        <v>495</v>
      </c>
      <c r="B237" t="s">
        <v>500</v>
      </c>
      <c r="C237">
        <v>0</v>
      </c>
      <c r="D237">
        <v>90.63</v>
      </c>
      <c r="E237">
        <v>3.72</v>
      </c>
      <c r="F237">
        <v>21.48</v>
      </c>
      <c r="G237">
        <v>0.95</v>
      </c>
    </row>
    <row r="238" spans="1:7" x14ac:dyDescent="0.25">
      <c r="A238" t="s">
        <v>495</v>
      </c>
      <c r="B238" t="s">
        <v>500</v>
      </c>
      <c r="C238">
        <v>0</v>
      </c>
      <c r="D238">
        <v>90.34</v>
      </c>
      <c r="E238">
        <v>4.3</v>
      </c>
      <c r="F238">
        <v>19.61</v>
      </c>
      <c r="G238">
        <v>0.93</v>
      </c>
    </row>
    <row r="239" spans="1:7" x14ac:dyDescent="0.25">
      <c r="A239" t="s">
        <v>495</v>
      </c>
      <c r="B239" t="s">
        <v>500</v>
      </c>
      <c r="C239">
        <v>0</v>
      </c>
      <c r="D239">
        <v>90.33</v>
      </c>
      <c r="E239">
        <v>5.19</v>
      </c>
      <c r="F239">
        <v>17.149999999999999</v>
      </c>
      <c r="G239">
        <v>0.93</v>
      </c>
    </row>
    <row r="240" spans="1:7" x14ac:dyDescent="0.25">
      <c r="A240" t="s">
        <v>495</v>
      </c>
      <c r="B240" t="s">
        <v>500</v>
      </c>
      <c r="C240">
        <v>1</v>
      </c>
      <c r="D240">
        <v>95.38</v>
      </c>
      <c r="E240">
        <v>15.59</v>
      </c>
      <c r="F240">
        <v>3.95</v>
      </c>
      <c r="G240">
        <v>0.79</v>
      </c>
    </row>
    <row r="241" spans="1:7" x14ac:dyDescent="0.25">
      <c r="A241" t="s">
        <v>495</v>
      </c>
      <c r="B241" t="s">
        <v>500</v>
      </c>
      <c r="C241">
        <v>1</v>
      </c>
      <c r="D241">
        <v>91.08</v>
      </c>
      <c r="E241">
        <v>16.59</v>
      </c>
      <c r="F241">
        <v>3.55</v>
      </c>
      <c r="G241">
        <v>0.81</v>
      </c>
    </row>
    <row r="242" spans="1:7" x14ac:dyDescent="0.25">
      <c r="A242" t="s">
        <v>495</v>
      </c>
      <c r="B242" t="s">
        <v>500</v>
      </c>
      <c r="C242">
        <v>1</v>
      </c>
      <c r="D242">
        <v>89.64</v>
      </c>
      <c r="E242">
        <v>15.14</v>
      </c>
      <c r="F242">
        <v>4.16</v>
      </c>
      <c r="G242">
        <v>0.9</v>
      </c>
    </row>
    <row r="243" spans="1:7" x14ac:dyDescent="0.25">
      <c r="A243" t="s">
        <v>495</v>
      </c>
      <c r="B243" t="s">
        <v>500</v>
      </c>
      <c r="C243">
        <v>1</v>
      </c>
      <c r="D243">
        <v>90.43</v>
      </c>
      <c r="E243">
        <v>14.02</v>
      </c>
      <c r="F243">
        <v>4.79</v>
      </c>
      <c r="G243">
        <v>0.83</v>
      </c>
    </row>
    <row r="244" spans="1:7" x14ac:dyDescent="0.25">
      <c r="A244" t="s">
        <v>495</v>
      </c>
      <c r="B244" t="s">
        <v>500</v>
      </c>
      <c r="C244">
        <v>1</v>
      </c>
      <c r="D244">
        <v>90.31</v>
      </c>
      <c r="E244">
        <v>12.92</v>
      </c>
      <c r="F244">
        <v>5.58</v>
      </c>
      <c r="G244">
        <v>0.8</v>
      </c>
    </row>
    <row r="245" spans="1:7" x14ac:dyDescent="0.25">
      <c r="A245" t="s">
        <v>495</v>
      </c>
      <c r="B245" t="s">
        <v>500</v>
      </c>
      <c r="C245">
        <v>1</v>
      </c>
      <c r="D245">
        <v>91.58</v>
      </c>
      <c r="E245">
        <v>12.59</v>
      </c>
      <c r="F245">
        <v>5.87</v>
      </c>
      <c r="G245">
        <v>0.81</v>
      </c>
    </row>
    <row r="246" spans="1:7" x14ac:dyDescent="0.25">
      <c r="A246" t="s">
        <v>495</v>
      </c>
      <c r="B246" t="s">
        <v>500</v>
      </c>
      <c r="C246">
        <v>1</v>
      </c>
      <c r="D246">
        <v>91.58</v>
      </c>
      <c r="E246">
        <v>12.92</v>
      </c>
      <c r="F246">
        <v>5.58</v>
      </c>
      <c r="G246">
        <v>0.8</v>
      </c>
    </row>
    <row r="247" spans="1:7" x14ac:dyDescent="0.25">
      <c r="A247" t="s">
        <v>495</v>
      </c>
      <c r="B247" t="s">
        <v>500</v>
      </c>
      <c r="C247">
        <v>1</v>
      </c>
      <c r="D247">
        <v>89.88</v>
      </c>
      <c r="E247">
        <v>13.28</v>
      </c>
      <c r="F247">
        <v>5.3</v>
      </c>
      <c r="G247">
        <v>0.79</v>
      </c>
    </row>
    <row r="248" spans="1:7" x14ac:dyDescent="0.25">
      <c r="A248" t="s">
        <v>495</v>
      </c>
      <c r="B248" t="s">
        <v>500</v>
      </c>
      <c r="C248">
        <v>1</v>
      </c>
      <c r="D248">
        <v>86.93</v>
      </c>
      <c r="E248">
        <v>13.1</v>
      </c>
      <c r="F248">
        <v>5.44</v>
      </c>
      <c r="G248">
        <v>0.76</v>
      </c>
    </row>
    <row r="249" spans="1:7" x14ac:dyDescent="0.25">
      <c r="A249" t="s">
        <v>495</v>
      </c>
      <c r="B249" t="s">
        <v>500</v>
      </c>
      <c r="C249">
        <v>1</v>
      </c>
      <c r="D249">
        <v>86</v>
      </c>
      <c r="E249">
        <v>12.92</v>
      </c>
      <c r="F249">
        <v>5.59</v>
      </c>
      <c r="G249">
        <v>0.75</v>
      </c>
    </row>
    <row r="250" spans="1:7" x14ac:dyDescent="0.25">
      <c r="A250" t="s">
        <v>495</v>
      </c>
      <c r="B250" t="s">
        <v>503</v>
      </c>
      <c r="C250">
        <v>0</v>
      </c>
      <c r="D250">
        <v>94.89</v>
      </c>
      <c r="E250">
        <v>12.84</v>
      </c>
      <c r="F250">
        <v>5.65</v>
      </c>
      <c r="G250">
        <v>0.77</v>
      </c>
    </row>
    <row r="251" spans="1:7" x14ac:dyDescent="0.25">
      <c r="A251" t="s">
        <v>495</v>
      </c>
      <c r="B251" t="s">
        <v>503</v>
      </c>
      <c r="C251">
        <v>0</v>
      </c>
      <c r="D251">
        <v>94.53</v>
      </c>
      <c r="E251">
        <v>10.1</v>
      </c>
      <c r="F251">
        <v>8.5299999999999994</v>
      </c>
      <c r="G251">
        <v>0.85</v>
      </c>
    </row>
    <row r="252" spans="1:7" x14ac:dyDescent="0.25">
      <c r="A252" t="s">
        <v>495</v>
      </c>
      <c r="B252" t="s">
        <v>503</v>
      </c>
      <c r="C252">
        <v>0</v>
      </c>
      <c r="D252">
        <v>93.92</v>
      </c>
      <c r="E252">
        <v>7.84</v>
      </c>
      <c r="F252">
        <v>11.8</v>
      </c>
      <c r="G252">
        <v>0.88</v>
      </c>
    </row>
    <row r="253" spans="1:7" x14ac:dyDescent="0.25">
      <c r="A253" t="s">
        <v>495</v>
      </c>
      <c r="B253" t="s">
        <v>503</v>
      </c>
      <c r="C253">
        <v>0</v>
      </c>
      <c r="D253">
        <v>93.81</v>
      </c>
      <c r="E253">
        <v>6.08</v>
      </c>
      <c r="F253">
        <v>15.11</v>
      </c>
      <c r="G253">
        <v>0.9</v>
      </c>
    </row>
    <row r="254" spans="1:7" x14ac:dyDescent="0.25">
      <c r="A254" t="s">
        <v>495</v>
      </c>
      <c r="B254" t="s">
        <v>503</v>
      </c>
      <c r="C254">
        <v>0</v>
      </c>
      <c r="D254">
        <v>94.47</v>
      </c>
      <c r="E254">
        <v>4.78</v>
      </c>
      <c r="F254">
        <v>18.239999999999998</v>
      </c>
      <c r="G254">
        <v>0.88</v>
      </c>
    </row>
    <row r="255" spans="1:7" x14ac:dyDescent="0.25">
      <c r="A255" t="s">
        <v>495</v>
      </c>
      <c r="B255" t="s">
        <v>503</v>
      </c>
      <c r="C255">
        <v>0</v>
      </c>
      <c r="D255">
        <v>95.13</v>
      </c>
      <c r="E255">
        <v>3.52</v>
      </c>
      <c r="F255">
        <v>22.22</v>
      </c>
      <c r="G255">
        <v>0.87</v>
      </c>
    </row>
    <row r="256" spans="1:7" x14ac:dyDescent="0.25">
      <c r="A256" t="s">
        <v>495</v>
      </c>
      <c r="B256" t="s">
        <v>503</v>
      </c>
      <c r="C256">
        <v>0</v>
      </c>
      <c r="D256">
        <v>95.39</v>
      </c>
      <c r="E256">
        <v>3.6</v>
      </c>
      <c r="F256">
        <v>21.93</v>
      </c>
      <c r="G256">
        <v>0.84</v>
      </c>
    </row>
    <row r="257" spans="1:7" x14ac:dyDescent="0.25">
      <c r="A257" t="s">
        <v>495</v>
      </c>
      <c r="B257" t="s">
        <v>503</v>
      </c>
      <c r="C257">
        <v>0</v>
      </c>
      <c r="D257">
        <v>95.43</v>
      </c>
      <c r="E257">
        <v>5</v>
      </c>
      <c r="F257">
        <v>17.649999999999999</v>
      </c>
      <c r="G257">
        <v>0.81</v>
      </c>
    </row>
    <row r="258" spans="1:7" x14ac:dyDescent="0.25">
      <c r="A258" t="s">
        <v>495</v>
      </c>
      <c r="B258" t="s">
        <v>503</v>
      </c>
      <c r="C258">
        <v>0</v>
      </c>
      <c r="D258">
        <v>95.04</v>
      </c>
      <c r="E258">
        <v>5.23</v>
      </c>
      <c r="F258">
        <v>17.07</v>
      </c>
      <c r="G258">
        <v>0.82</v>
      </c>
    </row>
    <row r="259" spans="1:7" x14ac:dyDescent="0.25">
      <c r="A259" t="s">
        <v>495</v>
      </c>
      <c r="B259" t="s">
        <v>503</v>
      </c>
      <c r="C259">
        <v>0</v>
      </c>
      <c r="D259">
        <v>94.41</v>
      </c>
      <c r="E259">
        <v>4.93</v>
      </c>
      <c r="F259">
        <v>17.84</v>
      </c>
      <c r="G259">
        <v>0.84</v>
      </c>
    </row>
    <row r="260" spans="1:7" x14ac:dyDescent="0.25">
      <c r="A260" t="s">
        <v>495</v>
      </c>
      <c r="B260" t="s">
        <v>503</v>
      </c>
      <c r="C260">
        <v>1</v>
      </c>
      <c r="D260">
        <v>105.55</v>
      </c>
      <c r="E260">
        <v>18.11</v>
      </c>
      <c r="F260">
        <v>3.08</v>
      </c>
      <c r="G260">
        <v>0.44</v>
      </c>
    </row>
    <row r="261" spans="1:7" x14ac:dyDescent="0.25">
      <c r="A261" t="s">
        <v>495</v>
      </c>
      <c r="B261" t="s">
        <v>503</v>
      </c>
      <c r="C261">
        <v>1</v>
      </c>
      <c r="D261">
        <v>99.86</v>
      </c>
      <c r="E261">
        <v>12.81</v>
      </c>
      <c r="F261">
        <v>5.68</v>
      </c>
      <c r="G261">
        <v>0.7</v>
      </c>
    </row>
    <row r="262" spans="1:7" x14ac:dyDescent="0.25">
      <c r="A262" t="s">
        <v>495</v>
      </c>
      <c r="B262" t="s">
        <v>503</v>
      </c>
      <c r="C262">
        <v>1</v>
      </c>
      <c r="D262">
        <v>96.48</v>
      </c>
      <c r="E262">
        <v>10.49</v>
      </c>
      <c r="F262">
        <v>8.0399999999999991</v>
      </c>
      <c r="G262">
        <v>0.85</v>
      </c>
    </row>
    <row r="263" spans="1:7" x14ac:dyDescent="0.25">
      <c r="A263" t="s">
        <v>495</v>
      </c>
      <c r="B263" t="s">
        <v>503</v>
      </c>
      <c r="C263">
        <v>1</v>
      </c>
      <c r="D263">
        <v>94.51</v>
      </c>
      <c r="E263">
        <v>8.6999999999999993</v>
      </c>
      <c r="F263">
        <v>10.46</v>
      </c>
      <c r="G263">
        <v>0.9</v>
      </c>
    </row>
    <row r="264" spans="1:7" x14ac:dyDescent="0.25">
      <c r="A264" t="s">
        <v>495</v>
      </c>
      <c r="B264" t="s">
        <v>503</v>
      </c>
      <c r="C264">
        <v>1</v>
      </c>
      <c r="D264">
        <v>92.92</v>
      </c>
      <c r="E264">
        <v>7.7</v>
      </c>
      <c r="F264">
        <v>12.04</v>
      </c>
      <c r="G264">
        <v>0.87</v>
      </c>
    </row>
    <row r="265" spans="1:7" x14ac:dyDescent="0.25">
      <c r="A265" t="s">
        <v>495</v>
      </c>
      <c r="B265" t="s">
        <v>503</v>
      </c>
      <c r="C265">
        <v>1</v>
      </c>
      <c r="D265">
        <v>92.99</v>
      </c>
      <c r="E265">
        <v>6.5</v>
      </c>
      <c r="F265">
        <v>14.24</v>
      </c>
      <c r="G265">
        <v>0.83</v>
      </c>
    </row>
    <row r="266" spans="1:7" x14ac:dyDescent="0.25">
      <c r="A266" t="s">
        <v>495</v>
      </c>
      <c r="B266" t="s">
        <v>503</v>
      </c>
      <c r="C266">
        <v>1</v>
      </c>
      <c r="D266">
        <v>92.26</v>
      </c>
      <c r="E266">
        <v>5.73</v>
      </c>
      <c r="F266">
        <v>15.88</v>
      </c>
      <c r="G266">
        <v>0.83</v>
      </c>
    </row>
    <row r="267" spans="1:7" x14ac:dyDescent="0.25">
      <c r="A267" t="s">
        <v>495</v>
      </c>
      <c r="B267" t="s">
        <v>503</v>
      </c>
      <c r="C267">
        <v>1</v>
      </c>
      <c r="D267">
        <v>91.97</v>
      </c>
      <c r="E267">
        <v>4.53</v>
      </c>
      <c r="F267">
        <v>18.940000000000001</v>
      </c>
      <c r="G267">
        <v>0.81</v>
      </c>
    </row>
    <row r="268" spans="1:7" x14ac:dyDescent="0.25">
      <c r="A268" t="s">
        <v>495</v>
      </c>
      <c r="B268" t="s">
        <v>503</v>
      </c>
      <c r="C268">
        <v>1</v>
      </c>
      <c r="D268">
        <v>91.56</v>
      </c>
      <c r="E268">
        <v>4.37</v>
      </c>
      <c r="F268">
        <v>19.39</v>
      </c>
      <c r="G268">
        <v>0.83</v>
      </c>
    </row>
    <row r="269" spans="1:7" x14ac:dyDescent="0.25">
      <c r="A269" t="s">
        <v>495</v>
      </c>
      <c r="B269" t="s">
        <v>503</v>
      </c>
      <c r="C269">
        <v>1</v>
      </c>
      <c r="D269">
        <v>90.83</v>
      </c>
      <c r="E269">
        <v>4.8899999999999997</v>
      </c>
      <c r="F269">
        <v>17.920000000000002</v>
      </c>
      <c r="G269">
        <v>0.84</v>
      </c>
    </row>
    <row r="270" spans="1:7" x14ac:dyDescent="0.25">
      <c r="A270" t="s">
        <v>495</v>
      </c>
      <c r="B270" t="s">
        <v>503</v>
      </c>
      <c r="C270">
        <v>1</v>
      </c>
      <c r="D270">
        <v>90.44</v>
      </c>
      <c r="E270">
        <v>4.3099999999999996</v>
      </c>
      <c r="F270">
        <v>19.57</v>
      </c>
      <c r="G270">
        <v>0.83</v>
      </c>
    </row>
    <row r="271" spans="1:7" x14ac:dyDescent="0.25">
      <c r="A271" t="s">
        <v>495</v>
      </c>
      <c r="B271" t="s">
        <v>503</v>
      </c>
      <c r="C271">
        <v>1</v>
      </c>
      <c r="D271">
        <v>90.27</v>
      </c>
      <c r="E271">
        <v>4.72</v>
      </c>
      <c r="F271">
        <v>18.38</v>
      </c>
      <c r="G271">
        <v>0.83</v>
      </c>
    </row>
    <row r="272" spans="1:7" x14ac:dyDescent="0.25">
      <c r="A272" t="s">
        <v>336</v>
      </c>
      <c r="B272" t="s">
        <v>503</v>
      </c>
      <c r="C272">
        <v>1</v>
      </c>
      <c r="D272">
        <v>76.58</v>
      </c>
      <c r="E272">
        <v>15.28</v>
      </c>
      <c r="F272">
        <v>4.09</v>
      </c>
      <c r="G272">
        <v>0.74</v>
      </c>
    </row>
    <row r="273" spans="1:7" x14ac:dyDescent="0.25">
      <c r="A273" t="s">
        <v>336</v>
      </c>
      <c r="B273" t="s">
        <v>503</v>
      </c>
      <c r="C273">
        <v>1</v>
      </c>
      <c r="D273">
        <v>80.63</v>
      </c>
      <c r="E273">
        <v>12.65</v>
      </c>
      <c r="F273">
        <v>5.82</v>
      </c>
      <c r="G273">
        <v>0.8</v>
      </c>
    </row>
    <row r="274" spans="1:7" x14ac:dyDescent="0.25">
      <c r="A274" t="s">
        <v>336</v>
      </c>
      <c r="B274" t="s">
        <v>503</v>
      </c>
      <c r="C274">
        <v>1</v>
      </c>
      <c r="D274">
        <v>82.77</v>
      </c>
      <c r="E274">
        <v>11.46</v>
      </c>
      <c r="F274">
        <v>6.95</v>
      </c>
      <c r="G274">
        <v>0.78</v>
      </c>
    </row>
    <row r="275" spans="1:7" x14ac:dyDescent="0.25">
      <c r="A275" t="s">
        <v>336</v>
      </c>
      <c r="B275" t="s">
        <v>503</v>
      </c>
      <c r="C275">
        <v>1</v>
      </c>
      <c r="D275">
        <v>83.47</v>
      </c>
      <c r="E275">
        <v>10.09</v>
      </c>
      <c r="F275">
        <v>8.5399999999999991</v>
      </c>
      <c r="G275">
        <v>0.78</v>
      </c>
    </row>
    <row r="276" spans="1:7" x14ac:dyDescent="0.25">
      <c r="A276" t="s">
        <v>336</v>
      </c>
      <c r="B276" t="s">
        <v>503</v>
      </c>
      <c r="C276">
        <v>1</v>
      </c>
      <c r="D276">
        <v>81.95</v>
      </c>
      <c r="E276">
        <v>9.0500000000000007</v>
      </c>
      <c r="F276">
        <v>9.94</v>
      </c>
      <c r="G276">
        <v>0.77</v>
      </c>
    </row>
    <row r="277" spans="1:7" x14ac:dyDescent="0.25">
      <c r="A277" t="s">
        <v>336</v>
      </c>
      <c r="B277" t="s">
        <v>503</v>
      </c>
      <c r="C277">
        <v>1</v>
      </c>
      <c r="D277">
        <v>81.3</v>
      </c>
      <c r="E277">
        <v>8.67</v>
      </c>
      <c r="F277">
        <v>10.49</v>
      </c>
      <c r="G277">
        <v>0.75</v>
      </c>
    </row>
    <row r="278" spans="1:7" x14ac:dyDescent="0.25">
      <c r="A278" t="s">
        <v>336</v>
      </c>
      <c r="B278" t="s">
        <v>503</v>
      </c>
      <c r="C278">
        <v>1</v>
      </c>
      <c r="D278">
        <v>81.39</v>
      </c>
      <c r="E278">
        <v>7.86</v>
      </c>
      <c r="F278">
        <v>11.77</v>
      </c>
      <c r="G278">
        <v>0.75</v>
      </c>
    </row>
    <row r="279" spans="1:7" x14ac:dyDescent="0.25">
      <c r="A279" t="s">
        <v>336</v>
      </c>
      <c r="B279" t="s">
        <v>503</v>
      </c>
      <c r="C279">
        <v>1</v>
      </c>
      <c r="D279">
        <v>82.36</v>
      </c>
      <c r="E279">
        <v>7.13</v>
      </c>
      <c r="F279">
        <v>13.03</v>
      </c>
      <c r="G279">
        <v>0.8</v>
      </c>
    </row>
    <row r="280" spans="1:7" x14ac:dyDescent="0.25">
      <c r="A280" t="s">
        <v>336</v>
      </c>
      <c r="B280" t="s">
        <v>503</v>
      </c>
      <c r="C280">
        <v>1</v>
      </c>
      <c r="D280">
        <v>83.42</v>
      </c>
      <c r="E280">
        <v>5.64</v>
      </c>
      <c r="F280">
        <v>16.09</v>
      </c>
      <c r="G280">
        <v>0.86</v>
      </c>
    </row>
    <row r="281" spans="1:7" x14ac:dyDescent="0.25">
      <c r="A281" t="s">
        <v>336</v>
      </c>
      <c r="B281" t="s">
        <v>503</v>
      </c>
      <c r="C281">
        <v>1</v>
      </c>
      <c r="D281">
        <v>84.88</v>
      </c>
      <c r="E281">
        <v>4.28</v>
      </c>
      <c r="F281">
        <v>19.649999999999999</v>
      </c>
      <c r="G281">
        <v>0.89</v>
      </c>
    </row>
    <row r="282" spans="1:7" x14ac:dyDescent="0.25">
      <c r="A282" t="s">
        <v>336</v>
      </c>
      <c r="B282" t="s">
        <v>503</v>
      </c>
      <c r="C282">
        <v>1</v>
      </c>
      <c r="D282">
        <v>85.67</v>
      </c>
      <c r="E282">
        <v>3.62</v>
      </c>
      <c r="F282">
        <v>21.86</v>
      </c>
      <c r="G282">
        <v>0.91</v>
      </c>
    </row>
    <row r="283" spans="1:7" x14ac:dyDescent="0.25">
      <c r="A283" t="s">
        <v>336</v>
      </c>
      <c r="B283" t="s">
        <v>503</v>
      </c>
      <c r="C283">
        <v>1</v>
      </c>
      <c r="D283">
        <v>86.1</v>
      </c>
      <c r="E283">
        <v>3.91</v>
      </c>
      <c r="F283">
        <v>20.86</v>
      </c>
      <c r="G283">
        <v>0.91</v>
      </c>
    </row>
    <row r="284" spans="1:7" x14ac:dyDescent="0.25">
      <c r="A284" t="s">
        <v>336</v>
      </c>
      <c r="B284" t="s">
        <v>503</v>
      </c>
      <c r="C284">
        <v>1</v>
      </c>
      <c r="D284">
        <v>86.92</v>
      </c>
      <c r="E284">
        <v>4.37</v>
      </c>
      <c r="F284">
        <v>19.39</v>
      </c>
      <c r="G284">
        <v>0.89</v>
      </c>
    </row>
    <row r="285" spans="1:7" x14ac:dyDescent="0.25">
      <c r="A285" t="s">
        <v>336</v>
      </c>
      <c r="B285" t="s">
        <v>503</v>
      </c>
      <c r="C285">
        <v>1</v>
      </c>
      <c r="D285">
        <v>87.35</v>
      </c>
      <c r="E285">
        <v>4.7699999999999996</v>
      </c>
      <c r="F285">
        <v>18.260000000000002</v>
      </c>
      <c r="G285">
        <v>0.86</v>
      </c>
    </row>
    <row r="286" spans="1:7" x14ac:dyDescent="0.25">
      <c r="A286" t="s">
        <v>336</v>
      </c>
      <c r="B286" t="s">
        <v>503</v>
      </c>
      <c r="C286">
        <v>3</v>
      </c>
      <c r="D286">
        <v>90.21</v>
      </c>
      <c r="E286">
        <v>25.99</v>
      </c>
      <c r="F286">
        <v>1.79</v>
      </c>
      <c r="G286">
        <v>0.44</v>
      </c>
    </row>
    <row r="287" spans="1:7" x14ac:dyDescent="0.25">
      <c r="A287" t="s">
        <v>336</v>
      </c>
      <c r="B287" t="s">
        <v>503</v>
      </c>
      <c r="C287">
        <v>3</v>
      </c>
      <c r="D287">
        <v>84.5</v>
      </c>
      <c r="E287">
        <v>21.37</v>
      </c>
      <c r="F287">
        <v>2.4</v>
      </c>
      <c r="G287">
        <v>0.53</v>
      </c>
    </row>
    <row r="288" spans="1:7" x14ac:dyDescent="0.25">
      <c r="A288" t="s">
        <v>336</v>
      </c>
      <c r="B288" t="s">
        <v>503</v>
      </c>
      <c r="C288">
        <v>3</v>
      </c>
      <c r="D288">
        <v>84.88</v>
      </c>
      <c r="E288">
        <v>16.46</v>
      </c>
      <c r="F288">
        <v>3.6</v>
      </c>
      <c r="G288">
        <v>0.66</v>
      </c>
    </row>
    <row r="289" spans="1:7" x14ac:dyDescent="0.25">
      <c r="A289" t="s">
        <v>336</v>
      </c>
      <c r="B289" t="s">
        <v>503</v>
      </c>
      <c r="C289">
        <v>3</v>
      </c>
      <c r="D289">
        <v>82.21</v>
      </c>
      <c r="E289">
        <v>14.67</v>
      </c>
      <c r="F289">
        <v>4.4000000000000004</v>
      </c>
      <c r="G289">
        <v>0.75</v>
      </c>
    </row>
    <row r="290" spans="1:7" x14ac:dyDescent="0.25">
      <c r="A290" t="s">
        <v>336</v>
      </c>
      <c r="B290" t="s">
        <v>503</v>
      </c>
      <c r="C290">
        <v>3</v>
      </c>
      <c r="D290">
        <v>83.29</v>
      </c>
      <c r="E290">
        <v>14.06</v>
      </c>
      <c r="F290">
        <v>4.76</v>
      </c>
      <c r="G290">
        <v>0.77</v>
      </c>
    </row>
    <row r="291" spans="1:7" x14ac:dyDescent="0.25">
      <c r="A291" t="s">
        <v>336</v>
      </c>
      <c r="B291" t="s">
        <v>503</v>
      </c>
      <c r="C291">
        <v>3</v>
      </c>
      <c r="D291">
        <v>82.69</v>
      </c>
      <c r="E291">
        <v>12.68</v>
      </c>
      <c r="F291">
        <v>5.79</v>
      </c>
      <c r="G291">
        <v>0.84</v>
      </c>
    </row>
    <row r="292" spans="1:7" x14ac:dyDescent="0.25">
      <c r="A292" t="s">
        <v>336</v>
      </c>
      <c r="B292" t="s">
        <v>503</v>
      </c>
      <c r="C292">
        <v>3</v>
      </c>
      <c r="D292">
        <v>83.33</v>
      </c>
      <c r="E292">
        <v>11.45</v>
      </c>
      <c r="F292">
        <v>6.96</v>
      </c>
      <c r="G292">
        <v>0.86</v>
      </c>
    </row>
    <row r="293" spans="1:7" x14ac:dyDescent="0.25">
      <c r="A293" t="s">
        <v>336</v>
      </c>
      <c r="B293" t="s">
        <v>503</v>
      </c>
      <c r="C293">
        <v>3</v>
      </c>
      <c r="D293">
        <v>83.69</v>
      </c>
      <c r="E293">
        <v>10.41</v>
      </c>
      <c r="F293">
        <v>8.14</v>
      </c>
      <c r="G293">
        <v>0.89</v>
      </c>
    </row>
    <row r="294" spans="1:7" x14ac:dyDescent="0.25">
      <c r="A294" t="s">
        <v>336</v>
      </c>
      <c r="B294" t="s">
        <v>503</v>
      </c>
      <c r="C294">
        <v>3</v>
      </c>
      <c r="D294">
        <v>83.78</v>
      </c>
      <c r="E294">
        <v>9.6300000000000008</v>
      </c>
      <c r="F294">
        <v>9.1300000000000008</v>
      </c>
      <c r="G294">
        <v>0.88</v>
      </c>
    </row>
    <row r="295" spans="1:7" x14ac:dyDescent="0.25">
      <c r="A295" t="s">
        <v>336</v>
      </c>
      <c r="B295" t="s">
        <v>503</v>
      </c>
      <c r="C295">
        <v>3</v>
      </c>
      <c r="D295">
        <v>83.42</v>
      </c>
      <c r="E295">
        <v>9.1</v>
      </c>
      <c r="F295">
        <v>9.86</v>
      </c>
      <c r="G295">
        <v>0.88</v>
      </c>
    </row>
    <row r="296" spans="1:7" x14ac:dyDescent="0.25">
      <c r="A296" t="s">
        <v>336</v>
      </c>
      <c r="B296" t="s">
        <v>503</v>
      </c>
      <c r="C296">
        <v>3</v>
      </c>
      <c r="D296">
        <v>83.67</v>
      </c>
      <c r="E296">
        <v>8.73</v>
      </c>
      <c r="F296">
        <v>10.41</v>
      </c>
      <c r="G296">
        <v>0.89</v>
      </c>
    </row>
    <row r="297" spans="1:7" x14ac:dyDescent="0.25">
      <c r="A297" t="s">
        <v>336</v>
      </c>
      <c r="B297" t="s">
        <v>503</v>
      </c>
      <c r="C297">
        <v>3</v>
      </c>
      <c r="D297">
        <v>83.71</v>
      </c>
      <c r="E297">
        <v>8.09</v>
      </c>
      <c r="F297">
        <v>11.39</v>
      </c>
      <c r="G297">
        <v>0.87</v>
      </c>
    </row>
    <row r="298" spans="1:7" x14ac:dyDescent="0.25">
      <c r="A298" t="s">
        <v>336</v>
      </c>
      <c r="B298" t="s">
        <v>503</v>
      </c>
      <c r="C298">
        <v>3</v>
      </c>
      <c r="D298">
        <v>84.35</v>
      </c>
      <c r="E298">
        <v>7.42</v>
      </c>
      <c r="F298">
        <v>12.52</v>
      </c>
      <c r="G298">
        <v>0.88</v>
      </c>
    </row>
    <row r="299" spans="1:7" x14ac:dyDescent="0.25">
      <c r="A299" t="s">
        <v>336</v>
      </c>
      <c r="B299" t="s">
        <v>503</v>
      </c>
      <c r="C299">
        <v>3</v>
      </c>
      <c r="D299">
        <v>84.99</v>
      </c>
      <c r="E299">
        <v>6.91</v>
      </c>
      <c r="F299">
        <v>13.43</v>
      </c>
      <c r="G299">
        <v>0.88</v>
      </c>
    </row>
    <row r="300" spans="1:7" x14ac:dyDescent="0.25">
      <c r="A300" t="s">
        <v>336</v>
      </c>
      <c r="B300" t="s">
        <v>503</v>
      </c>
      <c r="C300">
        <v>3</v>
      </c>
      <c r="D300">
        <v>85.77</v>
      </c>
      <c r="E300">
        <v>6.14</v>
      </c>
      <c r="F300">
        <v>14.98</v>
      </c>
      <c r="G300">
        <v>0.87</v>
      </c>
    </row>
    <row r="301" spans="1:7" x14ac:dyDescent="0.25">
      <c r="A301" t="s">
        <v>336</v>
      </c>
      <c r="B301" t="s">
        <v>503</v>
      </c>
      <c r="C301">
        <v>3</v>
      </c>
      <c r="D301">
        <v>86.81</v>
      </c>
      <c r="E301">
        <v>5.51</v>
      </c>
      <c r="F301">
        <v>16.37</v>
      </c>
      <c r="G301">
        <v>0.85</v>
      </c>
    </row>
    <row r="302" spans="1:7" x14ac:dyDescent="0.25">
      <c r="A302" t="s">
        <v>336</v>
      </c>
      <c r="B302" t="s">
        <v>503</v>
      </c>
      <c r="C302">
        <v>3</v>
      </c>
      <c r="D302">
        <v>87.15</v>
      </c>
      <c r="E302">
        <v>4.1900000000000004</v>
      </c>
      <c r="F302">
        <v>19.93</v>
      </c>
      <c r="G302">
        <v>0.83</v>
      </c>
    </row>
    <row r="303" spans="1:7" x14ac:dyDescent="0.25">
      <c r="A303" t="s">
        <v>496</v>
      </c>
      <c r="B303" t="s">
        <v>498</v>
      </c>
      <c r="C303">
        <v>0</v>
      </c>
      <c r="D303">
        <v>95.17</v>
      </c>
      <c r="E303">
        <v>17.73</v>
      </c>
      <c r="F303">
        <v>3.19</v>
      </c>
      <c r="G303">
        <v>0.79</v>
      </c>
    </row>
    <row r="304" spans="1:7" x14ac:dyDescent="0.25">
      <c r="A304" t="s">
        <v>496</v>
      </c>
      <c r="B304" t="s">
        <v>498</v>
      </c>
      <c r="C304">
        <v>0</v>
      </c>
      <c r="D304">
        <v>93.12</v>
      </c>
      <c r="E304">
        <v>14.91</v>
      </c>
      <c r="F304">
        <v>4.28</v>
      </c>
      <c r="G304">
        <v>0.81</v>
      </c>
    </row>
    <row r="305" spans="1:7" x14ac:dyDescent="0.25">
      <c r="A305" t="s">
        <v>496</v>
      </c>
      <c r="B305" t="s">
        <v>498</v>
      </c>
      <c r="C305">
        <v>0</v>
      </c>
      <c r="D305">
        <v>92.03</v>
      </c>
      <c r="E305">
        <v>14.15</v>
      </c>
      <c r="F305">
        <v>4.71</v>
      </c>
      <c r="G305">
        <v>0.82</v>
      </c>
    </row>
    <row r="306" spans="1:7" x14ac:dyDescent="0.25">
      <c r="A306" t="s">
        <v>496</v>
      </c>
      <c r="B306" t="s">
        <v>498</v>
      </c>
      <c r="C306">
        <v>0</v>
      </c>
      <c r="D306">
        <v>91.91</v>
      </c>
      <c r="E306">
        <v>14.48</v>
      </c>
      <c r="F306">
        <v>4.51</v>
      </c>
      <c r="G306">
        <v>0.84</v>
      </c>
    </row>
    <row r="307" spans="1:7" x14ac:dyDescent="0.25">
      <c r="A307" t="s">
        <v>496</v>
      </c>
      <c r="B307" t="s">
        <v>498</v>
      </c>
      <c r="C307">
        <v>0</v>
      </c>
      <c r="D307">
        <v>91.58</v>
      </c>
      <c r="E307">
        <v>14.38</v>
      </c>
      <c r="F307">
        <v>4.57</v>
      </c>
      <c r="G307">
        <v>0.88</v>
      </c>
    </row>
    <row r="308" spans="1:7" x14ac:dyDescent="0.25">
      <c r="A308" t="s">
        <v>496</v>
      </c>
      <c r="B308" t="s">
        <v>498</v>
      </c>
      <c r="C308">
        <v>0</v>
      </c>
      <c r="D308">
        <v>91.77</v>
      </c>
      <c r="E308">
        <v>14.04</v>
      </c>
      <c r="F308">
        <v>4.7699999999999996</v>
      </c>
      <c r="G308">
        <v>0.87</v>
      </c>
    </row>
    <row r="309" spans="1:7" x14ac:dyDescent="0.25">
      <c r="A309" t="s">
        <v>496</v>
      </c>
      <c r="B309" t="s">
        <v>498</v>
      </c>
      <c r="C309">
        <v>1</v>
      </c>
      <c r="D309">
        <v>94.73</v>
      </c>
      <c r="E309">
        <v>26.24</v>
      </c>
      <c r="F309">
        <v>1.77</v>
      </c>
      <c r="G309">
        <v>0.8</v>
      </c>
    </row>
    <row r="310" spans="1:7" x14ac:dyDescent="0.25">
      <c r="A310" t="s">
        <v>496</v>
      </c>
      <c r="B310" t="s">
        <v>498</v>
      </c>
      <c r="C310">
        <v>1</v>
      </c>
      <c r="D310">
        <v>92.54</v>
      </c>
      <c r="E310">
        <v>23.24</v>
      </c>
      <c r="F310">
        <v>2.12</v>
      </c>
      <c r="G310">
        <v>0.78</v>
      </c>
    </row>
    <row r="311" spans="1:7" x14ac:dyDescent="0.25">
      <c r="A311" t="s">
        <v>496</v>
      </c>
      <c r="B311" t="s">
        <v>498</v>
      </c>
      <c r="C311">
        <v>1</v>
      </c>
      <c r="D311">
        <v>92.02</v>
      </c>
      <c r="E311">
        <v>21.48</v>
      </c>
      <c r="F311">
        <v>2.38</v>
      </c>
      <c r="G311">
        <v>0.78</v>
      </c>
    </row>
    <row r="312" spans="1:7" x14ac:dyDescent="0.25">
      <c r="A312" t="s">
        <v>496</v>
      </c>
      <c r="B312" t="s">
        <v>498</v>
      </c>
      <c r="C312">
        <v>1</v>
      </c>
      <c r="D312">
        <v>92.04</v>
      </c>
      <c r="E312">
        <v>20.63</v>
      </c>
      <c r="F312">
        <v>2.52</v>
      </c>
      <c r="G312">
        <v>0.79</v>
      </c>
    </row>
    <row r="313" spans="1:7" x14ac:dyDescent="0.25">
      <c r="A313" t="s">
        <v>496</v>
      </c>
      <c r="B313" t="s">
        <v>498</v>
      </c>
      <c r="C313">
        <v>1</v>
      </c>
      <c r="D313">
        <v>91.39</v>
      </c>
      <c r="E313">
        <v>20.5</v>
      </c>
      <c r="F313">
        <v>2.5499999999999998</v>
      </c>
      <c r="G313">
        <v>0.8</v>
      </c>
    </row>
    <row r="314" spans="1:7" x14ac:dyDescent="0.25">
      <c r="A314" t="s">
        <v>496</v>
      </c>
      <c r="B314" t="s">
        <v>498</v>
      </c>
      <c r="C314">
        <v>1</v>
      </c>
      <c r="D314">
        <v>91.82</v>
      </c>
      <c r="E314">
        <v>21.39</v>
      </c>
      <c r="F314">
        <v>2.39</v>
      </c>
      <c r="G314">
        <v>0.79</v>
      </c>
    </row>
    <row r="315" spans="1:7" x14ac:dyDescent="0.25">
      <c r="A315" t="s">
        <v>496</v>
      </c>
      <c r="B315" t="s">
        <v>498</v>
      </c>
      <c r="C315">
        <v>2</v>
      </c>
      <c r="D315">
        <v>95.14</v>
      </c>
      <c r="E315">
        <v>25.5</v>
      </c>
      <c r="F315">
        <v>1.85</v>
      </c>
      <c r="G315">
        <v>0.79</v>
      </c>
    </row>
    <row r="316" spans="1:7" x14ac:dyDescent="0.25">
      <c r="A316" t="s">
        <v>496</v>
      </c>
      <c r="B316" t="s">
        <v>498</v>
      </c>
      <c r="C316">
        <v>2</v>
      </c>
      <c r="D316">
        <v>93.01</v>
      </c>
      <c r="E316">
        <v>22.31</v>
      </c>
      <c r="F316">
        <v>2.25</v>
      </c>
      <c r="G316">
        <v>0.82</v>
      </c>
    </row>
    <row r="317" spans="1:7" x14ac:dyDescent="0.25">
      <c r="A317" t="s">
        <v>496</v>
      </c>
      <c r="B317" t="s">
        <v>498</v>
      </c>
      <c r="C317">
        <v>2</v>
      </c>
      <c r="D317">
        <v>92.14</v>
      </c>
      <c r="E317">
        <v>19.43</v>
      </c>
      <c r="F317">
        <v>2.76</v>
      </c>
      <c r="G317">
        <v>0.8</v>
      </c>
    </row>
    <row r="318" spans="1:7" x14ac:dyDescent="0.25">
      <c r="A318" t="s">
        <v>496</v>
      </c>
      <c r="B318" t="s">
        <v>498</v>
      </c>
      <c r="C318">
        <v>2</v>
      </c>
      <c r="D318">
        <v>91.98</v>
      </c>
      <c r="E318">
        <v>18.86</v>
      </c>
      <c r="F318">
        <v>2.89</v>
      </c>
      <c r="G318">
        <v>0.82</v>
      </c>
    </row>
    <row r="319" spans="1:7" x14ac:dyDescent="0.25">
      <c r="A319" t="s">
        <v>496</v>
      </c>
      <c r="B319" t="s">
        <v>498</v>
      </c>
      <c r="C319">
        <v>2</v>
      </c>
      <c r="D319">
        <v>91.57</v>
      </c>
      <c r="E319">
        <v>18.350000000000001</v>
      </c>
      <c r="F319">
        <v>3.02</v>
      </c>
      <c r="G319">
        <v>0.83</v>
      </c>
    </row>
    <row r="320" spans="1:7" x14ac:dyDescent="0.25">
      <c r="A320" t="s">
        <v>496</v>
      </c>
      <c r="B320" t="s">
        <v>498</v>
      </c>
      <c r="C320">
        <v>2</v>
      </c>
      <c r="D320">
        <v>91.5</v>
      </c>
      <c r="E320">
        <v>18.260000000000002</v>
      </c>
      <c r="F320">
        <v>3.04</v>
      </c>
      <c r="G320">
        <v>0.83</v>
      </c>
    </row>
    <row r="321" spans="1:7" x14ac:dyDescent="0.25">
      <c r="A321" t="s">
        <v>496</v>
      </c>
      <c r="B321" t="s">
        <v>499</v>
      </c>
      <c r="C321">
        <v>0</v>
      </c>
      <c r="D321">
        <v>96.65</v>
      </c>
      <c r="E321">
        <v>27.63</v>
      </c>
      <c r="F321">
        <v>1.63</v>
      </c>
      <c r="G321">
        <v>0.73</v>
      </c>
    </row>
    <row r="322" spans="1:7" x14ac:dyDescent="0.25">
      <c r="A322" t="s">
        <v>496</v>
      </c>
      <c r="B322" t="s">
        <v>499</v>
      </c>
      <c r="C322">
        <v>0</v>
      </c>
      <c r="D322">
        <v>97.19</v>
      </c>
      <c r="E322">
        <v>30.93</v>
      </c>
      <c r="F322">
        <v>1.36</v>
      </c>
      <c r="G322">
        <v>0.73</v>
      </c>
    </row>
    <row r="323" spans="1:7" x14ac:dyDescent="0.25">
      <c r="A323" t="s">
        <v>496</v>
      </c>
      <c r="B323" t="s">
        <v>499</v>
      </c>
      <c r="C323">
        <v>0</v>
      </c>
      <c r="D323">
        <v>96.95</v>
      </c>
      <c r="E323">
        <v>35.090000000000003</v>
      </c>
      <c r="F323">
        <v>1.0900000000000001</v>
      </c>
      <c r="G323">
        <v>0.68</v>
      </c>
    </row>
    <row r="324" spans="1:7" x14ac:dyDescent="0.25">
      <c r="A324" t="s">
        <v>496</v>
      </c>
      <c r="B324" t="s">
        <v>499</v>
      </c>
      <c r="C324">
        <v>0</v>
      </c>
      <c r="D324">
        <v>96.23</v>
      </c>
      <c r="E324">
        <v>38.47</v>
      </c>
      <c r="F324">
        <v>0.91</v>
      </c>
      <c r="G324">
        <v>0.59</v>
      </c>
    </row>
    <row r="325" spans="1:7" x14ac:dyDescent="0.25">
      <c r="A325" t="s">
        <v>496</v>
      </c>
      <c r="B325" t="s">
        <v>499</v>
      </c>
      <c r="C325">
        <v>0</v>
      </c>
      <c r="D325">
        <v>95.42</v>
      </c>
      <c r="E325">
        <v>38.11</v>
      </c>
      <c r="F325">
        <v>0.93</v>
      </c>
      <c r="G325">
        <v>0.52</v>
      </c>
    </row>
    <row r="326" spans="1:7" x14ac:dyDescent="0.25">
      <c r="A326" t="s">
        <v>496</v>
      </c>
      <c r="B326" t="s">
        <v>499</v>
      </c>
      <c r="C326">
        <v>0</v>
      </c>
      <c r="D326">
        <v>93.67</v>
      </c>
      <c r="E326">
        <v>35.85</v>
      </c>
      <c r="F326">
        <v>1.05</v>
      </c>
      <c r="G326">
        <v>0.46</v>
      </c>
    </row>
    <row r="327" spans="1:7" x14ac:dyDescent="0.25">
      <c r="A327" t="s">
        <v>496</v>
      </c>
      <c r="B327" t="s">
        <v>499</v>
      </c>
      <c r="C327">
        <v>0</v>
      </c>
      <c r="D327">
        <v>92.55</v>
      </c>
      <c r="E327">
        <v>31.94</v>
      </c>
      <c r="F327">
        <v>1.29</v>
      </c>
      <c r="G327">
        <v>0.47</v>
      </c>
    </row>
    <row r="328" spans="1:7" x14ac:dyDescent="0.25">
      <c r="A328" t="s">
        <v>496</v>
      </c>
      <c r="B328" t="s">
        <v>499</v>
      </c>
      <c r="C328">
        <v>0</v>
      </c>
      <c r="D328">
        <v>91.69</v>
      </c>
      <c r="E328">
        <v>27.64</v>
      </c>
      <c r="F328">
        <v>1.63</v>
      </c>
      <c r="G328">
        <v>0.47</v>
      </c>
    </row>
    <row r="329" spans="1:7" x14ac:dyDescent="0.25">
      <c r="A329" t="s">
        <v>496</v>
      </c>
      <c r="B329" t="s">
        <v>499</v>
      </c>
      <c r="C329">
        <v>0</v>
      </c>
      <c r="D329">
        <v>90.65</v>
      </c>
      <c r="E329">
        <v>20.86</v>
      </c>
      <c r="F329">
        <v>2.48</v>
      </c>
      <c r="G329">
        <v>0.45</v>
      </c>
    </row>
    <row r="330" spans="1:7" x14ac:dyDescent="0.25">
      <c r="A330" t="s">
        <v>496</v>
      </c>
      <c r="B330" t="s">
        <v>499</v>
      </c>
      <c r="C330">
        <v>0</v>
      </c>
      <c r="D330">
        <v>90.32</v>
      </c>
      <c r="E330">
        <v>13.93</v>
      </c>
      <c r="F330">
        <v>4.8499999999999996</v>
      </c>
      <c r="G330">
        <v>0.48</v>
      </c>
    </row>
    <row r="331" spans="1:7" x14ac:dyDescent="0.25">
      <c r="A331" t="s">
        <v>496</v>
      </c>
      <c r="B331" t="s">
        <v>499</v>
      </c>
      <c r="C331">
        <v>0</v>
      </c>
      <c r="D331">
        <v>90.22</v>
      </c>
      <c r="E331">
        <v>10.87</v>
      </c>
      <c r="F331">
        <v>7.6</v>
      </c>
      <c r="G331">
        <v>0.47</v>
      </c>
    </row>
    <row r="332" spans="1:7" x14ac:dyDescent="0.25">
      <c r="A332" t="s">
        <v>496</v>
      </c>
      <c r="B332" t="s">
        <v>499</v>
      </c>
      <c r="C332">
        <v>0</v>
      </c>
      <c r="D332">
        <v>90.18</v>
      </c>
      <c r="E332">
        <v>8.2799999999999994</v>
      </c>
      <c r="F332">
        <v>11.09</v>
      </c>
      <c r="G332">
        <v>0.49</v>
      </c>
    </row>
    <row r="333" spans="1:7" x14ac:dyDescent="0.25">
      <c r="A333" t="s">
        <v>496</v>
      </c>
      <c r="B333" t="s">
        <v>499</v>
      </c>
      <c r="C333">
        <v>1</v>
      </c>
      <c r="D333">
        <v>93.03</v>
      </c>
      <c r="E333">
        <v>21.27</v>
      </c>
      <c r="F333">
        <v>2.41</v>
      </c>
      <c r="G333">
        <v>0.72</v>
      </c>
    </row>
    <row r="334" spans="1:7" x14ac:dyDescent="0.25">
      <c r="A334" t="s">
        <v>496</v>
      </c>
      <c r="B334" t="s">
        <v>499</v>
      </c>
      <c r="C334">
        <v>1</v>
      </c>
      <c r="D334">
        <v>94.73</v>
      </c>
      <c r="E334">
        <v>25.88</v>
      </c>
      <c r="F334">
        <v>1.8</v>
      </c>
      <c r="G334">
        <v>0.74</v>
      </c>
    </row>
    <row r="335" spans="1:7" x14ac:dyDescent="0.25">
      <c r="A335" t="s">
        <v>496</v>
      </c>
      <c r="B335" t="s">
        <v>499</v>
      </c>
      <c r="C335">
        <v>1</v>
      </c>
      <c r="D335">
        <v>94.66</v>
      </c>
      <c r="E335">
        <v>31.09</v>
      </c>
      <c r="F335">
        <v>1.35</v>
      </c>
      <c r="G335">
        <v>0.7</v>
      </c>
    </row>
    <row r="336" spans="1:7" x14ac:dyDescent="0.25">
      <c r="A336" t="s">
        <v>496</v>
      </c>
      <c r="B336" t="s">
        <v>499</v>
      </c>
      <c r="C336">
        <v>1</v>
      </c>
      <c r="D336">
        <v>94.24</v>
      </c>
      <c r="E336">
        <v>33.06</v>
      </c>
      <c r="F336">
        <v>1.22</v>
      </c>
      <c r="G336">
        <v>0.69</v>
      </c>
    </row>
    <row r="337" spans="1:7" x14ac:dyDescent="0.25">
      <c r="A337" t="s">
        <v>496</v>
      </c>
      <c r="B337" t="s">
        <v>499</v>
      </c>
      <c r="C337">
        <v>1</v>
      </c>
      <c r="D337">
        <v>92.49</v>
      </c>
      <c r="E337">
        <v>33.65</v>
      </c>
      <c r="F337">
        <v>1.18</v>
      </c>
      <c r="G337">
        <v>0.62</v>
      </c>
    </row>
    <row r="338" spans="1:7" x14ac:dyDescent="0.25">
      <c r="A338" t="s">
        <v>496</v>
      </c>
      <c r="B338" t="s">
        <v>499</v>
      </c>
      <c r="C338">
        <v>1</v>
      </c>
      <c r="D338">
        <v>92.06</v>
      </c>
      <c r="E338">
        <v>33.03</v>
      </c>
      <c r="F338">
        <v>1.22</v>
      </c>
      <c r="G338">
        <v>0.59</v>
      </c>
    </row>
    <row r="339" spans="1:7" x14ac:dyDescent="0.25">
      <c r="A339" t="s">
        <v>496</v>
      </c>
      <c r="B339" t="s">
        <v>499</v>
      </c>
      <c r="C339">
        <v>1</v>
      </c>
      <c r="D339">
        <v>92.93</v>
      </c>
      <c r="E339">
        <v>31.62</v>
      </c>
      <c r="F339">
        <v>1.32</v>
      </c>
      <c r="G339">
        <v>0.61</v>
      </c>
    </row>
    <row r="340" spans="1:7" x14ac:dyDescent="0.25">
      <c r="A340" t="s">
        <v>496</v>
      </c>
      <c r="B340" t="s">
        <v>499</v>
      </c>
      <c r="C340">
        <v>1</v>
      </c>
      <c r="D340">
        <v>92.87</v>
      </c>
      <c r="E340">
        <v>31.17</v>
      </c>
      <c r="F340">
        <v>1.35</v>
      </c>
      <c r="G340">
        <v>0.6</v>
      </c>
    </row>
    <row r="341" spans="1:7" x14ac:dyDescent="0.25">
      <c r="A341" t="s">
        <v>496</v>
      </c>
      <c r="B341" t="s">
        <v>499</v>
      </c>
      <c r="C341">
        <v>1</v>
      </c>
      <c r="D341">
        <v>92.7</v>
      </c>
      <c r="E341">
        <v>30.52</v>
      </c>
      <c r="F341">
        <v>1.4</v>
      </c>
      <c r="G341">
        <v>0.6</v>
      </c>
    </row>
    <row r="342" spans="1:7" x14ac:dyDescent="0.25">
      <c r="A342" t="s">
        <v>496</v>
      </c>
      <c r="B342" t="s">
        <v>499</v>
      </c>
      <c r="C342">
        <v>1</v>
      </c>
      <c r="D342">
        <v>93.09</v>
      </c>
      <c r="E342">
        <v>29.94</v>
      </c>
      <c r="F342">
        <v>1.44</v>
      </c>
      <c r="G342">
        <v>0.6</v>
      </c>
    </row>
    <row r="343" spans="1:7" x14ac:dyDescent="0.25">
      <c r="A343" t="s">
        <v>496</v>
      </c>
      <c r="B343" t="s">
        <v>499</v>
      </c>
      <c r="C343">
        <v>1</v>
      </c>
      <c r="D343">
        <v>93.27</v>
      </c>
      <c r="E343">
        <v>30.22</v>
      </c>
      <c r="F343">
        <v>1.42</v>
      </c>
      <c r="G343">
        <v>0.56999999999999995</v>
      </c>
    </row>
    <row r="344" spans="1:7" x14ac:dyDescent="0.25">
      <c r="A344" t="s">
        <v>496</v>
      </c>
      <c r="B344" t="s">
        <v>499</v>
      </c>
      <c r="C344">
        <v>1</v>
      </c>
      <c r="D344">
        <v>92.99</v>
      </c>
      <c r="E344">
        <v>28.98</v>
      </c>
      <c r="F344">
        <v>1.52</v>
      </c>
      <c r="G344">
        <v>0.56999999999999995</v>
      </c>
    </row>
  </sheetData>
  <phoneticPr fontId="7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E974-4B4A-48BA-AD54-380CE22E3D63}">
  <dimension ref="A1:N63"/>
  <sheetViews>
    <sheetView workbookViewId="0">
      <selection activeCell="E38" sqref="E38"/>
    </sheetView>
  </sheetViews>
  <sheetFormatPr defaultRowHeight="15" x14ac:dyDescent="0.25"/>
  <cols>
    <col min="1" max="1" width="8.85546875" bestFit="1" customWidth="1"/>
    <col min="5" max="5" width="18.140625" bestFit="1" customWidth="1"/>
    <col min="6" max="6" width="15.85546875" bestFit="1" customWidth="1"/>
    <col min="7" max="7" width="14.5703125" bestFit="1" customWidth="1"/>
    <col min="11" max="11" width="18.140625" bestFit="1" customWidth="1"/>
    <col min="12" max="12" width="15.85546875" bestFit="1" customWidth="1"/>
    <col min="13" max="13" width="14.5703125" bestFit="1" customWidth="1"/>
  </cols>
  <sheetData>
    <row r="1" spans="1:14" ht="25.5" x14ac:dyDescent="0.25">
      <c r="A1" s="533" t="s">
        <v>53</v>
      </c>
      <c r="B1" s="534" t="s">
        <v>8</v>
      </c>
      <c r="C1" s="534" t="s">
        <v>54</v>
      </c>
      <c r="D1" s="534" t="s">
        <v>487</v>
      </c>
      <c r="E1" s="164" t="s">
        <v>510</v>
      </c>
      <c r="F1" s="164" t="s">
        <v>508</v>
      </c>
      <c r="G1" s="535" t="s">
        <v>511</v>
      </c>
    </row>
    <row r="2" spans="1:14" x14ac:dyDescent="0.25">
      <c r="A2" s="529" t="s">
        <v>336</v>
      </c>
      <c r="B2" s="718" t="s">
        <v>86</v>
      </c>
      <c r="C2" s="531" t="s">
        <v>500</v>
      </c>
      <c r="D2" s="164">
        <v>1</v>
      </c>
      <c r="E2" s="91">
        <f>AVERAGEIFS('SHG2 - NW'!E$2:E$344,'SHG2 - NW'!$A$2:$A$344,'SHG3'!$A2,'SHG2 - NW'!$B$2:$B$344,'SHG3'!$C2,'SHG2 - NW'!$C$2:$C$344,'SHG3'!$D2-1)</f>
        <v>10.538</v>
      </c>
      <c r="F2" s="91">
        <f>AVERAGEIFS('SHG2 - NW'!F$2:F$344,'SHG2 - NW'!$A$2:$A$344,'SHG3'!$A2,'SHG2 - NW'!$B$2:$B$344,'SHG3'!$C2,'SHG2 - NW'!$C$2:$C$344,'SHG3'!$D2-1)</f>
        <v>8.2260000000000009</v>
      </c>
      <c r="G2" s="92">
        <f>AVERAGEIFS('SHG2 - NW'!G$2:G$344,'SHG2 - NW'!$A$2:$A$344,'SHG3'!$A2,'SHG2 - NW'!$B$2:$B$344,'SHG3'!$C2,'SHG2 - NW'!$C$2:$C$344,'SHG3'!$D2-1)</f>
        <v>0.74400000000000011</v>
      </c>
    </row>
    <row r="3" spans="1:14" x14ac:dyDescent="0.25">
      <c r="A3" s="426" t="s">
        <v>336</v>
      </c>
      <c r="B3" s="704"/>
      <c r="C3" s="248" t="s">
        <v>500</v>
      </c>
      <c r="D3">
        <v>2</v>
      </c>
      <c r="E3" s="91">
        <f>AVERAGEIFS('SHG2 - NW'!E$2:E$344,'SHG2 - NW'!$A$2:$A$344,'SHG3'!$A3,'SHG2 - NW'!$B$2:$B$344,'SHG3'!$C3,'SHG2 - NW'!$C$2:$C$344,'SHG3'!$D3-1)</f>
        <v>17.989000000000001</v>
      </c>
      <c r="F3" s="91">
        <f>AVERAGEIFS('SHG2 - NW'!F$2:F$344,'SHG2 - NW'!$A$2:$A$344,'SHG3'!$A3,'SHG2 - NW'!$B$2:$B$344,'SHG3'!$C3,'SHG2 - NW'!$C$2:$C$344,'SHG3'!$D3-1)</f>
        <v>3.2979999999999996</v>
      </c>
      <c r="G3" s="92">
        <f>AVERAGEIFS('SHG2 - NW'!G$2:G$344,'SHG2 - NW'!$A$2:$A$344,'SHG3'!$A3,'SHG2 - NW'!$B$2:$B$344,'SHG3'!$C3,'SHG2 - NW'!$C$2:$C$344,'SHG3'!$D3-1)</f>
        <v>0.58200000000000007</v>
      </c>
      <c r="K3" t="s">
        <v>510</v>
      </c>
      <c r="L3" t="s">
        <v>508</v>
      </c>
      <c r="M3" s="248" t="s">
        <v>511</v>
      </c>
      <c r="N3" s="248"/>
    </row>
    <row r="4" spans="1:14" x14ac:dyDescent="0.25">
      <c r="A4" s="426" t="s">
        <v>336</v>
      </c>
      <c r="B4" s="704"/>
      <c r="C4" s="248" t="s">
        <v>497</v>
      </c>
      <c r="D4">
        <v>1</v>
      </c>
      <c r="E4" s="91">
        <f>AVERAGEIFS('SHG2 - NW'!E$2:E$344,'SHG2 - NW'!$A$2:$A$344,'SHG3'!$A4,'SHG2 - NW'!$B$2:$B$344,'SHG3'!$C4,'SHG2 - NW'!$C$2:$C$344,'SHG3'!$D4-1)</f>
        <v>21.65</v>
      </c>
      <c r="F4" s="91">
        <f>AVERAGEIFS('SHG2 - NW'!F$2:F$344,'SHG2 - NW'!$A$2:$A$344,'SHG3'!$A4,'SHG2 - NW'!$B$2:$B$344,'SHG3'!$C4,'SHG2 - NW'!$C$2:$C$344,'SHG3'!$D4-1)</f>
        <v>2.7737500000000002</v>
      </c>
      <c r="G4" s="92">
        <f>AVERAGEIFS('SHG2 - NW'!G$2:G$344,'SHG2 - NW'!$A$2:$A$344,'SHG3'!$A4,'SHG2 - NW'!$B$2:$B$344,'SHG3'!$C4,'SHG2 - NW'!$C$2:$C$344,'SHG3'!$D4-1)</f>
        <v>0.51875000000000004</v>
      </c>
      <c r="J4" t="s">
        <v>86</v>
      </c>
      <c r="K4">
        <f>AVERAGE(E2:E9)</f>
        <v>12.418342116013072</v>
      </c>
      <c r="L4">
        <f>AVERAGE(F2:F9)</f>
        <v>8.7023786181139116</v>
      </c>
      <c r="M4">
        <f>AVERAGE(G2:G9)</f>
        <v>0.71774716970121377</v>
      </c>
    </row>
    <row r="5" spans="1:14" x14ac:dyDescent="0.25">
      <c r="A5" s="426" t="s">
        <v>336</v>
      </c>
      <c r="B5" s="704"/>
      <c r="C5" s="248" t="s">
        <v>497</v>
      </c>
      <c r="D5">
        <v>2</v>
      </c>
      <c r="E5" s="91">
        <f>AVERAGEIFS('SHG2 - NW'!E$2:E$344,'SHG2 - NW'!$A$2:$A$344,'SHG3'!$A5,'SHG2 - NW'!$B$2:$B$344,'SHG3'!$C5,'SHG2 - NW'!$C$2:$C$344,'SHG3'!$D5-1)</f>
        <v>16.19222222222222</v>
      </c>
      <c r="F5" s="91">
        <f>AVERAGEIFS('SHG2 - NW'!F$2:F$344,'SHG2 - NW'!$A$2:$A$344,'SHG3'!$A5,'SHG2 - NW'!$B$2:$B$344,'SHG3'!$C5,'SHG2 - NW'!$C$2:$C$344,'SHG3'!$D5-1)</f>
        <v>3.9922222222222223</v>
      </c>
      <c r="G5" s="92">
        <f>AVERAGEIFS('SHG2 - NW'!G$2:G$344,'SHG2 - NW'!$A$2:$A$344,'SHG3'!$A5,'SHG2 - NW'!$B$2:$B$344,'SHG3'!$C5,'SHG2 - NW'!$C$2:$C$344,'SHG3'!$D5-1)</f>
        <v>0.63777777777777778</v>
      </c>
      <c r="J5" t="s">
        <v>234</v>
      </c>
      <c r="K5">
        <f>AVERAGE(E23:E31)</f>
        <v>16.796617845117844</v>
      </c>
      <c r="L5">
        <f>AVERAGE(F23:F31)</f>
        <v>5.9399966329966318</v>
      </c>
      <c r="M5">
        <f>AVERAGE(G23:G31)</f>
        <v>0.79485690235690232</v>
      </c>
    </row>
    <row r="6" spans="1:14" x14ac:dyDescent="0.25">
      <c r="A6" s="426" t="s">
        <v>336</v>
      </c>
      <c r="B6" s="704"/>
      <c r="C6" s="248" t="s">
        <v>501</v>
      </c>
      <c r="D6">
        <v>1</v>
      </c>
      <c r="E6" s="91">
        <f>AVERAGEIFS('SHG2 - NW'!E$2:E$344,'SHG2 - NW'!$A$2:$A$344,'SHG3'!$A6,'SHG2 - NW'!$B$2:$B$344,'SHG3'!$C6,'SHG2 - NW'!$C$2:$C$344,'SHG3'!$D6-1)</f>
        <v>7.5787500000000012</v>
      </c>
      <c r="F6" s="91">
        <f>AVERAGEIFS('SHG2 - NW'!F$2:F$344,'SHG2 - NW'!$A$2:$A$344,'SHG3'!$A6,'SHG2 - NW'!$B$2:$B$344,'SHG3'!$C6,'SHG2 - NW'!$C$2:$C$344,'SHG3'!$D6-1)</f>
        <v>12.881249999999998</v>
      </c>
      <c r="G6" s="92">
        <f>AVERAGEIFS('SHG2 - NW'!G$2:G$344,'SHG2 - NW'!$A$2:$A$344,'SHG3'!$A6,'SHG2 - NW'!$B$2:$B$344,'SHG3'!$C6,'SHG2 - NW'!$C$2:$C$344,'SHG3'!$D6-1)</f>
        <v>0.79249999999999998</v>
      </c>
      <c r="J6" t="s">
        <v>87</v>
      </c>
      <c r="K6">
        <f>AVERAGE(E10:E22)</f>
        <v>9.9892974941724955</v>
      </c>
      <c r="L6">
        <f>AVERAGE(F10:F22)</f>
        <v>10.903509069055945</v>
      </c>
      <c r="M6">
        <f>AVERAGE(G10:G22)</f>
        <v>0.80706603292540791</v>
      </c>
    </row>
    <row r="7" spans="1:14" x14ac:dyDescent="0.25">
      <c r="A7" s="426" t="s">
        <v>336</v>
      </c>
      <c r="B7" s="704"/>
      <c r="C7" s="248" t="s">
        <v>501</v>
      </c>
      <c r="D7">
        <v>2</v>
      </c>
      <c r="E7" s="91">
        <f>AVERAGEIFS('SHG2 - NW'!E$2:E$344,'SHG2 - NW'!$A$2:$A$344,'SHG3'!$A7,'SHG2 - NW'!$B$2:$B$344,'SHG3'!$C7,'SHG2 - NW'!$C$2:$C$344,'SHG3'!$D7-1)</f>
        <v>6.2870000000000008</v>
      </c>
      <c r="F7" s="91">
        <f>AVERAGEIFS('SHG2 - NW'!F$2:F$344,'SHG2 - NW'!$A$2:$A$344,'SHG3'!$A7,'SHG2 - NW'!$B$2:$B$344,'SHG3'!$C7,'SHG2 - NW'!$C$2:$C$344,'SHG3'!$D7-1)</f>
        <v>15.941000000000003</v>
      </c>
      <c r="G7" s="92">
        <f>AVERAGEIFS('SHG2 - NW'!G$2:G$344,'SHG2 - NW'!$A$2:$A$344,'SHG3'!$A7,'SHG2 - NW'!$B$2:$B$344,'SHG3'!$C7,'SHG2 - NW'!$C$2:$C$344,'SHG3'!$D7-1)</f>
        <v>0.84800000000000009</v>
      </c>
      <c r="J7" t="s">
        <v>292</v>
      </c>
      <c r="K7">
        <f>AVERAGE(E32:E37)</f>
        <v>9.3435833333333349</v>
      </c>
      <c r="L7">
        <f>AVERAGE(F32:F37)</f>
        <v>10.996805555555556</v>
      </c>
      <c r="M7">
        <f>AVERAGE(G32:G37)</f>
        <v>0.83583333333333343</v>
      </c>
    </row>
    <row r="8" spans="1:14" x14ac:dyDescent="0.25">
      <c r="A8" s="426" t="s">
        <v>336</v>
      </c>
      <c r="B8" s="704"/>
      <c r="C8" s="248" t="s">
        <v>503</v>
      </c>
      <c r="D8">
        <v>2</v>
      </c>
      <c r="E8" s="91">
        <f>AVERAGEIFS('SHG2 - NW'!E$2:E$344,'SHG2 - NW'!$A$2:$A$344,'SHG3'!$A8,'SHG2 - NW'!$B$2:$B$344,'SHG3'!$C8,'SHG2 - NW'!$C$2:$C$344,'SHG3'!$D8-1)</f>
        <v>7.7700000000000005</v>
      </c>
      <c r="F8" s="91">
        <f>AVERAGEIFS('SHG2 - NW'!F$2:F$344,'SHG2 - NW'!$A$2:$A$344,'SHG3'!$A8,'SHG2 - NW'!$B$2:$B$344,'SHG3'!$C8,'SHG2 - NW'!$C$2:$C$344,'SHG3'!$D8-1)</f>
        <v>13.338571428571429</v>
      </c>
      <c r="G8" s="92">
        <f>AVERAGEIFS('SHG2 - NW'!G$2:G$344,'SHG2 - NW'!$A$2:$A$344,'SHG3'!$A8,'SHG2 - NW'!$B$2:$B$344,'SHG3'!$C8,'SHG2 - NW'!$C$2:$C$344,'SHG3'!$D8-1)</f>
        <v>0.82071428571428573</v>
      </c>
    </row>
    <row r="9" spans="1:14" x14ac:dyDescent="0.25">
      <c r="A9" s="530" t="s">
        <v>336</v>
      </c>
      <c r="B9" s="807"/>
      <c r="C9" s="248" t="s">
        <v>503</v>
      </c>
      <c r="D9" s="60">
        <v>4</v>
      </c>
      <c r="E9" s="91">
        <f>AVERAGEIFS('SHG2 - NW'!E$2:E$344,'SHG2 - NW'!$A$2:$A$344,'SHG3'!$A9,'SHG2 - NW'!$B$2:$B$344,'SHG3'!$C9,'SHG2 - NW'!$C$2:$C$344,'SHG3'!$D9-1)</f>
        <v>11.341764705882349</v>
      </c>
      <c r="F9" s="91">
        <f>AVERAGEIFS('SHG2 - NW'!F$2:F$344,'SHG2 - NW'!$A$2:$A$344,'SHG3'!$A9,'SHG2 - NW'!$B$2:$B$344,'SHG3'!$C9,'SHG2 - NW'!$C$2:$C$344,'SHG3'!$D9-1)</f>
        <v>9.1682352941176486</v>
      </c>
      <c r="G9" s="92">
        <f>AVERAGEIFS('SHG2 - NW'!G$2:G$344,'SHG2 - NW'!$A$2:$A$344,'SHG3'!$A9,'SHG2 - NW'!$B$2:$B$344,'SHG3'!$C9,'SHG2 - NW'!$C$2:$C$344,'SHG3'!$D9-1)</f>
        <v>0.79823529411764693</v>
      </c>
    </row>
    <row r="10" spans="1:14" x14ac:dyDescent="0.25">
      <c r="A10" s="529" t="s">
        <v>494</v>
      </c>
      <c r="B10" s="718" t="s">
        <v>87</v>
      </c>
      <c r="C10" s="531" t="s">
        <v>493</v>
      </c>
      <c r="D10" s="164">
        <v>1</v>
      </c>
      <c r="E10" s="91">
        <f>AVERAGEIFS('SHG2 - NW'!E$2:E$344,'SHG2 - NW'!$A$2:$A$344,'SHG3'!$A10,'SHG2 - NW'!$B$2:$B$344,'SHG3'!$C10,'SHG2 - NW'!$C$2:$C$344,'SHG3'!$D10-1)</f>
        <v>7.3753846153846148</v>
      </c>
      <c r="F10" s="91">
        <f>AVERAGEIFS('SHG2 - NW'!F$2:F$344,'SHG2 - NW'!$A$2:$A$344,'SHG3'!$A10,'SHG2 - NW'!$B$2:$B$344,'SHG3'!$C10,'SHG2 - NW'!$C$2:$C$344,'SHG3'!$D10-1)</f>
        <v>13.181538461538462</v>
      </c>
      <c r="G10" s="92">
        <f>AVERAGEIFS('SHG2 - NW'!G$2:G$344,'SHG2 - NW'!$A$2:$A$344,'SHG3'!$A10,'SHG2 - NW'!$B$2:$B$344,'SHG3'!$C10,'SHG2 - NW'!$C$2:$C$344,'SHG3'!$D10-1)</f>
        <v>0.87</v>
      </c>
    </row>
    <row r="11" spans="1:14" x14ac:dyDescent="0.25">
      <c r="A11" s="426" t="s">
        <v>494</v>
      </c>
      <c r="B11" s="704"/>
      <c r="C11" s="248" t="s">
        <v>493</v>
      </c>
      <c r="D11">
        <v>2</v>
      </c>
      <c r="E11" s="91">
        <f>AVERAGEIFS('SHG2 - NW'!E$2:E$344,'SHG2 - NW'!$A$2:$A$344,'SHG3'!$A11,'SHG2 - NW'!$B$2:$B$344,'SHG3'!$C11,'SHG2 - NW'!$C$2:$C$344,'SHG3'!$D11-1)</f>
        <v>14.196923076923079</v>
      </c>
      <c r="F11" s="91">
        <f>AVERAGEIFS('SHG2 - NW'!F$2:F$344,'SHG2 - NW'!$A$2:$A$344,'SHG3'!$A11,'SHG2 - NW'!$B$2:$B$344,'SHG3'!$C11,'SHG2 - NW'!$C$2:$C$344,'SHG3'!$D11-1)</f>
        <v>5.2661538461538466</v>
      </c>
      <c r="G11" s="92">
        <f>AVERAGEIFS('SHG2 - NW'!G$2:G$344,'SHG2 - NW'!$A$2:$A$344,'SHG3'!$A11,'SHG2 - NW'!$B$2:$B$344,'SHG3'!$C11,'SHG2 - NW'!$C$2:$C$344,'SHG3'!$D11-1)</f>
        <v>0.82923076923076922</v>
      </c>
      <c r="K11" t="s">
        <v>510</v>
      </c>
      <c r="L11" t="s">
        <v>508</v>
      </c>
      <c r="M11" s="248" t="s">
        <v>511</v>
      </c>
      <c r="N11" s="248"/>
    </row>
    <row r="12" spans="1:14" x14ac:dyDescent="0.25">
      <c r="A12" s="426" t="s">
        <v>494</v>
      </c>
      <c r="B12" s="704"/>
      <c r="C12" s="248" t="s">
        <v>500</v>
      </c>
      <c r="D12">
        <v>1</v>
      </c>
      <c r="E12" s="91"/>
      <c r="F12" s="91"/>
      <c r="G12" s="92"/>
      <c r="I12" s="526" t="s">
        <v>24</v>
      </c>
      <c r="J12" t="s">
        <v>379</v>
      </c>
      <c r="K12">
        <f>TTEST(E2:E9,E23:E31,2,2)</f>
        <v>0.22785851481434047</v>
      </c>
      <c r="L12">
        <f>TTEST(F2:F9,F23:F31,2,2)</f>
        <v>0.22800867076681408</v>
      </c>
      <c r="M12">
        <f>TTEST(G2:G9,G23:G31,2,2)</f>
        <v>0.22024059243760163</v>
      </c>
    </row>
    <row r="13" spans="1:14" x14ac:dyDescent="0.25">
      <c r="A13" s="426" t="s">
        <v>494</v>
      </c>
      <c r="B13" s="704"/>
      <c r="C13" s="248" t="s">
        <v>500</v>
      </c>
      <c r="D13">
        <v>2</v>
      </c>
      <c r="E13" s="91"/>
      <c r="F13" s="91"/>
      <c r="G13" s="92"/>
      <c r="I13" s="526" t="s">
        <v>28</v>
      </c>
      <c r="J13" t="s">
        <v>379</v>
      </c>
      <c r="K13">
        <f>TTEST(E10:E22,E32:E37,2,2)</f>
        <v>0.71702264188750342</v>
      </c>
      <c r="L13">
        <f>TTEST(F10:F22,F32:F37,2,2)</f>
        <v>0.97178407355168583</v>
      </c>
      <c r="M13">
        <f>TTEST(G10:G22,G32:G37,2,2)</f>
        <v>0.49612357946084651</v>
      </c>
    </row>
    <row r="14" spans="1:14" x14ac:dyDescent="0.25">
      <c r="A14" s="426" t="s">
        <v>494</v>
      </c>
      <c r="B14" s="704"/>
      <c r="C14" s="248" t="s">
        <v>497</v>
      </c>
      <c r="D14">
        <v>1</v>
      </c>
      <c r="E14" s="91">
        <f>AVERAGEIFS('SHG2 - NW'!E$2:E$344,'SHG2 - NW'!$A$2:$A$344,'SHG3'!$A14,'SHG2 - NW'!$B$2:$B$344,'SHG3'!$C14,'SHG2 - NW'!$C$2:$C$344,'SHG3'!$D14-1)</f>
        <v>11.6675</v>
      </c>
      <c r="F14" s="91">
        <f>AVERAGEIFS('SHG2 - NW'!F$2:F$344,'SHG2 - NW'!$A$2:$A$344,'SHG3'!$A14,'SHG2 - NW'!$B$2:$B$344,'SHG3'!$C14,'SHG2 - NW'!$C$2:$C$344,'SHG3'!$D14-1)</f>
        <v>7.6956250000000006</v>
      </c>
      <c r="G14" s="92">
        <f>AVERAGEIFS('SHG2 - NW'!G$2:G$344,'SHG2 - NW'!$A$2:$A$344,'SHG3'!$A14,'SHG2 - NW'!$B$2:$B$344,'SHG3'!$C14,'SHG2 - NW'!$C$2:$C$344,'SHG3'!$D14-1)</f>
        <v>0.7756249999999999</v>
      </c>
      <c r="I14" s="527">
        <v>0.15</v>
      </c>
      <c r="J14" t="s">
        <v>505</v>
      </c>
      <c r="K14">
        <f>TTEST(E2:E9,E10:E22,2,2)</f>
        <v>0.31241770161693966</v>
      </c>
      <c r="L14">
        <f>TTEST(F2:F9,F10:F22,2,2)</f>
        <v>0.394806144719128</v>
      </c>
      <c r="M14">
        <f>TTEST(G2:G9,G10:G22,2,2)</f>
        <v>0.12625000632208364</v>
      </c>
    </row>
    <row r="15" spans="1:14" x14ac:dyDescent="0.25">
      <c r="A15" s="426" t="s">
        <v>494</v>
      </c>
      <c r="B15" s="704"/>
      <c r="C15" s="248" t="s">
        <v>497</v>
      </c>
      <c r="D15">
        <v>2</v>
      </c>
      <c r="E15" s="91">
        <f>AVERAGEIFS('SHG2 - NW'!E$2:E$344,'SHG2 - NW'!$A$2:$A$344,'SHG3'!$A15,'SHG2 - NW'!$B$2:$B$344,'SHG3'!$C15,'SHG2 - NW'!$C$2:$C$344,'SHG3'!$D15-1)</f>
        <v>7.1408333333333323</v>
      </c>
      <c r="F15" s="91">
        <f>AVERAGEIFS('SHG2 - NW'!F$2:F$344,'SHG2 - NW'!$A$2:$A$344,'SHG3'!$A15,'SHG2 - NW'!$B$2:$B$344,'SHG3'!$C15,'SHG2 - NW'!$C$2:$C$344,'SHG3'!$D15-1)</f>
        <v>13.903333333333336</v>
      </c>
      <c r="G15" s="92">
        <f>AVERAGEIFS('SHG2 - NW'!G$2:G$344,'SHG2 - NW'!$A$2:$A$344,'SHG3'!$A15,'SHG2 - NW'!$B$2:$B$344,'SHG3'!$C15,'SHG2 - NW'!$C$2:$C$344,'SHG3'!$D15-1)</f>
        <v>0.90416666666666667</v>
      </c>
      <c r="I15" s="527">
        <v>0.5</v>
      </c>
      <c r="J15" t="s">
        <v>505</v>
      </c>
      <c r="K15">
        <f>TTEST(E23:E31,E32:E37,2,2)</f>
        <v>5.6632462755740895E-2</v>
      </c>
      <c r="L15">
        <f>TTEST(F23:F31,F32:F37,2,2)</f>
        <v>3.9817859962159495E-2</v>
      </c>
      <c r="M15">
        <f>TTEST(G23:G31,G32:G37,2,2)</f>
        <v>0.45239113741004844</v>
      </c>
    </row>
    <row r="16" spans="1:14" x14ac:dyDescent="0.25">
      <c r="A16" s="426" t="s">
        <v>494</v>
      </c>
      <c r="B16" s="704"/>
      <c r="C16" s="248" t="s">
        <v>498</v>
      </c>
      <c r="D16">
        <v>1</v>
      </c>
      <c r="E16" s="91">
        <f>AVERAGEIFS('SHG2 - NW'!E$2:E$344,'SHG2 - NW'!$A$2:$A$344,'SHG3'!$A16,'SHG2 - NW'!$B$2:$B$344,'SHG3'!$C16,'SHG2 - NW'!$C$2:$C$344,'SHG3'!$D16-1)</f>
        <v>8.2636363636363637</v>
      </c>
      <c r="F16" s="91">
        <f>AVERAGEIFS('SHG2 - NW'!F$2:F$344,'SHG2 - NW'!$A$2:$A$344,'SHG3'!$A16,'SHG2 - NW'!$B$2:$B$344,'SHG3'!$C16,'SHG2 - NW'!$C$2:$C$344,'SHG3'!$D16-1)</f>
        <v>12.19090909090909</v>
      </c>
      <c r="G16" s="92">
        <f>AVERAGEIFS('SHG2 - NW'!G$2:G$344,'SHG2 - NW'!$A$2:$A$344,'SHG3'!$A16,'SHG2 - NW'!$B$2:$B$344,'SHG3'!$C16,'SHG2 - NW'!$C$2:$C$344,'SHG3'!$D16-1)</f>
        <v>0.80545454545454542</v>
      </c>
    </row>
    <row r="17" spans="1:14" x14ac:dyDescent="0.25">
      <c r="A17" s="426" t="s">
        <v>494</v>
      </c>
      <c r="B17" s="704"/>
      <c r="C17" s="248" t="s">
        <v>498</v>
      </c>
      <c r="D17">
        <v>2</v>
      </c>
      <c r="E17" s="91">
        <f>AVERAGEIFS('SHG2 - NW'!E$2:E$344,'SHG2 - NW'!$A$2:$A$344,'SHG3'!$A17,'SHG2 - NW'!$B$2:$B$344,'SHG3'!$C17,'SHG2 - NW'!$C$2:$C$344,'SHG3'!$D17-1)</f>
        <v>13.526153846153845</v>
      </c>
      <c r="F17" s="91">
        <f>AVERAGEIFS('SHG2 - NW'!F$2:F$344,'SHG2 - NW'!$A$2:$A$344,'SHG3'!$A17,'SHG2 - NW'!$B$2:$B$344,'SHG3'!$C17,'SHG2 - NW'!$C$2:$C$344,'SHG3'!$D17-1)</f>
        <v>6.1615384615384619</v>
      </c>
      <c r="G17" s="92">
        <f>AVERAGEIFS('SHG2 - NW'!G$2:G$344,'SHG2 - NW'!$A$2:$A$344,'SHG3'!$A17,'SHG2 - NW'!$B$2:$B$344,'SHG3'!$C17,'SHG2 - NW'!$C$2:$C$344,'SHG3'!$D17-1)</f>
        <v>0.73230769230769244</v>
      </c>
    </row>
    <row r="18" spans="1:14" x14ac:dyDescent="0.25">
      <c r="A18" s="426" t="s">
        <v>494</v>
      </c>
      <c r="B18" s="704"/>
      <c r="C18" s="248" t="s">
        <v>499</v>
      </c>
      <c r="D18">
        <v>2</v>
      </c>
      <c r="E18" s="91">
        <f>AVERAGEIFS('SHG2 - NW'!E$2:E$344,'SHG2 - NW'!$A$2:$A$344,'SHG3'!$A18,'SHG2 - NW'!$B$2:$B$344,'SHG3'!$C18,'SHG2 - NW'!$C$2:$C$344,'SHG3'!$D18-1)</f>
        <v>12.719333333333335</v>
      </c>
      <c r="F18" s="91">
        <f>AVERAGEIFS('SHG2 - NW'!F$2:F$344,'SHG2 - NW'!$A$2:$A$344,'SHG3'!$A18,'SHG2 - NW'!$B$2:$B$344,'SHG3'!$C18,'SHG2 - NW'!$C$2:$C$344,'SHG3'!$D18-1)</f>
        <v>8.5566666666666666</v>
      </c>
      <c r="G18" s="92">
        <f>AVERAGEIFS('SHG2 - NW'!G$2:G$344,'SHG2 - NW'!$A$2:$A$344,'SHG3'!$A18,'SHG2 - NW'!$B$2:$B$344,'SHG3'!$C18,'SHG2 - NW'!$C$2:$C$344,'SHG3'!$D18-1)</f>
        <v>0.62666666666666659</v>
      </c>
    </row>
    <row r="19" spans="1:14" x14ac:dyDescent="0.25">
      <c r="A19" s="426" t="s">
        <v>494</v>
      </c>
      <c r="B19" s="704"/>
      <c r="C19" s="248" t="s">
        <v>499</v>
      </c>
      <c r="D19">
        <v>3</v>
      </c>
      <c r="E19" s="91">
        <f>AVERAGEIFS('SHG2 - NW'!E$2:E$344,'SHG2 - NW'!$A$2:$A$344,'SHG3'!$A19,'SHG2 - NW'!$B$2:$B$344,'SHG3'!$C19,'SHG2 - NW'!$C$2:$C$344,'SHG3'!$D19-1)</f>
        <v>5.0246153846153856</v>
      </c>
      <c r="F19" s="91">
        <f>AVERAGEIFS('SHG2 - NW'!F$2:F$344,'SHG2 - NW'!$A$2:$A$344,'SHG3'!$A19,'SHG2 - NW'!$B$2:$B$344,'SHG3'!$C19,'SHG2 - NW'!$C$2:$C$344,'SHG3'!$D19-1)</f>
        <v>20.272307692307688</v>
      </c>
      <c r="G19" s="92">
        <f>AVERAGEIFS('SHG2 - NW'!G$2:G$344,'SHG2 - NW'!$A$2:$A$344,'SHG3'!$A19,'SHG2 - NW'!$B$2:$B$344,'SHG3'!$C19,'SHG2 - NW'!$C$2:$C$344,'SHG3'!$D19-1)</f>
        <v>0.91307692307692301</v>
      </c>
    </row>
    <row r="20" spans="1:14" x14ac:dyDescent="0.25">
      <c r="A20" s="426" t="s">
        <v>494</v>
      </c>
      <c r="B20" s="704"/>
      <c r="C20" s="248" t="s">
        <v>499</v>
      </c>
      <c r="D20">
        <v>4</v>
      </c>
      <c r="E20" s="91"/>
      <c r="F20" s="91"/>
      <c r="G20" s="92"/>
    </row>
    <row r="21" spans="1:14" x14ac:dyDescent="0.25">
      <c r="A21" s="426" t="s">
        <v>494</v>
      </c>
      <c r="B21" s="704"/>
      <c r="C21" s="248" t="s">
        <v>501</v>
      </c>
      <c r="D21">
        <v>1</v>
      </c>
      <c r="E21" s="91"/>
      <c r="F21" s="91"/>
      <c r="G21" s="92"/>
    </row>
    <row r="22" spans="1:14" x14ac:dyDescent="0.25">
      <c r="A22" s="530" t="s">
        <v>494</v>
      </c>
      <c r="B22" s="807"/>
      <c r="C22" s="248" t="s">
        <v>501</v>
      </c>
      <c r="D22" s="60">
        <v>2</v>
      </c>
      <c r="E22" s="91"/>
      <c r="F22" s="91"/>
      <c r="G22" s="92"/>
      <c r="N22" t="s">
        <v>512</v>
      </c>
    </row>
    <row r="23" spans="1:14" x14ac:dyDescent="0.25">
      <c r="A23" s="529" t="s">
        <v>496</v>
      </c>
      <c r="B23" s="718" t="s">
        <v>234</v>
      </c>
      <c r="C23" s="531" t="s">
        <v>500</v>
      </c>
      <c r="D23" s="164">
        <v>1</v>
      </c>
      <c r="E23" s="91">
        <f>AVERAGEIFS('SHG2 - NW'!E$2:E$344,'SHG2 - NW'!$A$2:$A$344,'SHG3'!$A23,'SHG2 - NW'!$B$2:$B$344,'SHG3'!$C23,'SHG2 - NW'!$C$2:$C$344,'SHG3'!$D23-1)</f>
        <v>9.6927272727272715</v>
      </c>
      <c r="F23" s="91">
        <f>AVERAGEIFS('SHG2 - NW'!F$2:F$344,'SHG2 - NW'!$A$2:$A$344,'SHG3'!$A23,'SHG2 - NW'!$B$2:$B$344,'SHG3'!$C23,'SHG2 - NW'!$C$2:$C$344,'SHG3'!$D23-1)</f>
        <v>9.1036363636363618</v>
      </c>
      <c r="G23" s="92">
        <f>AVERAGEIFS('SHG2 - NW'!G$2:G$344,'SHG2 - NW'!$A$2:$A$344,'SHG3'!$A23,'SHG2 - NW'!$B$2:$B$344,'SHG3'!$C23,'SHG2 - NW'!$C$2:$C$344,'SHG3'!$D23-1)</f>
        <v>0.85454545454545439</v>
      </c>
    </row>
    <row r="24" spans="1:14" x14ac:dyDescent="0.25">
      <c r="A24" s="426" t="s">
        <v>496</v>
      </c>
      <c r="B24" s="704"/>
      <c r="C24" s="248" t="s">
        <v>500</v>
      </c>
      <c r="D24">
        <v>2</v>
      </c>
      <c r="E24" s="91">
        <f>AVERAGEIFS('SHG2 - NW'!E$2:E$344,'SHG2 - NW'!$A$2:$A$344,'SHG3'!$A24,'SHG2 - NW'!$B$2:$B$344,'SHG3'!$C24,'SHG2 - NW'!$C$2:$C$344,'SHG3'!$D24-1)</f>
        <v>10.404999999999999</v>
      </c>
      <c r="F24" s="91">
        <f>AVERAGEIFS('SHG2 - NW'!F$2:F$344,'SHG2 - NW'!$A$2:$A$344,'SHG3'!$A24,'SHG2 - NW'!$B$2:$B$344,'SHG3'!$C24,'SHG2 - NW'!$C$2:$C$344,'SHG3'!$D24-1)</f>
        <v>8.2210000000000001</v>
      </c>
      <c r="G24" s="92">
        <f>AVERAGEIFS('SHG2 - NW'!G$2:G$344,'SHG2 - NW'!$A$2:$A$344,'SHG3'!$A24,'SHG2 - NW'!$B$2:$B$344,'SHG3'!$C24,'SHG2 - NW'!$C$2:$C$344,'SHG3'!$D24-1)</f>
        <v>0.87099999999999989</v>
      </c>
    </row>
    <row r="25" spans="1:14" x14ac:dyDescent="0.25">
      <c r="A25" s="426" t="s">
        <v>496</v>
      </c>
      <c r="B25" s="704"/>
      <c r="C25" s="248" t="s">
        <v>497</v>
      </c>
      <c r="D25">
        <v>1</v>
      </c>
      <c r="E25" s="91">
        <f>AVERAGEIFS('SHG2 - NW'!E$2:E$344,'SHG2 - NW'!$A$2:$A$344,'SHG3'!$A25,'SHG2 - NW'!$B$2:$B$344,'SHG3'!$C25,'SHG2 - NW'!$C$2:$C$344,'SHG3'!$D25-1)</f>
        <v>7.6909999999999998</v>
      </c>
      <c r="F25" s="91">
        <f>AVERAGEIFS('SHG2 - NW'!F$2:F$344,'SHG2 - NW'!$A$2:$A$344,'SHG3'!$A25,'SHG2 - NW'!$B$2:$B$344,'SHG3'!$C25,'SHG2 - NW'!$C$2:$C$344,'SHG3'!$D25-1)</f>
        <v>12.289</v>
      </c>
      <c r="G25" s="92">
        <f>AVERAGEIFS('SHG2 - NW'!G$2:G$344,'SHG2 - NW'!$A$2:$A$344,'SHG3'!$A25,'SHG2 - NW'!$B$2:$B$344,'SHG3'!$C25,'SHG2 - NW'!$C$2:$C$344,'SHG3'!$D25-1)</f>
        <v>0.93899999999999983</v>
      </c>
    </row>
    <row r="26" spans="1:14" x14ac:dyDescent="0.25">
      <c r="A26" s="426" t="s">
        <v>496</v>
      </c>
      <c r="B26" s="704"/>
      <c r="C26" s="248" t="s">
        <v>497</v>
      </c>
      <c r="D26">
        <v>2</v>
      </c>
      <c r="E26" s="91">
        <f>AVERAGEIFS('SHG2 - NW'!E$2:E$344,'SHG2 - NW'!$A$2:$A$344,'SHG3'!$A26,'SHG2 - NW'!$B$2:$B$344,'SHG3'!$C26,'SHG2 - NW'!$C$2:$C$344,'SHG3'!$D26-1)</f>
        <v>9.0650000000000013</v>
      </c>
      <c r="F26" s="91">
        <f>AVERAGEIFS('SHG2 - NW'!F$2:F$344,'SHG2 - NW'!$A$2:$A$344,'SHG3'!$A26,'SHG2 - NW'!$B$2:$B$344,'SHG3'!$C26,'SHG2 - NW'!$C$2:$C$344,'SHG3'!$D26-1)</f>
        <v>10.122999999999999</v>
      </c>
      <c r="G26" s="92">
        <f>AVERAGEIFS('SHG2 - NW'!G$2:G$344,'SHG2 - NW'!$A$2:$A$344,'SHG3'!$A26,'SHG2 - NW'!$B$2:$B$344,'SHG3'!$C26,'SHG2 - NW'!$C$2:$C$344,'SHG3'!$D26-1)</f>
        <v>0.87000000000000011</v>
      </c>
    </row>
    <row r="27" spans="1:14" x14ac:dyDescent="0.25">
      <c r="A27" s="426" t="s">
        <v>496</v>
      </c>
      <c r="B27" s="704"/>
      <c r="C27" s="248" t="s">
        <v>498</v>
      </c>
      <c r="D27">
        <v>1</v>
      </c>
      <c r="E27" s="91">
        <f>AVERAGEIFS('SHG2 - NW'!E$2:E$344,'SHG2 - NW'!$A$2:$A$344,'SHG3'!$A27,'SHG2 - NW'!$B$2:$B$344,'SHG3'!$C27,'SHG2 - NW'!$C$2:$C$344,'SHG3'!$D27-1)</f>
        <v>14.948333333333332</v>
      </c>
      <c r="F27" s="91">
        <f>AVERAGEIFS('SHG2 - NW'!F$2:F$344,'SHG2 - NW'!$A$2:$A$344,'SHG3'!$A27,'SHG2 - NW'!$B$2:$B$344,'SHG3'!$C27,'SHG2 - NW'!$C$2:$C$344,'SHG3'!$D27-1)</f>
        <v>4.3383333333333329</v>
      </c>
      <c r="G27" s="92">
        <f>AVERAGEIFS('SHG2 - NW'!G$2:G$344,'SHG2 - NW'!$A$2:$A$344,'SHG3'!$A27,'SHG2 - NW'!$B$2:$B$344,'SHG3'!$C27,'SHG2 - NW'!$C$2:$C$344,'SHG3'!$D27-1)</f>
        <v>0.83499999999999996</v>
      </c>
    </row>
    <row r="28" spans="1:14" x14ac:dyDescent="0.25">
      <c r="A28" s="426" t="s">
        <v>496</v>
      </c>
      <c r="B28" s="704"/>
      <c r="C28" s="248" t="s">
        <v>498</v>
      </c>
      <c r="D28">
        <v>2</v>
      </c>
      <c r="E28" s="91">
        <f>AVERAGEIFS('SHG2 - NW'!E$2:E$344,'SHG2 - NW'!$A$2:$A$344,'SHG3'!$A28,'SHG2 - NW'!$B$2:$B$344,'SHG3'!$C28,'SHG2 - NW'!$C$2:$C$344,'SHG3'!$D28-1)</f>
        <v>22.246666666666666</v>
      </c>
      <c r="F28" s="91">
        <f>AVERAGEIFS('SHG2 - NW'!F$2:F$344,'SHG2 - NW'!$A$2:$A$344,'SHG3'!$A28,'SHG2 - NW'!$B$2:$B$344,'SHG3'!$C28,'SHG2 - NW'!$C$2:$C$344,'SHG3'!$D28-1)</f>
        <v>2.2883333333333336</v>
      </c>
      <c r="G28" s="92">
        <f>AVERAGEIFS('SHG2 - NW'!G$2:G$344,'SHG2 - NW'!$A$2:$A$344,'SHG3'!$A28,'SHG2 - NW'!$B$2:$B$344,'SHG3'!$C28,'SHG2 - NW'!$C$2:$C$344,'SHG3'!$D28-1)</f>
        <v>0.79</v>
      </c>
    </row>
    <row r="29" spans="1:14" x14ac:dyDescent="0.25">
      <c r="A29" s="426" t="s">
        <v>496</v>
      </c>
      <c r="B29" s="704"/>
      <c r="C29" s="248" t="s">
        <v>498</v>
      </c>
      <c r="D29">
        <v>3</v>
      </c>
      <c r="E29" s="91">
        <f>AVERAGEIFS('SHG2 - NW'!E$2:E$344,'SHG2 - NW'!$A$2:$A$344,'SHG3'!$A29,'SHG2 - NW'!$B$2:$B$344,'SHG3'!$C29,'SHG2 - NW'!$C$2:$C$344,'SHG3'!$D29-1)</f>
        <v>20.451666666666672</v>
      </c>
      <c r="F29" s="91">
        <f>AVERAGEIFS('SHG2 - NW'!F$2:F$344,'SHG2 - NW'!$A$2:$A$344,'SHG3'!$A29,'SHG2 - NW'!$B$2:$B$344,'SHG3'!$C29,'SHG2 - NW'!$C$2:$C$344,'SHG3'!$D29-1)</f>
        <v>2.6349999999999998</v>
      </c>
      <c r="G29" s="92">
        <f>AVERAGEIFS('SHG2 - NW'!G$2:G$344,'SHG2 - NW'!$A$2:$A$344,'SHG3'!$A29,'SHG2 - NW'!$B$2:$B$344,'SHG3'!$C29,'SHG2 - NW'!$C$2:$C$344,'SHG3'!$D29-1)</f>
        <v>0.81499999999999995</v>
      </c>
    </row>
    <row r="30" spans="1:14" x14ac:dyDescent="0.25">
      <c r="A30" s="426" t="s">
        <v>496</v>
      </c>
      <c r="B30" s="704"/>
      <c r="C30" s="248" t="s">
        <v>499</v>
      </c>
      <c r="D30">
        <v>1</v>
      </c>
      <c r="E30" s="91">
        <f>AVERAGEIFS('SHG2 - NW'!E$2:E$344,'SHG2 - NW'!$A$2:$A$344,'SHG3'!$A30,'SHG2 - NW'!$B$2:$B$344,'SHG3'!$C30,'SHG2 - NW'!$C$2:$C$344,'SHG3'!$D30-1)</f>
        <v>26.633333333333336</v>
      </c>
      <c r="F30" s="91">
        <f>AVERAGEIFS('SHG2 - NW'!F$2:F$344,'SHG2 - NW'!$A$2:$A$344,'SHG3'!$A30,'SHG2 - NW'!$B$2:$B$344,'SHG3'!$C30,'SHG2 - NW'!$C$2:$C$344,'SHG3'!$D30-1)</f>
        <v>2.9924999999999997</v>
      </c>
      <c r="G30" s="92">
        <f>AVERAGEIFS('SHG2 - NW'!G$2:G$344,'SHG2 - NW'!$A$2:$A$344,'SHG3'!$A30,'SHG2 - NW'!$B$2:$B$344,'SHG3'!$C30,'SHG2 - NW'!$C$2:$C$344,'SHG3'!$D30-1)</f>
        <v>0.54500000000000004</v>
      </c>
    </row>
    <row r="31" spans="1:14" x14ac:dyDescent="0.25">
      <c r="A31" s="530" t="s">
        <v>496</v>
      </c>
      <c r="B31" s="807"/>
      <c r="C31" s="248" t="s">
        <v>499</v>
      </c>
      <c r="D31" s="60">
        <v>2</v>
      </c>
      <c r="E31" s="91">
        <f>AVERAGEIFS('SHG2 - NW'!E$2:E$344,'SHG2 - NW'!$A$2:$A$344,'SHG3'!$A31,'SHG2 - NW'!$B$2:$B$344,'SHG3'!$C31,'SHG2 - NW'!$C$2:$C$344,'SHG3'!$D31-1)</f>
        <v>30.035833333333329</v>
      </c>
      <c r="F31" s="91">
        <f>AVERAGEIFS('SHG2 - NW'!F$2:F$344,'SHG2 - NW'!$A$2:$A$344,'SHG3'!$A31,'SHG2 - NW'!$B$2:$B$344,'SHG3'!$C31,'SHG2 - NW'!$C$2:$C$344,'SHG3'!$D31-1)</f>
        <v>1.4691666666666665</v>
      </c>
      <c r="G31" s="92">
        <f>AVERAGEIFS('SHG2 - NW'!G$2:G$344,'SHG2 - NW'!$A$2:$A$344,'SHG3'!$A31,'SHG2 - NW'!$B$2:$B$344,'SHG3'!$C31,'SHG2 - NW'!$C$2:$C$344,'SHG3'!$D31-1)</f>
        <v>0.63416666666666666</v>
      </c>
    </row>
    <row r="32" spans="1:14" x14ac:dyDescent="0.25">
      <c r="A32" s="529" t="s">
        <v>495</v>
      </c>
      <c r="B32" s="718" t="s">
        <v>292</v>
      </c>
      <c r="C32" s="531" t="s">
        <v>502</v>
      </c>
      <c r="D32" s="164">
        <v>1</v>
      </c>
      <c r="E32" s="91">
        <f>AVERAGEIFS('SHG2 - NW'!E$2:E$344,'SHG2 - NW'!$A$2:$A$344,'SHG3'!$A32,'SHG2 - NW'!$B$2:$B$344,'SHG3'!$C32,'SHG2 - NW'!$C$2:$C$344,'SHG3'!$D32-1)</f>
        <v>9.9674999999999994</v>
      </c>
      <c r="F32" s="91">
        <f>AVERAGEIFS('SHG2 - NW'!F$2:F$344,'SHG2 - NW'!$A$2:$A$344,'SHG3'!$A32,'SHG2 - NW'!$B$2:$B$344,'SHG3'!$C32,'SHG2 - NW'!$C$2:$C$344,'SHG3'!$D32-1)</f>
        <v>8.94</v>
      </c>
      <c r="G32" s="92">
        <f>AVERAGEIFS('SHG2 - NW'!G$2:G$344,'SHG2 - NW'!$A$2:$A$344,'SHG3'!$A32,'SHG2 - NW'!$B$2:$B$344,'SHG3'!$C32,'SHG2 - NW'!$C$2:$C$344,'SHG3'!$D32-1)</f>
        <v>0.84416666666666662</v>
      </c>
    </row>
    <row r="33" spans="1:7" x14ac:dyDescent="0.25">
      <c r="A33" s="426" t="s">
        <v>495</v>
      </c>
      <c r="B33" s="704"/>
      <c r="C33" s="248" t="s">
        <v>502</v>
      </c>
      <c r="D33">
        <v>2</v>
      </c>
      <c r="E33" s="91">
        <f>AVERAGEIFS('SHG2 - NW'!E$2:E$344,'SHG2 - NW'!$A$2:$A$344,'SHG3'!$A33,'SHG2 - NW'!$B$2:$B$344,'SHG3'!$C33,'SHG2 - NW'!$C$2:$C$344,'SHG3'!$D33-1)</f>
        <v>11.125833333333333</v>
      </c>
      <c r="F33" s="91">
        <f>AVERAGEIFS('SHG2 - NW'!F$2:F$344,'SHG2 - NW'!$A$2:$A$344,'SHG3'!$A33,'SHG2 - NW'!$B$2:$B$344,'SHG3'!$C33,'SHG2 - NW'!$C$2:$C$344,'SHG3'!$D33-1)</f>
        <v>7.4149999999999991</v>
      </c>
      <c r="G33" s="92">
        <f>AVERAGEIFS('SHG2 - NW'!G$2:G$344,'SHG2 - NW'!$A$2:$A$344,'SHG3'!$A33,'SHG2 - NW'!$B$2:$B$344,'SHG3'!$C33,'SHG2 - NW'!$C$2:$C$344,'SHG3'!$D33-1)</f>
        <v>0.84250000000000014</v>
      </c>
    </row>
    <row r="34" spans="1:7" x14ac:dyDescent="0.25">
      <c r="A34" s="426" t="s">
        <v>495</v>
      </c>
      <c r="B34" s="704"/>
      <c r="C34" s="248" t="s">
        <v>500</v>
      </c>
      <c r="D34">
        <v>1</v>
      </c>
      <c r="E34" s="91">
        <f>AVERAGEIFS('SHG2 - NW'!E$2:E$344,'SHG2 - NW'!$A$2:$A$344,'SHG3'!$A34,'SHG2 - NW'!$B$2:$B$344,'SHG3'!$C34,'SHG2 - NW'!$C$2:$C$344,'SHG3'!$D34-1)</f>
        <v>6.9308333333333332</v>
      </c>
      <c r="F34" s="91">
        <f>AVERAGEIFS('SHG2 - NW'!F$2:F$344,'SHG2 - NW'!$A$2:$A$344,'SHG3'!$A34,'SHG2 - NW'!$B$2:$B$344,'SHG3'!$C34,'SHG2 - NW'!$C$2:$C$344,'SHG3'!$D34-1)</f>
        <v>15.405833333333332</v>
      </c>
      <c r="G34" s="92">
        <f>AVERAGEIFS('SHG2 - NW'!G$2:G$344,'SHG2 - NW'!$A$2:$A$344,'SHG3'!$A34,'SHG2 - NW'!$B$2:$B$344,'SHG3'!$C34,'SHG2 - NW'!$C$2:$C$344,'SHG3'!$D34-1)</f>
        <v>0.88166666666666671</v>
      </c>
    </row>
    <row r="35" spans="1:7" x14ac:dyDescent="0.25">
      <c r="A35" s="426" t="s">
        <v>495</v>
      </c>
      <c r="B35" s="704"/>
      <c r="C35" s="248" t="s">
        <v>500</v>
      </c>
      <c r="D35">
        <v>2</v>
      </c>
      <c r="E35" s="91">
        <f>AVERAGEIFS('SHG2 - NW'!E$2:E$344,'SHG2 - NW'!$A$2:$A$344,'SHG3'!$A35,'SHG2 - NW'!$B$2:$B$344,'SHG3'!$C35,'SHG2 - NW'!$C$2:$C$344,'SHG3'!$D35-1)</f>
        <v>13.907</v>
      </c>
      <c r="F35" s="91">
        <f>AVERAGEIFS('SHG2 - NW'!F$2:F$344,'SHG2 - NW'!$A$2:$A$344,'SHG3'!$A35,'SHG2 - NW'!$B$2:$B$344,'SHG3'!$C35,'SHG2 - NW'!$C$2:$C$344,'SHG3'!$D35-1)</f>
        <v>4.9809999999999999</v>
      </c>
      <c r="G35" s="92">
        <f>AVERAGEIFS('SHG2 - NW'!G$2:G$344,'SHG2 - NW'!$A$2:$A$344,'SHG3'!$A35,'SHG2 - NW'!$B$2:$B$344,'SHG3'!$C35,'SHG2 - NW'!$C$2:$C$344,'SHG3'!$D35-1)</f>
        <v>0.80399999999999994</v>
      </c>
    </row>
    <row r="36" spans="1:7" x14ac:dyDescent="0.25">
      <c r="A36" s="426" t="s">
        <v>495</v>
      </c>
      <c r="B36" s="704"/>
      <c r="C36" s="248" t="s">
        <v>503</v>
      </c>
      <c r="D36">
        <v>1</v>
      </c>
      <c r="E36" s="91">
        <f>AVERAGEIFS('SHG2 - NW'!E$2:E$344,'SHG2 - NW'!$A$2:$A$344,'SHG3'!$A36,'SHG2 - NW'!$B$2:$B$344,'SHG3'!$C36,'SHG2 - NW'!$C$2:$C$344,'SHG3'!$D36-1)</f>
        <v>6.3920000000000012</v>
      </c>
      <c r="F36" s="91">
        <f>AVERAGEIFS('SHG2 - NW'!F$2:F$344,'SHG2 - NW'!$A$2:$A$344,'SHG3'!$A36,'SHG2 - NW'!$B$2:$B$344,'SHG3'!$C36,'SHG2 - NW'!$C$2:$C$344,'SHG3'!$D36-1)</f>
        <v>15.603999999999999</v>
      </c>
      <c r="G36" s="92">
        <f>AVERAGEIFS('SHG2 - NW'!G$2:G$344,'SHG2 - NW'!$A$2:$A$344,'SHG3'!$A36,'SHG2 - NW'!$B$2:$B$344,'SHG3'!$C36,'SHG2 - NW'!$C$2:$C$344,'SHG3'!$D36-1)</f>
        <v>0.84600000000000009</v>
      </c>
    </row>
    <row r="37" spans="1:7" x14ac:dyDescent="0.25">
      <c r="A37" s="530" t="s">
        <v>495</v>
      </c>
      <c r="B37" s="807"/>
      <c r="C37" s="532" t="s">
        <v>503</v>
      </c>
      <c r="D37" s="60">
        <v>2</v>
      </c>
      <c r="E37" s="191">
        <f>AVERAGEIFS('SHG2 - NW'!E$2:E$344,'SHG2 - NW'!$A$2:$A$344,'SHG3'!$A37,'SHG2 - NW'!$B$2:$B$344,'SHG3'!$C37,'SHG2 - NW'!$C$2:$C$344,'SHG3'!$D37-1)</f>
        <v>7.7383333333333342</v>
      </c>
      <c r="F37" s="191">
        <f>AVERAGEIFS('SHG2 - NW'!F$2:F$344,'SHG2 - NW'!$A$2:$A$344,'SHG3'!$A37,'SHG2 - NW'!$B$2:$B$344,'SHG3'!$C37,'SHG2 - NW'!$C$2:$C$344,'SHG3'!$D37-1)</f>
        <v>13.635</v>
      </c>
      <c r="G37" s="185">
        <f>AVERAGEIFS('SHG2 - NW'!G$2:G$344,'SHG2 - NW'!$A$2:$A$344,'SHG3'!$A37,'SHG2 - NW'!$B$2:$B$344,'SHG3'!$C37,'SHG2 - NW'!$C$2:$C$344,'SHG3'!$D37-1)</f>
        <v>0.79666666666666675</v>
      </c>
    </row>
    <row r="38" spans="1:7" x14ac:dyDescent="0.25">
      <c r="A38" s="426" t="s">
        <v>559</v>
      </c>
      <c r="C38" s="248" t="s">
        <v>493</v>
      </c>
      <c r="D38">
        <v>1</v>
      </c>
      <c r="E38" s="191" t="e">
        <f>AVERAGEIFS('SHG2 - NW'!E$2:E$344,'SHG2 - NW'!$A$2:$A$344,'SHG3'!$A38,'SHG2 - NW'!$B$2:$B$344,'SHG3'!$C38,'SHG2 - NW'!$C$2:$C$344,'SHG3'!$D38-1)</f>
        <v>#DIV/0!</v>
      </c>
      <c r="F38" s="191" t="e">
        <f>AVERAGEIFS('SHG2 - NW'!F$2:F$344,'SHG2 - NW'!$A$2:$A$344,'SHG3'!$A38,'SHG2 - NW'!$B$2:$B$344,'SHG3'!$C38,'SHG2 - NW'!$C$2:$C$344,'SHG3'!$D38-1)</f>
        <v>#DIV/0!</v>
      </c>
      <c r="G38" s="185" t="e">
        <f>AVERAGEIFS('SHG2 - NW'!G$2:G$344,'SHG2 - NW'!$A$2:$A$344,'SHG3'!$A38,'SHG2 - NW'!$B$2:$B$344,'SHG3'!$C38,'SHG2 - NW'!$C$2:$C$344,'SHG3'!$D38-1)</f>
        <v>#DIV/0!</v>
      </c>
    </row>
    <row r="39" spans="1:7" x14ac:dyDescent="0.25">
      <c r="E39" s="191" t="e">
        <f>AVERAGEIFS('SHG2 - NW'!E$2:E$344,'SHG2 - NW'!$A$2:$A$344,'SHG3'!$A39,'SHG2 - NW'!$B$2:$B$344,'SHG3'!$C39,'SHG2 - NW'!$C$2:$C$344,'SHG3'!$D39-1)</f>
        <v>#DIV/0!</v>
      </c>
      <c r="F39" s="191" t="e">
        <f>AVERAGEIFS('SHG2 - NW'!F$2:F$344,'SHG2 - NW'!$A$2:$A$344,'SHG3'!$A39,'SHG2 - NW'!$B$2:$B$344,'SHG3'!$C39,'SHG2 - NW'!$C$2:$C$344,'SHG3'!$D39-1)</f>
        <v>#DIV/0!</v>
      </c>
      <c r="G39" s="185" t="e">
        <f>AVERAGEIFS('SHG2 - NW'!G$2:G$344,'SHG2 - NW'!$A$2:$A$344,'SHG3'!$A39,'SHG2 - NW'!$B$2:$B$344,'SHG3'!$C39,'SHG2 - NW'!$C$2:$C$344,'SHG3'!$D39-1)</f>
        <v>#DIV/0!</v>
      </c>
    </row>
    <row r="40" spans="1:7" x14ac:dyDescent="0.25">
      <c r="E40" s="191" t="e">
        <f>AVERAGEIFS('SHG2 - NW'!E$2:E$344,'SHG2 - NW'!$A$2:$A$344,'SHG3'!$A40,'SHG2 - NW'!$B$2:$B$344,'SHG3'!$C40,'SHG2 - NW'!$C$2:$C$344,'SHG3'!$D40-1)</f>
        <v>#DIV/0!</v>
      </c>
      <c r="F40" s="191" t="e">
        <f>AVERAGEIFS('SHG2 - NW'!F$2:F$344,'SHG2 - NW'!$A$2:$A$344,'SHG3'!$A40,'SHG2 - NW'!$B$2:$B$344,'SHG3'!$C40,'SHG2 - NW'!$C$2:$C$344,'SHG3'!$D40-1)</f>
        <v>#DIV/0!</v>
      </c>
      <c r="G40" s="185" t="e">
        <f>AVERAGEIFS('SHG2 - NW'!G$2:G$344,'SHG2 - NW'!$A$2:$A$344,'SHG3'!$A40,'SHG2 - NW'!$B$2:$B$344,'SHG3'!$C40,'SHG2 - NW'!$C$2:$C$344,'SHG3'!$D40-1)</f>
        <v>#DIV/0!</v>
      </c>
    </row>
    <row r="41" spans="1:7" x14ac:dyDescent="0.25">
      <c r="E41" s="191" t="e">
        <f>AVERAGEIFS('SHG2 - NW'!E$2:E$344,'SHG2 - NW'!$A$2:$A$344,'SHG3'!$A41,'SHG2 - NW'!$B$2:$B$344,'SHG3'!$C41,'SHG2 - NW'!$C$2:$C$344,'SHG3'!$D41-1)</f>
        <v>#DIV/0!</v>
      </c>
      <c r="F41" s="191" t="e">
        <f>AVERAGEIFS('SHG2 - NW'!F$2:F$344,'SHG2 - NW'!$A$2:$A$344,'SHG3'!$A41,'SHG2 - NW'!$B$2:$B$344,'SHG3'!$C41,'SHG2 - NW'!$C$2:$C$344,'SHG3'!$D41-1)</f>
        <v>#DIV/0!</v>
      </c>
      <c r="G41" s="185" t="e">
        <f>AVERAGEIFS('SHG2 - NW'!G$2:G$344,'SHG2 - NW'!$A$2:$A$344,'SHG3'!$A41,'SHG2 - NW'!$B$2:$B$344,'SHG3'!$C41,'SHG2 - NW'!$C$2:$C$344,'SHG3'!$D41-1)</f>
        <v>#DIV/0!</v>
      </c>
    </row>
    <row r="42" spans="1:7" x14ac:dyDescent="0.25">
      <c r="E42" s="191" t="e">
        <f>AVERAGEIFS('SHG2 - NW'!E$2:E$344,'SHG2 - NW'!$A$2:$A$344,'SHG3'!$A42,'SHG2 - NW'!$B$2:$B$344,'SHG3'!$C42,'SHG2 - NW'!$C$2:$C$344,'SHG3'!$D42-1)</f>
        <v>#DIV/0!</v>
      </c>
      <c r="F42" s="191" t="e">
        <f>AVERAGEIFS('SHG2 - NW'!F$2:F$344,'SHG2 - NW'!$A$2:$A$344,'SHG3'!$A42,'SHG2 - NW'!$B$2:$B$344,'SHG3'!$C42,'SHG2 - NW'!$C$2:$C$344,'SHG3'!$D42-1)</f>
        <v>#DIV/0!</v>
      </c>
      <c r="G42" s="185" t="e">
        <f>AVERAGEIFS('SHG2 - NW'!G$2:G$344,'SHG2 - NW'!$A$2:$A$344,'SHG3'!$A42,'SHG2 - NW'!$B$2:$B$344,'SHG3'!$C42,'SHG2 - NW'!$C$2:$C$344,'SHG3'!$D42-1)</f>
        <v>#DIV/0!</v>
      </c>
    </row>
    <row r="43" spans="1:7" x14ac:dyDescent="0.25">
      <c r="E43" s="191" t="e">
        <f>AVERAGEIFS('SHG2 - NW'!E$2:E$344,'SHG2 - NW'!$A$2:$A$344,'SHG3'!$A43,'SHG2 - NW'!$B$2:$B$344,'SHG3'!$C43,'SHG2 - NW'!$C$2:$C$344,'SHG3'!$D43-1)</f>
        <v>#DIV/0!</v>
      </c>
      <c r="F43" s="191" t="e">
        <f>AVERAGEIFS('SHG2 - NW'!F$2:F$344,'SHG2 - NW'!$A$2:$A$344,'SHG3'!$A43,'SHG2 - NW'!$B$2:$B$344,'SHG3'!$C43,'SHG2 - NW'!$C$2:$C$344,'SHG3'!$D43-1)</f>
        <v>#DIV/0!</v>
      </c>
      <c r="G43" s="185" t="e">
        <f>AVERAGEIFS('SHG2 - NW'!G$2:G$344,'SHG2 - NW'!$A$2:$A$344,'SHG3'!$A43,'SHG2 - NW'!$B$2:$B$344,'SHG3'!$C43,'SHG2 - NW'!$C$2:$C$344,'SHG3'!$D43-1)</f>
        <v>#DIV/0!</v>
      </c>
    </row>
    <row r="44" spans="1:7" x14ac:dyDescent="0.25">
      <c r="E44" s="191" t="e">
        <f>AVERAGEIFS('SHG2 - NW'!E$2:E$344,'SHG2 - NW'!$A$2:$A$344,'SHG3'!$A44,'SHG2 - NW'!$B$2:$B$344,'SHG3'!$C44,'SHG2 - NW'!$C$2:$C$344,'SHG3'!$D44-1)</f>
        <v>#DIV/0!</v>
      </c>
      <c r="F44" s="191" t="e">
        <f>AVERAGEIFS('SHG2 - NW'!F$2:F$344,'SHG2 - NW'!$A$2:$A$344,'SHG3'!$A44,'SHG2 - NW'!$B$2:$B$344,'SHG3'!$C44,'SHG2 - NW'!$C$2:$C$344,'SHG3'!$D44-1)</f>
        <v>#DIV/0!</v>
      </c>
      <c r="G44" s="185" t="e">
        <f>AVERAGEIFS('SHG2 - NW'!G$2:G$344,'SHG2 - NW'!$A$2:$A$344,'SHG3'!$A44,'SHG2 - NW'!$B$2:$B$344,'SHG3'!$C44,'SHG2 - NW'!$C$2:$C$344,'SHG3'!$D44-1)</f>
        <v>#DIV/0!</v>
      </c>
    </row>
    <row r="45" spans="1:7" x14ac:dyDescent="0.25">
      <c r="E45" s="191" t="e">
        <f>AVERAGEIFS('SHG2 - NW'!E$2:E$344,'SHG2 - NW'!$A$2:$A$344,'SHG3'!$A45,'SHG2 - NW'!$B$2:$B$344,'SHG3'!$C45,'SHG2 - NW'!$C$2:$C$344,'SHG3'!$D45-1)</f>
        <v>#DIV/0!</v>
      </c>
      <c r="F45" s="191" t="e">
        <f>AVERAGEIFS('SHG2 - NW'!F$2:F$344,'SHG2 - NW'!$A$2:$A$344,'SHG3'!$A45,'SHG2 - NW'!$B$2:$B$344,'SHG3'!$C45,'SHG2 - NW'!$C$2:$C$344,'SHG3'!$D45-1)</f>
        <v>#DIV/0!</v>
      </c>
      <c r="G45" s="185" t="e">
        <f>AVERAGEIFS('SHG2 - NW'!G$2:G$344,'SHG2 - NW'!$A$2:$A$344,'SHG3'!$A45,'SHG2 - NW'!$B$2:$B$344,'SHG3'!$C45,'SHG2 - NW'!$C$2:$C$344,'SHG3'!$D45-1)</f>
        <v>#DIV/0!</v>
      </c>
    </row>
    <row r="46" spans="1:7" x14ac:dyDescent="0.25">
      <c r="E46" s="191" t="e">
        <f>AVERAGEIFS('SHG2 - NW'!E$2:E$344,'SHG2 - NW'!$A$2:$A$344,'SHG3'!$A46,'SHG2 - NW'!$B$2:$B$344,'SHG3'!$C46,'SHG2 - NW'!$C$2:$C$344,'SHG3'!$D46-1)</f>
        <v>#DIV/0!</v>
      </c>
      <c r="F46" s="191" t="e">
        <f>AVERAGEIFS('SHG2 - NW'!F$2:F$344,'SHG2 - NW'!$A$2:$A$344,'SHG3'!$A46,'SHG2 - NW'!$B$2:$B$344,'SHG3'!$C46,'SHG2 - NW'!$C$2:$C$344,'SHG3'!$D46-1)</f>
        <v>#DIV/0!</v>
      </c>
      <c r="G46" s="185" t="e">
        <f>AVERAGEIFS('SHG2 - NW'!G$2:G$344,'SHG2 - NW'!$A$2:$A$344,'SHG3'!$A46,'SHG2 - NW'!$B$2:$B$344,'SHG3'!$C46,'SHG2 - NW'!$C$2:$C$344,'SHG3'!$D46-1)</f>
        <v>#DIV/0!</v>
      </c>
    </row>
    <row r="47" spans="1:7" x14ac:dyDescent="0.25">
      <c r="E47" s="191" t="e">
        <f>AVERAGEIFS('SHG2 - NW'!E$2:E$344,'SHG2 - NW'!$A$2:$A$344,'SHG3'!$A47,'SHG2 - NW'!$B$2:$B$344,'SHG3'!$C47,'SHG2 - NW'!$C$2:$C$344,'SHG3'!$D47-1)</f>
        <v>#DIV/0!</v>
      </c>
      <c r="F47" s="191" t="e">
        <f>AVERAGEIFS('SHG2 - NW'!F$2:F$344,'SHG2 - NW'!$A$2:$A$344,'SHG3'!$A47,'SHG2 - NW'!$B$2:$B$344,'SHG3'!$C47,'SHG2 - NW'!$C$2:$C$344,'SHG3'!$D47-1)</f>
        <v>#DIV/0!</v>
      </c>
      <c r="G47" s="185" t="e">
        <f>AVERAGEIFS('SHG2 - NW'!G$2:G$344,'SHG2 - NW'!$A$2:$A$344,'SHG3'!$A47,'SHG2 - NW'!$B$2:$B$344,'SHG3'!$C47,'SHG2 - NW'!$C$2:$C$344,'SHG3'!$D47-1)</f>
        <v>#DIV/0!</v>
      </c>
    </row>
    <row r="48" spans="1:7" x14ac:dyDescent="0.25">
      <c r="E48" s="191" t="e">
        <f>AVERAGEIFS('SHG2 - NW'!E$2:E$344,'SHG2 - NW'!$A$2:$A$344,'SHG3'!$A48,'SHG2 - NW'!$B$2:$B$344,'SHG3'!$C48,'SHG2 - NW'!$C$2:$C$344,'SHG3'!$D48-1)</f>
        <v>#DIV/0!</v>
      </c>
      <c r="F48" s="191" t="e">
        <f>AVERAGEIFS('SHG2 - NW'!F$2:F$344,'SHG2 - NW'!$A$2:$A$344,'SHG3'!$A48,'SHG2 - NW'!$B$2:$B$344,'SHG3'!$C48,'SHG2 - NW'!$C$2:$C$344,'SHG3'!$D48-1)</f>
        <v>#DIV/0!</v>
      </c>
      <c r="G48" s="185" t="e">
        <f>AVERAGEIFS('SHG2 - NW'!G$2:G$344,'SHG2 - NW'!$A$2:$A$344,'SHG3'!$A48,'SHG2 - NW'!$B$2:$B$344,'SHG3'!$C48,'SHG2 - NW'!$C$2:$C$344,'SHG3'!$D48-1)</f>
        <v>#DIV/0!</v>
      </c>
    </row>
    <row r="49" spans="5:7" x14ac:dyDescent="0.25">
      <c r="E49" s="191" t="e">
        <f>AVERAGEIFS('SHG2 - NW'!E$2:E$344,'SHG2 - NW'!$A$2:$A$344,'SHG3'!$A49,'SHG2 - NW'!$B$2:$B$344,'SHG3'!$C49,'SHG2 - NW'!$C$2:$C$344,'SHG3'!$D49-1)</f>
        <v>#DIV/0!</v>
      </c>
      <c r="F49" s="191" t="e">
        <f>AVERAGEIFS('SHG2 - NW'!F$2:F$344,'SHG2 - NW'!$A$2:$A$344,'SHG3'!$A49,'SHG2 - NW'!$B$2:$B$344,'SHG3'!$C49,'SHG2 - NW'!$C$2:$C$344,'SHG3'!$D49-1)</f>
        <v>#DIV/0!</v>
      </c>
      <c r="G49" s="185" t="e">
        <f>AVERAGEIFS('SHG2 - NW'!G$2:G$344,'SHG2 - NW'!$A$2:$A$344,'SHG3'!$A49,'SHG2 - NW'!$B$2:$B$344,'SHG3'!$C49,'SHG2 - NW'!$C$2:$C$344,'SHG3'!$D49-1)</f>
        <v>#DIV/0!</v>
      </c>
    </row>
    <row r="50" spans="5:7" x14ac:dyDescent="0.25">
      <c r="E50" s="191" t="e">
        <f>AVERAGEIFS('SHG2 - NW'!E$2:E$344,'SHG2 - NW'!$A$2:$A$344,'SHG3'!$A50,'SHG2 - NW'!$B$2:$B$344,'SHG3'!$C50,'SHG2 - NW'!$C$2:$C$344,'SHG3'!$D50-1)</f>
        <v>#DIV/0!</v>
      </c>
      <c r="F50" s="191" t="e">
        <f>AVERAGEIFS('SHG2 - NW'!F$2:F$344,'SHG2 - NW'!$A$2:$A$344,'SHG3'!$A50,'SHG2 - NW'!$B$2:$B$344,'SHG3'!$C50,'SHG2 - NW'!$C$2:$C$344,'SHG3'!$D50-1)</f>
        <v>#DIV/0!</v>
      </c>
      <c r="G50" s="185" t="e">
        <f>AVERAGEIFS('SHG2 - NW'!G$2:G$344,'SHG2 - NW'!$A$2:$A$344,'SHG3'!$A50,'SHG2 - NW'!$B$2:$B$344,'SHG3'!$C50,'SHG2 - NW'!$C$2:$C$344,'SHG3'!$D50-1)</f>
        <v>#DIV/0!</v>
      </c>
    </row>
    <row r="51" spans="5:7" x14ac:dyDescent="0.25">
      <c r="E51" s="191" t="e">
        <f>AVERAGEIFS('SHG2 - NW'!E$2:E$344,'SHG2 - NW'!$A$2:$A$344,'SHG3'!$A51,'SHG2 - NW'!$B$2:$B$344,'SHG3'!$C51,'SHG2 - NW'!$C$2:$C$344,'SHG3'!$D51-1)</f>
        <v>#DIV/0!</v>
      </c>
      <c r="F51" s="191" t="e">
        <f>AVERAGEIFS('SHG2 - NW'!F$2:F$344,'SHG2 - NW'!$A$2:$A$344,'SHG3'!$A51,'SHG2 - NW'!$B$2:$B$344,'SHG3'!$C51,'SHG2 - NW'!$C$2:$C$344,'SHG3'!$D51-1)</f>
        <v>#DIV/0!</v>
      </c>
      <c r="G51" s="185" t="e">
        <f>AVERAGEIFS('SHG2 - NW'!G$2:G$344,'SHG2 - NW'!$A$2:$A$344,'SHG3'!$A51,'SHG2 - NW'!$B$2:$B$344,'SHG3'!$C51,'SHG2 - NW'!$C$2:$C$344,'SHG3'!$D51-1)</f>
        <v>#DIV/0!</v>
      </c>
    </row>
    <row r="52" spans="5:7" x14ac:dyDescent="0.25">
      <c r="E52" s="191" t="e">
        <f>AVERAGEIFS('SHG2 - NW'!E$2:E$344,'SHG2 - NW'!$A$2:$A$344,'SHG3'!$A52,'SHG2 - NW'!$B$2:$B$344,'SHG3'!$C52,'SHG2 - NW'!$C$2:$C$344,'SHG3'!$D52-1)</f>
        <v>#DIV/0!</v>
      </c>
      <c r="F52" s="191" t="e">
        <f>AVERAGEIFS('SHG2 - NW'!F$2:F$344,'SHG2 - NW'!$A$2:$A$344,'SHG3'!$A52,'SHG2 - NW'!$B$2:$B$344,'SHG3'!$C52,'SHG2 - NW'!$C$2:$C$344,'SHG3'!$D52-1)</f>
        <v>#DIV/0!</v>
      </c>
      <c r="G52" s="185" t="e">
        <f>AVERAGEIFS('SHG2 - NW'!G$2:G$344,'SHG2 - NW'!$A$2:$A$344,'SHG3'!$A52,'SHG2 - NW'!$B$2:$B$344,'SHG3'!$C52,'SHG2 - NW'!$C$2:$C$344,'SHG3'!$D52-1)</f>
        <v>#DIV/0!</v>
      </c>
    </row>
    <row r="53" spans="5:7" x14ac:dyDescent="0.25">
      <c r="E53" s="191" t="e">
        <f>AVERAGEIFS('SHG2 - NW'!E$2:E$344,'SHG2 - NW'!$A$2:$A$344,'SHG3'!$A53,'SHG2 - NW'!$B$2:$B$344,'SHG3'!$C53,'SHG2 - NW'!$C$2:$C$344,'SHG3'!$D53-1)</f>
        <v>#DIV/0!</v>
      </c>
      <c r="F53" s="191" t="e">
        <f>AVERAGEIFS('SHG2 - NW'!F$2:F$344,'SHG2 - NW'!$A$2:$A$344,'SHG3'!$A53,'SHG2 - NW'!$B$2:$B$344,'SHG3'!$C53,'SHG2 - NW'!$C$2:$C$344,'SHG3'!$D53-1)</f>
        <v>#DIV/0!</v>
      </c>
      <c r="G53" s="185" t="e">
        <f>AVERAGEIFS('SHG2 - NW'!G$2:G$344,'SHG2 - NW'!$A$2:$A$344,'SHG3'!$A53,'SHG2 - NW'!$B$2:$B$344,'SHG3'!$C53,'SHG2 - NW'!$C$2:$C$344,'SHG3'!$D53-1)</f>
        <v>#DIV/0!</v>
      </c>
    </row>
    <row r="54" spans="5:7" x14ac:dyDescent="0.25">
      <c r="E54" s="191" t="e">
        <f>AVERAGEIFS('SHG2 - NW'!E$2:E$344,'SHG2 - NW'!$A$2:$A$344,'SHG3'!$A54,'SHG2 - NW'!$B$2:$B$344,'SHG3'!$C54,'SHG2 - NW'!$C$2:$C$344,'SHG3'!$D54-1)</f>
        <v>#DIV/0!</v>
      </c>
      <c r="F54" s="191" t="e">
        <f>AVERAGEIFS('SHG2 - NW'!F$2:F$344,'SHG2 - NW'!$A$2:$A$344,'SHG3'!$A54,'SHG2 - NW'!$B$2:$B$344,'SHG3'!$C54,'SHG2 - NW'!$C$2:$C$344,'SHG3'!$D54-1)</f>
        <v>#DIV/0!</v>
      </c>
      <c r="G54" s="185" t="e">
        <f>AVERAGEIFS('SHG2 - NW'!G$2:G$344,'SHG2 - NW'!$A$2:$A$344,'SHG3'!$A54,'SHG2 - NW'!$B$2:$B$344,'SHG3'!$C54,'SHG2 - NW'!$C$2:$C$344,'SHG3'!$D54-1)</f>
        <v>#DIV/0!</v>
      </c>
    </row>
    <row r="55" spans="5:7" x14ac:dyDescent="0.25">
      <c r="E55" s="191" t="e">
        <f>AVERAGEIFS('SHG2 - NW'!E$2:E$344,'SHG2 - NW'!$A$2:$A$344,'SHG3'!$A55,'SHG2 - NW'!$B$2:$B$344,'SHG3'!$C55,'SHG2 - NW'!$C$2:$C$344,'SHG3'!$D55-1)</f>
        <v>#DIV/0!</v>
      </c>
      <c r="F55" s="191" t="e">
        <f>AVERAGEIFS('SHG2 - NW'!F$2:F$344,'SHG2 - NW'!$A$2:$A$344,'SHG3'!$A55,'SHG2 - NW'!$B$2:$B$344,'SHG3'!$C55,'SHG2 - NW'!$C$2:$C$344,'SHG3'!$D55-1)</f>
        <v>#DIV/0!</v>
      </c>
      <c r="G55" s="185" t="e">
        <f>AVERAGEIFS('SHG2 - NW'!G$2:G$344,'SHG2 - NW'!$A$2:$A$344,'SHG3'!$A55,'SHG2 - NW'!$B$2:$B$344,'SHG3'!$C55,'SHG2 - NW'!$C$2:$C$344,'SHG3'!$D55-1)</f>
        <v>#DIV/0!</v>
      </c>
    </row>
    <row r="56" spans="5:7" x14ac:dyDescent="0.25">
      <c r="E56" s="191" t="e">
        <f>AVERAGEIFS('SHG2 - NW'!E$2:E$344,'SHG2 - NW'!$A$2:$A$344,'SHG3'!$A56,'SHG2 - NW'!$B$2:$B$344,'SHG3'!$C56,'SHG2 - NW'!$C$2:$C$344,'SHG3'!$D56-1)</f>
        <v>#DIV/0!</v>
      </c>
      <c r="F56" s="191" t="e">
        <f>AVERAGEIFS('SHG2 - NW'!F$2:F$344,'SHG2 - NW'!$A$2:$A$344,'SHG3'!$A56,'SHG2 - NW'!$B$2:$B$344,'SHG3'!$C56,'SHG2 - NW'!$C$2:$C$344,'SHG3'!$D56-1)</f>
        <v>#DIV/0!</v>
      </c>
      <c r="G56" s="185" t="e">
        <f>AVERAGEIFS('SHG2 - NW'!G$2:G$344,'SHG2 - NW'!$A$2:$A$344,'SHG3'!$A56,'SHG2 - NW'!$B$2:$B$344,'SHG3'!$C56,'SHG2 - NW'!$C$2:$C$344,'SHG3'!$D56-1)</f>
        <v>#DIV/0!</v>
      </c>
    </row>
    <row r="57" spans="5:7" x14ac:dyDescent="0.25">
      <c r="E57" s="191" t="e">
        <f>AVERAGEIFS('SHG2 - NW'!E$2:E$344,'SHG2 - NW'!$A$2:$A$344,'SHG3'!$A57,'SHG2 - NW'!$B$2:$B$344,'SHG3'!$C57,'SHG2 - NW'!$C$2:$C$344,'SHG3'!$D57-1)</f>
        <v>#DIV/0!</v>
      </c>
      <c r="F57" s="191" t="e">
        <f>AVERAGEIFS('SHG2 - NW'!F$2:F$344,'SHG2 - NW'!$A$2:$A$344,'SHG3'!$A57,'SHG2 - NW'!$B$2:$B$344,'SHG3'!$C57,'SHG2 - NW'!$C$2:$C$344,'SHG3'!$D57-1)</f>
        <v>#DIV/0!</v>
      </c>
      <c r="G57" s="185" t="e">
        <f>AVERAGEIFS('SHG2 - NW'!G$2:G$344,'SHG2 - NW'!$A$2:$A$344,'SHG3'!$A57,'SHG2 - NW'!$B$2:$B$344,'SHG3'!$C57,'SHG2 - NW'!$C$2:$C$344,'SHG3'!$D57-1)</f>
        <v>#DIV/0!</v>
      </c>
    </row>
    <row r="58" spans="5:7" x14ac:dyDescent="0.25">
      <c r="E58" s="191" t="e">
        <f>AVERAGEIFS('SHG2 - NW'!E$2:E$344,'SHG2 - NW'!$A$2:$A$344,'SHG3'!$A58,'SHG2 - NW'!$B$2:$B$344,'SHG3'!$C58,'SHG2 - NW'!$C$2:$C$344,'SHG3'!$D58-1)</f>
        <v>#DIV/0!</v>
      </c>
      <c r="F58" s="191" t="e">
        <f>AVERAGEIFS('SHG2 - NW'!F$2:F$344,'SHG2 - NW'!$A$2:$A$344,'SHG3'!$A58,'SHG2 - NW'!$B$2:$B$344,'SHG3'!$C58,'SHG2 - NW'!$C$2:$C$344,'SHG3'!$D58-1)</f>
        <v>#DIV/0!</v>
      </c>
      <c r="G58" s="185" t="e">
        <f>AVERAGEIFS('SHG2 - NW'!G$2:G$344,'SHG2 - NW'!$A$2:$A$344,'SHG3'!$A58,'SHG2 - NW'!$B$2:$B$344,'SHG3'!$C58,'SHG2 - NW'!$C$2:$C$344,'SHG3'!$D58-1)</f>
        <v>#DIV/0!</v>
      </c>
    </row>
    <row r="59" spans="5:7" x14ac:dyDescent="0.25">
      <c r="E59" s="191" t="e">
        <f>AVERAGEIFS('SHG2 - NW'!E$2:E$344,'SHG2 - NW'!$A$2:$A$344,'SHG3'!$A59,'SHG2 - NW'!$B$2:$B$344,'SHG3'!$C59,'SHG2 - NW'!$C$2:$C$344,'SHG3'!$D59-1)</f>
        <v>#DIV/0!</v>
      </c>
      <c r="F59" s="191" t="e">
        <f>AVERAGEIFS('SHG2 - NW'!F$2:F$344,'SHG2 - NW'!$A$2:$A$344,'SHG3'!$A59,'SHG2 - NW'!$B$2:$B$344,'SHG3'!$C59,'SHG2 - NW'!$C$2:$C$344,'SHG3'!$D59-1)</f>
        <v>#DIV/0!</v>
      </c>
      <c r="G59" s="185" t="e">
        <f>AVERAGEIFS('SHG2 - NW'!G$2:G$344,'SHG2 - NW'!$A$2:$A$344,'SHG3'!$A59,'SHG2 - NW'!$B$2:$B$344,'SHG3'!$C59,'SHG2 - NW'!$C$2:$C$344,'SHG3'!$D59-1)</f>
        <v>#DIV/0!</v>
      </c>
    </row>
    <row r="60" spans="5:7" x14ac:dyDescent="0.25">
      <c r="E60" s="191" t="e">
        <f>AVERAGEIFS('SHG2 - NW'!E$2:E$344,'SHG2 - NW'!$A$2:$A$344,'SHG3'!$A60,'SHG2 - NW'!$B$2:$B$344,'SHG3'!$C60,'SHG2 - NW'!$C$2:$C$344,'SHG3'!$D60-1)</f>
        <v>#DIV/0!</v>
      </c>
      <c r="F60" s="191" t="e">
        <f>AVERAGEIFS('SHG2 - NW'!F$2:F$344,'SHG2 - NW'!$A$2:$A$344,'SHG3'!$A60,'SHG2 - NW'!$B$2:$B$344,'SHG3'!$C60,'SHG2 - NW'!$C$2:$C$344,'SHG3'!$D60-1)</f>
        <v>#DIV/0!</v>
      </c>
      <c r="G60" s="185" t="e">
        <f>AVERAGEIFS('SHG2 - NW'!G$2:G$344,'SHG2 - NW'!$A$2:$A$344,'SHG3'!$A60,'SHG2 - NW'!$B$2:$B$344,'SHG3'!$C60,'SHG2 - NW'!$C$2:$C$344,'SHG3'!$D60-1)</f>
        <v>#DIV/0!</v>
      </c>
    </row>
    <row r="61" spans="5:7" x14ac:dyDescent="0.25">
      <c r="E61" s="191" t="e">
        <f>AVERAGEIFS('SHG2 - NW'!E$2:E$344,'SHG2 - NW'!$A$2:$A$344,'SHG3'!$A61,'SHG2 - NW'!$B$2:$B$344,'SHG3'!$C61,'SHG2 - NW'!$C$2:$C$344,'SHG3'!$D61-1)</f>
        <v>#DIV/0!</v>
      </c>
      <c r="F61" s="191" t="e">
        <f>AVERAGEIFS('SHG2 - NW'!F$2:F$344,'SHG2 - NW'!$A$2:$A$344,'SHG3'!$A61,'SHG2 - NW'!$B$2:$B$344,'SHG3'!$C61,'SHG2 - NW'!$C$2:$C$344,'SHG3'!$D61-1)</f>
        <v>#DIV/0!</v>
      </c>
      <c r="G61" s="185" t="e">
        <f>AVERAGEIFS('SHG2 - NW'!G$2:G$344,'SHG2 - NW'!$A$2:$A$344,'SHG3'!$A61,'SHG2 - NW'!$B$2:$B$344,'SHG3'!$C61,'SHG2 - NW'!$C$2:$C$344,'SHG3'!$D61-1)</f>
        <v>#DIV/0!</v>
      </c>
    </row>
    <row r="62" spans="5:7" x14ac:dyDescent="0.25">
      <c r="E62" s="191" t="e">
        <f>AVERAGEIFS('SHG2 - NW'!E$2:E$344,'SHG2 - NW'!$A$2:$A$344,'SHG3'!$A62,'SHG2 - NW'!$B$2:$B$344,'SHG3'!$C62,'SHG2 - NW'!$C$2:$C$344,'SHG3'!$D62-1)</f>
        <v>#DIV/0!</v>
      </c>
      <c r="F62" s="191" t="e">
        <f>AVERAGEIFS('SHG2 - NW'!F$2:F$344,'SHG2 - NW'!$A$2:$A$344,'SHG3'!$A62,'SHG2 - NW'!$B$2:$B$344,'SHG3'!$C62,'SHG2 - NW'!$C$2:$C$344,'SHG3'!$D62-1)</f>
        <v>#DIV/0!</v>
      </c>
      <c r="G62" s="185" t="e">
        <f>AVERAGEIFS('SHG2 - NW'!G$2:G$344,'SHG2 - NW'!$A$2:$A$344,'SHG3'!$A62,'SHG2 - NW'!$B$2:$B$344,'SHG3'!$C62,'SHG2 - NW'!$C$2:$C$344,'SHG3'!$D62-1)</f>
        <v>#DIV/0!</v>
      </c>
    </row>
    <row r="63" spans="5:7" x14ac:dyDescent="0.25">
      <c r="E63" s="191" t="e">
        <f>AVERAGEIFS('SHG2 - NW'!E$2:E$344,'SHG2 - NW'!$A$2:$A$344,'SHG3'!$A63,'SHG2 - NW'!$B$2:$B$344,'SHG3'!$C63,'SHG2 - NW'!$C$2:$C$344,'SHG3'!$D63-1)</f>
        <v>#DIV/0!</v>
      </c>
      <c r="F63" s="191" t="e">
        <f>AVERAGEIFS('SHG2 - NW'!F$2:F$344,'SHG2 - NW'!$A$2:$A$344,'SHG3'!$A63,'SHG2 - NW'!$B$2:$B$344,'SHG3'!$C63,'SHG2 - NW'!$C$2:$C$344,'SHG3'!$D63-1)</f>
        <v>#DIV/0!</v>
      </c>
      <c r="G63" s="185" t="e">
        <f>AVERAGEIFS('SHG2 - NW'!G$2:G$344,'SHG2 - NW'!$A$2:$A$344,'SHG3'!$A63,'SHG2 - NW'!$B$2:$B$344,'SHG3'!$C63,'SHG2 - NW'!$C$2:$C$344,'SHG3'!$D63-1)</f>
        <v>#DIV/0!</v>
      </c>
    </row>
  </sheetData>
  <mergeCells count="4">
    <mergeCell ref="B2:B9"/>
    <mergeCell ref="B10:B22"/>
    <mergeCell ref="B23:B31"/>
    <mergeCell ref="B32:B37"/>
  </mergeCells>
  <conditionalFormatting sqref="K12:M15">
    <cfRule type="cellIs" dxfId="15" priority="1" operator="lessThan">
      <formula>0.025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99F3-A8DF-4B98-85BE-4B6C52E69992}">
  <dimension ref="A1:G713"/>
  <sheetViews>
    <sheetView topLeftCell="A444" workbookViewId="0">
      <selection activeCell="A469" sqref="A469:XFD469"/>
    </sheetView>
  </sheetViews>
  <sheetFormatPr defaultRowHeight="15" x14ac:dyDescent="0.25"/>
  <cols>
    <col min="4" max="4" width="22.28515625" bestFit="1" customWidth="1"/>
    <col min="5" max="5" width="23.42578125" bestFit="1" customWidth="1"/>
    <col min="6" max="6" width="15.85546875" bestFit="1" customWidth="1"/>
    <col min="7" max="7" width="20" bestFit="1" customWidth="1"/>
  </cols>
  <sheetData>
    <row r="1" spans="1:7" x14ac:dyDescent="0.25">
      <c r="A1" t="s">
        <v>53</v>
      </c>
      <c r="B1" t="s">
        <v>54</v>
      </c>
      <c r="C1" t="s">
        <v>487</v>
      </c>
      <c r="D1" t="s">
        <v>506</v>
      </c>
      <c r="E1" t="s">
        <v>507</v>
      </c>
      <c r="F1" t="s">
        <v>508</v>
      </c>
      <c r="G1" t="s">
        <v>509</v>
      </c>
    </row>
    <row r="2" spans="1:7" x14ac:dyDescent="0.25">
      <c r="A2" t="s">
        <v>494</v>
      </c>
      <c r="B2" t="s">
        <v>497</v>
      </c>
      <c r="C2">
        <v>0</v>
      </c>
      <c r="D2">
        <v>95.55</v>
      </c>
      <c r="E2">
        <v>14.43</v>
      </c>
      <c r="F2">
        <v>4.54</v>
      </c>
      <c r="G2">
        <v>0.81</v>
      </c>
    </row>
    <row r="3" spans="1:7" x14ac:dyDescent="0.25">
      <c r="A3" t="s">
        <v>494</v>
      </c>
      <c r="B3" t="s">
        <v>497</v>
      </c>
      <c r="C3">
        <v>0</v>
      </c>
      <c r="D3">
        <v>94.98</v>
      </c>
      <c r="E3">
        <v>12.88</v>
      </c>
      <c r="F3">
        <v>5.62</v>
      </c>
      <c r="G3">
        <v>0.84</v>
      </c>
    </row>
    <row r="4" spans="1:7" x14ac:dyDescent="0.25">
      <c r="A4" t="s">
        <v>494</v>
      </c>
      <c r="B4" t="s">
        <v>497</v>
      </c>
      <c r="C4">
        <v>0</v>
      </c>
      <c r="D4">
        <v>96.02</v>
      </c>
      <c r="E4">
        <v>12.2</v>
      </c>
      <c r="F4">
        <v>6.21</v>
      </c>
      <c r="G4">
        <v>0.82</v>
      </c>
    </row>
    <row r="5" spans="1:7" x14ac:dyDescent="0.25">
      <c r="A5" t="s">
        <v>494</v>
      </c>
      <c r="B5" t="s">
        <v>497</v>
      </c>
      <c r="C5">
        <v>0</v>
      </c>
      <c r="D5">
        <v>95.81</v>
      </c>
      <c r="E5">
        <v>12.06</v>
      </c>
      <c r="F5">
        <v>6.35</v>
      </c>
      <c r="G5">
        <v>0.84</v>
      </c>
    </row>
    <row r="6" spans="1:7" x14ac:dyDescent="0.25">
      <c r="A6" t="s">
        <v>494</v>
      </c>
      <c r="B6" t="s">
        <v>497</v>
      </c>
      <c r="C6">
        <v>0</v>
      </c>
      <c r="D6">
        <v>95.7</v>
      </c>
      <c r="E6">
        <v>10.98</v>
      </c>
      <c r="F6">
        <v>7.48</v>
      </c>
      <c r="G6">
        <v>0.75</v>
      </c>
    </row>
    <row r="7" spans="1:7" x14ac:dyDescent="0.25">
      <c r="A7" t="s">
        <v>494</v>
      </c>
      <c r="B7" t="s">
        <v>497</v>
      </c>
      <c r="C7">
        <v>0</v>
      </c>
      <c r="D7">
        <v>95.5</v>
      </c>
      <c r="E7">
        <v>9.83</v>
      </c>
      <c r="F7">
        <v>8.8800000000000008</v>
      </c>
      <c r="G7">
        <v>0.73</v>
      </c>
    </row>
    <row r="8" spans="1:7" x14ac:dyDescent="0.25">
      <c r="A8" t="s">
        <v>494</v>
      </c>
      <c r="B8" t="s">
        <v>497</v>
      </c>
      <c r="C8">
        <v>0</v>
      </c>
      <c r="D8">
        <v>95.54</v>
      </c>
      <c r="E8">
        <v>6.4</v>
      </c>
      <c r="F8">
        <v>14.43</v>
      </c>
      <c r="G8">
        <v>0.79</v>
      </c>
    </row>
    <row r="9" spans="1:7" x14ac:dyDescent="0.25">
      <c r="A9" t="s">
        <v>494</v>
      </c>
      <c r="B9" t="s">
        <v>497</v>
      </c>
      <c r="C9">
        <v>0</v>
      </c>
      <c r="D9">
        <v>95.37</v>
      </c>
      <c r="E9">
        <v>4.3</v>
      </c>
      <c r="F9">
        <v>19.61</v>
      </c>
      <c r="G9">
        <v>0.82</v>
      </c>
    </row>
    <row r="10" spans="1:7" x14ac:dyDescent="0.25">
      <c r="A10" t="s">
        <v>494</v>
      </c>
      <c r="B10" t="s">
        <v>497</v>
      </c>
      <c r="C10">
        <v>0</v>
      </c>
      <c r="D10">
        <v>94.88</v>
      </c>
      <c r="E10">
        <v>1.97</v>
      </c>
      <c r="F10">
        <v>29.73</v>
      </c>
      <c r="G10">
        <v>0.84</v>
      </c>
    </row>
    <row r="11" spans="1:7" x14ac:dyDescent="0.25">
      <c r="A11" t="s">
        <v>494</v>
      </c>
      <c r="B11" t="s">
        <v>497</v>
      </c>
      <c r="C11">
        <v>0</v>
      </c>
      <c r="D11">
        <v>93.85</v>
      </c>
      <c r="E11">
        <v>2.38</v>
      </c>
      <c r="F11">
        <v>27.27</v>
      </c>
      <c r="G11">
        <v>0.84</v>
      </c>
    </row>
    <row r="12" spans="1:7" x14ac:dyDescent="0.25">
      <c r="A12" t="s">
        <v>494</v>
      </c>
      <c r="B12" t="s">
        <v>497</v>
      </c>
      <c r="C12">
        <v>0</v>
      </c>
      <c r="D12">
        <v>93.31</v>
      </c>
      <c r="E12">
        <v>1.73</v>
      </c>
      <c r="F12">
        <v>31.47</v>
      </c>
      <c r="G12">
        <v>0.88</v>
      </c>
    </row>
    <row r="13" spans="1:7" x14ac:dyDescent="0.25">
      <c r="A13" t="s">
        <v>494</v>
      </c>
      <c r="B13" t="s">
        <v>497</v>
      </c>
      <c r="C13">
        <v>0</v>
      </c>
      <c r="D13">
        <v>93.25</v>
      </c>
      <c r="E13">
        <v>4.12</v>
      </c>
      <c r="F13">
        <v>20.170000000000002</v>
      </c>
      <c r="G13">
        <v>0.84</v>
      </c>
    </row>
    <row r="14" spans="1:7" x14ac:dyDescent="0.25">
      <c r="A14" t="s">
        <v>494</v>
      </c>
      <c r="B14" t="s">
        <v>497</v>
      </c>
      <c r="C14">
        <v>0</v>
      </c>
      <c r="D14">
        <v>93.27</v>
      </c>
      <c r="E14">
        <v>4.84</v>
      </c>
      <c r="F14">
        <v>18.059999999999999</v>
      </c>
      <c r="G14">
        <v>0.8</v>
      </c>
    </row>
    <row r="15" spans="1:7" x14ac:dyDescent="0.25">
      <c r="A15" t="s">
        <v>494</v>
      </c>
      <c r="B15" t="s">
        <v>497</v>
      </c>
      <c r="C15">
        <v>0</v>
      </c>
      <c r="D15">
        <v>92.77</v>
      </c>
      <c r="E15">
        <v>4.5599999999999996</v>
      </c>
      <c r="F15">
        <v>18.86</v>
      </c>
      <c r="G15">
        <v>0.8</v>
      </c>
    </row>
    <row r="16" spans="1:7" x14ac:dyDescent="0.25">
      <c r="A16" t="s">
        <v>494</v>
      </c>
      <c r="B16" t="s">
        <v>497</v>
      </c>
      <c r="C16">
        <v>0</v>
      </c>
      <c r="D16">
        <v>92.87</v>
      </c>
      <c r="E16">
        <v>5.42</v>
      </c>
      <c r="F16">
        <v>16.579999999999998</v>
      </c>
      <c r="G16">
        <v>0.78</v>
      </c>
    </row>
    <row r="17" spans="1:7" x14ac:dyDescent="0.25">
      <c r="A17" t="s">
        <v>494</v>
      </c>
      <c r="B17" t="s">
        <v>497</v>
      </c>
      <c r="C17">
        <v>0</v>
      </c>
      <c r="D17">
        <v>92.61</v>
      </c>
      <c r="E17">
        <v>7.21</v>
      </c>
      <c r="F17">
        <v>12.89</v>
      </c>
      <c r="G17">
        <v>0.78</v>
      </c>
    </row>
    <row r="18" spans="1:7" x14ac:dyDescent="0.25">
      <c r="A18" t="s">
        <v>494</v>
      </c>
      <c r="B18" t="s">
        <v>497</v>
      </c>
      <c r="C18">
        <v>1</v>
      </c>
      <c r="D18">
        <v>97.51</v>
      </c>
      <c r="E18">
        <v>11.19</v>
      </c>
      <c r="F18">
        <v>7.25</v>
      </c>
      <c r="G18">
        <v>0.83</v>
      </c>
    </row>
    <row r="19" spans="1:7" x14ac:dyDescent="0.25">
      <c r="A19" t="s">
        <v>494</v>
      </c>
      <c r="B19" t="s">
        <v>497</v>
      </c>
      <c r="C19">
        <v>1</v>
      </c>
      <c r="D19">
        <v>95.9</v>
      </c>
      <c r="E19">
        <v>8.51</v>
      </c>
      <c r="F19">
        <v>10.74</v>
      </c>
      <c r="G19">
        <v>0.86</v>
      </c>
    </row>
    <row r="20" spans="1:7" x14ac:dyDescent="0.25">
      <c r="A20" t="s">
        <v>494</v>
      </c>
      <c r="B20" t="s">
        <v>497</v>
      </c>
      <c r="C20">
        <v>1</v>
      </c>
      <c r="D20">
        <v>97.25</v>
      </c>
      <c r="E20">
        <v>6.2</v>
      </c>
      <c r="F20">
        <v>14.84</v>
      </c>
      <c r="G20">
        <v>0.83</v>
      </c>
    </row>
    <row r="21" spans="1:7" x14ac:dyDescent="0.25">
      <c r="A21" t="s">
        <v>494</v>
      </c>
      <c r="B21" t="s">
        <v>497</v>
      </c>
      <c r="C21">
        <v>1</v>
      </c>
      <c r="D21">
        <v>95.89</v>
      </c>
      <c r="E21">
        <v>5.4</v>
      </c>
      <c r="F21">
        <v>16.64</v>
      </c>
      <c r="G21">
        <v>0.92</v>
      </c>
    </row>
    <row r="22" spans="1:7" x14ac:dyDescent="0.25">
      <c r="A22" t="s">
        <v>494</v>
      </c>
      <c r="B22" t="s">
        <v>497</v>
      </c>
      <c r="C22">
        <v>1</v>
      </c>
      <c r="D22">
        <v>94.27</v>
      </c>
      <c r="E22">
        <v>4.08</v>
      </c>
      <c r="F22">
        <v>20.28</v>
      </c>
      <c r="G22">
        <v>0.93</v>
      </c>
    </row>
    <row r="23" spans="1:7" x14ac:dyDescent="0.25">
      <c r="A23" t="s">
        <v>494</v>
      </c>
      <c r="B23" t="s">
        <v>497</v>
      </c>
      <c r="C23">
        <v>1</v>
      </c>
      <c r="D23">
        <v>93.88</v>
      </c>
      <c r="E23">
        <v>3.66</v>
      </c>
      <c r="F23">
        <v>21.69</v>
      </c>
      <c r="G23">
        <v>0.86</v>
      </c>
    </row>
    <row r="24" spans="1:7" x14ac:dyDescent="0.25">
      <c r="A24" t="s">
        <v>494</v>
      </c>
      <c r="B24" t="s">
        <v>497</v>
      </c>
      <c r="C24">
        <v>1</v>
      </c>
      <c r="D24">
        <v>93.2</v>
      </c>
      <c r="E24">
        <v>4.04</v>
      </c>
      <c r="F24">
        <v>20.41</v>
      </c>
      <c r="G24">
        <v>0.92</v>
      </c>
    </row>
    <row r="25" spans="1:7" x14ac:dyDescent="0.25">
      <c r="A25" t="s">
        <v>494</v>
      </c>
      <c r="B25" t="s">
        <v>497</v>
      </c>
      <c r="C25">
        <v>1</v>
      </c>
      <c r="D25">
        <v>92.17</v>
      </c>
      <c r="E25">
        <v>4.13</v>
      </c>
      <c r="F25">
        <v>20.13</v>
      </c>
      <c r="G25">
        <v>0.94</v>
      </c>
    </row>
    <row r="26" spans="1:7" x14ac:dyDescent="0.25">
      <c r="A26" t="s">
        <v>494</v>
      </c>
      <c r="B26" t="s">
        <v>497</v>
      </c>
      <c r="C26">
        <v>1</v>
      </c>
      <c r="D26">
        <v>90.49</v>
      </c>
      <c r="E26">
        <v>4.6900000000000004</v>
      </c>
      <c r="F26">
        <v>18.489999999999998</v>
      </c>
      <c r="G26">
        <v>0.93</v>
      </c>
    </row>
    <row r="27" spans="1:7" x14ac:dyDescent="0.25">
      <c r="A27" t="s">
        <v>494</v>
      </c>
      <c r="B27" t="s">
        <v>497</v>
      </c>
      <c r="C27">
        <v>1</v>
      </c>
      <c r="D27">
        <v>89.5</v>
      </c>
      <c r="E27">
        <v>4.2699999999999996</v>
      </c>
      <c r="F27">
        <v>19.690000000000001</v>
      </c>
      <c r="G27">
        <v>0.92</v>
      </c>
    </row>
    <row r="28" spans="1:7" x14ac:dyDescent="0.25">
      <c r="A28" t="s">
        <v>494</v>
      </c>
      <c r="B28" t="s">
        <v>497</v>
      </c>
      <c r="C28">
        <v>1</v>
      </c>
      <c r="D28">
        <v>89.2</v>
      </c>
      <c r="E28">
        <v>4.82</v>
      </c>
      <c r="F28">
        <v>18.11</v>
      </c>
      <c r="G28">
        <v>0.92</v>
      </c>
    </row>
    <row r="29" spans="1:7" x14ac:dyDescent="0.25">
      <c r="A29" t="s">
        <v>494</v>
      </c>
      <c r="B29" t="s">
        <v>497</v>
      </c>
      <c r="C29">
        <v>1</v>
      </c>
      <c r="D29">
        <v>88.76</v>
      </c>
      <c r="E29">
        <v>6.8</v>
      </c>
      <c r="F29">
        <v>13.65</v>
      </c>
      <c r="G29">
        <v>0.95</v>
      </c>
    </row>
    <row r="30" spans="1:7" x14ac:dyDescent="0.25">
      <c r="A30" t="s">
        <v>494</v>
      </c>
      <c r="B30" t="s">
        <v>498</v>
      </c>
      <c r="C30">
        <v>0</v>
      </c>
      <c r="D30">
        <v>71.180000000000007</v>
      </c>
      <c r="E30">
        <v>3.22</v>
      </c>
      <c r="F30">
        <v>23.36</v>
      </c>
      <c r="G30">
        <v>0.93</v>
      </c>
    </row>
    <row r="31" spans="1:7" x14ac:dyDescent="0.25">
      <c r="A31" t="s">
        <v>494</v>
      </c>
      <c r="B31" t="s">
        <v>498</v>
      </c>
      <c r="C31">
        <v>0</v>
      </c>
      <c r="D31">
        <v>72.760000000000005</v>
      </c>
      <c r="E31">
        <v>3.51</v>
      </c>
      <c r="F31">
        <v>22.25</v>
      </c>
      <c r="G31">
        <v>0.9</v>
      </c>
    </row>
    <row r="32" spans="1:7" x14ac:dyDescent="0.25">
      <c r="A32" t="s">
        <v>494</v>
      </c>
      <c r="B32" t="s">
        <v>498</v>
      </c>
      <c r="C32">
        <v>0</v>
      </c>
      <c r="D32">
        <v>72.900000000000006</v>
      </c>
      <c r="E32">
        <v>5.1100000000000003</v>
      </c>
      <c r="F32">
        <v>17.350000000000001</v>
      </c>
      <c r="G32">
        <v>0.82</v>
      </c>
    </row>
    <row r="33" spans="1:7" x14ac:dyDescent="0.25">
      <c r="A33" t="s">
        <v>494</v>
      </c>
      <c r="B33" t="s">
        <v>498</v>
      </c>
      <c r="C33">
        <v>0</v>
      </c>
      <c r="D33">
        <v>72.05</v>
      </c>
      <c r="E33">
        <v>6.85</v>
      </c>
      <c r="F33">
        <v>13.54</v>
      </c>
      <c r="G33">
        <v>0.77</v>
      </c>
    </row>
    <row r="34" spans="1:7" x14ac:dyDescent="0.25">
      <c r="A34" t="s">
        <v>494</v>
      </c>
      <c r="B34" t="s">
        <v>498</v>
      </c>
      <c r="C34">
        <v>0</v>
      </c>
      <c r="D34">
        <v>72.56</v>
      </c>
      <c r="E34">
        <v>2.68</v>
      </c>
      <c r="F34">
        <v>25.75</v>
      </c>
      <c r="G34">
        <v>0.85</v>
      </c>
    </row>
    <row r="35" spans="1:7" x14ac:dyDescent="0.25">
      <c r="A35" t="s">
        <v>494</v>
      </c>
      <c r="B35" t="s">
        <v>498</v>
      </c>
      <c r="C35">
        <v>0</v>
      </c>
      <c r="D35">
        <v>73.06</v>
      </c>
      <c r="E35">
        <v>1.76</v>
      </c>
      <c r="F35">
        <v>31.19</v>
      </c>
      <c r="G35">
        <v>0.88</v>
      </c>
    </row>
    <row r="36" spans="1:7" x14ac:dyDescent="0.25">
      <c r="A36" t="s">
        <v>494</v>
      </c>
      <c r="B36" t="s">
        <v>498</v>
      </c>
      <c r="C36">
        <v>0</v>
      </c>
      <c r="D36">
        <v>73.44</v>
      </c>
      <c r="E36">
        <v>1.56</v>
      </c>
      <c r="F36">
        <v>32.770000000000003</v>
      </c>
      <c r="G36">
        <v>0.9</v>
      </c>
    </row>
    <row r="37" spans="1:7" x14ac:dyDescent="0.25">
      <c r="A37" t="s">
        <v>494</v>
      </c>
      <c r="B37" t="s">
        <v>498</v>
      </c>
      <c r="C37">
        <v>0</v>
      </c>
      <c r="D37">
        <v>73.599999999999994</v>
      </c>
      <c r="E37">
        <v>2.31</v>
      </c>
      <c r="F37">
        <v>27.66</v>
      </c>
      <c r="G37">
        <v>0.91</v>
      </c>
    </row>
    <row r="38" spans="1:7" x14ac:dyDescent="0.25">
      <c r="A38" t="s">
        <v>494</v>
      </c>
      <c r="B38" t="s">
        <v>498</v>
      </c>
      <c r="C38">
        <v>0</v>
      </c>
      <c r="D38">
        <v>73.75</v>
      </c>
      <c r="E38">
        <v>2.91</v>
      </c>
      <c r="F38">
        <v>24.68</v>
      </c>
      <c r="G38">
        <v>0.9</v>
      </c>
    </row>
    <row r="39" spans="1:7" x14ac:dyDescent="0.25">
      <c r="A39" t="s">
        <v>494</v>
      </c>
      <c r="B39" t="s">
        <v>498</v>
      </c>
      <c r="C39">
        <v>0</v>
      </c>
      <c r="D39">
        <v>74.23</v>
      </c>
      <c r="E39">
        <v>4.13</v>
      </c>
      <c r="F39">
        <v>20.12</v>
      </c>
      <c r="G39">
        <v>0.88</v>
      </c>
    </row>
    <row r="40" spans="1:7" x14ac:dyDescent="0.25">
      <c r="A40" t="s">
        <v>494</v>
      </c>
      <c r="B40" t="s">
        <v>498</v>
      </c>
      <c r="C40">
        <v>0</v>
      </c>
      <c r="D40">
        <v>74.22</v>
      </c>
      <c r="E40">
        <v>4.22</v>
      </c>
      <c r="F40">
        <v>19.850000000000001</v>
      </c>
      <c r="G40">
        <v>0.87</v>
      </c>
    </row>
    <row r="41" spans="1:7" x14ac:dyDescent="0.25">
      <c r="A41" t="s">
        <v>494</v>
      </c>
      <c r="B41" t="s">
        <v>498</v>
      </c>
      <c r="C41">
        <v>0</v>
      </c>
      <c r="D41">
        <v>74.459999999999994</v>
      </c>
      <c r="E41">
        <v>5.58</v>
      </c>
      <c r="F41">
        <v>16.21</v>
      </c>
      <c r="G41">
        <v>0.85</v>
      </c>
    </row>
    <row r="42" spans="1:7" x14ac:dyDescent="0.25">
      <c r="A42" t="s">
        <v>494</v>
      </c>
      <c r="B42" t="s">
        <v>498</v>
      </c>
      <c r="C42">
        <v>0</v>
      </c>
      <c r="D42">
        <v>74.38</v>
      </c>
      <c r="E42">
        <v>7.93</v>
      </c>
      <c r="F42">
        <v>11.64</v>
      </c>
      <c r="G42">
        <v>0.78</v>
      </c>
    </row>
    <row r="43" spans="1:7" x14ac:dyDescent="0.25">
      <c r="A43" t="s">
        <v>494</v>
      </c>
      <c r="B43" t="s">
        <v>498</v>
      </c>
      <c r="C43">
        <v>0</v>
      </c>
      <c r="D43">
        <v>74.709999999999994</v>
      </c>
      <c r="E43">
        <v>10.64</v>
      </c>
      <c r="F43">
        <v>7.86</v>
      </c>
      <c r="G43">
        <v>0.72</v>
      </c>
    </row>
    <row r="44" spans="1:7" x14ac:dyDescent="0.25">
      <c r="A44" t="s">
        <v>494</v>
      </c>
      <c r="B44" t="s">
        <v>498</v>
      </c>
      <c r="C44">
        <v>0</v>
      </c>
      <c r="D44">
        <v>75.27</v>
      </c>
      <c r="E44">
        <v>13.72</v>
      </c>
      <c r="F44">
        <v>4.99</v>
      </c>
      <c r="G44">
        <v>0.7</v>
      </c>
    </row>
    <row r="45" spans="1:7" x14ac:dyDescent="0.25">
      <c r="A45" t="s">
        <v>494</v>
      </c>
      <c r="B45" t="s">
        <v>498</v>
      </c>
      <c r="C45">
        <v>1</v>
      </c>
      <c r="D45">
        <v>75.06</v>
      </c>
      <c r="E45">
        <v>8.73</v>
      </c>
      <c r="F45">
        <v>10.4</v>
      </c>
      <c r="G45">
        <v>0.81</v>
      </c>
    </row>
    <row r="46" spans="1:7" x14ac:dyDescent="0.25">
      <c r="A46" t="s">
        <v>494</v>
      </c>
      <c r="B46" t="s">
        <v>498</v>
      </c>
      <c r="C46">
        <v>1</v>
      </c>
      <c r="D46">
        <v>73.39</v>
      </c>
      <c r="E46">
        <v>12.78</v>
      </c>
      <c r="F46">
        <v>5.7</v>
      </c>
      <c r="G46">
        <v>0.9</v>
      </c>
    </row>
    <row r="47" spans="1:7" x14ac:dyDescent="0.25">
      <c r="A47" t="s">
        <v>494</v>
      </c>
      <c r="B47" t="s">
        <v>498</v>
      </c>
      <c r="C47">
        <v>1</v>
      </c>
      <c r="D47">
        <v>74.239999999999995</v>
      </c>
      <c r="E47">
        <v>14.06</v>
      </c>
      <c r="F47">
        <v>4.7699999999999996</v>
      </c>
      <c r="G47">
        <v>0.85</v>
      </c>
    </row>
    <row r="48" spans="1:7" x14ac:dyDescent="0.25">
      <c r="A48" t="s">
        <v>494</v>
      </c>
      <c r="B48" t="s">
        <v>498</v>
      </c>
      <c r="C48">
        <v>1</v>
      </c>
      <c r="D48">
        <v>77.510000000000005</v>
      </c>
      <c r="E48">
        <v>16.03</v>
      </c>
      <c r="F48">
        <v>3.76</v>
      </c>
      <c r="G48">
        <v>0.78</v>
      </c>
    </row>
    <row r="49" spans="1:7" x14ac:dyDescent="0.25">
      <c r="A49" t="s">
        <v>494</v>
      </c>
      <c r="B49" t="s">
        <v>498</v>
      </c>
      <c r="C49">
        <v>1</v>
      </c>
      <c r="D49">
        <v>80.19</v>
      </c>
      <c r="E49">
        <v>16.850000000000001</v>
      </c>
      <c r="F49">
        <v>3.46</v>
      </c>
      <c r="G49">
        <v>0.71</v>
      </c>
    </row>
    <row r="50" spans="1:7" x14ac:dyDescent="0.25">
      <c r="A50" t="s">
        <v>494</v>
      </c>
      <c r="B50" t="s">
        <v>498</v>
      </c>
      <c r="C50">
        <v>1</v>
      </c>
      <c r="D50">
        <v>81.19</v>
      </c>
      <c r="E50">
        <v>10.78</v>
      </c>
      <c r="F50">
        <v>7.7</v>
      </c>
      <c r="G50">
        <v>0.72</v>
      </c>
    </row>
    <row r="51" spans="1:7" x14ac:dyDescent="0.25">
      <c r="A51" t="s">
        <v>494</v>
      </c>
      <c r="B51" t="s">
        <v>498</v>
      </c>
      <c r="C51">
        <v>1</v>
      </c>
      <c r="D51">
        <v>81.819999999999993</v>
      </c>
      <c r="E51">
        <v>10.19</v>
      </c>
      <c r="F51">
        <v>8.41</v>
      </c>
      <c r="G51">
        <v>0.72</v>
      </c>
    </row>
    <row r="52" spans="1:7" x14ac:dyDescent="0.25">
      <c r="A52" t="s">
        <v>494</v>
      </c>
      <c r="B52" t="s">
        <v>498</v>
      </c>
      <c r="C52">
        <v>1</v>
      </c>
      <c r="D52">
        <v>84.02</v>
      </c>
      <c r="E52">
        <v>14.82</v>
      </c>
      <c r="F52">
        <v>4.32</v>
      </c>
      <c r="G52">
        <v>0.65</v>
      </c>
    </row>
    <row r="53" spans="1:7" x14ac:dyDescent="0.25">
      <c r="A53" t="s">
        <v>494</v>
      </c>
      <c r="B53" t="s">
        <v>498</v>
      </c>
      <c r="C53">
        <v>1</v>
      </c>
      <c r="D53">
        <v>86.1</v>
      </c>
      <c r="E53">
        <v>19.600000000000001</v>
      </c>
      <c r="F53">
        <v>2.73</v>
      </c>
      <c r="G53">
        <v>0.52</v>
      </c>
    </row>
    <row r="54" spans="1:7" x14ac:dyDescent="0.25">
      <c r="A54" t="s">
        <v>494</v>
      </c>
      <c r="B54" t="s">
        <v>498</v>
      </c>
      <c r="C54">
        <v>1</v>
      </c>
      <c r="D54">
        <v>86.19</v>
      </c>
      <c r="E54">
        <v>28.76</v>
      </c>
      <c r="F54">
        <v>1.53</v>
      </c>
      <c r="G54">
        <v>0.39</v>
      </c>
    </row>
    <row r="55" spans="1:7" x14ac:dyDescent="0.25">
      <c r="A55" t="s">
        <v>494</v>
      </c>
      <c r="B55" t="s">
        <v>498</v>
      </c>
      <c r="C55">
        <v>1</v>
      </c>
      <c r="D55">
        <v>86.8</v>
      </c>
      <c r="E55">
        <v>27.39</v>
      </c>
      <c r="F55">
        <v>1.66</v>
      </c>
      <c r="G55">
        <v>0.39</v>
      </c>
    </row>
    <row r="56" spans="1:7" x14ac:dyDescent="0.25">
      <c r="A56" t="s">
        <v>494</v>
      </c>
      <c r="B56" t="s">
        <v>498</v>
      </c>
      <c r="C56">
        <v>1</v>
      </c>
      <c r="D56">
        <v>88.86</v>
      </c>
      <c r="E56">
        <v>31.88</v>
      </c>
      <c r="F56">
        <v>1.3</v>
      </c>
      <c r="G56">
        <v>0.3</v>
      </c>
    </row>
    <row r="57" spans="1:7" x14ac:dyDescent="0.25">
      <c r="A57" t="s">
        <v>494</v>
      </c>
      <c r="B57" t="s">
        <v>498</v>
      </c>
      <c r="C57">
        <v>1</v>
      </c>
      <c r="D57">
        <v>89.22</v>
      </c>
      <c r="E57">
        <v>30.26</v>
      </c>
      <c r="F57">
        <v>1.41</v>
      </c>
      <c r="G57">
        <v>0.27</v>
      </c>
    </row>
    <row r="58" spans="1:7" x14ac:dyDescent="0.25">
      <c r="A58" t="s">
        <v>494</v>
      </c>
      <c r="B58" t="s">
        <v>498</v>
      </c>
      <c r="C58">
        <v>1</v>
      </c>
      <c r="D58">
        <v>89.99</v>
      </c>
      <c r="E58">
        <v>29.69</v>
      </c>
      <c r="F58">
        <v>1.46</v>
      </c>
      <c r="G58">
        <v>0.23</v>
      </c>
    </row>
    <row r="59" spans="1:7" x14ac:dyDescent="0.25">
      <c r="A59" t="s">
        <v>494</v>
      </c>
      <c r="B59" t="s">
        <v>499</v>
      </c>
      <c r="C59">
        <v>1</v>
      </c>
      <c r="D59">
        <v>71.180000000000007</v>
      </c>
      <c r="E59">
        <v>9.5500000000000007</v>
      </c>
      <c r="F59">
        <v>9.25</v>
      </c>
      <c r="G59">
        <v>0.83</v>
      </c>
    </row>
    <row r="60" spans="1:7" x14ac:dyDescent="0.25">
      <c r="A60" t="s">
        <v>494</v>
      </c>
      <c r="B60" t="s">
        <v>499</v>
      </c>
      <c r="C60">
        <v>1</v>
      </c>
      <c r="D60">
        <v>72.45</v>
      </c>
      <c r="E60">
        <v>8.59</v>
      </c>
      <c r="F60">
        <v>10.62</v>
      </c>
      <c r="G60">
        <v>0.78</v>
      </c>
    </row>
    <row r="61" spans="1:7" x14ac:dyDescent="0.25">
      <c r="A61" t="s">
        <v>494</v>
      </c>
      <c r="B61" t="s">
        <v>499</v>
      </c>
      <c r="C61">
        <v>1</v>
      </c>
      <c r="D61">
        <v>73</v>
      </c>
      <c r="E61">
        <v>12.02</v>
      </c>
      <c r="F61">
        <v>6.39</v>
      </c>
      <c r="G61">
        <v>0.73</v>
      </c>
    </row>
    <row r="62" spans="1:7" x14ac:dyDescent="0.25">
      <c r="A62" t="s">
        <v>494</v>
      </c>
      <c r="B62" t="s">
        <v>499</v>
      </c>
      <c r="C62">
        <v>1</v>
      </c>
      <c r="D62">
        <v>75.069999999999993</v>
      </c>
      <c r="E62">
        <v>10.25</v>
      </c>
      <c r="F62">
        <v>8.34</v>
      </c>
      <c r="G62">
        <v>0.73</v>
      </c>
    </row>
    <row r="63" spans="1:7" x14ac:dyDescent="0.25">
      <c r="A63" t="s">
        <v>494</v>
      </c>
      <c r="B63" t="s">
        <v>499</v>
      </c>
      <c r="C63">
        <v>1</v>
      </c>
      <c r="D63">
        <v>75.64</v>
      </c>
      <c r="E63">
        <v>7.69</v>
      </c>
      <c r="F63">
        <v>12.04</v>
      </c>
      <c r="G63">
        <v>0.78</v>
      </c>
    </row>
    <row r="64" spans="1:7" x14ac:dyDescent="0.25">
      <c r="A64" t="s">
        <v>494</v>
      </c>
      <c r="B64" t="s">
        <v>499</v>
      </c>
      <c r="C64">
        <v>1</v>
      </c>
      <c r="D64">
        <v>76.56</v>
      </c>
      <c r="E64">
        <v>7.79</v>
      </c>
      <c r="F64">
        <v>11.88</v>
      </c>
      <c r="G64">
        <v>0.81</v>
      </c>
    </row>
    <row r="65" spans="1:7" x14ac:dyDescent="0.25">
      <c r="A65" t="s">
        <v>494</v>
      </c>
      <c r="B65" t="s">
        <v>499</v>
      </c>
      <c r="C65">
        <v>1</v>
      </c>
      <c r="D65">
        <v>77.290000000000006</v>
      </c>
      <c r="E65">
        <v>6.04</v>
      </c>
      <c r="F65">
        <v>15.18</v>
      </c>
      <c r="G65">
        <v>0.81</v>
      </c>
    </row>
    <row r="66" spans="1:7" x14ac:dyDescent="0.25">
      <c r="A66" t="s">
        <v>494</v>
      </c>
      <c r="B66" t="s">
        <v>499</v>
      </c>
      <c r="C66">
        <v>1</v>
      </c>
      <c r="D66">
        <v>77.81</v>
      </c>
      <c r="E66">
        <v>4.2699999999999996</v>
      </c>
      <c r="F66">
        <v>19.71</v>
      </c>
      <c r="G66">
        <v>0.77</v>
      </c>
    </row>
    <row r="67" spans="1:7" x14ac:dyDescent="0.25">
      <c r="A67" t="s">
        <v>494</v>
      </c>
      <c r="B67" t="s">
        <v>499</v>
      </c>
      <c r="C67">
        <v>1</v>
      </c>
      <c r="D67">
        <v>78.31</v>
      </c>
      <c r="E67">
        <v>5.5</v>
      </c>
      <c r="F67">
        <v>16.399999999999999</v>
      </c>
      <c r="G67">
        <v>0.74</v>
      </c>
    </row>
    <row r="68" spans="1:7" x14ac:dyDescent="0.25">
      <c r="A68" t="s">
        <v>494</v>
      </c>
      <c r="B68" t="s">
        <v>499</v>
      </c>
      <c r="C68">
        <v>1</v>
      </c>
      <c r="D68">
        <v>79.319999999999993</v>
      </c>
      <c r="E68">
        <v>4.0199999999999996</v>
      </c>
      <c r="F68">
        <v>20.49</v>
      </c>
      <c r="G68">
        <v>0.74</v>
      </c>
    </row>
    <row r="69" spans="1:7" x14ac:dyDescent="0.25">
      <c r="A69" t="s">
        <v>494</v>
      </c>
      <c r="B69" t="s">
        <v>499</v>
      </c>
      <c r="C69">
        <v>1</v>
      </c>
      <c r="D69">
        <v>79.680000000000007</v>
      </c>
      <c r="E69">
        <v>3.31</v>
      </c>
      <c r="F69">
        <v>23.02</v>
      </c>
      <c r="G69">
        <v>0.75</v>
      </c>
    </row>
    <row r="70" spans="1:7" x14ac:dyDescent="0.25">
      <c r="A70" t="s">
        <v>494</v>
      </c>
      <c r="B70" t="s">
        <v>499</v>
      </c>
      <c r="C70">
        <v>1</v>
      </c>
      <c r="D70">
        <v>79.989999999999995</v>
      </c>
      <c r="E70">
        <v>4.95</v>
      </c>
      <c r="F70">
        <v>17.78</v>
      </c>
      <c r="G70">
        <v>0.75</v>
      </c>
    </row>
    <row r="71" spans="1:7" x14ac:dyDescent="0.25">
      <c r="A71" t="s">
        <v>494</v>
      </c>
      <c r="B71" t="s">
        <v>499</v>
      </c>
      <c r="C71">
        <v>1</v>
      </c>
      <c r="D71">
        <v>80.23</v>
      </c>
      <c r="E71">
        <v>6.01</v>
      </c>
      <c r="F71">
        <v>15.26</v>
      </c>
      <c r="G71">
        <v>0.77</v>
      </c>
    </row>
    <row r="72" spans="1:7" x14ac:dyDescent="0.25">
      <c r="A72" t="s">
        <v>494</v>
      </c>
      <c r="B72" t="s">
        <v>499</v>
      </c>
      <c r="C72">
        <v>1</v>
      </c>
      <c r="D72">
        <v>80.33</v>
      </c>
      <c r="E72">
        <v>7.68</v>
      </c>
      <c r="F72">
        <v>12.08</v>
      </c>
      <c r="G72">
        <v>0.76</v>
      </c>
    </row>
    <row r="73" spans="1:7" x14ac:dyDescent="0.25">
      <c r="A73" t="s">
        <v>494</v>
      </c>
      <c r="B73" t="s">
        <v>499</v>
      </c>
      <c r="C73">
        <v>1</v>
      </c>
      <c r="D73">
        <v>80.44</v>
      </c>
      <c r="E73">
        <v>9.1199999999999992</v>
      </c>
      <c r="F73">
        <v>9.84</v>
      </c>
      <c r="G73">
        <v>0.72</v>
      </c>
    </row>
    <row r="74" spans="1:7" x14ac:dyDescent="0.25">
      <c r="A74" t="s">
        <v>494</v>
      </c>
      <c r="B74" t="s">
        <v>499</v>
      </c>
      <c r="C74">
        <v>2</v>
      </c>
      <c r="D74">
        <v>76.900000000000006</v>
      </c>
      <c r="E74">
        <v>7.43</v>
      </c>
      <c r="F74">
        <v>12.49</v>
      </c>
      <c r="G74">
        <v>0.85</v>
      </c>
    </row>
    <row r="75" spans="1:7" x14ac:dyDescent="0.25">
      <c r="A75" t="s">
        <v>494</v>
      </c>
      <c r="B75" t="s">
        <v>499</v>
      </c>
      <c r="C75">
        <v>2</v>
      </c>
      <c r="D75">
        <v>77.760000000000005</v>
      </c>
      <c r="E75">
        <v>6.7</v>
      </c>
      <c r="F75">
        <v>13.84</v>
      </c>
      <c r="G75">
        <v>0.89</v>
      </c>
    </row>
    <row r="76" spans="1:7" x14ac:dyDescent="0.25">
      <c r="A76" t="s">
        <v>494</v>
      </c>
      <c r="B76" t="s">
        <v>499</v>
      </c>
      <c r="C76">
        <v>2</v>
      </c>
      <c r="D76">
        <v>77.42</v>
      </c>
      <c r="E76">
        <v>5.23</v>
      </c>
      <c r="F76">
        <v>17.059999999999999</v>
      </c>
      <c r="G76">
        <v>0.88</v>
      </c>
    </row>
    <row r="77" spans="1:7" x14ac:dyDescent="0.25">
      <c r="A77" t="s">
        <v>494</v>
      </c>
      <c r="B77" t="s">
        <v>499</v>
      </c>
      <c r="C77">
        <v>2</v>
      </c>
      <c r="D77">
        <v>77.94</v>
      </c>
      <c r="E77">
        <v>3.18</v>
      </c>
      <c r="F77">
        <v>23.52</v>
      </c>
      <c r="G77">
        <v>0.93</v>
      </c>
    </row>
    <row r="78" spans="1:7" x14ac:dyDescent="0.25">
      <c r="A78" t="s">
        <v>494</v>
      </c>
      <c r="B78" t="s">
        <v>499</v>
      </c>
      <c r="C78">
        <v>2</v>
      </c>
      <c r="D78">
        <v>78.28</v>
      </c>
      <c r="E78">
        <v>2.04</v>
      </c>
      <c r="F78">
        <v>29.32</v>
      </c>
      <c r="G78">
        <v>0.93</v>
      </c>
    </row>
    <row r="79" spans="1:7" x14ac:dyDescent="0.25">
      <c r="A79" t="s">
        <v>494</v>
      </c>
      <c r="B79" t="s">
        <v>499</v>
      </c>
      <c r="C79">
        <v>2</v>
      </c>
      <c r="D79">
        <v>79.28</v>
      </c>
      <c r="E79">
        <v>1.51</v>
      </c>
      <c r="F79">
        <v>33.229999999999997</v>
      </c>
      <c r="G79">
        <v>0.92</v>
      </c>
    </row>
    <row r="80" spans="1:7" x14ac:dyDescent="0.25">
      <c r="A80" t="s">
        <v>494</v>
      </c>
      <c r="B80" t="s">
        <v>499</v>
      </c>
      <c r="C80">
        <v>2</v>
      </c>
      <c r="D80">
        <v>79.62</v>
      </c>
      <c r="E80">
        <v>0.62</v>
      </c>
      <c r="F80">
        <v>44.76</v>
      </c>
      <c r="G80">
        <v>0.91</v>
      </c>
    </row>
    <row r="81" spans="1:7" x14ac:dyDescent="0.25">
      <c r="A81" t="s">
        <v>494</v>
      </c>
      <c r="B81" t="s">
        <v>499</v>
      </c>
      <c r="C81">
        <v>2</v>
      </c>
      <c r="D81">
        <v>79.69</v>
      </c>
      <c r="E81">
        <v>0.52</v>
      </c>
      <c r="F81">
        <v>47.01</v>
      </c>
      <c r="G81">
        <v>0.94</v>
      </c>
    </row>
    <row r="82" spans="1:7" x14ac:dyDescent="0.25">
      <c r="A82" t="s">
        <v>494</v>
      </c>
      <c r="B82" t="s">
        <v>499</v>
      </c>
      <c r="C82">
        <v>2</v>
      </c>
      <c r="D82">
        <v>79.7</v>
      </c>
      <c r="E82">
        <v>0.2</v>
      </c>
      <c r="F82">
        <v>59.53</v>
      </c>
      <c r="G82">
        <v>0.95</v>
      </c>
    </row>
    <row r="83" spans="1:7" x14ac:dyDescent="0.25">
      <c r="A83" t="s">
        <v>494</v>
      </c>
      <c r="B83" t="s">
        <v>499</v>
      </c>
      <c r="C83">
        <v>2</v>
      </c>
      <c r="D83">
        <v>80</v>
      </c>
      <c r="E83">
        <v>0.33</v>
      </c>
      <c r="F83">
        <v>53.07</v>
      </c>
      <c r="G83">
        <v>0.91</v>
      </c>
    </row>
    <row r="84" spans="1:7" x14ac:dyDescent="0.25">
      <c r="A84" t="s">
        <v>494</v>
      </c>
      <c r="B84" t="s">
        <v>499</v>
      </c>
      <c r="C84">
        <v>2</v>
      </c>
      <c r="D84">
        <v>80.58</v>
      </c>
      <c r="E84">
        <v>1.0900000000000001</v>
      </c>
      <c r="F84">
        <v>37.46</v>
      </c>
      <c r="G84">
        <v>0.87</v>
      </c>
    </row>
    <row r="85" spans="1:7" x14ac:dyDescent="0.25">
      <c r="A85" t="s">
        <v>494</v>
      </c>
      <c r="B85" t="s">
        <v>499</v>
      </c>
      <c r="C85">
        <v>2</v>
      </c>
      <c r="D85">
        <v>81</v>
      </c>
      <c r="E85">
        <v>0.77</v>
      </c>
      <c r="F85">
        <v>41.96</v>
      </c>
      <c r="G85">
        <v>0.89</v>
      </c>
    </row>
    <row r="86" spans="1:7" x14ac:dyDescent="0.25">
      <c r="A86" t="s">
        <v>494</v>
      </c>
      <c r="B86" t="s">
        <v>499</v>
      </c>
      <c r="C86">
        <v>2</v>
      </c>
      <c r="D86">
        <v>81.14</v>
      </c>
      <c r="E86">
        <v>0.83</v>
      </c>
      <c r="F86">
        <v>41.01</v>
      </c>
      <c r="G86">
        <v>0.92</v>
      </c>
    </row>
    <row r="87" spans="1:7" x14ac:dyDescent="0.25">
      <c r="A87" t="s">
        <v>494</v>
      </c>
      <c r="B87" t="s">
        <v>493</v>
      </c>
      <c r="C87">
        <v>0</v>
      </c>
      <c r="D87">
        <v>90.47</v>
      </c>
      <c r="E87">
        <v>6.45</v>
      </c>
      <c r="F87">
        <v>14.34</v>
      </c>
      <c r="G87">
        <v>0.81</v>
      </c>
    </row>
    <row r="88" spans="1:7" x14ac:dyDescent="0.25">
      <c r="A88" t="s">
        <v>494</v>
      </c>
      <c r="B88" t="s">
        <v>493</v>
      </c>
      <c r="C88">
        <v>0</v>
      </c>
      <c r="D88">
        <v>89.54</v>
      </c>
      <c r="E88">
        <v>6.21</v>
      </c>
      <c r="F88">
        <v>14.82</v>
      </c>
      <c r="G88">
        <v>0.85</v>
      </c>
    </row>
    <row r="89" spans="1:7" x14ac:dyDescent="0.25">
      <c r="A89" t="s">
        <v>494</v>
      </c>
      <c r="B89" t="s">
        <v>493</v>
      </c>
      <c r="C89">
        <v>0</v>
      </c>
      <c r="D89">
        <v>90.65</v>
      </c>
      <c r="E89">
        <v>7.97</v>
      </c>
      <c r="F89">
        <v>11.59</v>
      </c>
      <c r="G89">
        <v>0.83</v>
      </c>
    </row>
    <row r="90" spans="1:7" x14ac:dyDescent="0.25">
      <c r="A90" t="s">
        <v>494</v>
      </c>
      <c r="B90" t="s">
        <v>493</v>
      </c>
      <c r="C90">
        <v>0</v>
      </c>
      <c r="D90">
        <v>90.82</v>
      </c>
      <c r="E90">
        <v>5.72</v>
      </c>
      <c r="F90">
        <v>15.9</v>
      </c>
      <c r="G90">
        <v>0.87</v>
      </c>
    </row>
    <row r="91" spans="1:7" x14ac:dyDescent="0.25">
      <c r="A91" t="s">
        <v>494</v>
      </c>
      <c r="B91" t="s">
        <v>493</v>
      </c>
      <c r="C91">
        <v>0</v>
      </c>
      <c r="D91">
        <v>90.7</v>
      </c>
      <c r="E91">
        <v>6.58</v>
      </c>
      <c r="F91">
        <v>14.08</v>
      </c>
      <c r="G91">
        <v>0.89</v>
      </c>
    </row>
    <row r="92" spans="1:7" x14ac:dyDescent="0.25">
      <c r="A92" t="s">
        <v>494</v>
      </c>
      <c r="B92" t="s">
        <v>493</v>
      </c>
      <c r="C92">
        <v>0</v>
      </c>
      <c r="D92">
        <v>91.14</v>
      </c>
      <c r="E92">
        <v>5.43</v>
      </c>
      <c r="F92">
        <v>16.57</v>
      </c>
      <c r="G92">
        <v>0.85</v>
      </c>
    </row>
    <row r="93" spans="1:7" x14ac:dyDescent="0.25">
      <c r="A93" t="s">
        <v>494</v>
      </c>
      <c r="B93" t="s">
        <v>493</v>
      </c>
      <c r="C93">
        <v>0</v>
      </c>
      <c r="D93">
        <v>90.71</v>
      </c>
      <c r="E93">
        <v>5.75</v>
      </c>
      <c r="F93">
        <v>15.83</v>
      </c>
      <c r="G93">
        <v>0.83</v>
      </c>
    </row>
    <row r="94" spans="1:7" x14ac:dyDescent="0.25">
      <c r="A94" t="s">
        <v>494</v>
      </c>
      <c r="B94" t="s">
        <v>493</v>
      </c>
      <c r="C94">
        <v>0</v>
      </c>
      <c r="D94">
        <v>90.15</v>
      </c>
      <c r="E94">
        <v>5.21</v>
      </c>
      <c r="F94">
        <v>17.12</v>
      </c>
      <c r="G94">
        <v>0.8</v>
      </c>
    </row>
    <row r="95" spans="1:7" x14ac:dyDescent="0.25">
      <c r="A95" t="s">
        <v>494</v>
      </c>
      <c r="B95" t="s">
        <v>493</v>
      </c>
      <c r="C95">
        <v>0</v>
      </c>
      <c r="D95">
        <v>89.69</v>
      </c>
      <c r="E95">
        <v>4.09</v>
      </c>
      <c r="F95">
        <v>20.25</v>
      </c>
      <c r="G95">
        <v>0.81</v>
      </c>
    </row>
    <row r="96" spans="1:7" x14ac:dyDescent="0.25">
      <c r="A96" t="s">
        <v>494</v>
      </c>
      <c r="B96" t="s">
        <v>493</v>
      </c>
      <c r="C96">
        <v>0</v>
      </c>
      <c r="D96">
        <v>89.24</v>
      </c>
      <c r="E96">
        <v>2.1800000000000002</v>
      </c>
      <c r="F96">
        <v>28.45</v>
      </c>
      <c r="G96">
        <v>0.84</v>
      </c>
    </row>
    <row r="97" spans="1:7" x14ac:dyDescent="0.25">
      <c r="A97" t="s">
        <v>494</v>
      </c>
      <c r="B97" t="s">
        <v>493</v>
      </c>
      <c r="C97">
        <v>0</v>
      </c>
      <c r="D97">
        <v>88.89</v>
      </c>
      <c r="E97">
        <v>1.38</v>
      </c>
      <c r="F97">
        <v>34.409999999999997</v>
      </c>
      <c r="G97">
        <v>0.85</v>
      </c>
    </row>
    <row r="98" spans="1:7" x14ac:dyDescent="0.25">
      <c r="A98" t="s">
        <v>494</v>
      </c>
      <c r="B98" t="s">
        <v>493</v>
      </c>
      <c r="C98">
        <v>0</v>
      </c>
      <c r="D98">
        <v>88.54</v>
      </c>
      <c r="E98">
        <v>2.3199999999999998</v>
      </c>
      <c r="F98">
        <v>27.65</v>
      </c>
      <c r="G98">
        <v>0.85</v>
      </c>
    </row>
    <row r="99" spans="1:7" x14ac:dyDescent="0.25">
      <c r="A99" t="s">
        <v>494</v>
      </c>
      <c r="B99" t="s">
        <v>493</v>
      </c>
      <c r="C99">
        <v>0</v>
      </c>
      <c r="D99">
        <v>87.99</v>
      </c>
      <c r="E99">
        <v>3.05</v>
      </c>
      <c r="F99">
        <v>24.09</v>
      </c>
      <c r="G99">
        <v>0.87</v>
      </c>
    </row>
    <row r="100" spans="1:7" x14ac:dyDescent="0.25">
      <c r="A100" t="s">
        <v>494</v>
      </c>
      <c r="B100" t="s">
        <v>493</v>
      </c>
      <c r="C100">
        <v>1</v>
      </c>
      <c r="D100">
        <v>85.13</v>
      </c>
      <c r="E100">
        <v>11.87</v>
      </c>
      <c r="F100">
        <v>6.54</v>
      </c>
      <c r="G100">
        <v>0.81</v>
      </c>
    </row>
    <row r="101" spans="1:7" x14ac:dyDescent="0.25">
      <c r="A101" t="s">
        <v>494</v>
      </c>
      <c r="B101" t="s">
        <v>493</v>
      </c>
      <c r="C101">
        <v>1</v>
      </c>
      <c r="D101">
        <v>85.67</v>
      </c>
      <c r="E101">
        <v>10.9</v>
      </c>
      <c r="F101">
        <v>7.57</v>
      </c>
      <c r="G101">
        <v>0.85</v>
      </c>
    </row>
    <row r="102" spans="1:7" x14ac:dyDescent="0.25">
      <c r="A102" t="s">
        <v>494</v>
      </c>
      <c r="B102" t="s">
        <v>493</v>
      </c>
      <c r="C102">
        <v>1</v>
      </c>
      <c r="D102">
        <v>86.05</v>
      </c>
      <c r="E102">
        <v>10.23</v>
      </c>
      <c r="F102">
        <v>8.36</v>
      </c>
      <c r="G102">
        <v>0.9</v>
      </c>
    </row>
    <row r="103" spans="1:7" x14ac:dyDescent="0.25">
      <c r="A103" t="s">
        <v>494</v>
      </c>
      <c r="B103" t="s">
        <v>493</v>
      </c>
      <c r="C103">
        <v>1</v>
      </c>
      <c r="D103">
        <v>85.47</v>
      </c>
      <c r="E103">
        <v>8.9700000000000006</v>
      </c>
      <c r="F103">
        <v>10.06</v>
      </c>
      <c r="G103">
        <v>0.93</v>
      </c>
    </row>
    <row r="104" spans="1:7" x14ac:dyDescent="0.25">
      <c r="A104" t="s">
        <v>494</v>
      </c>
      <c r="B104" t="s">
        <v>493</v>
      </c>
      <c r="C104">
        <v>1</v>
      </c>
      <c r="D104">
        <v>85.07</v>
      </c>
      <c r="E104">
        <v>7.56</v>
      </c>
      <c r="F104">
        <v>12.26</v>
      </c>
      <c r="G104">
        <v>0.94</v>
      </c>
    </row>
    <row r="105" spans="1:7" x14ac:dyDescent="0.25">
      <c r="A105" t="s">
        <v>494</v>
      </c>
      <c r="B105" t="s">
        <v>493</v>
      </c>
      <c r="C105">
        <v>1</v>
      </c>
      <c r="D105">
        <v>84.59</v>
      </c>
      <c r="E105">
        <v>7.09</v>
      </c>
      <c r="F105">
        <v>13.11</v>
      </c>
      <c r="G105">
        <v>0.95</v>
      </c>
    </row>
    <row r="106" spans="1:7" x14ac:dyDescent="0.25">
      <c r="A106" t="s">
        <v>494</v>
      </c>
      <c r="B106" t="s">
        <v>493</v>
      </c>
      <c r="C106">
        <v>1</v>
      </c>
      <c r="D106">
        <v>84.57</v>
      </c>
      <c r="E106">
        <v>7.68</v>
      </c>
      <c r="F106">
        <v>12.06</v>
      </c>
      <c r="G106">
        <v>0.91</v>
      </c>
    </row>
    <row r="107" spans="1:7" x14ac:dyDescent="0.25">
      <c r="A107" t="s">
        <v>494</v>
      </c>
      <c r="B107" t="s">
        <v>493</v>
      </c>
      <c r="C107">
        <v>1</v>
      </c>
      <c r="D107">
        <v>84.84</v>
      </c>
      <c r="E107">
        <v>7.76</v>
      </c>
      <c r="F107">
        <v>11.94</v>
      </c>
      <c r="G107">
        <v>0.86</v>
      </c>
    </row>
    <row r="108" spans="1:7" x14ac:dyDescent="0.25">
      <c r="A108" t="s">
        <v>494</v>
      </c>
      <c r="B108" t="s">
        <v>493</v>
      </c>
      <c r="C108">
        <v>1</v>
      </c>
      <c r="D108">
        <v>84.9</v>
      </c>
      <c r="E108">
        <v>6.99</v>
      </c>
      <c r="F108">
        <v>13.28</v>
      </c>
      <c r="G108">
        <v>0.94</v>
      </c>
    </row>
    <row r="109" spans="1:7" x14ac:dyDescent="0.25">
      <c r="A109" t="s">
        <v>494</v>
      </c>
      <c r="B109" t="s">
        <v>493</v>
      </c>
      <c r="C109">
        <v>1</v>
      </c>
      <c r="D109">
        <v>84.84</v>
      </c>
      <c r="E109">
        <v>5.41</v>
      </c>
      <c r="F109">
        <v>16.61</v>
      </c>
      <c r="G109">
        <v>0.97</v>
      </c>
    </row>
    <row r="110" spans="1:7" x14ac:dyDescent="0.25">
      <c r="A110" t="s">
        <v>494</v>
      </c>
      <c r="B110" t="s">
        <v>493</v>
      </c>
      <c r="C110">
        <v>1</v>
      </c>
      <c r="D110">
        <v>84.53</v>
      </c>
      <c r="E110">
        <v>5.36</v>
      </c>
      <c r="F110">
        <v>16.73</v>
      </c>
      <c r="G110">
        <v>0.97</v>
      </c>
    </row>
    <row r="111" spans="1:7" x14ac:dyDescent="0.25">
      <c r="A111" t="s">
        <v>494</v>
      </c>
      <c r="B111" t="s">
        <v>493</v>
      </c>
      <c r="C111">
        <v>1</v>
      </c>
      <c r="D111">
        <v>84.14</v>
      </c>
      <c r="E111">
        <v>5.95</v>
      </c>
      <c r="F111">
        <v>15.39</v>
      </c>
      <c r="G111">
        <v>0.95</v>
      </c>
    </row>
    <row r="112" spans="1:7" x14ac:dyDescent="0.25">
      <c r="A112" t="s">
        <v>494</v>
      </c>
      <c r="B112" t="s">
        <v>493</v>
      </c>
      <c r="C112">
        <v>1</v>
      </c>
      <c r="D112">
        <v>83.96</v>
      </c>
      <c r="E112">
        <v>7.14</v>
      </c>
      <c r="F112">
        <v>13.01</v>
      </c>
      <c r="G112">
        <v>0.93</v>
      </c>
    </row>
    <row r="113" spans="1:7" x14ac:dyDescent="0.25">
      <c r="A113" t="s">
        <v>336</v>
      </c>
      <c r="B113" t="s">
        <v>500</v>
      </c>
      <c r="C113">
        <v>0</v>
      </c>
      <c r="D113">
        <v>97.53</v>
      </c>
      <c r="E113">
        <v>6.76</v>
      </c>
      <c r="F113">
        <v>13.72</v>
      </c>
      <c r="G113">
        <v>0.76</v>
      </c>
    </row>
    <row r="114" spans="1:7" x14ac:dyDescent="0.25">
      <c r="A114" t="s">
        <v>336</v>
      </c>
      <c r="B114" t="s">
        <v>500</v>
      </c>
      <c r="C114">
        <v>0</v>
      </c>
      <c r="D114">
        <v>97.78</v>
      </c>
      <c r="E114">
        <v>9.89</v>
      </c>
      <c r="F114">
        <v>8.8000000000000007</v>
      </c>
      <c r="G114">
        <v>0.63</v>
      </c>
    </row>
    <row r="115" spans="1:7" x14ac:dyDescent="0.25">
      <c r="A115" t="s">
        <v>336</v>
      </c>
      <c r="B115" t="s">
        <v>500</v>
      </c>
      <c r="C115">
        <v>0</v>
      </c>
      <c r="D115">
        <v>97.3</v>
      </c>
      <c r="E115">
        <v>12.53</v>
      </c>
      <c r="F115">
        <v>5.91</v>
      </c>
      <c r="G115">
        <v>0.54</v>
      </c>
    </row>
    <row r="116" spans="1:7" x14ac:dyDescent="0.25">
      <c r="A116" t="s">
        <v>336</v>
      </c>
      <c r="B116" t="s">
        <v>500</v>
      </c>
      <c r="C116">
        <v>0</v>
      </c>
      <c r="D116">
        <v>96.55</v>
      </c>
      <c r="E116">
        <v>9.73</v>
      </c>
      <c r="F116">
        <v>9.01</v>
      </c>
      <c r="G116">
        <v>0.67</v>
      </c>
    </row>
    <row r="117" spans="1:7" x14ac:dyDescent="0.25">
      <c r="A117" t="s">
        <v>336</v>
      </c>
      <c r="B117" t="s">
        <v>500</v>
      </c>
      <c r="C117">
        <v>0</v>
      </c>
      <c r="D117">
        <v>95.78</v>
      </c>
      <c r="E117">
        <v>5.39</v>
      </c>
      <c r="F117">
        <v>16.66</v>
      </c>
      <c r="G117">
        <v>0.82</v>
      </c>
    </row>
    <row r="118" spans="1:7" x14ac:dyDescent="0.25">
      <c r="A118" t="s">
        <v>336</v>
      </c>
      <c r="B118" t="s">
        <v>500</v>
      </c>
      <c r="C118">
        <v>0</v>
      </c>
      <c r="D118">
        <v>95.67</v>
      </c>
      <c r="E118">
        <v>5.53</v>
      </c>
      <c r="F118">
        <v>16.34</v>
      </c>
      <c r="G118">
        <v>0.89</v>
      </c>
    </row>
    <row r="119" spans="1:7" x14ac:dyDescent="0.25">
      <c r="A119" t="s">
        <v>336</v>
      </c>
      <c r="B119" t="s">
        <v>500</v>
      </c>
      <c r="C119">
        <v>0</v>
      </c>
      <c r="D119">
        <v>95.41</v>
      </c>
      <c r="E119">
        <v>4.47</v>
      </c>
      <c r="F119">
        <v>19.09</v>
      </c>
      <c r="G119">
        <v>0.9</v>
      </c>
    </row>
    <row r="120" spans="1:7" x14ac:dyDescent="0.25">
      <c r="A120" t="s">
        <v>336</v>
      </c>
      <c r="B120" t="s">
        <v>500</v>
      </c>
      <c r="C120">
        <v>0</v>
      </c>
      <c r="D120">
        <v>95.31</v>
      </c>
      <c r="E120">
        <v>3.85</v>
      </c>
      <c r="F120">
        <v>21.04</v>
      </c>
      <c r="G120">
        <v>0.91</v>
      </c>
    </row>
    <row r="121" spans="1:7" x14ac:dyDescent="0.25">
      <c r="A121" t="s">
        <v>336</v>
      </c>
      <c r="B121" t="s">
        <v>500</v>
      </c>
      <c r="C121">
        <v>0</v>
      </c>
      <c r="D121">
        <v>95.08</v>
      </c>
      <c r="E121">
        <v>4.0999999999999996</v>
      </c>
      <c r="F121">
        <v>20.22</v>
      </c>
      <c r="G121">
        <v>0.9</v>
      </c>
    </row>
    <row r="122" spans="1:7" x14ac:dyDescent="0.25">
      <c r="A122" t="s">
        <v>336</v>
      </c>
      <c r="B122" t="s">
        <v>500</v>
      </c>
      <c r="C122">
        <v>0</v>
      </c>
      <c r="D122">
        <v>94.98</v>
      </c>
      <c r="E122">
        <v>5.35</v>
      </c>
      <c r="F122">
        <v>16.77</v>
      </c>
      <c r="G122">
        <v>0.89</v>
      </c>
    </row>
    <row r="123" spans="1:7" x14ac:dyDescent="0.25">
      <c r="A123" t="s">
        <v>336</v>
      </c>
      <c r="B123" t="s">
        <v>500</v>
      </c>
      <c r="C123">
        <v>1</v>
      </c>
      <c r="D123">
        <v>99.78</v>
      </c>
      <c r="E123">
        <v>13.22</v>
      </c>
      <c r="F123">
        <v>5.35</v>
      </c>
      <c r="G123">
        <v>0.75</v>
      </c>
    </row>
    <row r="124" spans="1:7" x14ac:dyDescent="0.25">
      <c r="A124" t="s">
        <v>336</v>
      </c>
      <c r="B124" t="s">
        <v>500</v>
      </c>
      <c r="C124">
        <v>1</v>
      </c>
      <c r="D124">
        <v>99.95</v>
      </c>
      <c r="E124">
        <v>11.82</v>
      </c>
      <c r="F124">
        <v>6.58</v>
      </c>
      <c r="G124">
        <v>0.63</v>
      </c>
    </row>
    <row r="125" spans="1:7" x14ac:dyDescent="0.25">
      <c r="A125" t="s">
        <v>336</v>
      </c>
      <c r="B125" t="s">
        <v>500</v>
      </c>
      <c r="C125">
        <v>1</v>
      </c>
      <c r="D125">
        <v>99.04</v>
      </c>
      <c r="E125">
        <v>8.36</v>
      </c>
      <c r="F125">
        <v>10.97</v>
      </c>
      <c r="G125">
        <v>0.75</v>
      </c>
    </row>
    <row r="126" spans="1:7" x14ac:dyDescent="0.25">
      <c r="A126" t="s">
        <v>336</v>
      </c>
      <c r="B126" t="s">
        <v>500</v>
      </c>
      <c r="C126">
        <v>1</v>
      </c>
      <c r="D126">
        <v>98.83</v>
      </c>
      <c r="E126">
        <v>10.08</v>
      </c>
      <c r="F126">
        <v>8.5500000000000007</v>
      </c>
      <c r="G126">
        <v>0.68</v>
      </c>
    </row>
    <row r="127" spans="1:7" x14ac:dyDescent="0.25">
      <c r="A127" t="s">
        <v>336</v>
      </c>
      <c r="B127" t="s">
        <v>500</v>
      </c>
      <c r="C127">
        <v>1</v>
      </c>
      <c r="D127">
        <v>98.4</v>
      </c>
      <c r="E127">
        <v>19.649999999999999</v>
      </c>
      <c r="F127">
        <v>2.72</v>
      </c>
      <c r="G127">
        <v>0.54</v>
      </c>
    </row>
    <row r="128" spans="1:7" x14ac:dyDescent="0.25">
      <c r="A128" t="s">
        <v>336</v>
      </c>
      <c r="B128" t="s">
        <v>500</v>
      </c>
      <c r="C128">
        <v>1</v>
      </c>
      <c r="D128">
        <v>97.79</v>
      </c>
      <c r="E128">
        <v>13.31</v>
      </c>
      <c r="F128">
        <v>5.28</v>
      </c>
      <c r="G128">
        <v>0.69</v>
      </c>
    </row>
    <row r="129" spans="1:7" x14ac:dyDescent="0.25">
      <c r="A129" t="s">
        <v>336</v>
      </c>
      <c r="B129" t="s">
        <v>500</v>
      </c>
      <c r="C129">
        <v>1</v>
      </c>
      <c r="D129">
        <v>97.35</v>
      </c>
      <c r="E129">
        <v>16.21</v>
      </c>
      <c r="F129">
        <v>3.69</v>
      </c>
      <c r="G129">
        <v>0.57999999999999996</v>
      </c>
    </row>
    <row r="130" spans="1:7" x14ac:dyDescent="0.25">
      <c r="A130" t="s">
        <v>336</v>
      </c>
      <c r="B130" t="s">
        <v>500</v>
      </c>
      <c r="C130">
        <v>1</v>
      </c>
      <c r="D130">
        <v>97.17</v>
      </c>
      <c r="E130">
        <v>17.690000000000001</v>
      </c>
      <c r="F130">
        <v>3.2</v>
      </c>
      <c r="G130">
        <v>0.5</v>
      </c>
    </row>
    <row r="131" spans="1:7" x14ac:dyDescent="0.25">
      <c r="A131" t="s">
        <v>336</v>
      </c>
      <c r="B131" t="s">
        <v>500</v>
      </c>
      <c r="C131">
        <v>1</v>
      </c>
      <c r="D131">
        <v>96.22</v>
      </c>
      <c r="E131">
        <v>11.49</v>
      </c>
      <c r="F131">
        <v>6.92</v>
      </c>
      <c r="G131">
        <v>0.6</v>
      </c>
    </row>
    <row r="132" spans="1:7" x14ac:dyDescent="0.25">
      <c r="A132" t="s">
        <v>336</v>
      </c>
      <c r="B132" t="s">
        <v>500</v>
      </c>
      <c r="C132">
        <v>1</v>
      </c>
      <c r="D132">
        <v>96.2</v>
      </c>
      <c r="E132">
        <v>7.26</v>
      </c>
      <c r="F132">
        <v>12.79</v>
      </c>
      <c r="G132">
        <v>0.7</v>
      </c>
    </row>
    <row r="133" spans="1:7" x14ac:dyDescent="0.25">
      <c r="A133" t="s">
        <v>336</v>
      </c>
      <c r="B133" t="s">
        <v>497</v>
      </c>
      <c r="C133">
        <v>0</v>
      </c>
      <c r="D133">
        <v>73.75</v>
      </c>
      <c r="E133">
        <v>6.15</v>
      </c>
      <c r="F133">
        <v>14.95</v>
      </c>
      <c r="G133">
        <v>0.79</v>
      </c>
    </row>
    <row r="134" spans="1:7" x14ac:dyDescent="0.25">
      <c r="A134" t="s">
        <v>336</v>
      </c>
      <c r="B134" t="s">
        <v>497</v>
      </c>
      <c r="C134">
        <v>0</v>
      </c>
      <c r="D134">
        <v>73.7</v>
      </c>
      <c r="E134">
        <v>6.49</v>
      </c>
      <c r="F134">
        <v>14.25</v>
      </c>
      <c r="G134">
        <v>0.84</v>
      </c>
    </row>
    <row r="135" spans="1:7" x14ac:dyDescent="0.25">
      <c r="A135" t="s">
        <v>336</v>
      </c>
      <c r="B135" t="s">
        <v>497</v>
      </c>
      <c r="C135">
        <v>0</v>
      </c>
      <c r="D135">
        <v>73</v>
      </c>
      <c r="E135">
        <v>10.68</v>
      </c>
      <c r="F135">
        <v>7.83</v>
      </c>
      <c r="G135">
        <v>0.76</v>
      </c>
    </row>
    <row r="136" spans="1:7" x14ac:dyDescent="0.25">
      <c r="A136" t="s">
        <v>336</v>
      </c>
      <c r="B136" t="s">
        <v>497</v>
      </c>
      <c r="C136">
        <v>0</v>
      </c>
      <c r="D136">
        <v>72.73</v>
      </c>
      <c r="E136">
        <v>12.58</v>
      </c>
      <c r="F136">
        <v>5.87</v>
      </c>
      <c r="G136">
        <v>0.75</v>
      </c>
    </row>
    <row r="137" spans="1:7" x14ac:dyDescent="0.25">
      <c r="A137" t="s">
        <v>336</v>
      </c>
      <c r="B137" t="s">
        <v>497</v>
      </c>
      <c r="C137">
        <v>0</v>
      </c>
      <c r="D137">
        <v>72.989999999999995</v>
      </c>
      <c r="E137">
        <v>12.45</v>
      </c>
      <c r="F137">
        <v>5.99</v>
      </c>
      <c r="G137">
        <v>0.78</v>
      </c>
    </row>
    <row r="138" spans="1:7" x14ac:dyDescent="0.25">
      <c r="A138" t="s">
        <v>336</v>
      </c>
      <c r="B138" t="s">
        <v>497</v>
      </c>
      <c r="C138">
        <v>0</v>
      </c>
      <c r="D138">
        <v>72.819999999999993</v>
      </c>
      <c r="E138">
        <v>14</v>
      </c>
      <c r="F138">
        <v>4.8</v>
      </c>
      <c r="G138">
        <v>0.76</v>
      </c>
    </row>
    <row r="139" spans="1:7" x14ac:dyDescent="0.25">
      <c r="A139" t="s">
        <v>336</v>
      </c>
      <c r="B139" t="s">
        <v>497</v>
      </c>
      <c r="C139">
        <v>0</v>
      </c>
      <c r="D139">
        <v>71.75</v>
      </c>
      <c r="E139">
        <v>13.32</v>
      </c>
      <c r="F139">
        <v>5.27</v>
      </c>
      <c r="G139">
        <v>0.75</v>
      </c>
    </row>
    <row r="140" spans="1:7" x14ac:dyDescent="0.25">
      <c r="A140" t="s">
        <v>336</v>
      </c>
      <c r="B140" t="s">
        <v>497</v>
      </c>
      <c r="C140">
        <v>0</v>
      </c>
      <c r="D140">
        <v>71.48</v>
      </c>
      <c r="E140">
        <v>13.83</v>
      </c>
      <c r="F140">
        <v>4.91</v>
      </c>
      <c r="G140">
        <v>0.74</v>
      </c>
    </row>
    <row r="141" spans="1:7" x14ac:dyDescent="0.25">
      <c r="A141" t="s">
        <v>336</v>
      </c>
      <c r="B141" t="s">
        <v>497</v>
      </c>
      <c r="C141">
        <v>1</v>
      </c>
      <c r="D141">
        <v>75.650000000000006</v>
      </c>
      <c r="E141">
        <v>1.69</v>
      </c>
      <c r="F141">
        <v>31.73</v>
      </c>
      <c r="G141">
        <v>0.87</v>
      </c>
    </row>
    <row r="142" spans="1:7" x14ac:dyDescent="0.25">
      <c r="A142" t="s">
        <v>336</v>
      </c>
      <c r="B142" t="s">
        <v>497</v>
      </c>
      <c r="C142">
        <v>1</v>
      </c>
      <c r="D142">
        <v>76.42</v>
      </c>
      <c r="E142">
        <v>0.56999999999999995</v>
      </c>
      <c r="F142">
        <v>45.8</v>
      </c>
      <c r="G142">
        <v>0.88</v>
      </c>
    </row>
    <row r="143" spans="1:7" x14ac:dyDescent="0.25">
      <c r="A143" t="s">
        <v>336</v>
      </c>
      <c r="B143" t="s">
        <v>497</v>
      </c>
      <c r="C143">
        <v>1</v>
      </c>
      <c r="D143">
        <v>75.989999999999995</v>
      </c>
      <c r="E143">
        <v>2.83</v>
      </c>
      <c r="F143">
        <v>25.04</v>
      </c>
      <c r="G143">
        <v>0.87</v>
      </c>
    </row>
    <row r="144" spans="1:7" x14ac:dyDescent="0.25">
      <c r="A144" t="s">
        <v>336</v>
      </c>
      <c r="B144" t="s">
        <v>497</v>
      </c>
      <c r="C144">
        <v>1</v>
      </c>
      <c r="D144">
        <v>75.28</v>
      </c>
      <c r="E144">
        <v>5.0199999999999996</v>
      </c>
      <c r="F144">
        <v>17.600000000000001</v>
      </c>
      <c r="G144">
        <v>0.85</v>
      </c>
    </row>
    <row r="145" spans="1:7" x14ac:dyDescent="0.25">
      <c r="A145" t="s">
        <v>336</v>
      </c>
      <c r="B145" t="s">
        <v>497</v>
      </c>
      <c r="C145">
        <v>1</v>
      </c>
      <c r="D145">
        <v>75.66</v>
      </c>
      <c r="E145">
        <v>5.53</v>
      </c>
      <c r="F145">
        <v>16.34</v>
      </c>
      <c r="G145">
        <v>0.86</v>
      </c>
    </row>
    <row r="146" spans="1:7" x14ac:dyDescent="0.25">
      <c r="A146" t="s">
        <v>336</v>
      </c>
      <c r="B146" t="s">
        <v>497</v>
      </c>
      <c r="C146">
        <v>1</v>
      </c>
      <c r="D146">
        <v>76.39</v>
      </c>
      <c r="E146">
        <v>5.32</v>
      </c>
      <c r="F146">
        <v>16.84</v>
      </c>
      <c r="G146">
        <v>0.85</v>
      </c>
    </row>
    <row r="147" spans="1:7" x14ac:dyDescent="0.25">
      <c r="A147" t="s">
        <v>336</v>
      </c>
      <c r="B147" t="s">
        <v>497</v>
      </c>
      <c r="C147">
        <v>1</v>
      </c>
      <c r="D147">
        <v>76.569999999999993</v>
      </c>
      <c r="E147">
        <v>7.72</v>
      </c>
      <c r="F147">
        <v>11.99</v>
      </c>
      <c r="G147">
        <v>0.82</v>
      </c>
    </row>
    <row r="148" spans="1:7" x14ac:dyDescent="0.25">
      <c r="A148" t="s">
        <v>336</v>
      </c>
      <c r="B148" t="s">
        <v>497</v>
      </c>
      <c r="C148">
        <v>1</v>
      </c>
      <c r="D148">
        <v>77.23</v>
      </c>
      <c r="E148">
        <v>10.119999999999999</v>
      </c>
      <c r="F148">
        <v>8.5</v>
      </c>
      <c r="G148">
        <v>0.81</v>
      </c>
    </row>
    <row r="149" spans="1:7" x14ac:dyDescent="0.25">
      <c r="A149" t="s">
        <v>336</v>
      </c>
      <c r="B149" t="s">
        <v>497</v>
      </c>
      <c r="C149">
        <v>1</v>
      </c>
      <c r="D149">
        <v>77.81</v>
      </c>
      <c r="E149">
        <v>8.8000000000000007</v>
      </c>
      <c r="F149">
        <v>10.3</v>
      </c>
      <c r="G149">
        <v>0.82</v>
      </c>
    </row>
    <row r="150" spans="1:7" x14ac:dyDescent="0.25">
      <c r="A150" t="s">
        <v>336</v>
      </c>
      <c r="B150" t="s">
        <v>501</v>
      </c>
      <c r="C150">
        <v>0</v>
      </c>
      <c r="D150">
        <v>91.03</v>
      </c>
      <c r="E150">
        <v>3.97</v>
      </c>
      <c r="F150">
        <v>20.65</v>
      </c>
      <c r="G150">
        <v>0.86</v>
      </c>
    </row>
    <row r="151" spans="1:7" x14ac:dyDescent="0.25">
      <c r="A151" t="s">
        <v>336</v>
      </c>
      <c r="B151" t="s">
        <v>501</v>
      </c>
      <c r="C151">
        <v>0</v>
      </c>
      <c r="D151">
        <v>90.22</v>
      </c>
      <c r="E151">
        <v>8.9600000000000009</v>
      </c>
      <c r="F151">
        <v>10.07</v>
      </c>
      <c r="G151">
        <v>0.83</v>
      </c>
    </row>
    <row r="152" spans="1:7" x14ac:dyDescent="0.25">
      <c r="A152" t="s">
        <v>336</v>
      </c>
      <c r="B152" t="s">
        <v>501</v>
      </c>
      <c r="C152">
        <v>0</v>
      </c>
      <c r="D152">
        <v>90.52</v>
      </c>
      <c r="E152">
        <v>10.43</v>
      </c>
      <c r="F152">
        <v>8.1199999999999992</v>
      </c>
      <c r="G152">
        <v>0.79</v>
      </c>
    </row>
    <row r="153" spans="1:7" x14ac:dyDescent="0.25">
      <c r="A153" t="s">
        <v>336</v>
      </c>
      <c r="B153" t="s">
        <v>501</v>
      </c>
      <c r="C153">
        <v>0</v>
      </c>
      <c r="D153">
        <v>90.96</v>
      </c>
      <c r="E153">
        <v>7.79</v>
      </c>
      <c r="F153">
        <v>11.89</v>
      </c>
      <c r="G153">
        <v>0.84</v>
      </c>
    </row>
    <row r="154" spans="1:7" x14ac:dyDescent="0.25">
      <c r="A154" t="s">
        <v>336</v>
      </c>
      <c r="B154" t="s">
        <v>501</v>
      </c>
      <c r="C154">
        <v>0</v>
      </c>
      <c r="D154">
        <v>90.91</v>
      </c>
      <c r="E154">
        <v>6.81</v>
      </c>
      <c r="F154">
        <v>13.63</v>
      </c>
      <c r="G154">
        <v>0.88</v>
      </c>
    </row>
    <row r="155" spans="1:7" x14ac:dyDescent="0.25">
      <c r="A155" t="s">
        <v>336</v>
      </c>
      <c r="B155" t="s">
        <v>501</v>
      </c>
      <c r="C155">
        <v>0</v>
      </c>
      <c r="D155">
        <v>90.79</v>
      </c>
      <c r="E155">
        <v>6.81</v>
      </c>
      <c r="F155">
        <v>13.63</v>
      </c>
      <c r="G155">
        <v>0.89</v>
      </c>
    </row>
    <row r="156" spans="1:7" x14ac:dyDescent="0.25">
      <c r="A156" t="s">
        <v>336</v>
      </c>
      <c r="B156" t="s">
        <v>501</v>
      </c>
      <c r="C156">
        <v>0</v>
      </c>
      <c r="D156">
        <v>90.29</v>
      </c>
      <c r="E156">
        <v>5.88</v>
      </c>
      <c r="F156">
        <v>15.54</v>
      </c>
      <c r="G156">
        <v>0.9</v>
      </c>
    </row>
    <row r="157" spans="1:7" x14ac:dyDescent="0.25">
      <c r="A157" t="s">
        <v>336</v>
      </c>
      <c r="B157" t="s">
        <v>501</v>
      </c>
      <c r="C157">
        <v>0</v>
      </c>
      <c r="D157">
        <v>89.45</v>
      </c>
      <c r="E157">
        <v>5.93</v>
      </c>
      <c r="F157">
        <v>15.44</v>
      </c>
      <c r="G157">
        <v>0.88</v>
      </c>
    </row>
    <row r="158" spans="1:7" x14ac:dyDescent="0.25">
      <c r="A158" t="s">
        <v>336</v>
      </c>
      <c r="B158" t="s">
        <v>501</v>
      </c>
      <c r="C158">
        <v>1</v>
      </c>
      <c r="D158">
        <v>95.26</v>
      </c>
      <c r="E158">
        <v>5.05</v>
      </c>
      <c r="F158">
        <v>17.510000000000002</v>
      </c>
      <c r="G158">
        <v>0.86</v>
      </c>
    </row>
    <row r="159" spans="1:7" x14ac:dyDescent="0.25">
      <c r="A159" t="s">
        <v>336</v>
      </c>
      <c r="B159" t="s">
        <v>501</v>
      </c>
      <c r="C159">
        <v>1</v>
      </c>
      <c r="D159">
        <v>95.07</v>
      </c>
      <c r="E159">
        <v>4.47</v>
      </c>
      <c r="F159">
        <v>19.100000000000001</v>
      </c>
      <c r="G159">
        <v>0.87</v>
      </c>
    </row>
    <row r="160" spans="1:7" x14ac:dyDescent="0.25">
      <c r="A160" t="s">
        <v>336</v>
      </c>
      <c r="B160" t="s">
        <v>501</v>
      </c>
      <c r="C160">
        <v>1</v>
      </c>
      <c r="D160">
        <v>95.05</v>
      </c>
      <c r="E160">
        <v>4.5599999999999996</v>
      </c>
      <c r="F160">
        <v>18.84</v>
      </c>
      <c r="G160">
        <v>0.84</v>
      </c>
    </row>
    <row r="161" spans="1:7" x14ac:dyDescent="0.25">
      <c r="A161" t="s">
        <v>336</v>
      </c>
      <c r="B161" t="s">
        <v>501</v>
      </c>
      <c r="C161">
        <v>1</v>
      </c>
      <c r="D161">
        <v>94.61</v>
      </c>
      <c r="E161">
        <v>2.2599999999999998</v>
      </c>
      <c r="F161">
        <v>27.95</v>
      </c>
      <c r="G161">
        <v>0.84</v>
      </c>
    </row>
    <row r="162" spans="1:7" x14ac:dyDescent="0.25">
      <c r="A162" t="s">
        <v>336</v>
      </c>
      <c r="B162" t="s">
        <v>501</v>
      </c>
      <c r="C162">
        <v>1</v>
      </c>
      <c r="D162">
        <v>94.36</v>
      </c>
      <c r="E162">
        <v>0.47</v>
      </c>
      <c r="F162">
        <v>48.32</v>
      </c>
      <c r="G162">
        <v>0.89</v>
      </c>
    </row>
    <row r="163" spans="1:7" x14ac:dyDescent="0.25">
      <c r="A163" t="s">
        <v>336</v>
      </c>
      <c r="B163" t="s">
        <v>501</v>
      </c>
      <c r="C163">
        <v>1</v>
      </c>
      <c r="D163">
        <v>94.34</v>
      </c>
      <c r="E163">
        <v>0.49</v>
      </c>
      <c r="F163">
        <v>47.9</v>
      </c>
      <c r="G163">
        <v>0.91</v>
      </c>
    </row>
    <row r="164" spans="1:7" x14ac:dyDescent="0.25">
      <c r="A164" t="s">
        <v>336</v>
      </c>
      <c r="B164" t="s">
        <v>501</v>
      </c>
      <c r="C164">
        <v>1</v>
      </c>
      <c r="D164">
        <v>94.18</v>
      </c>
      <c r="E164">
        <v>0.28999999999999998</v>
      </c>
      <c r="F164">
        <v>54.83</v>
      </c>
      <c r="G164">
        <v>0.93</v>
      </c>
    </row>
    <row r="165" spans="1:7" x14ac:dyDescent="0.25">
      <c r="A165" t="s">
        <v>336</v>
      </c>
      <c r="B165" t="s">
        <v>501</v>
      </c>
      <c r="C165">
        <v>1</v>
      </c>
      <c r="D165">
        <v>93.81</v>
      </c>
      <c r="E165">
        <v>0.77</v>
      </c>
      <c r="F165">
        <v>42.04</v>
      </c>
      <c r="G165">
        <v>0.93</v>
      </c>
    </row>
    <row r="166" spans="1:7" x14ac:dyDescent="0.25">
      <c r="A166" t="s">
        <v>336</v>
      </c>
      <c r="B166" t="s">
        <v>501</v>
      </c>
      <c r="C166">
        <v>1</v>
      </c>
      <c r="D166">
        <v>93.2</v>
      </c>
      <c r="E166">
        <v>1.39</v>
      </c>
      <c r="F166">
        <v>34.31</v>
      </c>
      <c r="G166">
        <v>0.91</v>
      </c>
    </row>
    <row r="167" spans="1:7" x14ac:dyDescent="0.25">
      <c r="A167" t="s">
        <v>336</v>
      </c>
      <c r="B167" t="s">
        <v>501</v>
      </c>
      <c r="C167">
        <v>1</v>
      </c>
      <c r="D167">
        <v>92.27</v>
      </c>
      <c r="E167">
        <v>1.93</v>
      </c>
      <c r="F167">
        <v>30</v>
      </c>
      <c r="G167">
        <v>0.92</v>
      </c>
    </row>
    <row r="168" spans="1:7" x14ac:dyDescent="0.25">
      <c r="A168" t="s">
        <v>496</v>
      </c>
      <c r="B168" t="s">
        <v>500</v>
      </c>
      <c r="C168">
        <v>0</v>
      </c>
      <c r="D168">
        <v>81.040000000000006</v>
      </c>
      <c r="E168">
        <v>7.18</v>
      </c>
      <c r="F168">
        <v>12.94</v>
      </c>
      <c r="G168">
        <v>0.9</v>
      </c>
    </row>
    <row r="169" spans="1:7" x14ac:dyDescent="0.25">
      <c r="A169" t="s">
        <v>496</v>
      </c>
      <c r="B169" t="s">
        <v>500</v>
      </c>
      <c r="C169">
        <v>0</v>
      </c>
      <c r="D169">
        <v>80.5</v>
      </c>
      <c r="E169">
        <v>5.7</v>
      </c>
      <c r="F169">
        <v>15.94</v>
      </c>
      <c r="G169">
        <v>0.89</v>
      </c>
    </row>
    <row r="170" spans="1:7" x14ac:dyDescent="0.25">
      <c r="A170" t="s">
        <v>496</v>
      </c>
      <c r="B170" t="s">
        <v>500</v>
      </c>
      <c r="C170">
        <v>0</v>
      </c>
      <c r="D170">
        <v>80.099999999999994</v>
      </c>
      <c r="E170">
        <v>6.06</v>
      </c>
      <c r="F170">
        <v>15.15</v>
      </c>
      <c r="G170">
        <v>0.87</v>
      </c>
    </row>
    <row r="171" spans="1:7" x14ac:dyDescent="0.25">
      <c r="A171" t="s">
        <v>496</v>
      </c>
      <c r="B171" t="s">
        <v>500</v>
      </c>
      <c r="C171">
        <v>0</v>
      </c>
      <c r="D171">
        <v>79.33</v>
      </c>
      <c r="E171">
        <v>5.68</v>
      </c>
      <c r="F171">
        <v>15.99</v>
      </c>
      <c r="G171">
        <v>0.84</v>
      </c>
    </row>
    <row r="172" spans="1:7" x14ac:dyDescent="0.25">
      <c r="A172" t="s">
        <v>496</v>
      </c>
      <c r="B172" t="s">
        <v>500</v>
      </c>
      <c r="C172">
        <v>0</v>
      </c>
      <c r="D172">
        <v>78.930000000000007</v>
      </c>
      <c r="E172">
        <v>5.89</v>
      </c>
      <c r="F172">
        <v>15.52</v>
      </c>
      <c r="G172">
        <v>0.8</v>
      </c>
    </row>
    <row r="173" spans="1:7" x14ac:dyDescent="0.25">
      <c r="A173" t="s">
        <v>496</v>
      </c>
      <c r="B173" t="s">
        <v>500</v>
      </c>
      <c r="C173">
        <v>0</v>
      </c>
      <c r="D173">
        <v>78.27</v>
      </c>
      <c r="E173">
        <v>7.49</v>
      </c>
      <c r="F173">
        <v>12.39</v>
      </c>
      <c r="G173">
        <v>0.82</v>
      </c>
    </row>
    <row r="174" spans="1:7" x14ac:dyDescent="0.25">
      <c r="A174" t="s">
        <v>496</v>
      </c>
      <c r="B174" t="s">
        <v>500</v>
      </c>
      <c r="C174">
        <v>0</v>
      </c>
      <c r="D174">
        <v>77.28</v>
      </c>
      <c r="E174">
        <v>7.86</v>
      </c>
      <c r="F174">
        <v>11.76</v>
      </c>
      <c r="G174">
        <v>0.87</v>
      </c>
    </row>
    <row r="175" spans="1:7" x14ac:dyDescent="0.25">
      <c r="A175" t="s">
        <v>496</v>
      </c>
      <c r="B175" t="s">
        <v>500</v>
      </c>
      <c r="C175">
        <v>0</v>
      </c>
      <c r="D175">
        <v>77.09</v>
      </c>
      <c r="E175">
        <v>8.24</v>
      </c>
      <c r="F175">
        <v>11.16</v>
      </c>
      <c r="G175">
        <v>0.89</v>
      </c>
    </row>
    <row r="176" spans="1:7" x14ac:dyDescent="0.25">
      <c r="A176" t="s">
        <v>496</v>
      </c>
      <c r="B176" t="s">
        <v>500</v>
      </c>
      <c r="C176">
        <v>0</v>
      </c>
      <c r="D176">
        <v>77.040000000000006</v>
      </c>
      <c r="E176">
        <v>8.64</v>
      </c>
      <c r="F176">
        <v>10.54</v>
      </c>
      <c r="G176">
        <v>0.9</v>
      </c>
    </row>
    <row r="177" spans="1:7" x14ac:dyDescent="0.25">
      <c r="A177" t="s">
        <v>496</v>
      </c>
      <c r="B177" t="s">
        <v>500</v>
      </c>
      <c r="C177">
        <v>0</v>
      </c>
      <c r="D177">
        <v>76.930000000000007</v>
      </c>
      <c r="E177">
        <v>8.66</v>
      </c>
      <c r="F177">
        <v>10.51</v>
      </c>
      <c r="G177">
        <v>0.92</v>
      </c>
    </row>
    <row r="178" spans="1:7" x14ac:dyDescent="0.25">
      <c r="A178" t="s">
        <v>496</v>
      </c>
      <c r="B178" t="s">
        <v>500</v>
      </c>
      <c r="C178">
        <v>0</v>
      </c>
      <c r="D178">
        <v>77.010000000000005</v>
      </c>
      <c r="E178">
        <v>9.56</v>
      </c>
      <c r="F178">
        <v>9.23</v>
      </c>
      <c r="G178">
        <v>0.91</v>
      </c>
    </row>
    <row r="179" spans="1:7" x14ac:dyDescent="0.25">
      <c r="A179" t="s">
        <v>496</v>
      </c>
      <c r="B179" t="s">
        <v>500</v>
      </c>
      <c r="C179">
        <v>1</v>
      </c>
      <c r="D179">
        <v>82.17</v>
      </c>
      <c r="E179">
        <v>11.86</v>
      </c>
      <c r="F179">
        <v>6.54</v>
      </c>
      <c r="G179">
        <v>0.86</v>
      </c>
    </row>
    <row r="180" spans="1:7" x14ac:dyDescent="0.25">
      <c r="A180" t="s">
        <v>496</v>
      </c>
      <c r="B180" t="s">
        <v>500</v>
      </c>
      <c r="C180">
        <v>1</v>
      </c>
      <c r="D180">
        <v>83.22</v>
      </c>
      <c r="E180">
        <v>12.18</v>
      </c>
      <c r="F180">
        <v>6.23</v>
      </c>
      <c r="G180">
        <v>0.9</v>
      </c>
    </row>
    <row r="181" spans="1:7" x14ac:dyDescent="0.25">
      <c r="A181" t="s">
        <v>496</v>
      </c>
      <c r="B181" t="s">
        <v>500</v>
      </c>
      <c r="C181">
        <v>1</v>
      </c>
      <c r="D181">
        <v>84.39</v>
      </c>
      <c r="E181">
        <v>12.04</v>
      </c>
      <c r="F181">
        <v>6.37</v>
      </c>
      <c r="G181">
        <v>0.95</v>
      </c>
    </row>
    <row r="182" spans="1:7" x14ac:dyDescent="0.25">
      <c r="A182" t="s">
        <v>496</v>
      </c>
      <c r="B182" t="s">
        <v>500</v>
      </c>
      <c r="C182">
        <v>1</v>
      </c>
      <c r="D182">
        <v>83.76</v>
      </c>
      <c r="E182">
        <v>11.54</v>
      </c>
      <c r="F182">
        <v>6.87</v>
      </c>
      <c r="G182">
        <v>0.95</v>
      </c>
    </row>
    <row r="183" spans="1:7" x14ac:dyDescent="0.25">
      <c r="A183" t="s">
        <v>496</v>
      </c>
      <c r="B183" t="s">
        <v>500</v>
      </c>
      <c r="C183">
        <v>1</v>
      </c>
      <c r="D183">
        <v>83.22</v>
      </c>
      <c r="E183">
        <v>11.6</v>
      </c>
      <c r="F183">
        <v>6.81</v>
      </c>
      <c r="G183">
        <v>0.94</v>
      </c>
    </row>
    <row r="184" spans="1:7" x14ac:dyDescent="0.25">
      <c r="A184" t="s">
        <v>496</v>
      </c>
      <c r="B184" t="s">
        <v>500</v>
      </c>
      <c r="C184">
        <v>1</v>
      </c>
      <c r="D184">
        <v>84.44</v>
      </c>
      <c r="E184">
        <v>11.25</v>
      </c>
      <c r="F184">
        <v>7.18</v>
      </c>
      <c r="G184">
        <v>0.94</v>
      </c>
    </row>
    <row r="185" spans="1:7" x14ac:dyDescent="0.25">
      <c r="A185" t="s">
        <v>496</v>
      </c>
      <c r="B185" t="s">
        <v>500</v>
      </c>
      <c r="C185">
        <v>1</v>
      </c>
      <c r="D185">
        <v>84.33</v>
      </c>
      <c r="E185">
        <v>10.34</v>
      </c>
      <c r="F185">
        <v>8.23</v>
      </c>
      <c r="G185">
        <v>0.92</v>
      </c>
    </row>
    <row r="186" spans="1:7" x14ac:dyDescent="0.25">
      <c r="A186" t="s">
        <v>496</v>
      </c>
      <c r="B186" t="s">
        <v>500</v>
      </c>
      <c r="C186">
        <v>1</v>
      </c>
      <c r="D186">
        <v>83.89</v>
      </c>
      <c r="E186">
        <v>9.84</v>
      </c>
      <c r="F186">
        <v>8.86</v>
      </c>
      <c r="G186">
        <v>0.88</v>
      </c>
    </row>
    <row r="187" spans="1:7" x14ac:dyDescent="0.25">
      <c r="A187" t="s">
        <v>496</v>
      </c>
      <c r="B187" t="s">
        <v>500</v>
      </c>
      <c r="C187">
        <v>1</v>
      </c>
      <c r="D187">
        <v>84.44</v>
      </c>
      <c r="E187">
        <v>10.050000000000001</v>
      </c>
      <c r="F187">
        <v>8.59</v>
      </c>
      <c r="G187">
        <v>0.88</v>
      </c>
    </row>
    <row r="188" spans="1:7" x14ac:dyDescent="0.25">
      <c r="A188" t="s">
        <v>496</v>
      </c>
      <c r="B188" t="s">
        <v>500</v>
      </c>
      <c r="C188">
        <v>1</v>
      </c>
      <c r="D188">
        <v>84.09</v>
      </c>
      <c r="E188">
        <v>9.25</v>
      </c>
      <c r="F188">
        <v>9.66</v>
      </c>
      <c r="G188">
        <v>0.87</v>
      </c>
    </row>
    <row r="189" spans="1:7" x14ac:dyDescent="0.25">
      <c r="A189" t="s">
        <v>496</v>
      </c>
      <c r="B189" t="s">
        <v>497</v>
      </c>
      <c r="C189">
        <v>0</v>
      </c>
      <c r="D189">
        <v>72.64</v>
      </c>
      <c r="E189">
        <v>3.99</v>
      </c>
      <c r="F189">
        <v>20.58</v>
      </c>
      <c r="G189">
        <v>0.94</v>
      </c>
    </row>
    <row r="190" spans="1:7" x14ac:dyDescent="0.25">
      <c r="A190" t="s">
        <v>496</v>
      </c>
      <c r="B190" t="s">
        <v>497</v>
      </c>
      <c r="C190">
        <v>0</v>
      </c>
      <c r="D190">
        <v>74.92</v>
      </c>
      <c r="E190">
        <v>8.99</v>
      </c>
      <c r="F190">
        <v>10.02</v>
      </c>
      <c r="G190">
        <v>0.88</v>
      </c>
    </row>
    <row r="191" spans="1:7" x14ac:dyDescent="0.25">
      <c r="A191" t="s">
        <v>496</v>
      </c>
      <c r="B191" t="s">
        <v>497</v>
      </c>
      <c r="C191">
        <v>0</v>
      </c>
      <c r="D191">
        <v>77.45</v>
      </c>
      <c r="E191">
        <v>8.99</v>
      </c>
      <c r="F191">
        <v>10.029999999999999</v>
      </c>
      <c r="G191">
        <v>0.89</v>
      </c>
    </row>
    <row r="192" spans="1:7" x14ac:dyDescent="0.25">
      <c r="A192" t="s">
        <v>496</v>
      </c>
      <c r="B192" t="s">
        <v>497</v>
      </c>
      <c r="C192">
        <v>0</v>
      </c>
      <c r="D192">
        <v>79.39</v>
      </c>
      <c r="E192">
        <v>9.48</v>
      </c>
      <c r="F192">
        <v>9.34</v>
      </c>
      <c r="G192">
        <v>0.91</v>
      </c>
    </row>
    <row r="193" spans="1:7" x14ac:dyDescent="0.25">
      <c r="A193" t="s">
        <v>496</v>
      </c>
      <c r="B193" t="s">
        <v>497</v>
      </c>
      <c r="C193">
        <v>0</v>
      </c>
      <c r="D193">
        <v>81.650000000000006</v>
      </c>
      <c r="E193">
        <v>9.91</v>
      </c>
      <c r="F193">
        <v>8.7799999999999994</v>
      </c>
      <c r="G193">
        <v>0.89</v>
      </c>
    </row>
    <row r="194" spans="1:7" x14ac:dyDescent="0.25">
      <c r="A194" t="s">
        <v>496</v>
      </c>
      <c r="B194" t="s">
        <v>497</v>
      </c>
      <c r="C194">
        <v>0</v>
      </c>
      <c r="D194">
        <v>82.47</v>
      </c>
      <c r="E194">
        <v>10.44</v>
      </c>
      <c r="F194">
        <v>8.11</v>
      </c>
      <c r="G194">
        <v>0.85</v>
      </c>
    </row>
    <row r="195" spans="1:7" x14ac:dyDescent="0.25">
      <c r="A195" t="s">
        <v>496</v>
      </c>
      <c r="B195" t="s">
        <v>497</v>
      </c>
      <c r="C195">
        <v>0</v>
      </c>
      <c r="D195">
        <v>83.14</v>
      </c>
      <c r="E195">
        <v>10.88</v>
      </c>
      <c r="F195">
        <v>7.6</v>
      </c>
      <c r="G195">
        <v>0.82</v>
      </c>
    </row>
    <row r="196" spans="1:7" x14ac:dyDescent="0.25">
      <c r="A196" t="s">
        <v>496</v>
      </c>
      <c r="B196" t="s">
        <v>497</v>
      </c>
      <c r="C196">
        <v>0</v>
      </c>
      <c r="D196">
        <v>84.29</v>
      </c>
      <c r="E196">
        <v>10.72</v>
      </c>
      <c r="F196">
        <v>7.78</v>
      </c>
      <c r="G196">
        <v>0.78</v>
      </c>
    </row>
    <row r="197" spans="1:7" x14ac:dyDescent="0.25">
      <c r="A197" t="s">
        <v>496</v>
      </c>
      <c r="B197" t="s">
        <v>497</v>
      </c>
      <c r="C197">
        <v>0</v>
      </c>
      <c r="D197">
        <v>84.66</v>
      </c>
      <c r="E197">
        <v>10.48</v>
      </c>
      <c r="F197">
        <v>8.06</v>
      </c>
      <c r="G197">
        <v>0.77</v>
      </c>
    </row>
    <row r="198" spans="1:7" x14ac:dyDescent="0.25">
      <c r="A198" t="s">
        <v>496</v>
      </c>
      <c r="B198" t="s">
        <v>497</v>
      </c>
      <c r="C198">
        <v>0</v>
      </c>
      <c r="D198">
        <v>85.36</v>
      </c>
      <c r="E198">
        <v>10.11</v>
      </c>
      <c r="F198">
        <v>8.52</v>
      </c>
      <c r="G198">
        <v>0.76</v>
      </c>
    </row>
    <row r="199" spans="1:7" x14ac:dyDescent="0.25">
      <c r="A199" t="s">
        <v>496</v>
      </c>
      <c r="B199" t="s">
        <v>497</v>
      </c>
      <c r="C199">
        <v>1</v>
      </c>
      <c r="D199">
        <v>84.36</v>
      </c>
      <c r="E199">
        <v>16.34</v>
      </c>
      <c r="F199">
        <v>3.64</v>
      </c>
      <c r="G199">
        <v>0.72</v>
      </c>
    </row>
    <row r="200" spans="1:7" x14ac:dyDescent="0.25">
      <c r="A200" t="s">
        <v>496</v>
      </c>
      <c r="B200" t="s">
        <v>497</v>
      </c>
      <c r="C200">
        <v>1</v>
      </c>
      <c r="D200">
        <v>85.39</v>
      </c>
      <c r="E200">
        <v>12.66</v>
      </c>
      <c r="F200">
        <v>5.81</v>
      </c>
      <c r="G200">
        <v>0.81</v>
      </c>
    </row>
    <row r="201" spans="1:7" x14ac:dyDescent="0.25">
      <c r="A201" t="s">
        <v>496</v>
      </c>
      <c r="B201" t="s">
        <v>497</v>
      </c>
      <c r="C201">
        <v>1</v>
      </c>
      <c r="D201">
        <v>85.59</v>
      </c>
      <c r="E201">
        <v>12.1</v>
      </c>
      <c r="F201">
        <v>6.31</v>
      </c>
      <c r="G201">
        <v>0.87</v>
      </c>
    </row>
    <row r="202" spans="1:7" x14ac:dyDescent="0.25">
      <c r="A202" t="s">
        <v>496</v>
      </c>
      <c r="B202" t="s">
        <v>497</v>
      </c>
      <c r="C202">
        <v>1</v>
      </c>
      <c r="D202">
        <v>85.41</v>
      </c>
      <c r="E202">
        <v>11.18</v>
      </c>
      <c r="F202">
        <v>7.25</v>
      </c>
      <c r="G202">
        <v>0.82</v>
      </c>
    </row>
    <row r="203" spans="1:7" x14ac:dyDescent="0.25">
      <c r="A203" t="s">
        <v>496</v>
      </c>
      <c r="B203" t="s">
        <v>497</v>
      </c>
      <c r="C203">
        <v>1</v>
      </c>
      <c r="D203">
        <v>85.74</v>
      </c>
      <c r="E203">
        <v>10.63</v>
      </c>
      <c r="F203">
        <v>7.88</v>
      </c>
      <c r="G203">
        <v>0.78</v>
      </c>
    </row>
    <row r="204" spans="1:7" x14ac:dyDescent="0.25">
      <c r="A204" t="s">
        <v>496</v>
      </c>
      <c r="B204" t="s">
        <v>497</v>
      </c>
      <c r="C204">
        <v>1</v>
      </c>
      <c r="D204">
        <v>85.02</v>
      </c>
      <c r="E204">
        <v>10.55</v>
      </c>
      <c r="F204">
        <v>7.97</v>
      </c>
      <c r="G204">
        <v>0.82</v>
      </c>
    </row>
    <row r="205" spans="1:7" x14ac:dyDescent="0.25">
      <c r="A205" t="s">
        <v>496</v>
      </c>
      <c r="B205" t="s">
        <v>497</v>
      </c>
      <c r="C205">
        <v>1</v>
      </c>
      <c r="D205">
        <v>84.96</v>
      </c>
      <c r="E205">
        <v>10.050000000000001</v>
      </c>
      <c r="F205">
        <v>8.59</v>
      </c>
      <c r="G205">
        <v>0.81</v>
      </c>
    </row>
    <row r="206" spans="1:7" x14ac:dyDescent="0.25">
      <c r="A206" t="s">
        <v>496</v>
      </c>
      <c r="B206" t="s">
        <v>497</v>
      </c>
      <c r="C206">
        <v>1</v>
      </c>
      <c r="D206">
        <v>84.7</v>
      </c>
      <c r="E206">
        <v>9.84</v>
      </c>
      <c r="F206">
        <v>8.86</v>
      </c>
      <c r="G206">
        <v>0.79</v>
      </c>
    </row>
    <row r="207" spans="1:7" x14ac:dyDescent="0.25">
      <c r="A207" t="s">
        <v>496</v>
      </c>
      <c r="B207" t="s">
        <v>497</v>
      </c>
      <c r="C207">
        <v>1</v>
      </c>
      <c r="D207">
        <v>85.32</v>
      </c>
      <c r="E207">
        <v>10.33</v>
      </c>
      <c r="F207">
        <v>8.25</v>
      </c>
      <c r="G207">
        <v>0.78</v>
      </c>
    </row>
    <row r="208" spans="1:7" x14ac:dyDescent="0.25">
      <c r="A208" t="s">
        <v>496</v>
      </c>
      <c r="B208" t="s">
        <v>497</v>
      </c>
      <c r="C208">
        <v>1</v>
      </c>
      <c r="D208">
        <v>84.92</v>
      </c>
      <c r="E208">
        <v>9.49</v>
      </c>
      <c r="F208">
        <v>9.33</v>
      </c>
      <c r="G208">
        <v>0.82</v>
      </c>
    </row>
    <row r="209" spans="1:7" x14ac:dyDescent="0.25">
      <c r="A209" t="s">
        <v>495</v>
      </c>
      <c r="B209" t="s">
        <v>502</v>
      </c>
      <c r="C209">
        <v>0</v>
      </c>
      <c r="D209">
        <v>87.02</v>
      </c>
      <c r="E209">
        <v>9.75</v>
      </c>
      <c r="F209">
        <v>8.98</v>
      </c>
      <c r="G209">
        <v>0.94</v>
      </c>
    </row>
    <row r="210" spans="1:7" x14ac:dyDescent="0.25">
      <c r="A210" t="s">
        <v>495</v>
      </c>
      <c r="B210" t="s">
        <v>502</v>
      </c>
      <c r="C210">
        <v>0</v>
      </c>
      <c r="D210">
        <v>87.09</v>
      </c>
      <c r="E210">
        <v>10.4</v>
      </c>
      <c r="F210">
        <v>8.16</v>
      </c>
      <c r="G210">
        <v>0.9</v>
      </c>
    </row>
    <row r="211" spans="1:7" x14ac:dyDescent="0.25">
      <c r="A211" t="s">
        <v>495</v>
      </c>
      <c r="B211" t="s">
        <v>502</v>
      </c>
      <c r="C211">
        <v>0</v>
      </c>
      <c r="D211">
        <v>85.39</v>
      </c>
      <c r="E211">
        <v>9.42</v>
      </c>
      <c r="F211">
        <v>9.42</v>
      </c>
      <c r="G211">
        <v>0.93</v>
      </c>
    </row>
    <row r="212" spans="1:7" x14ac:dyDescent="0.25">
      <c r="A212" t="s">
        <v>495</v>
      </c>
      <c r="B212" t="s">
        <v>502</v>
      </c>
      <c r="C212">
        <v>0</v>
      </c>
      <c r="D212">
        <v>86.34</v>
      </c>
      <c r="E212">
        <v>7.58</v>
      </c>
      <c r="F212">
        <v>12.24</v>
      </c>
      <c r="G212">
        <v>0.94</v>
      </c>
    </row>
    <row r="213" spans="1:7" x14ac:dyDescent="0.25">
      <c r="A213" t="s">
        <v>495</v>
      </c>
      <c r="B213" t="s">
        <v>502</v>
      </c>
      <c r="C213">
        <v>0</v>
      </c>
      <c r="D213">
        <v>87.23</v>
      </c>
      <c r="E213">
        <v>4.42</v>
      </c>
      <c r="F213">
        <v>19.25</v>
      </c>
      <c r="G213">
        <v>0.94</v>
      </c>
    </row>
    <row r="214" spans="1:7" x14ac:dyDescent="0.25">
      <c r="A214" t="s">
        <v>495</v>
      </c>
      <c r="B214" t="s">
        <v>502</v>
      </c>
      <c r="C214">
        <v>0</v>
      </c>
      <c r="D214">
        <v>88.02</v>
      </c>
      <c r="E214">
        <v>4.54</v>
      </c>
      <c r="F214">
        <v>18.89</v>
      </c>
      <c r="G214">
        <v>0.94</v>
      </c>
    </row>
    <row r="215" spans="1:7" x14ac:dyDescent="0.25">
      <c r="A215" t="s">
        <v>495</v>
      </c>
      <c r="B215" t="s">
        <v>502</v>
      </c>
      <c r="C215">
        <v>0</v>
      </c>
      <c r="D215">
        <v>88.55</v>
      </c>
      <c r="E215">
        <v>4.46</v>
      </c>
      <c r="F215">
        <v>19.13</v>
      </c>
      <c r="G215">
        <v>0.93</v>
      </c>
    </row>
    <row r="216" spans="1:7" x14ac:dyDescent="0.25">
      <c r="A216" t="s">
        <v>495</v>
      </c>
      <c r="B216" t="s">
        <v>502</v>
      </c>
      <c r="C216">
        <v>0</v>
      </c>
      <c r="D216">
        <v>89.03</v>
      </c>
      <c r="E216">
        <v>4.2</v>
      </c>
      <c r="F216">
        <v>19.91</v>
      </c>
      <c r="G216">
        <v>0.92</v>
      </c>
    </row>
    <row r="217" spans="1:7" x14ac:dyDescent="0.25">
      <c r="A217" t="s">
        <v>495</v>
      </c>
      <c r="B217" t="s">
        <v>502</v>
      </c>
      <c r="C217">
        <v>0</v>
      </c>
      <c r="D217">
        <v>90.08</v>
      </c>
      <c r="E217">
        <v>4.8899999999999997</v>
      </c>
      <c r="F217">
        <v>17.93</v>
      </c>
      <c r="G217">
        <v>0.9</v>
      </c>
    </row>
    <row r="218" spans="1:7" x14ac:dyDescent="0.25">
      <c r="A218" t="s">
        <v>495</v>
      </c>
      <c r="B218" t="s">
        <v>502</v>
      </c>
      <c r="C218">
        <v>0</v>
      </c>
      <c r="D218">
        <v>90.68</v>
      </c>
      <c r="E218">
        <v>4.75</v>
      </c>
      <c r="F218">
        <v>18.3</v>
      </c>
      <c r="G218">
        <v>0.89</v>
      </c>
    </row>
    <row r="219" spans="1:7" x14ac:dyDescent="0.25">
      <c r="A219" t="s">
        <v>495</v>
      </c>
      <c r="B219" t="s">
        <v>502</v>
      </c>
      <c r="C219">
        <v>0</v>
      </c>
      <c r="D219">
        <v>90.75</v>
      </c>
      <c r="E219">
        <v>4.05</v>
      </c>
      <c r="F219">
        <v>20.37</v>
      </c>
      <c r="G219">
        <v>0.9</v>
      </c>
    </row>
    <row r="220" spans="1:7" x14ac:dyDescent="0.25">
      <c r="A220" t="s">
        <v>495</v>
      </c>
      <c r="B220" t="s">
        <v>502</v>
      </c>
      <c r="C220">
        <v>0</v>
      </c>
      <c r="D220">
        <v>91.03</v>
      </c>
      <c r="E220">
        <v>5.33</v>
      </c>
      <c r="F220">
        <v>16.82</v>
      </c>
      <c r="G220">
        <v>0.91</v>
      </c>
    </row>
    <row r="221" spans="1:7" x14ac:dyDescent="0.25">
      <c r="A221" t="s">
        <v>495</v>
      </c>
      <c r="B221" t="s">
        <v>502</v>
      </c>
      <c r="C221">
        <v>1</v>
      </c>
      <c r="D221">
        <v>81.22</v>
      </c>
      <c r="E221">
        <v>11.87</v>
      </c>
      <c r="F221">
        <v>6.53</v>
      </c>
      <c r="G221">
        <v>0.81</v>
      </c>
    </row>
    <row r="222" spans="1:7" x14ac:dyDescent="0.25">
      <c r="A222" t="s">
        <v>495</v>
      </c>
      <c r="B222" t="s">
        <v>502</v>
      </c>
      <c r="C222">
        <v>1</v>
      </c>
      <c r="D222">
        <v>81.17</v>
      </c>
      <c r="E222">
        <v>8.36</v>
      </c>
      <c r="F222">
        <v>10.96</v>
      </c>
      <c r="G222">
        <v>0.83</v>
      </c>
    </row>
    <row r="223" spans="1:7" x14ac:dyDescent="0.25">
      <c r="A223" t="s">
        <v>495</v>
      </c>
      <c r="B223" t="s">
        <v>502</v>
      </c>
      <c r="C223">
        <v>1</v>
      </c>
      <c r="D223">
        <v>81.64</v>
      </c>
      <c r="E223">
        <v>7.12</v>
      </c>
      <c r="F223">
        <v>13.06</v>
      </c>
      <c r="G223">
        <v>0.9</v>
      </c>
    </row>
    <row r="224" spans="1:7" x14ac:dyDescent="0.25">
      <c r="A224" t="s">
        <v>495</v>
      </c>
      <c r="B224" t="s">
        <v>502</v>
      </c>
      <c r="C224">
        <v>1</v>
      </c>
      <c r="D224">
        <v>80.7</v>
      </c>
      <c r="E224">
        <v>6.22</v>
      </c>
      <c r="F224">
        <v>14.81</v>
      </c>
      <c r="G224">
        <v>0.8</v>
      </c>
    </row>
    <row r="225" spans="1:7" x14ac:dyDescent="0.25">
      <c r="A225" t="s">
        <v>495</v>
      </c>
      <c r="B225" t="s">
        <v>502</v>
      </c>
      <c r="C225">
        <v>1</v>
      </c>
      <c r="D225">
        <v>80.180000000000007</v>
      </c>
      <c r="E225">
        <v>5.59</v>
      </c>
      <c r="F225">
        <v>16.190000000000001</v>
      </c>
      <c r="G225">
        <v>0.8</v>
      </c>
    </row>
    <row r="226" spans="1:7" x14ac:dyDescent="0.25">
      <c r="A226" t="s">
        <v>495</v>
      </c>
      <c r="B226" t="s">
        <v>502</v>
      </c>
      <c r="C226">
        <v>1</v>
      </c>
      <c r="D226">
        <v>80.150000000000006</v>
      </c>
      <c r="E226">
        <v>4.6900000000000004</v>
      </c>
      <c r="F226">
        <v>18.46</v>
      </c>
      <c r="G226">
        <v>0.82</v>
      </c>
    </row>
    <row r="227" spans="1:7" x14ac:dyDescent="0.25">
      <c r="A227" t="s">
        <v>495</v>
      </c>
      <c r="B227" t="s">
        <v>502</v>
      </c>
      <c r="C227">
        <v>1</v>
      </c>
      <c r="D227">
        <v>80.42</v>
      </c>
      <c r="E227">
        <v>5.29</v>
      </c>
      <c r="F227">
        <v>16.91</v>
      </c>
      <c r="G227">
        <v>0.81</v>
      </c>
    </row>
    <row r="228" spans="1:7" x14ac:dyDescent="0.25">
      <c r="A228" t="s">
        <v>495</v>
      </c>
      <c r="B228" t="s">
        <v>502</v>
      </c>
      <c r="C228">
        <v>1</v>
      </c>
      <c r="D228">
        <v>80.33</v>
      </c>
      <c r="E228">
        <v>7.21</v>
      </c>
      <c r="F228">
        <v>12.89</v>
      </c>
      <c r="G228">
        <v>0.8</v>
      </c>
    </row>
    <row r="229" spans="1:7" x14ac:dyDescent="0.25">
      <c r="A229" t="s">
        <v>495</v>
      </c>
      <c r="B229" t="s">
        <v>502</v>
      </c>
      <c r="C229">
        <v>1</v>
      </c>
      <c r="D229">
        <v>79.650000000000006</v>
      </c>
      <c r="E229">
        <v>5.97</v>
      </c>
      <c r="F229">
        <v>15.34</v>
      </c>
      <c r="G229">
        <v>0.86</v>
      </c>
    </row>
    <row r="230" spans="1:7" x14ac:dyDescent="0.25">
      <c r="A230" t="s">
        <v>495</v>
      </c>
      <c r="B230" t="s">
        <v>502</v>
      </c>
      <c r="C230">
        <v>1</v>
      </c>
      <c r="D230">
        <v>79.52</v>
      </c>
      <c r="E230">
        <v>6.84</v>
      </c>
      <c r="F230">
        <v>13.58</v>
      </c>
      <c r="G230">
        <v>0.86</v>
      </c>
    </row>
    <row r="231" spans="1:7" x14ac:dyDescent="0.25">
      <c r="A231" t="s">
        <v>495</v>
      </c>
      <c r="B231" t="s">
        <v>502</v>
      </c>
      <c r="C231">
        <v>1</v>
      </c>
      <c r="D231">
        <v>79.849999999999994</v>
      </c>
      <c r="E231">
        <v>8.4600000000000009</v>
      </c>
      <c r="F231">
        <v>10.81</v>
      </c>
      <c r="G231">
        <v>0.91</v>
      </c>
    </row>
    <row r="232" spans="1:7" x14ac:dyDescent="0.25">
      <c r="A232" t="s">
        <v>495</v>
      </c>
      <c r="B232" t="s">
        <v>502</v>
      </c>
      <c r="C232">
        <v>1</v>
      </c>
      <c r="D232">
        <v>80.59</v>
      </c>
      <c r="E232">
        <v>9.32</v>
      </c>
      <c r="F232">
        <v>9.56</v>
      </c>
      <c r="G232">
        <v>0.92</v>
      </c>
    </row>
    <row r="233" spans="1:7" x14ac:dyDescent="0.25">
      <c r="A233" t="s">
        <v>495</v>
      </c>
      <c r="B233" t="s">
        <v>500</v>
      </c>
      <c r="C233">
        <v>0</v>
      </c>
      <c r="D233">
        <v>103.14</v>
      </c>
      <c r="E233">
        <v>2.5299999999999998</v>
      </c>
      <c r="F233">
        <v>26.5</v>
      </c>
      <c r="G233">
        <v>0.89</v>
      </c>
    </row>
    <row r="234" spans="1:7" x14ac:dyDescent="0.25">
      <c r="A234" t="s">
        <v>495</v>
      </c>
      <c r="B234" t="s">
        <v>500</v>
      </c>
      <c r="C234">
        <v>0</v>
      </c>
      <c r="D234">
        <v>101.88</v>
      </c>
      <c r="E234">
        <v>5.86</v>
      </c>
      <c r="F234">
        <v>15.58</v>
      </c>
      <c r="G234">
        <v>0.83</v>
      </c>
    </row>
    <row r="235" spans="1:7" x14ac:dyDescent="0.25">
      <c r="A235" t="s">
        <v>495</v>
      </c>
      <c r="B235" t="s">
        <v>500</v>
      </c>
      <c r="C235">
        <v>0</v>
      </c>
      <c r="D235">
        <v>100.29</v>
      </c>
      <c r="E235">
        <v>6.56</v>
      </c>
      <c r="F235">
        <v>14.12</v>
      </c>
      <c r="G235">
        <v>0.79</v>
      </c>
    </row>
    <row r="236" spans="1:7" x14ac:dyDescent="0.25">
      <c r="A236" t="s">
        <v>495</v>
      </c>
      <c r="B236" t="s">
        <v>500</v>
      </c>
      <c r="C236">
        <v>0</v>
      </c>
      <c r="D236">
        <v>99.06</v>
      </c>
      <c r="E236">
        <v>5.1100000000000003</v>
      </c>
      <c r="F236">
        <v>17.37</v>
      </c>
      <c r="G236">
        <v>0.83</v>
      </c>
    </row>
    <row r="237" spans="1:7" x14ac:dyDescent="0.25">
      <c r="A237" t="s">
        <v>495</v>
      </c>
      <c r="B237" t="s">
        <v>500</v>
      </c>
      <c r="C237">
        <v>0</v>
      </c>
      <c r="D237">
        <v>96.73</v>
      </c>
      <c r="E237">
        <v>2.54</v>
      </c>
      <c r="F237">
        <v>26.44</v>
      </c>
      <c r="G237">
        <v>0.88</v>
      </c>
    </row>
    <row r="238" spans="1:7" x14ac:dyDescent="0.25">
      <c r="A238" t="s">
        <v>495</v>
      </c>
      <c r="B238" t="s">
        <v>500</v>
      </c>
      <c r="C238">
        <v>0</v>
      </c>
      <c r="D238">
        <v>95.77</v>
      </c>
      <c r="E238">
        <v>2.23</v>
      </c>
      <c r="F238">
        <v>28.11</v>
      </c>
      <c r="G238">
        <v>0.92</v>
      </c>
    </row>
    <row r="239" spans="1:7" x14ac:dyDescent="0.25">
      <c r="A239" t="s">
        <v>495</v>
      </c>
      <c r="B239" t="s">
        <v>500</v>
      </c>
      <c r="C239">
        <v>0</v>
      </c>
      <c r="D239">
        <v>95.1</v>
      </c>
      <c r="E239">
        <v>1.72</v>
      </c>
      <c r="F239">
        <v>31.53</v>
      </c>
      <c r="G239">
        <v>0.92</v>
      </c>
    </row>
    <row r="240" spans="1:7" x14ac:dyDescent="0.25">
      <c r="A240" t="s">
        <v>495</v>
      </c>
      <c r="B240" t="s">
        <v>500</v>
      </c>
      <c r="C240">
        <v>0</v>
      </c>
      <c r="D240">
        <v>94.42</v>
      </c>
      <c r="E240">
        <v>1.58</v>
      </c>
      <c r="F240">
        <v>32.619999999999997</v>
      </c>
      <c r="G240">
        <v>0.94</v>
      </c>
    </row>
    <row r="241" spans="1:7" x14ac:dyDescent="0.25">
      <c r="A241" t="s">
        <v>495</v>
      </c>
      <c r="B241" t="s">
        <v>500</v>
      </c>
      <c r="C241">
        <v>0</v>
      </c>
      <c r="D241">
        <v>93.15</v>
      </c>
      <c r="E241">
        <v>1.83</v>
      </c>
      <c r="F241">
        <v>30.7</v>
      </c>
      <c r="G241">
        <v>0.95</v>
      </c>
    </row>
    <row r="242" spans="1:7" x14ac:dyDescent="0.25">
      <c r="A242" t="s">
        <v>495</v>
      </c>
      <c r="B242" t="s">
        <v>500</v>
      </c>
      <c r="C242">
        <v>0</v>
      </c>
      <c r="D242">
        <v>92.3</v>
      </c>
      <c r="E242">
        <v>1.84</v>
      </c>
      <c r="F242">
        <v>30.63</v>
      </c>
      <c r="G242">
        <v>0.95</v>
      </c>
    </row>
    <row r="243" spans="1:7" x14ac:dyDescent="0.25">
      <c r="A243" t="s">
        <v>495</v>
      </c>
      <c r="B243" t="s">
        <v>500</v>
      </c>
      <c r="C243">
        <v>0</v>
      </c>
      <c r="D243">
        <v>92.13</v>
      </c>
      <c r="E243">
        <v>2.74</v>
      </c>
      <c r="F243">
        <v>25.45</v>
      </c>
      <c r="G243">
        <v>0.93</v>
      </c>
    </row>
    <row r="244" spans="1:7" x14ac:dyDescent="0.25">
      <c r="A244" t="s">
        <v>495</v>
      </c>
      <c r="B244" t="s">
        <v>500</v>
      </c>
      <c r="C244">
        <v>0</v>
      </c>
      <c r="D244">
        <v>92.26</v>
      </c>
      <c r="E244">
        <v>3.86</v>
      </c>
      <c r="F244">
        <v>21.01</v>
      </c>
      <c r="G244">
        <v>0.92</v>
      </c>
    </row>
    <row r="245" spans="1:7" x14ac:dyDescent="0.25">
      <c r="A245" t="s">
        <v>495</v>
      </c>
      <c r="B245" t="s">
        <v>500</v>
      </c>
      <c r="C245">
        <v>1</v>
      </c>
      <c r="D245">
        <v>97.99</v>
      </c>
      <c r="E245">
        <v>17.18</v>
      </c>
      <c r="F245">
        <v>3.35</v>
      </c>
      <c r="G245">
        <v>0.79</v>
      </c>
    </row>
    <row r="246" spans="1:7" x14ac:dyDescent="0.25">
      <c r="A246" t="s">
        <v>495</v>
      </c>
      <c r="B246" t="s">
        <v>500</v>
      </c>
      <c r="C246">
        <v>1</v>
      </c>
      <c r="D246">
        <v>93.67</v>
      </c>
      <c r="E246">
        <v>14.78</v>
      </c>
      <c r="F246">
        <v>4.34</v>
      </c>
      <c r="G246">
        <v>0.89</v>
      </c>
    </row>
    <row r="247" spans="1:7" x14ac:dyDescent="0.25">
      <c r="A247" t="s">
        <v>495</v>
      </c>
      <c r="B247" t="s">
        <v>500</v>
      </c>
      <c r="C247">
        <v>1</v>
      </c>
      <c r="D247">
        <v>91.06</v>
      </c>
      <c r="E247">
        <v>13.55</v>
      </c>
      <c r="F247">
        <v>5.1100000000000003</v>
      </c>
      <c r="G247">
        <v>0.93</v>
      </c>
    </row>
    <row r="248" spans="1:7" x14ac:dyDescent="0.25">
      <c r="A248" t="s">
        <v>495</v>
      </c>
      <c r="B248" t="s">
        <v>500</v>
      </c>
      <c r="C248">
        <v>1</v>
      </c>
      <c r="D248">
        <v>91.33</v>
      </c>
      <c r="E248">
        <v>12.18</v>
      </c>
      <c r="F248">
        <v>6.24</v>
      </c>
      <c r="G248">
        <v>0.9</v>
      </c>
    </row>
    <row r="249" spans="1:7" x14ac:dyDescent="0.25">
      <c r="A249" t="s">
        <v>495</v>
      </c>
      <c r="B249" t="s">
        <v>500</v>
      </c>
      <c r="C249">
        <v>1</v>
      </c>
      <c r="D249">
        <v>92.45</v>
      </c>
      <c r="E249">
        <v>10.35</v>
      </c>
      <c r="F249">
        <v>8.2200000000000006</v>
      </c>
      <c r="G249">
        <v>0.91</v>
      </c>
    </row>
    <row r="250" spans="1:7" x14ac:dyDescent="0.25">
      <c r="A250" t="s">
        <v>495</v>
      </c>
      <c r="B250" t="s">
        <v>500</v>
      </c>
      <c r="C250">
        <v>1</v>
      </c>
      <c r="D250">
        <v>93.4</v>
      </c>
      <c r="E250">
        <v>10.29</v>
      </c>
      <c r="F250">
        <v>8.2899999999999991</v>
      </c>
      <c r="G250">
        <v>0.88</v>
      </c>
    </row>
    <row r="251" spans="1:7" x14ac:dyDescent="0.25">
      <c r="A251" t="s">
        <v>495</v>
      </c>
      <c r="B251" t="s">
        <v>500</v>
      </c>
      <c r="C251">
        <v>1</v>
      </c>
      <c r="D251">
        <v>93.37</v>
      </c>
      <c r="E251">
        <v>9.89</v>
      </c>
      <c r="F251">
        <v>8.7899999999999991</v>
      </c>
      <c r="G251">
        <v>0.89</v>
      </c>
    </row>
    <row r="252" spans="1:7" x14ac:dyDescent="0.25">
      <c r="A252" t="s">
        <v>495</v>
      </c>
      <c r="B252" t="s">
        <v>500</v>
      </c>
      <c r="C252">
        <v>1</v>
      </c>
      <c r="D252">
        <v>92.53</v>
      </c>
      <c r="E252">
        <v>10.11</v>
      </c>
      <c r="F252">
        <v>8.52</v>
      </c>
      <c r="G252">
        <v>0.9</v>
      </c>
    </row>
    <row r="253" spans="1:7" x14ac:dyDescent="0.25">
      <c r="A253" t="s">
        <v>495</v>
      </c>
      <c r="B253" t="s">
        <v>500</v>
      </c>
      <c r="C253">
        <v>1</v>
      </c>
      <c r="D253">
        <v>91.74</v>
      </c>
      <c r="E253">
        <v>10.08</v>
      </c>
      <c r="F253">
        <v>8.5500000000000007</v>
      </c>
      <c r="G253">
        <v>0.9</v>
      </c>
    </row>
    <row r="254" spans="1:7" x14ac:dyDescent="0.25">
      <c r="A254" t="s">
        <v>495</v>
      </c>
      <c r="B254" t="s">
        <v>500</v>
      </c>
      <c r="C254">
        <v>1</v>
      </c>
      <c r="D254">
        <v>91.55</v>
      </c>
      <c r="E254">
        <v>9.7200000000000006</v>
      </c>
      <c r="F254">
        <v>9.01</v>
      </c>
      <c r="G254">
        <v>0.88</v>
      </c>
    </row>
    <row r="255" spans="1:7" x14ac:dyDescent="0.25">
      <c r="A255" t="s">
        <v>495</v>
      </c>
      <c r="B255" t="s">
        <v>503</v>
      </c>
      <c r="C255">
        <v>0</v>
      </c>
      <c r="D255">
        <v>95.95</v>
      </c>
      <c r="E255">
        <v>16.55</v>
      </c>
      <c r="F255">
        <v>3.56</v>
      </c>
      <c r="G255">
        <v>0.73</v>
      </c>
    </row>
    <row r="256" spans="1:7" x14ac:dyDescent="0.25">
      <c r="A256" t="s">
        <v>495</v>
      </c>
      <c r="B256" t="s">
        <v>503</v>
      </c>
      <c r="C256">
        <v>0</v>
      </c>
      <c r="D256">
        <v>95.69</v>
      </c>
      <c r="E256">
        <v>14.11</v>
      </c>
      <c r="F256">
        <v>4.74</v>
      </c>
      <c r="G256">
        <v>0.78</v>
      </c>
    </row>
    <row r="257" spans="1:7" x14ac:dyDescent="0.25">
      <c r="A257" t="s">
        <v>495</v>
      </c>
      <c r="B257" t="s">
        <v>503</v>
      </c>
      <c r="C257">
        <v>0</v>
      </c>
      <c r="D257">
        <v>94.64</v>
      </c>
      <c r="E257">
        <v>11.37</v>
      </c>
      <c r="F257">
        <v>7.04</v>
      </c>
      <c r="G257">
        <v>0.79</v>
      </c>
    </row>
    <row r="258" spans="1:7" x14ac:dyDescent="0.25">
      <c r="A258" t="s">
        <v>495</v>
      </c>
      <c r="B258" t="s">
        <v>503</v>
      </c>
      <c r="C258">
        <v>0</v>
      </c>
      <c r="D258">
        <v>94.22</v>
      </c>
      <c r="E258">
        <v>9.1199999999999992</v>
      </c>
      <c r="F258">
        <v>9.84</v>
      </c>
      <c r="G258">
        <v>0.82</v>
      </c>
    </row>
    <row r="259" spans="1:7" x14ac:dyDescent="0.25">
      <c r="A259" t="s">
        <v>495</v>
      </c>
      <c r="B259" t="s">
        <v>503</v>
      </c>
      <c r="C259">
        <v>0</v>
      </c>
      <c r="D259">
        <v>94.2</v>
      </c>
      <c r="E259">
        <v>6.46</v>
      </c>
      <c r="F259">
        <v>14.31</v>
      </c>
      <c r="G259">
        <v>0.83</v>
      </c>
    </row>
    <row r="260" spans="1:7" x14ac:dyDescent="0.25">
      <c r="A260" t="s">
        <v>495</v>
      </c>
      <c r="B260" t="s">
        <v>503</v>
      </c>
      <c r="C260">
        <v>0</v>
      </c>
      <c r="D260">
        <v>94.22</v>
      </c>
      <c r="E260">
        <v>4.1100000000000003</v>
      </c>
      <c r="F260">
        <v>20.190000000000001</v>
      </c>
      <c r="G260">
        <v>0.86</v>
      </c>
    </row>
    <row r="261" spans="1:7" x14ac:dyDescent="0.25">
      <c r="A261" t="s">
        <v>495</v>
      </c>
      <c r="B261" t="s">
        <v>503</v>
      </c>
      <c r="C261">
        <v>0</v>
      </c>
      <c r="D261">
        <v>94.4</v>
      </c>
      <c r="E261">
        <v>3.23</v>
      </c>
      <c r="F261">
        <v>23.31</v>
      </c>
      <c r="G261">
        <v>0.86</v>
      </c>
    </row>
    <row r="262" spans="1:7" x14ac:dyDescent="0.25">
      <c r="A262" t="s">
        <v>495</v>
      </c>
      <c r="B262" t="s">
        <v>503</v>
      </c>
      <c r="C262">
        <v>0</v>
      </c>
      <c r="D262">
        <v>94.2</v>
      </c>
      <c r="E262">
        <v>3.76</v>
      </c>
      <c r="F262">
        <v>21.36</v>
      </c>
      <c r="G262">
        <v>0.83</v>
      </c>
    </row>
    <row r="263" spans="1:7" x14ac:dyDescent="0.25">
      <c r="A263" t="s">
        <v>495</v>
      </c>
      <c r="B263" t="s">
        <v>503</v>
      </c>
      <c r="C263">
        <v>0</v>
      </c>
      <c r="D263">
        <v>94.01</v>
      </c>
      <c r="E263">
        <v>3.44</v>
      </c>
      <c r="F263">
        <v>22.51</v>
      </c>
      <c r="G263">
        <v>0.81</v>
      </c>
    </row>
    <row r="264" spans="1:7" x14ac:dyDescent="0.25">
      <c r="A264" t="s">
        <v>495</v>
      </c>
      <c r="B264" t="s">
        <v>503</v>
      </c>
      <c r="C264">
        <v>0</v>
      </c>
      <c r="D264">
        <v>93.65</v>
      </c>
      <c r="E264">
        <v>3.12</v>
      </c>
      <c r="F264">
        <v>23.77</v>
      </c>
      <c r="G264">
        <v>0.81</v>
      </c>
    </row>
    <row r="265" spans="1:7" x14ac:dyDescent="0.25">
      <c r="A265" t="s">
        <v>495</v>
      </c>
      <c r="B265" t="s">
        <v>503</v>
      </c>
      <c r="C265">
        <v>1</v>
      </c>
      <c r="D265">
        <v>101.22</v>
      </c>
      <c r="E265">
        <v>5.43</v>
      </c>
      <c r="F265">
        <v>16.57</v>
      </c>
      <c r="G265">
        <v>0.83</v>
      </c>
    </row>
    <row r="266" spans="1:7" x14ac:dyDescent="0.25">
      <c r="A266" t="s">
        <v>495</v>
      </c>
      <c r="B266" t="s">
        <v>503</v>
      </c>
      <c r="C266">
        <v>1</v>
      </c>
      <c r="D266">
        <v>100.25</v>
      </c>
      <c r="E266">
        <v>6.86</v>
      </c>
      <c r="F266">
        <v>13.53</v>
      </c>
      <c r="G266">
        <v>0.85</v>
      </c>
    </row>
    <row r="267" spans="1:7" x14ac:dyDescent="0.25">
      <c r="A267" t="s">
        <v>495</v>
      </c>
      <c r="B267" t="s">
        <v>503</v>
      </c>
      <c r="C267">
        <v>1</v>
      </c>
      <c r="D267">
        <v>98.18</v>
      </c>
      <c r="E267">
        <v>7.71</v>
      </c>
      <c r="F267">
        <v>12.01</v>
      </c>
      <c r="G267">
        <v>0.86</v>
      </c>
    </row>
    <row r="268" spans="1:7" x14ac:dyDescent="0.25">
      <c r="A268" t="s">
        <v>495</v>
      </c>
      <c r="B268" t="s">
        <v>503</v>
      </c>
      <c r="C268">
        <v>1</v>
      </c>
      <c r="D268">
        <v>97.16</v>
      </c>
      <c r="E268">
        <v>6.64</v>
      </c>
      <c r="F268">
        <v>13.96</v>
      </c>
      <c r="G268">
        <v>0.83</v>
      </c>
    </row>
    <row r="269" spans="1:7" x14ac:dyDescent="0.25">
      <c r="A269" t="s">
        <v>495</v>
      </c>
      <c r="B269" t="s">
        <v>503</v>
      </c>
      <c r="C269">
        <v>1</v>
      </c>
      <c r="D269">
        <v>96.05</v>
      </c>
      <c r="E269">
        <v>5.37</v>
      </c>
      <c r="F269">
        <v>16.72</v>
      </c>
      <c r="G269">
        <v>0.86</v>
      </c>
    </row>
    <row r="270" spans="1:7" x14ac:dyDescent="0.25">
      <c r="A270" t="s">
        <v>495</v>
      </c>
      <c r="B270" t="s">
        <v>503</v>
      </c>
      <c r="C270">
        <v>1</v>
      </c>
      <c r="D270">
        <v>94.75</v>
      </c>
      <c r="E270">
        <v>4</v>
      </c>
      <c r="F270">
        <v>20.54</v>
      </c>
      <c r="G270">
        <v>0.82</v>
      </c>
    </row>
    <row r="271" spans="1:7" x14ac:dyDescent="0.25">
      <c r="A271" t="s">
        <v>495</v>
      </c>
      <c r="B271" t="s">
        <v>503</v>
      </c>
      <c r="C271">
        <v>1</v>
      </c>
      <c r="D271">
        <v>93.63</v>
      </c>
      <c r="E271">
        <v>3.98</v>
      </c>
      <c r="F271">
        <v>20.6</v>
      </c>
      <c r="G271">
        <v>0.82</v>
      </c>
    </row>
    <row r="272" spans="1:7" x14ac:dyDescent="0.25">
      <c r="A272" t="s">
        <v>495</v>
      </c>
      <c r="B272" t="s">
        <v>503</v>
      </c>
      <c r="C272">
        <v>1</v>
      </c>
      <c r="D272">
        <v>92.36</v>
      </c>
      <c r="E272">
        <v>2.64</v>
      </c>
      <c r="F272">
        <v>25.97</v>
      </c>
      <c r="G272">
        <v>0.82</v>
      </c>
    </row>
    <row r="273" spans="1:7" x14ac:dyDescent="0.25">
      <c r="A273" t="s">
        <v>495</v>
      </c>
      <c r="B273" t="s">
        <v>503</v>
      </c>
      <c r="C273">
        <v>1</v>
      </c>
      <c r="D273">
        <v>91.44</v>
      </c>
      <c r="E273">
        <v>2.4900000000000002</v>
      </c>
      <c r="F273">
        <v>26.69</v>
      </c>
      <c r="G273">
        <v>0.81</v>
      </c>
    </row>
    <row r="274" spans="1:7" x14ac:dyDescent="0.25">
      <c r="A274" t="s">
        <v>495</v>
      </c>
      <c r="B274" t="s">
        <v>503</v>
      </c>
      <c r="C274">
        <v>1</v>
      </c>
      <c r="D274">
        <v>90.93</v>
      </c>
      <c r="E274">
        <v>2</v>
      </c>
      <c r="F274">
        <v>29.56</v>
      </c>
      <c r="G274">
        <v>0.81</v>
      </c>
    </row>
    <row r="275" spans="1:7" x14ac:dyDescent="0.25">
      <c r="A275" t="s">
        <v>495</v>
      </c>
      <c r="B275" t="s">
        <v>503</v>
      </c>
      <c r="C275">
        <v>1</v>
      </c>
      <c r="D275">
        <v>90.62</v>
      </c>
      <c r="E275">
        <v>1.66</v>
      </c>
      <c r="F275">
        <v>32.01</v>
      </c>
      <c r="G275">
        <v>0.82</v>
      </c>
    </row>
    <row r="276" spans="1:7" x14ac:dyDescent="0.25">
      <c r="A276" t="s">
        <v>495</v>
      </c>
      <c r="B276" t="s">
        <v>503</v>
      </c>
      <c r="C276">
        <v>1</v>
      </c>
      <c r="D276">
        <v>90.4</v>
      </c>
      <c r="E276">
        <v>2.5499999999999998</v>
      </c>
      <c r="F276">
        <v>26.39</v>
      </c>
      <c r="G276">
        <v>0.78</v>
      </c>
    </row>
    <row r="277" spans="1:7" x14ac:dyDescent="0.25">
      <c r="A277" t="s">
        <v>336</v>
      </c>
      <c r="B277" t="s">
        <v>503</v>
      </c>
      <c r="C277">
        <v>1</v>
      </c>
      <c r="D277">
        <v>74.75</v>
      </c>
      <c r="E277">
        <v>10.78</v>
      </c>
      <c r="F277">
        <v>7.7</v>
      </c>
      <c r="G277">
        <v>0.86</v>
      </c>
    </row>
    <row r="278" spans="1:7" x14ac:dyDescent="0.25">
      <c r="A278" t="s">
        <v>336</v>
      </c>
      <c r="B278" t="s">
        <v>503</v>
      </c>
      <c r="C278">
        <v>1</v>
      </c>
      <c r="D278">
        <v>75.81</v>
      </c>
      <c r="E278">
        <v>8.16</v>
      </c>
      <c r="F278">
        <v>11.28</v>
      </c>
      <c r="G278">
        <v>0.76</v>
      </c>
    </row>
    <row r="279" spans="1:7" x14ac:dyDescent="0.25">
      <c r="A279" t="s">
        <v>336</v>
      </c>
      <c r="B279" t="s">
        <v>503</v>
      </c>
      <c r="C279">
        <v>1</v>
      </c>
      <c r="D279">
        <v>77.3</v>
      </c>
      <c r="E279">
        <v>2.29</v>
      </c>
      <c r="F279">
        <v>27.8</v>
      </c>
      <c r="G279">
        <v>0.83</v>
      </c>
    </row>
    <row r="280" spans="1:7" x14ac:dyDescent="0.25">
      <c r="A280" t="s">
        <v>336</v>
      </c>
      <c r="B280" t="s">
        <v>503</v>
      </c>
      <c r="C280">
        <v>1</v>
      </c>
      <c r="D280">
        <v>78.040000000000006</v>
      </c>
      <c r="E280">
        <v>2.1</v>
      </c>
      <c r="F280">
        <v>28.94</v>
      </c>
      <c r="G280">
        <v>0.85</v>
      </c>
    </row>
    <row r="281" spans="1:7" x14ac:dyDescent="0.25">
      <c r="A281" t="s">
        <v>336</v>
      </c>
      <c r="B281" t="s">
        <v>503</v>
      </c>
      <c r="C281">
        <v>1</v>
      </c>
      <c r="D281">
        <v>78.59</v>
      </c>
      <c r="E281">
        <v>0.81</v>
      </c>
      <c r="F281">
        <v>41.35</v>
      </c>
      <c r="G281">
        <v>0.91</v>
      </c>
    </row>
    <row r="282" spans="1:7" x14ac:dyDescent="0.25">
      <c r="A282" t="s">
        <v>336</v>
      </c>
      <c r="B282" t="s">
        <v>503</v>
      </c>
      <c r="C282">
        <v>1</v>
      </c>
      <c r="D282">
        <v>79.55</v>
      </c>
      <c r="E282">
        <v>1.33</v>
      </c>
      <c r="F282">
        <v>34.89</v>
      </c>
      <c r="G282">
        <v>0.93</v>
      </c>
    </row>
    <row r="283" spans="1:7" x14ac:dyDescent="0.25">
      <c r="A283" t="s">
        <v>336</v>
      </c>
      <c r="B283" t="s">
        <v>503</v>
      </c>
      <c r="C283">
        <v>1</v>
      </c>
      <c r="D283">
        <v>80.790000000000006</v>
      </c>
      <c r="E283">
        <v>1.2</v>
      </c>
      <c r="F283">
        <v>36.17</v>
      </c>
      <c r="G283">
        <v>0.94</v>
      </c>
    </row>
    <row r="284" spans="1:7" x14ac:dyDescent="0.25">
      <c r="A284" t="s">
        <v>336</v>
      </c>
      <c r="B284" t="s">
        <v>503</v>
      </c>
      <c r="C284">
        <v>1</v>
      </c>
      <c r="D284">
        <v>81.790000000000006</v>
      </c>
      <c r="E284">
        <v>2.36</v>
      </c>
      <c r="F284">
        <v>27.41</v>
      </c>
      <c r="G284">
        <v>0.9</v>
      </c>
    </row>
    <row r="285" spans="1:7" x14ac:dyDescent="0.25">
      <c r="A285" t="s">
        <v>336</v>
      </c>
      <c r="B285" t="s">
        <v>503</v>
      </c>
      <c r="C285">
        <v>1</v>
      </c>
      <c r="D285">
        <v>82.44</v>
      </c>
      <c r="E285">
        <v>2</v>
      </c>
      <c r="F285">
        <v>29.56</v>
      </c>
      <c r="G285">
        <v>0.91</v>
      </c>
    </row>
    <row r="286" spans="1:7" x14ac:dyDescent="0.25">
      <c r="A286" t="s">
        <v>336</v>
      </c>
      <c r="B286" t="s">
        <v>503</v>
      </c>
      <c r="C286">
        <v>1</v>
      </c>
      <c r="D286">
        <v>82.87</v>
      </c>
      <c r="E286">
        <v>2.72</v>
      </c>
      <c r="F286">
        <v>25.54</v>
      </c>
      <c r="G286">
        <v>0.91</v>
      </c>
    </row>
    <row r="287" spans="1:7" x14ac:dyDescent="0.25">
      <c r="A287" t="s">
        <v>336</v>
      </c>
      <c r="B287" t="s">
        <v>503</v>
      </c>
      <c r="C287">
        <v>1</v>
      </c>
      <c r="D287">
        <v>83.97</v>
      </c>
      <c r="E287">
        <v>3.27</v>
      </c>
      <c r="F287">
        <v>23.17</v>
      </c>
      <c r="G287">
        <v>0.88</v>
      </c>
    </row>
    <row r="288" spans="1:7" x14ac:dyDescent="0.25">
      <c r="A288" t="s">
        <v>336</v>
      </c>
      <c r="B288" t="s">
        <v>503</v>
      </c>
      <c r="C288">
        <v>1</v>
      </c>
      <c r="D288">
        <v>84.24</v>
      </c>
      <c r="E288">
        <v>5.0599999999999996</v>
      </c>
      <c r="F288">
        <v>17.48</v>
      </c>
      <c r="G288">
        <v>0.9</v>
      </c>
    </row>
    <row r="289" spans="1:7" x14ac:dyDescent="0.25">
      <c r="A289" t="s">
        <v>336</v>
      </c>
      <c r="B289" t="s">
        <v>503</v>
      </c>
      <c r="C289">
        <v>1</v>
      </c>
      <c r="D289">
        <v>85.27</v>
      </c>
      <c r="E289">
        <v>6.29</v>
      </c>
      <c r="F289">
        <v>14.66</v>
      </c>
      <c r="G289">
        <v>0.87</v>
      </c>
    </row>
    <row r="290" spans="1:7" x14ac:dyDescent="0.25">
      <c r="A290" t="s">
        <v>336</v>
      </c>
      <c r="B290" t="s">
        <v>503</v>
      </c>
      <c r="C290">
        <v>1</v>
      </c>
      <c r="D290">
        <v>86.02</v>
      </c>
      <c r="E290">
        <v>7.43</v>
      </c>
      <c r="F290">
        <v>12.49</v>
      </c>
      <c r="G290">
        <v>0.84</v>
      </c>
    </row>
    <row r="291" spans="1:7" x14ac:dyDescent="0.25">
      <c r="A291" t="s">
        <v>336</v>
      </c>
      <c r="B291" t="s">
        <v>503</v>
      </c>
      <c r="C291">
        <v>3</v>
      </c>
      <c r="D291">
        <v>70.510000000000005</v>
      </c>
      <c r="E291">
        <v>18.88</v>
      </c>
      <c r="F291">
        <v>2.89</v>
      </c>
      <c r="G291">
        <v>0.51</v>
      </c>
    </row>
    <row r="292" spans="1:7" x14ac:dyDescent="0.25">
      <c r="A292" t="s">
        <v>336</v>
      </c>
      <c r="B292" t="s">
        <v>503</v>
      </c>
      <c r="C292">
        <v>3</v>
      </c>
      <c r="D292">
        <v>75.05</v>
      </c>
      <c r="E292">
        <v>18.55</v>
      </c>
      <c r="F292">
        <v>2.97</v>
      </c>
      <c r="G292">
        <v>0.53</v>
      </c>
    </row>
    <row r="293" spans="1:7" x14ac:dyDescent="0.25">
      <c r="A293" t="s">
        <v>336</v>
      </c>
      <c r="B293" t="s">
        <v>503</v>
      </c>
      <c r="C293">
        <v>3</v>
      </c>
      <c r="D293">
        <v>76.58</v>
      </c>
      <c r="E293">
        <v>16.68</v>
      </c>
      <c r="F293">
        <v>3.52</v>
      </c>
      <c r="G293">
        <v>0.52</v>
      </c>
    </row>
    <row r="294" spans="1:7" x14ac:dyDescent="0.25">
      <c r="A294" t="s">
        <v>336</v>
      </c>
      <c r="B294" t="s">
        <v>503</v>
      </c>
      <c r="C294">
        <v>3</v>
      </c>
      <c r="D294">
        <v>75.459999999999994</v>
      </c>
      <c r="E294">
        <v>11.29</v>
      </c>
      <c r="F294">
        <v>7.14</v>
      </c>
      <c r="G294">
        <v>0.65</v>
      </c>
    </row>
    <row r="295" spans="1:7" x14ac:dyDescent="0.25">
      <c r="A295" t="s">
        <v>336</v>
      </c>
      <c r="B295" t="s">
        <v>503</v>
      </c>
      <c r="C295">
        <v>3</v>
      </c>
      <c r="D295">
        <v>76.209999999999994</v>
      </c>
      <c r="E295">
        <v>8.41</v>
      </c>
      <c r="F295">
        <v>10.88</v>
      </c>
      <c r="G295">
        <v>0.76</v>
      </c>
    </row>
    <row r="296" spans="1:7" x14ac:dyDescent="0.25">
      <c r="A296" t="s">
        <v>336</v>
      </c>
      <c r="B296" t="s">
        <v>503</v>
      </c>
      <c r="C296">
        <v>3</v>
      </c>
      <c r="D296">
        <v>77.39</v>
      </c>
      <c r="E296">
        <v>7.2</v>
      </c>
      <c r="F296">
        <v>12.9</v>
      </c>
      <c r="G296">
        <v>0.79</v>
      </c>
    </row>
    <row r="297" spans="1:7" x14ac:dyDescent="0.25">
      <c r="A297" t="s">
        <v>336</v>
      </c>
      <c r="B297" t="s">
        <v>503</v>
      </c>
      <c r="C297">
        <v>3</v>
      </c>
      <c r="D297">
        <v>78.069999999999993</v>
      </c>
      <c r="E297">
        <v>7.14</v>
      </c>
      <c r="F297">
        <v>13.02</v>
      </c>
      <c r="G297">
        <v>0.85</v>
      </c>
    </row>
    <row r="298" spans="1:7" x14ac:dyDescent="0.25">
      <c r="A298" t="s">
        <v>336</v>
      </c>
      <c r="B298" t="s">
        <v>503</v>
      </c>
      <c r="C298">
        <v>3</v>
      </c>
      <c r="D298">
        <v>79.59</v>
      </c>
      <c r="E298">
        <v>6.76</v>
      </c>
      <c r="F298">
        <v>13.72</v>
      </c>
      <c r="G298">
        <v>0.87</v>
      </c>
    </row>
    <row r="299" spans="1:7" x14ac:dyDescent="0.25">
      <c r="A299" t="s">
        <v>336</v>
      </c>
      <c r="B299" t="s">
        <v>503</v>
      </c>
      <c r="C299">
        <v>3</v>
      </c>
      <c r="D299">
        <v>80.739999999999995</v>
      </c>
      <c r="E299">
        <v>5.86</v>
      </c>
      <c r="F299">
        <v>15.59</v>
      </c>
      <c r="G299">
        <v>0.85</v>
      </c>
    </row>
    <row r="300" spans="1:7" x14ac:dyDescent="0.25">
      <c r="A300" t="s">
        <v>336</v>
      </c>
      <c r="B300" t="s">
        <v>503</v>
      </c>
      <c r="C300">
        <v>3</v>
      </c>
      <c r="D300">
        <v>81.209999999999994</v>
      </c>
      <c r="E300">
        <v>4.74</v>
      </c>
      <c r="F300">
        <v>18.350000000000001</v>
      </c>
      <c r="G300">
        <v>0.88</v>
      </c>
    </row>
    <row r="301" spans="1:7" x14ac:dyDescent="0.25">
      <c r="A301" t="s">
        <v>336</v>
      </c>
      <c r="B301" t="s">
        <v>503</v>
      </c>
      <c r="C301">
        <v>3</v>
      </c>
      <c r="D301">
        <v>81.67</v>
      </c>
      <c r="E301">
        <v>5.99</v>
      </c>
      <c r="F301">
        <v>15.3</v>
      </c>
      <c r="G301">
        <v>0.86</v>
      </c>
    </row>
    <row r="302" spans="1:7" x14ac:dyDescent="0.25">
      <c r="A302" t="s">
        <v>336</v>
      </c>
      <c r="B302" t="s">
        <v>503</v>
      </c>
      <c r="C302">
        <v>3</v>
      </c>
      <c r="D302">
        <v>81.58</v>
      </c>
      <c r="E302">
        <v>6.52</v>
      </c>
      <c r="F302">
        <v>14.2</v>
      </c>
      <c r="G302">
        <v>0.88</v>
      </c>
    </row>
    <row r="303" spans="1:7" x14ac:dyDescent="0.25">
      <c r="A303" t="s">
        <v>336</v>
      </c>
      <c r="B303" t="s">
        <v>503</v>
      </c>
      <c r="C303">
        <v>3</v>
      </c>
      <c r="D303">
        <v>82.36</v>
      </c>
      <c r="E303">
        <v>6.44</v>
      </c>
      <c r="F303">
        <v>14.36</v>
      </c>
      <c r="G303">
        <v>0.9</v>
      </c>
    </row>
    <row r="304" spans="1:7" x14ac:dyDescent="0.25">
      <c r="A304" t="s">
        <v>336</v>
      </c>
      <c r="B304" t="s">
        <v>503</v>
      </c>
      <c r="C304">
        <v>3</v>
      </c>
      <c r="D304">
        <v>83.01</v>
      </c>
      <c r="E304">
        <v>7.42</v>
      </c>
      <c r="F304">
        <v>12.52</v>
      </c>
      <c r="G304">
        <v>0.9</v>
      </c>
    </row>
    <row r="305" spans="1:7" x14ac:dyDescent="0.25">
      <c r="A305" t="s">
        <v>336</v>
      </c>
      <c r="B305" t="s">
        <v>503</v>
      </c>
      <c r="C305">
        <v>3</v>
      </c>
      <c r="D305">
        <v>83.74</v>
      </c>
      <c r="E305">
        <v>7.77</v>
      </c>
      <c r="F305">
        <v>11.91</v>
      </c>
      <c r="G305">
        <v>0.89</v>
      </c>
    </row>
    <row r="306" spans="1:7" x14ac:dyDescent="0.25">
      <c r="A306" t="s">
        <v>336</v>
      </c>
      <c r="B306" t="s">
        <v>503</v>
      </c>
      <c r="C306">
        <v>3</v>
      </c>
      <c r="D306">
        <v>85.11</v>
      </c>
      <c r="E306">
        <v>9.52</v>
      </c>
      <c r="F306">
        <v>9.2899999999999991</v>
      </c>
      <c r="G306">
        <v>0.87</v>
      </c>
    </row>
    <row r="307" spans="1:7" x14ac:dyDescent="0.25">
      <c r="A307" t="s">
        <v>336</v>
      </c>
      <c r="B307" t="s">
        <v>503</v>
      </c>
      <c r="C307">
        <v>3</v>
      </c>
      <c r="D307">
        <v>86.75</v>
      </c>
      <c r="E307">
        <v>9.75</v>
      </c>
      <c r="F307">
        <v>8.9700000000000006</v>
      </c>
      <c r="G307">
        <v>0.83</v>
      </c>
    </row>
    <row r="308" spans="1:7" x14ac:dyDescent="0.25">
      <c r="A308" t="s">
        <v>496</v>
      </c>
      <c r="B308" t="s">
        <v>498</v>
      </c>
      <c r="C308">
        <v>0</v>
      </c>
      <c r="D308">
        <v>94.43</v>
      </c>
      <c r="E308">
        <v>17.12</v>
      </c>
      <c r="F308">
        <v>3.37</v>
      </c>
      <c r="G308">
        <v>0.79</v>
      </c>
    </row>
    <row r="309" spans="1:7" x14ac:dyDescent="0.25">
      <c r="A309" t="s">
        <v>496</v>
      </c>
      <c r="B309" t="s">
        <v>498</v>
      </c>
      <c r="C309">
        <v>0</v>
      </c>
      <c r="D309">
        <v>94.31</v>
      </c>
      <c r="E309">
        <v>16.53</v>
      </c>
      <c r="F309">
        <v>3.57</v>
      </c>
      <c r="G309">
        <v>0.81</v>
      </c>
    </row>
    <row r="310" spans="1:7" x14ac:dyDescent="0.25">
      <c r="A310" t="s">
        <v>496</v>
      </c>
      <c r="B310" t="s">
        <v>498</v>
      </c>
      <c r="C310">
        <v>0</v>
      </c>
      <c r="D310">
        <v>93.15</v>
      </c>
      <c r="E310">
        <v>18.02</v>
      </c>
      <c r="F310">
        <v>3.1</v>
      </c>
      <c r="G310">
        <v>0.82</v>
      </c>
    </row>
    <row r="311" spans="1:7" x14ac:dyDescent="0.25">
      <c r="A311" t="s">
        <v>496</v>
      </c>
      <c r="B311" t="s">
        <v>498</v>
      </c>
      <c r="C311">
        <v>0</v>
      </c>
      <c r="D311">
        <v>92.34</v>
      </c>
      <c r="E311">
        <v>18.38</v>
      </c>
      <c r="F311">
        <v>3.01</v>
      </c>
      <c r="G311">
        <v>0.82</v>
      </c>
    </row>
    <row r="312" spans="1:7" x14ac:dyDescent="0.25">
      <c r="A312" t="s">
        <v>496</v>
      </c>
      <c r="B312" t="s">
        <v>498</v>
      </c>
      <c r="C312">
        <v>0</v>
      </c>
      <c r="D312">
        <v>91.92</v>
      </c>
      <c r="E312">
        <v>18.32</v>
      </c>
      <c r="F312">
        <v>3.03</v>
      </c>
      <c r="G312">
        <v>0.8</v>
      </c>
    </row>
    <row r="313" spans="1:7" x14ac:dyDescent="0.25">
      <c r="A313" t="s">
        <v>496</v>
      </c>
      <c r="B313" t="s">
        <v>498</v>
      </c>
      <c r="C313">
        <v>0</v>
      </c>
      <c r="D313">
        <v>92.54</v>
      </c>
      <c r="E313">
        <v>18.39</v>
      </c>
      <c r="F313">
        <v>3.01</v>
      </c>
      <c r="G313">
        <v>0.78</v>
      </c>
    </row>
    <row r="314" spans="1:7" x14ac:dyDescent="0.25">
      <c r="A314" t="s">
        <v>496</v>
      </c>
      <c r="B314" t="s">
        <v>498</v>
      </c>
      <c r="C314">
        <v>1</v>
      </c>
      <c r="D314">
        <v>88.68</v>
      </c>
      <c r="E314">
        <v>21.36</v>
      </c>
      <c r="F314">
        <v>2.4</v>
      </c>
      <c r="G314">
        <v>0.89</v>
      </c>
    </row>
    <row r="315" spans="1:7" x14ac:dyDescent="0.25">
      <c r="A315" t="s">
        <v>496</v>
      </c>
      <c r="B315" t="s">
        <v>498</v>
      </c>
      <c r="C315">
        <v>1</v>
      </c>
      <c r="D315">
        <v>88.69</v>
      </c>
      <c r="E315">
        <v>21.71</v>
      </c>
      <c r="F315">
        <v>2.34</v>
      </c>
      <c r="G315">
        <v>0.89</v>
      </c>
    </row>
    <row r="316" spans="1:7" x14ac:dyDescent="0.25">
      <c r="A316" t="s">
        <v>496</v>
      </c>
      <c r="B316" t="s">
        <v>498</v>
      </c>
      <c r="C316">
        <v>1</v>
      </c>
      <c r="D316">
        <v>88.64</v>
      </c>
      <c r="E316">
        <v>22.11</v>
      </c>
      <c r="F316">
        <v>2.2799999999999998</v>
      </c>
      <c r="G316">
        <v>0.86</v>
      </c>
    </row>
    <row r="317" spans="1:7" x14ac:dyDescent="0.25">
      <c r="A317" t="s">
        <v>496</v>
      </c>
      <c r="B317" t="s">
        <v>498</v>
      </c>
      <c r="C317">
        <v>1</v>
      </c>
      <c r="D317">
        <v>88.78</v>
      </c>
      <c r="E317">
        <v>22.77</v>
      </c>
      <c r="F317">
        <v>2.1800000000000002</v>
      </c>
      <c r="G317">
        <v>0.88</v>
      </c>
    </row>
    <row r="318" spans="1:7" x14ac:dyDescent="0.25">
      <c r="A318" t="s">
        <v>496</v>
      </c>
      <c r="B318" t="s">
        <v>498</v>
      </c>
      <c r="C318">
        <v>1</v>
      </c>
      <c r="D318">
        <v>86.98</v>
      </c>
      <c r="E318">
        <v>21.76</v>
      </c>
      <c r="F318">
        <v>2.33</v>
      </c>
      <c r="G318">
        <v>0.86</v>
      </c>
    </row>
    <row r="319" spans="1:7" x14ac:dyDescent="0.25">
      <c r="A319" t="s">
        <v>496</v>
      </c>
      <c r="B319" t="s">
        <v>498</v>
      </c>
      <c r="C319">
        <v>1</v>
      </c>
      <c r="D319">
        <v>86.8</v>
      </c>
      <c r="E319">
        <v>21.61</v>
      </c>
      <c r="F319">
        <v>2.36</v>
      </c>
      <c r="G319">
        <v>0.84</v>
      </c>
    </row>
    <row r="320" spans="1:7" x14ac:dyDescent="0.25">
      <c r="A320" t="s">
        <v>496</v>
      </c>
      <c r="B320" t="s">
        <v>498</v>
      </c>
      <c r="C320">
        <v>2</v>
      </c>
      <c r="D320">
        <v>88.93</v>
      </c>
      <c r="E320">
        <v>19.47</v>
      </c>
      <c r="F320">
        <v>2.75</v>
      </c>
      <c r="G320">
        <v>0.9</v>
      </c>
    </row>
    <row r="321" spans="1:7" x14ac:dyDescent="0.25">
      <c r="A321" t="s">
        <v>496</v>
      </c>
      <c r="B321" t="s">
        <v>498</v>
      </c>
      <c r="C321">
        <v>2</v>
      </c>
      <c r="D321">
        <v>88.65</v>
      </c>
      <c r="E321">
        <v>20.18</v>
      </c>
      <c r="F321">
        <v>2.61</v>
      </c>
      <c r="G321">
        <v>0.92</v>
      </c>
    </row>
    <row r="322" spans="1:7" x14ac:dyDescent="0.25">
      <c r="A322" t="s">
        <v>496</v>
      </c>
      <c r="B322" t="s">
        <v>498</v>
      </c>
      <c r="C322">
        <v>2</v>
      </c>
      <c r="D322">
        <v>88.86</v>
      </c>
      <c r="E322">
        <v>19.98</v>
      </c>
      <c r="F322">
        <v>2.65</v>
      </c>
      <c r="G322">
        <v>0.88</v>
      </c>
    </row>
    <row r="323" spans="1:7" x14ac:dyDescent="0.25">
      <c r="A323" t="s">
        <v>496</v>
      </c>
      <c r="B323" t="s">
        <v>498</v>
      </c>
      <c r="C323">
        <v>2</v>
      </c>
      <c r="D323">
        <v>88.43</v>
      </c>
      <c r="E323">
        <v>20.9</v>
      </c>
      <c r="F323">
        <v>2.48</v>
      </c>
      <c r="G323">
        <v>0.88</v>
      </c>
    </row>
    <row r="324" spans="1:7" x14ac:dyDescent="0.25">
      <c r="A324" t="s">
        <v>496</v>
      </c>
      <c r="B324" t="s">
        <v>498</v>
      </c>
      <c r="C324">
        <v>2</v>
      </c>
      <c r="D324">
        <v>87.83</v>
      </c>
      <c r="E324">
        <v>20.18</v>
      </c>
      <c r="F324">
        <v>2.61</v>
      </c>
      <c r="G324">
        <v>0.89</v>
      </c>
    </row>
    <row r="325" spans="1:7" x14ac:dyDescent="0.25">
      <c r="A325" t="s">
        <v>496</v>
      </c>
      <c r="B325" t="s">
        <v>498</v>
      </c>
      <c r="C325">
        <v>2</v>
      </c>
      <c r="D325">
        <v>87.02</v>
      </c>
      <c r="E325">
        <v>18.97</v>
      </c>
      <c r="F325">
        <v>2.87</v>
      </c>
      <c r="G325">
        <v>0.87</v>
      </c>
    </row>
    <row r="326" spans="1:7" x14ac:dyDescent="0.25">
      <c r="A326" t="s">
        <v>496</v>
      </c>
      <c r="B326" t="s">
        <v>499</v>
      </c>
      <c r="C326">
        <v>0</v>
      </c>
      <c r="D326">
        <v>94.92</v>
      </c>
      <c r="E326">
        <v>29.84</v>
      </c>
      <c r="F326">
        <v>1.45</v>
      </c>
      <c r="G326">
        <v>0.76</v>
      </c>
    </row>
    <row r="327" spans="1:7" x14ac:dyDescent="0.25">
      <c r="A327" t="s">
        <v>496</v>
      </c>
      <c r="B327" t="s">
        <v>499</v>
      </c>
      <c r="C327">
        <v>0</v>
      </c>
      <c r="D327">
        <v>94.72</v>
      </c>
      <c r="E327">
        <v>31.28</v>
      </c>
      <c r="F327">
        <v>1.34</v>
      </c>
      <c r="G327">
        <v>0.76</v>
      </c>
    </row>
    <row r="328" spans="1:7" x14ac:dyDescent="0.25">
      <c r="A328" t="s">
        <v>496</v>
      </c>
      <c r="B328" t="s">
        <v>499</v>
      </c>
      <c r="C328">
        <v>0</v>
      </c>
      <c r="D328">
        <v>93.37</v>
      </c>
      <c r="E328">
        <v>30.81</v>
      </c>
      <c r="F328">
        <v>1.37</v>
      </c>
      <c r="G328">
        <v>0.71</v>
      </c>
    </row>
    <row r="329" spans="1:7" x14ac:dyDescent="0.25">
      <c r="A329" t="s">
        <v>496</v>
      </c>
      <c r="B329" t="s">
        <v>499</v>
      </c>
      <c r="C329">
        <v>0</v>
      </c>
      <c r="D329">
        <v>92.54</v>
      </c>
      <c r="E329">
        <v>31.25</v>
      </c>
      <c r="F329">
        <v>1.34</v>
      </c>
      <c r="G329">
        <v>0.7</v>
      </c>
    </row>
    <row r="330" spans="1:7" x14ac:dyDescent="0.25">
      <c r="A330" t="s">
        <v>496</v>
      </c>
      <c r="B330" t="s">
        <v>499</v>
      </c>
      <c r="C330">
        <v>0</v>
      </c>
      <c r="D330">
        <v>93.07</v>
      </c>
      <c r="E330">
        <v>27.53</v>
      </c>
      <c r="F330">
        <v>1.64</v>
      </c>
      <c r="G330">
        <v>0.71</v>
      </c>
    </row>
    <row r="331" spans="1:7" x14ac:dyDescent="0.25">
      <c r="A331" t="s">
        <v>496</v>
      </c>
      <c r="B331" t="s">
        <v>499</v>
      </c>
      <c r="C331">
        <v>0</v>
      </c>
      <c r="D331">
        <v>93.06</v>
      </c>
      <c r="E331">
        <v>21.8</v>
      </c>
      <c r="F331">
        <v>2.33</v>
      </c>
      <c r="G331">
        <v>0.71</v>
      </c>
    </row>
    <row r="332" spans="1:7" x14ac:dyDescent="0.25">
      <c r="A332" t="s">
        <v>496</v>
      </c>
      <c r="B332" t="s">
        <v>499</v>
      </c>
      <c r="C332">
        <v>0</v>
      </c>
      <c r="D332">
        <v>92.37</v>
      </c>
      <c r="E332">
        <v>16.18</v>
      </c>
      <c r="F332">
        <v>3.71</v>
      </c>
      <c r="G332">
        <v>0.76</v>
      </c>
    </row>
    <row r="333" spans="1:7" x14ac:dyDescent="0.25">
      <c r="A333" t="s">
        <v>496</v>
      </c>
      <c r="B333" t="s">
        <v>499</v>
      </c>
      <c r="C333">
        <v>0</v>
      </c>
      <c r="D333">
        <v>91.93</v>
      </c>
      <c r="E333">
        <v>15.63</v>
      </c>
      <c r="F333">
        <v>3.93</v>
      </c>
      <c r="G333">
        <v>0.77</v>
      </c>
    </row>
    <row r="334" spans="1:7" x14ac:dyDescent="0.25">
      <c r="A334" t="s">
        <v>496</v>
      </c>
      <c r="B334" t="s">
        <v>499</v>
      </c>
      <c r="C334">
        <v>0</v>
      </c>
      <c r="D334">
        <v>91.58</v>
      </c>
      <c r="E334">
        <v>16.510000000000002</v>
      </c>
      <c r="F334">
        <v>3.58</v>
      </c>
      <c r="G334">
        <v>0.74</v>
      </c>
    </row>
    <row r="335" spans="1:7" x14ac:dyDescent="0.25">
      <c r="A335" t="s">
        <v>496</v>
      </c>
      <c r="B335" t="s">
        <v>499</v>
      </c>
      <c r="C335">
        <v>0</v>
      </c>
      <c r="D335">
        <v>91.08</v>
      </c>
      <c r="E335">
        <v>17.7</v>
      </c>
      <c r="F335">
        <v>3.19</v>
      </c>
      <c r="G335">
        <v>0.74</v>
      </c>
    </row>
    <row r="336" spans="1:7" x14ac:dyDescent="0.25">
      <c r="A336" t="s">
        <v>496</v>
      </c>
      <c r="B336" t="s">
        <v>499</v>
      </c>
      <c r="C336">
        <v>0</v>
      </c>
      <c r="D336">
        <v>90.84</v>
      </c>
      <c r="E336">
        <v>20.51</v>
      </c>
      <c r="F336">
        <v>2.5499999999999998</v>
      </c>
      <c r="G336">
        <v>0.71</v>
      </c>
    </row>
    <row r="337" spans="1:7" x14ac:dyDescent="0.25">
      <c r="A337" t="s">
        <v>496</v>
      </c>
      <c r="B337" t="s">
        <v>499</v>
      </c>
      <c r="C337">
        <v>0</v>
      </c>
      <c r="D337">
        <v>90.32</v>
      </c>
      <c r="E337">
        <v>22.78</v>
      </c>
      <c r="F337">
        <v>2.1800000000000002</v>
      </c>
      <c r="G337">
        <v>0.69</v>
      </c>
    </row>
    <row r="338" spans="1:7" x14ac:dyDescent="0.25">
      <c r="A338" t="s">
        <v>496</v>
      </c>
      <c r="B338" t="s">
        <v>499</v>
      </c>
      <c r="C338">
        <v>1</v>
      </c>
      <c r="D338">
        <v>93.3</v>
      </c>
      <c r="E338">
        <v>16.2</v>
      </c>
      <c r="F338">
        <v>3.7</v>
      </c>
      <c r="G338">
        <v>0.72</v>
      </c>
    </row>
    <row r="339" spans="1:7" x14ac:dyDescent="0.25">
      <c r="A339" t="s">
        <v>496</v>
      </c>
      <c r="B339" t="s">
        <v>499</v>
      </c>
      <c r="C339">
        <v>1</v>
      </c>
      <c r="D339">
        <v>96.53</v>
      </c>
      <c r="E339">
        <v>26.22</v>
      </c>
      <c r="F339">
        <v>1.77</v>
      </c>
      <c r="G339">
        <v>0.73</v>
      </c>
    </row>
    <row r="340" spans="1:7" x14ac:dyDescent="0.25">
      <c r="A340" t="s">
        <v>496</v>
      </c>
      <c r="B340" t="s">
        <v>499</v>
      </c>
      <c r="C340">
        <v>1</v>
      </c>
      <c r="D340">
        <v>98.27</v>
      </c>
      <c r="E340">
        <v>32.61</v>
      </c>
      <c r="F340">
        <v>1.25</v>
      </c>
      <c r="G340">
        <v>0.66</v>
      </c>
    </row>
    <row r="341" spans="1:7" x14ac:dyDescent="0.25">
      <c r="A341" t="s">
        <v>496</v>
      </c>
      <c r="B341" t="s">
        <v>499</v>
      </c>
      <c r="C341">
        <v>1</v>
      </c>
      <c r="D341">
        <v>99.09</v>
      </c>
      <c r="E341">
        <v>31.81</v>
      </c>
      <c r="F341">
        <v>1.3</v>
      </c>
      <c r="G341">
        <v>0.67</v>
      </c>
    </row>
    <row r="342" spans="1:7" x14ac:dyDescent="0.25">
      <c r="A342" t="s">
        <v>496</v>
      </c>
      <c r="B342" t="s">
        <v>499</v>
      </c>
      <c r="C342">
        <v>1</v>
      </c>
      <c r="D342">
        <v>95.94</v>
      </c>
      <c r="E342">
        <v>35.25</v>
      </c>
      <c r="F342">
        <v>1.08</v>
      </c>
      <c r="G342">
        <v>0.59</v>
      </c>
    </row>
    <row r="343" spans="1:7" x14ac:dyDescent="0.25">
      <c r="A343" t="s">
        <v>496</v>
      </c>
      <c r="B343" t="s">
        <v>499</v>
      </c>
      <c r="C343">
        <v>1</v>
      </c>
      <c r="D343">
        <v>94.87</v>
      </c>
      <c r="E343">
        <v>30.15</v>
      </c>
      <c r="F343">
        <v>1.42</v>
      </c>
      <c r="G343">
        <v>0.59</v>
      </c>
    </row>
    <row r="344" spans="1:7" x14ac:dyDescent="0.25">
      <c r="A344" t="s">
        <v>496</v>
      </c>
      <c r="B344" t="s">
        <v>499</v>
      </c>
      <c r="C344">
        <v>1</v>
      </c>
      <c r="D344">
        <v>95.01</v>
      </c>
      <c r="E344">
        <v>23.9</v>
      </c>
      <c r="F344">
        <v>2.0299999999999998</v>
      </c>
      <c r="G344">
        <v>0.67</v>
      </c>
    </row>
    <row r="345" spans="1:7" x14ac:dyDescent="0.25">
      <c r="A345" t="s">
        <v>496</v>
      </c>
      <c r="B345" t="s">
        <v>499</v>
      </c>
      <c r="C345">
        <v>1</v>
      </c>
      <c r="D345">
        <v>94.01</v>
      </c>
      <c r="E345">
        <v>21.83</v>
      </c>
      <c r="F345">
        <v>2.3199999999999998</v>
      </c>
      <c r="G345">
        <v>0.68</v>
      </c>
    </row>
    <row r="346" spans="1:7" x14ac:dyDescent="0.25">
      <c r="A346" t="s">
        <v>496</v>
      </c>
      <c r="B346" t="s">
        <v>499</v>
      </c>
      <c r="C346">
        <v>1</v>
      </c>
      <c r="D346">
        <v>93.06</v>
      </c>
      <c r="E346">
        <v>19.64</v>
      </c>
      <c r="F346">
        <v>2.72</v>
      </c>
      <c r="G346">
        <v>0.69</v>
      </c>
    </row>
    <row r="347" spans="1:7" x14ac:dyDescent="0.25">
      <c r="A347" t="s">
        <v>496</v>
      </c>
      <c r="B347" t="s">
        <v>499</v>
      </c>
      <c r="C347">
        <v>1</v>
      </c>
      <c r="D347">
        <v>92.67</v>
      </c>
      <c r="E347">
        <v>19.36</v>
      </c>
      <c r="F347">
        <v>2.78</v>
      </c>
      <c r="G347">
        <v>0.7</v>
      </c>
    </row>
    <row r="348" spans="1:7" x14ac:dyDescent="0.25">
      <c r="A348" t="s">
        <v>496</v>
      </c>
      <c r="B348" t="s">
        <v>499</v>
      </c>
      <c r="C348">
        <v>1</v>
      </c>
      <c r="D348">
        <v>92.65</v>
      </c>
      <c r="E348">
        <v>21.16</v>
      </c>
      <c r="F348">
        <v>2.4300000000000002</v>
      </c>
      <c r="G348">
        <v>0.7</v>
      </c>
    </row>
    <row r="349" spans="1:7" x14ac:dyDescent="0.25">
      <c r="A349" t="s">
        <v>496</v>
      </c>
      <c r="B349" t="s">
        <v>499</v>
      </c>
      <c r="C349">
        <v>1</v>
      </c>
      <c r="D349">
        <v>92.96</v>
      </c>
      <c r="E349">
        <v>23.47</v>
      </c>
      <c r="F349">
        <v>2.09</v>
      </c>
      <c r="G349">
        <v>0.7</v>
      </c>
    </row>
    <row r="350" spans="1:7" x14ac:dyDescent="0.25">
      <c r="A350" t="s">
        <v>559</v>
      </c>
      <c r="B350" t="s">
        <v>493</v>
      </c>
      <c r="C350">
        <v>0</v>
      </c>
      <c r="D350">
        <v>67.959999999999994</v>
      </c>
      <c r="E350">
        <v>35.090000000000003</v>
      </c>
      <c r="F350">
        <v>1.0900000000000001</v>
      </c>
      <c r="G350">
        <v>0.62</v>
      </c>
    </row>
    <row r="351" spans="1:7" x14ac:dyDescent="0.25">
      <c r="A351" t="s">
        <v>559</v>
      </c>
      <c r="B351" t="s">
        <v>493</v>
      </c>
      <c r="C351">
        <v>0</v>
      </c>
      <c r="D351">
        <v>69.02</v>
      </c>
      <c r="E351">
        <v>31.11</v>
      </c>
      <c r="F351">
        <v>1.35</v>
      </c>
      <c r="G351">
        <v>0.62</v>
      </c>
    </row>
    <row r="352" spans="1:7" x14ac:dyDescent="0.25">
      <c r="A352" t="s">
        <v>559</v>
      </c>
      <c r="B352" t="s">
        <v>493</v>
      </c>
      <c r="C352">
        <v>0</v>
      </c>
      <c r="D352">
        <v>69.73</v>
      </c>
      <c r="E352">
        <v>30.43</v>
      </c>
      <c r="F352">
        <v>1.4</v>
      </c>
      <c r="G352">
        <v>0.71</v>
      </c>
    </row>
    <row r="353" spans="1:7" x14ac:dyDescent="0.25">
      <c r="A353" t="s">
        <v>559</v>
      </c>
      <c r="B353" t="s">
        <v>493</v>
      </c>
      <c r="C353">
        <v>0</v>
      </c>
      <c r="D353">
        <v>71.34</v>
      </c>
      <c r="E353">
        <v>31.94</v>
      </c>
      <c r="F353">
        <v>1.29</v>
      </c>
      <c r="G353">
        <v>0.8</v>
      </c>
    </row>
    <row r="354" spans="1:7" x14ac:dyDescent="0.25">
      <c r="A354" t="s">
        <v>559</v>
      </c>
      <c r="B354" t="s">
        <v>493</v>
      </c>
      <c r="C354">
        <v>0</v>
      </c>
      <c r="D354">
        <v>71.69</v>
      </c>
      <c r="E354">
        <v>34.950000000000003</v>
      </c>
      <c r="F354">
        <v>1.1000000000000001</v>
      </c>
      <c r="G354">
        <v>0.8</v>
      </c>
    </row>
    <row r="355" spans="1:7" x14ac:dyDescent="0.25">
      <c r="A355" t="s">
        <v>559</v>
      </c>
      <c r="B355" t="s">
        <v>493</v>
      </c>
      <c r="C355">
        <v>0</v>
      </c>
      <c r="D355">
        <v>72.569999999999993</v>
      </c>
      <c r="E355">
        <v>34.590000000000003</v>
      </c>
      <c r="F355">
        <v>1.1200000000000001</v>
      </c>
      <c r="G355">
        <v>0.79</v>
      </c>
    </row>
    <row r="356" spans="1:7" x14ac:dyDescent="0.25">
      <c r="A356" t="s">
        <v>559</v>
      </c>
      <c r="B356" t="s">
        <v>493</v>
      </c>
      <c r="C356">
        <v>0</v>
      </c>
      <c r="D356">
        <v>74.63</v>
      </c>
      <c r="E356">
        <v>35.82</v>
      </c>
      <c r="F356">
        <v>1.05</v>
      </c>
      <c r="G356">
        <v>0.81</v>
      </c>
    </row>
    <row r="357" spans="1:7" x14ac:dyDescent="0.25">
      <c r="A357" t="s">
        <v>559</v>
      </c>
      <c r="B357" t="s">
        <v>493</v>
      </c>
      <c r="C357">
        <v>0</v>
      </c>
      <c r="D357">
        <v>77.94</v>
      </c>
      <c r="E357">
        <v>37.15</v>
      </c>
      <c r="F357">
        <v>0.98</v>
      </c>
      <c r="G357">
        <v>0.83</v>
      </c>
    </row>
    <row r="358" spans="1:7" x14ac:dyDescent="0.25">
      <c r="A358" t="s">
        <v>559</v>
      </c>
      <c r="B358" t="s">
        <v>493</v>
      </c>
      <c r="C358">
        <v>0</v>
      </c>
      <c r="D358">
        <v>79.36</v>
      </c>
      <c r="E358">
        <v>40.119999999999997</v>
      </c>
      <c r="F358">
        <v>0.83</v>
      </c>
      <c r="G358">
        <v>0.73</v>
      </c>
    </row>
    <row r="359" spans="1:7" x14ac:dyDescent="0.25">
      <c r="A359" t="s">
        <v>559</v>
      </c>
      <c r="B359" t="s">
        <v>493</v>
      </c>
      <c r="C359">
        <v>0</v>
      </c>
      <c r="D359">
        <v>80.510000000000005</v>
      </c>
      <c r="E359">
        <v>42.79</v>
      </c>
      <c r="F359">
        <v>0.72</v>
      </c>
      <c r="G359">
        <v>0.71</v>
      </c>
    </row>
    <row r="360" spans="1:7" x14ac:dyDescent="0.25">
      <c r="A360" t="s">
        <v>559</v>
      </c>
      <c r="B360" t="s">
        <v>493</v>
      </c>
      <c r="C360">
        <v>0</v>
      </c>
      <c r="D360">
        <v>79.11</v>
      </c>
      <c r="E360">
        <v>45.69</v>
      </c>
      <c r="F360">
        <v>0.6</v>
      </c>
      <c r="G360">
        <v>0.64</v>
      </c>
    </row>
    <row r="361" spans="1:7" x14ac:dyDescent="0.25">
      <c r="A361" t="s">
        <v>559</v>
      </c>
      <c r="B361" t="s">
        <v>493</v>
      </c>
      <c r="C361">
        <v>0</v>
      </c>
      <c r="D361">
        <v>79.33</v>
      </c>
      <c r="E361">
        <v>50.9</v>
      </c>
      <c r="F361">
        <v>0.42</v>
      </c>
      <c r="G361">
        <v>0.48</v>
      </c>
    </row>
    <row r="362" spans="1:7" x14ac:dyDescent="0.25">
      <c r="A362" t="s">
        <v>559</v>
      </c>
      <c r="B362" t="s">
        <v>493</v>
      </c>
      <c r="C362">
        <v>0</v>
      </c>
      <c r="D362">
        <v>75.95</v>
      </c>
      <c r="E362">
        <v>54.46</v>
      </c>
      <c r="F362">
        <v>0.31</v>
      </c>
      <c r="G362">
        <v>0.37</v>
      </c>
    </row>
    <row r="363" spans="1:7" x14ac:dyDescent="0.25">
      <c r="A363" t="s">
        <v>559</v>
      </c>
      <c r="B363" t="s">
        <v>493</v>
      </c>
      <c r="C363">
        <v>0</v>
      </c>
      <c r="D363">
        <v>70.09</v>
      </c>
      <c r="E363">
        <v>55.97</v>
      </c>
      <c r="F363">
        <v>0.27</v>
      </c>
      <c r="G363">
        <v>0.35</v>
      </c>
    </row>
    <row r="364" spans="1:7" x14ac:dyDescent="0.25">
      <c r="A364" t="s">
        <v>559</v>
      </c>
      <c r="B364" t="s">
        <v>493</v>
      </c>
      <c r="C364">
        <v>0</v>
      </c>
      <c r="D364">
        <v>64.64</v>
      </c>
      <c r="E364">
        <v>58.35</v>
      </c>
      <c r="F364">
        <v>0.2</v>
      </c>
      <c r="G364">
        <v>0.23</v>
      </c>
    </row>
    <row r="365" spans="1:7" x14ac:dyDescent="0.25">
      <c r="A365" t="s">
        <v>559</v>
      </c>
      <c r="B365" t="s">
        <v>493</v>
      </c>
      <c r="C365">
        <v>0</v>
      </c>
      <c r="D365">
        <v>22.27</v>
      </c>
      <c r="E365">
        <v>62.92</v>
      </c>
      <c r="F365">
        <v>0.09</v>
      </c>
      <c r="G365">
        <v>0.05</v>
      </c>
    </row>
    <row r="366" spans="1:7" x14ac:dyDescent="0.25">
      <c r="A366" t="s">
        <v>559</v>
      </c>
      <c r="B366" t="s">
        <v>493</v>
      </c>
      <c r="C366">
        <v>0</v>
      </c>
      <c r="D366">
        <v>174.58</v>
      </c>
      <c r="E366">
        <v>63.34</v>
      </c>
      <c r="F366">
        <v>0.08</v>
      </c>
      <c r="G366">
        <v>0.02</v>
      </c>
    </row>
    <row r="367" spans="1:7" x14ac:dyDescent="0.25">
      <c r="A367" t="s">
        <v>559</v>
      </c>
      <c r="B367" t="s">
        <v>493</v>
      </c>
      <c r="C367">
        <v>0</v>
      </c>
      <c r="D367">
        <v>175.51</v>
      </c>
      <c r="E367">
        <v>62.25</v>
      </c>
      <c r="F367">
        <v>0.11</v>
      </c>
      <c r="G367">
        <v>0.03</v>
      </c>
    </row>
    <row r="368" spans="1:7" x14ac:dyDescent="0.25">
      <c r="A368" t="s">
        <v>559</v>
      </c>
      <c r="B368" t="s">
        <v>502</v>
      </c>
      <c r="C368">
        <v>0</v>
      </c>
      <c r="D368">
        <v>101.79</v>
      </c>
      <c r="E368">
        <v>12.37</v>
      </c>
      <c r="F368">
        <v>6.06</v>
      </c>
      <c r="G368">
        <v>0.68</v>
      </c>
    </row>
    <row r="369" spans="1:7" x14ac:dyDescent="0.25">
      <c r="A369" t="s">
        <v>559</v>
      </c>
      <c r="B369" t="s">
        <v>502</v>
      </c>
      <c r="C369">
        <v>0</v>
      </c>
      <c r="D369">
        <v>100.99</v>
      </c>
      <c r="E369">
        <v>9.26</v>
      </c>
      <c r="F369">
        <v>9.65</v>
      </c>
      <c r="G369">
        <v>0.81</v>
      </c>
    </row>
    <row r="370" spans="1:7" x14ac:dyDescent="0.25">
      <c r="A370" t="s">
        <v>559</v>
      </c>
      <c r="B370" t="s">
        <v>502</v>
      </c>
      <c r="C370">
        <v>0</v>
      </c>
      <c r="D370">
        <v>102.93</v>
      </c>
      <c r="E370">
        <v>10.62</v>
      </c>
      <c r="F370">
        <v>7.89</v>
      </c>
      <c r="G370">
        <v>0.75</v>
      </c>
    </row>
    <row r="371" spans="1:7" x14ac:dyDescent="0.25">
      <c r="A371" t="s">
        <v>559</v>
      </c>
      <c r="B371" t="s">
        <v>502</v>
      </c>
      <c r="C371">
        <v>0</v>
      </c>
      <c r="D371">
        <v>101.51</v>
      </c>
      <c r="E371">
        <v>14.58</v>
      </c>
      <c r="F371">
        <v>4.46</v>
      </c>
      <c r="G371">
        <v>0.69</v>
      </c>
    </row>
    <row r="372" spans="1:7" x14ac:dyDescent="0.25">
      <c r="A372" t="s">
        <v>559</v>
      </c>
      <c r="B372" t="s">
        <v>502</v>
      </c>
      <c r="C372">
        <v>0</v>
      </c>
      <c r="D372">
        <v>98.12</v>
      </c>
      <c r="E372">
        <v>16.87</v>
      </c>
      <c r="F372">
        <v>3.45</v>
      </c>
      <c r="G372">
        <v>0.7</v>
      </c>
    </row>
    <row r="373" spans="1:7" x14ac:dyDescent="0.25">
      <c r="A373" t="s">
        <v>559</v>
      </c>
      <c r="B373" t="s">
        <v>502</v>
      </c>
      <c r="C373">
        <v>0</v>
      </c>
      <c r="D373">
        <v>96.66</v>
      </c>
      <c r="E373">
        <v>14.83</v>
      </c>
      <c r="F373">
        <v>4.32</v>
      </c>
      <c r="G373">
        <v>0.75</v>
      </c>
    </row>
    <row r="374" spans="1:7" x14ac:dyDescent="0.25">
      <c r="A374" t="s">
        <v>559</v>
      </c>
      <c r="B374" t="s">
        <v>502</v>
      </c>
      <c r="C374">
        <v>0</v>
      </c>
      <c r="D374">
        <v>96.06</v>
      </c>
      <c r="E374">
        <v>12.81</v>
      </c>
      <c r="F374">
        <v>5.68</v>
      </c>
      <c r="G374">
        <v>0.81</v>
      </c>
    </row>
    <row r="375" spans="1:7" x14ac:dyDescent="0.25">
      <c r="A375" t="s">
        <v>559</v>
      </c>
      <c r="B375" t="s">
        <v>502</v>
      </c>
      <c r="C375">
        <v>0</v>
      </c>
      <c r="D375">
        <v>97.08</v>
      </c>
      <c r="E375">
        <v>11.63</v>
      </c>
      <c r="F375">
        <v>6.78</v>
      </c>
      <c r="G375">
        <v>0.8</v>
      </c>
    </row>
    <row r="376" spans="1:7" x14ac:dyDescent="0.25">
      <c r="A376" t="s">
        <v>559</v>
      </c>
      <c r="B376" t="s">
        <v>502</v>
      </c>
      <c r="C376">
        <v>0</v>
      </c>
      <c r="D376">
        <v>97.58</v>
      </c>
      <c r="E376">
        <v>10.24</v>
      </c>
      <c r="F376">
        <v>8.36</v>
      </c>
      <c r="G376">
        <v>0.77</v>
      </c>
    </row>
    <row r="377" spans="1:7" x14ac:dyDescent="0.25">
      <c r="A377" t="s">
        <v>559</v>
      </c>
      <c r="B377" t="s">
        <v>502</v>
      </c>
      <c r="C377">
        <v>0</v>
      </c>
      <c r="D377">
        <v>97.53</v>
      </c>
      <c r="E377">
        <v>9.6</v>
      </c>
      <c r="F377">
        <v>9.17</v>
      </c>
      <c r="G377">
        <v>0.78</v>
      </c>
    </row>
    <row r="378" spans="1:7" x14ac:dyDescent="0.25">
      <c r="A378" t="s">
        <v>559</v>
      </c>
      <c r="B378" t="s">
        <v>502</v>
      </c>
      <c r="C378">
        <v>0</v>
      </c>
      <c r="D378">
        <v>97.68</v>
      </c>
      <c r="E378">
        <v>9.6199999999999992</v>
      </c>
      <c r="F378">
        <v>9.15</v>
      </c>
      <c r="G378">
        <v>0.79</v>
      </c>
    </row>
    <row r="379" spans="1:7" x14ac:dyDescent="0.25">
      <c r="A379" t="s">
        <v>559</v>
      </c>
      <c r="B379" t="s">
        <v>502</v>
      </c>
      <c r="C379">
        <v>0</v>
      </c>
      <c r="D379">
        <v>97.6</v>
      </c>
      <c r="E379">
        <v>10.17</v>
      </c>
      <c r="F379">
        <v>8.44</v>
      </c>
      <c r="G379">
        <v>0.81</v>
      </c>
    </row>
    <row r="380" spans="1:7" x14ac:dyDescent="0.25">
      <c r="A380" t="s">
        <v>559</v>
      </c>
      <c r="B380" t="s">
        <v>502</v>
      </c>
      <c r="C380">
        <v>0</v>
      </c>
      <c r="D380">
        <v>98</v>
      </c>
      <c r="E380">
        <v>10.48</v>
      </c>
      <c r="F380">
        <v>8.07</v>
      </c>
      <c r="G380">
        <v>0.8</v>
      </c>
    </row>
    <row r="381" spans="1:7" x14ac:dyDescent="0.25">
      <c r="A381" t="s">
        <v>559</v>
      </c>
      <c r="B381" t="s">
        <v>502</v>
      </c>
      <c r="C381">
        <v>0</v>
      </c>
      <c r="D381">
        <v>98.21</v>
      </c>
      <c r="E381">
        <v>10.57</v>
      </c>
      <c r="F381">
        <v>7.96</v>
      </c>
      <c r="G381">
        <v>0.75</v>
      </c>
    </row>
    <row r="382" spans="1:7" x14ac:dyDescent="0.25">
      <c r="A382" t="s">
        <v>559</v>
      </c>
      <c r="B382" t="s">
        <v>502</v>
      </c>
      <c r="C382">
        <v>0</v>
      </c>
      <c r="D382">
        <v>98.39</v>
      </c>
      <c r="E382">
        <v>11.16</v>
      </c>
      <c r="F382">
        <v>7.28</v>
      </c>
      <c r="G382">
        <v>0.7</v>
      </c>
    </row>
    <row r="383" spans="1:7" x14ac:dyDescent="0.25">
      <c r="A383" t="s">
        <v>559</v>
      </c>
      <c r="B383" t="s">
        <v>502</v>
      </c>
      <c r="C383">
        <v>0</v>
      </c>
      <c r="D383">
        <v>98.16</v>
      </c>
      <c r="E383">
        <v>12.24</v>
      </c>
      <c r="F383">
        <v>6.18</v>
      </c>
      <c r="G383">
        <v>0.66</v>
      </c>
    </row>
    <row r="384" spans="1:7" x14ac:dyDescent="0.25">
      <c r="A384" t="s">
        <v>559</v>
      </c>
      <c r="B384" t="s">
        <v>502</v>
      </c>
      <c r="C384">
        <v>0</v>
      </c>
      <c r="D384">
        <v>98.5</v>
      </c>
      <c r="E384">
        <v>14.02</v>
      </c>
      <c r="F384">
        <v>4.79</v>
      </c>
      <c r="G384">
        <v>0.59</v>
      </c>
    </row>
    <row r="385" spans="1:7" x14ac:dyDescent="0.25">
      <c r="A385" t="s">
        <v>559</v>
      </c>
      <c r="B385" t="s">
        <v>502</v>
      </c>
      <c r="C385">
        <v>0</v>
      </c>
      <c r="D385">
        <v>100.03</v>
      </c>
      <c r="E385">
        <v>20.18</v>
      </c>
      <c r="F385">
        <v>2.61</v>
      </c>
      <c r="G385">
        <v>0.42</v>
      </c>
    </row>
    <row r="386" spans="1:7" x14ac:dyDescent="0.25">
      <c r="A386" t="s">
        <v>559</v>
      </c>
      <c r="B386" t="s">
        <v>502</v>
      </c>
      <c r="C386">
        <v>0</v>
      </c>
      <c r="D386">
        <v>102.61</v>
      </c>
      <c r="E386">
        <v>32.049999999999997</v>
      </c>
      <c r="F386">
        <v>1.29</v>
      </c>
      <c r="G386">
        <v>0.28000000000000003</v>
      </c>
    </row>
    <row r="387" spans="1:7" x14ac:dyDescent="0.25">
      <c r="A387" t="s">
        <v>559</v>
      </c>
      <c r="B387" t="s">
        <v>502</v>
      </c>
      <c r="C387">
        <v>1</v>
      </c>
      <c r="D387">
        <v>92.58</v>
      </c>
      <c r="E387">
        <v>12.03</v>
      </c>
      <c r="F387">
        <v>6.38</v>
      </c>
      <c r="G387">
        <v>0.7</v>
      </c>
    </row>
    <row r="388" spans="1:7" x14ac:dyDescent="0.25">
      <c r="A388" t="s">
        <v>559</v>
      </c>
      <c r="B388" t="s">
        <v>502</v>
      </c>
      <c r="C388">
        <v>1</v>
      </c>
      <c r="D388">
        <v>92.4</v>
      </c>
      <c r="E388">
        <v>19.48</v>
      </c>
      <c r="F388">
        <v>2.75</v>
      </c>
      <c r="G388">
        <v>0.6</v>
      </c>
    </row>
    <row r="389" spans="1:7" x14ac:dyDescent="0.25">
      <c r="A389" t="s">
        <v>559</v>
      </c>
      <c r="B389" t="s">
        <v>502</v>
      </c>
      <c r="C389">
        <v>1</v>
      </c>
      <c r="D389">
        <v>92.8</v>
      </c>
      <c r="E389">
        <v>25.05</v>
      </c>
      <c r="F389">
        <v>1.89</v>
      </c>
      <c r="G389">
        <v>0.49</v>
      </c>
    </row>
    <row r="390" spans="1:7" x14ac:dyDescent="0.25">
      <c r="A390" t="s">
        <v>559</v>
      </c>
      <c r="B390" t="s">
        <v>502</v>
      </c>
      <c r="C390">
        <v>1</v>
      </c>
      <c r="D390">
        <v>92.58</v>
      </c>
      <c r="E390">
        <v>23.96</v>
      </c>
      <c r="F390">
        <v>2.02</v>
      </c>
      <c r="G390">
        <v>0.47</v>
      </c>
    </row>
    <row r="391" spans="1:7" x14ac:dyDescent="0.25">
      <c r="A391" t="s">
        <v>559</v>
      </c>
      <c r="B391" t="s">
        <v>502</v>
      </c>
      <c r="C391">
        <v>1</v>
      </c>
      <c r="D391">
        <v>92.85</v>
      </c>
      <c r="E391">
        <v>17.04</v>
      </c>
      <c r="F391">
        <v>3.4</v>
      </c>
      <c r="G391">
        <v>0.59</v>
      </c>
    </row>
    <row r="392" spans="1:7" x14ac:dyDescent="0.25">
      <c r="A392" t="s">
        <v>559</v>
      </c>
      <c r="B392" t="s">
        <v>502</v>
      </c>
      <c r="C392">
        <v>1</v>
      </c>
      <c r="D392">
        <v>93.45</v>
      </c>
      <c r="E392">
        <v>14.02</v>
      </c>
      <c r="F392">
        <v>4.79</v>
      </c>
      <c r="G392">
        <v>0.68</v>
      </c>
    </row>
    <row r="393" spans="1:7" x14ac:dyDescent="0.25">
      <c r="A393" t="s">
        <v>559</v>
      </c>
      <c r="B393" t="s">
        <v>502</v>
      </c>
      <c r="C393">
        <v>1</v>
      </c>
      <c r="D393">
        <v>94.03</v>
      </c>
      <c r="E393">
        <v>12.23</v>
      </c>
      <c r="F393">
        <v>6.19</v>
      </c>
      <c r="G393">
        <v>0.75</v>
      </c>
    </row>
    <row r="394" spans="1:7" x14ac:dyDescent="0.25">
      <c r="A394" t="s">
        <v>559</v>
      </c>
      <c r="B394" t="s">
        <v>502</v>
      </c>
      <c r="C394">
        <v>1</v>
      </c>
      <c r="D394">
        <v>94.33</v>
      </c>
      <c r="E394">
        <v>12</v>
      </c>
      <c r="F394">
        <v>6.41</v>
      </c>
      <c r="G394">
        <v>0.77</v>
      </c>
    </row>
    <row r="395" spans="1:7" x14ac:dyDescent="0.25">
      <c r="A395" t="s">
        <v>559</v>
      </c>
      <c r="B395" t="s">
        <v>502</v>
      </c>
      <c r="C395">
        <v>1</v>
      </c>
      <c r="D395">
        <v>94.54</v>
      </c>
      <c r="E395">
        <v>11.69</v>
      </c>
      <c r="F395">
        <v>6.72</v>
      </c>
      <c r="G395">
        <v>0.81</v>
      </c>
    </row>
    <row r="396" spans="1:7" x14ac:dyDescent="0.25">
      <c r="A396" t="s">
        <v>559</v>
      </c>
      <c r="B396" t="s">
        <v>502</v>
      </c>
      <c r="C396">
        <v>1</v>
      </c>
      <c r="D396">
        <v>94.53</v>
      </c>
      <c r="E396">
        <v>12.64</v>
      </c>
      <c r="F396">
        <v>5.83</v>
      </c>
      <c r="G396">
        <v>0.8</v>
      </c>
    </row>
    <row r="397" spans="1:7" x14ac:dyDescent="0.25">
      <c r="A397" t="s">
        <v>559</v>
      </c>
      <c r="B397" t="s">
        <v>502</v>
      </c>
      <c r="C397">
        <v>1</v>
      </c>
      <c r="D397">
        <v>94.72</v>
      </c>
      <c r="E397">
        <v>13.59</v>
      </c>
      <c r="F397">
        <v>5.08</v>
      </c>
      <c r="G397">
        <v>0.78</v>
      </c>
    </row>
    <row r="398" spans="1:7" x14ac:dyDescent="0.25">
      <c r="A398" t="s">
        <v>559</v>
      </c>
      <c r="B398" t="s">
        <v>502</v>
      </c>
      <c r="C398">
        <v>1</v>
      </c>
      <c r="D398">
        <v>94.36</v>
      </c>
      <c r="E398">
        <v>15.79</v>
      </c>
      <c r="F398">
        <v>3.86</v>
      </c>
      <c r="G398">
        <v>0.76</v>
      </c>
    </row>
    <row r="399" spans="1:7" x14ac:dyDescent="0.25">
      <c r="A399" t="s">
        <v>559</v>
      </c>
      <c r="B399" t="s">
        <v>502</v>
      </c>
      <c r="C399">
        <v>1</v>
      </c>
      <c r="D399">
        <v>93.91</v>
      </c>
      <c r="E399">
        <v>21.09</v>
      </c>
      <c r="F399">
        <v>2.44</v>
      </c>
      <c r="G399">
        <v>0.67</v>
      </c>
    </row>
    <row r="400" spans="1:7" x14ac:dyDescent="0.25">
      <c r="A400" t="s">
        <v>559</v>
      </c>
      <c r="B400" t="s">
        <v>502</v>
      </c>
      <c r="C400">
        <v>1</v>
      </c>
      <c r="D400">
        <v>93.38</v>
      </c>
      <c r="E400">
        <v>28.45</v>
      </c>
      <c r="F400">
        <v>1.56</v>
      </c>
      <c r="G400">
        <v>0.56999999999999995</v>
      </c>
    </row>
    <row r="401" spans="1:7" x14ac:dyDescent="0.25">
      <c r="A401" t="s">
        <v>559</v>
      </c>
      <c r="B401" t="s">
        <v>493</v>
      </c>
      <c r="C401">
        <v>1</v>
      </c>
      <c r="D401">
        <v>90.54</v>
      </c>
      <c r="E401">
        <v>1.17</v>
      </c>
      <c r="F401">
        <v>36.51</v>
      </c>
      <c r="G401">
        <v>0.9</v>
      </c>
    </row>
    <row r="402" spans="1:7" x14ac:dyDescent="0.25">
      <c r="A402" t="s">
        <v>559</v>
      </c>
      <c r="B402" t="s">
        <v>493</v>
      </c>
      <c r="C402">
        <v>1</v>
      </c>
      <c r="D402">
        <v>90.81</v>
      </c>
      <c r="E402">
        <v>0.66</v>
      </c>
      <c r="F402">
        <v>44.02</v>
      </c>
      <c r="G402">
        <v>0.92</v>
      </c>
    </row>
    <row r="403" spans="1:7" x14ac:dyDescent="0.25">
      <c r="A403" t="s">
        <v>559</v>
      </c>
      <c r="B403" t="s">
        <v>493</v>
      </c>
      <c r="C403">
        <v>1</v>
      </c>
      <c r="D403">
        <v>90.99</v>
      </c>
      <c r="E403">
        <v>2.13</v>
      </c>
      <c r="F403">
        <v>28.71</v>
      </c>
      <c r="G403">
        <v>0.9</v>
      </c>
    </row>
    <row r="404" spans="1:7" x14ac:dyDescent="0.25">
      <c r="A404" t="s">
        <v>559</v>
      </c>
      <c r="B404" t="s">
        <v>493</v>
      </c>
      <c r="C404">
        <v>1</v>
      </c>
      <c r="D404">
        <v>91.13</v>
      </c>
      <c r="E404">
        <v>6.16</v>
      </c>
      <c r="F404">
        <v>14.92</v>
      </c>
      <c r="G404">
        <v>0.86</v>
      </c>
    </row>
    <row r="405" spans="1:7" x14ac:dyDescent="0.25">
      <c r="A405" t="s">
        <v>559</v>
      </c>
      <c r="B405" t="s">
        <v>493</v>
      </c>
      <c r="C405">
        <v>1</v>
      </c>
      <c r="D405">
        <v>90.8</v>
      </c>
      <c r="E405">
        <v>8.34</v>
      </c>
      <c r="F405">
        <v>10.99</v>
      </c>
      <c r="G405">
        <v>0.81</v>
      </c>
    </row>
    <row r="406" spans="1:7" x14ac:dyDescent="0.25">
      <c r="A406" t="s">
        <v>559</v>
      </c>
      <c r="B406" t="s">
        <v>493</v>
      </c>
      <c r="C406">
        <v>1</v>
      </c>
      <c r="D406">
        <v>90.36</v>
      </c>
      <c r="E406">
        <v>8</v>
      </c>
      <c r="F406">
        <v>11.53</v>
      </c>
      <c r="G406">
        <v>0.8</v>
      </c>
    </row>
    <row r="407" spans="1:7" x14ac:dyDescent="0.25">
      <c r="A407" t="s">
        <v>559</v>
      </c>
      <c r="B407" t="s">
        <v>493</v>
      </c>
      <c r="C407">
        <v>1</v>
      </c>
      <c r="D407">
        <v>89.94</v>
      </c>
      <c r="E407">
        <v>9.35</v>
      </c>
      <c r="F407">
        <v>9.52</v>
      </c>
      <c r="G407">
        <v>0.79</v>
      </c>
    </row>
    <row r="408" spans="1:7" x14ac:dyDescent="0.25">
      <c r="A408" t="s">
        <v>559</v>
      </c>
      <c r="B408" t="s">
        <v>493</v>
      </c>
      <c r="C408">
        <v>1</v>
      </c>
      <c r="D408">
        <v>89.49</v>
      </c>
      <c r="E408">
        <v>10.79</v>
      </c>
      <c r="F408">
        <v>7.69</v>
      </c>
      <c r="G408">
        <v>0.78</v>
      </c>
    </row>
    <row r="409" spans="1:7" x14ac:dyDescent="0.25">
      <c r="A409" t="s">
        <v>559</v>
      </c>
      <c r="B409" t="s">
        <v>493</v>
      </c>
      <c r="C409">
        <v>1</v>
      </c>
      <c r="D409">
        <v>88.94</v>
      </c>
      <c r="E409">
        <v>12.19</v>
      </c>
      <c r="F409">
        <v>6.23</v>
      </c>
      <c r="G409">
        <v>0.78</v>
      </c>
    </row>
    <row r="410" spans="1:7" x14ac:dyDescent="0.25">
      <c r="A410" t="s">
        <v>559</v>
      </c>
      <c r="B410" t="s">
        <v>493</v>
      </c>
      <c r="C410">
        <v>1</v>
      </c>
      <c r="D410">
        <v>88.07</v>
      </c>
      <c r="E410">
        <v>13.72</v>
      </c>
      <c r="F410">
        <v>4.9800000000000004</v>
      </c>
      <c r="G410">
        <v>0.81</v>
      </c>
    </row>
    <row r="411" spans="1:7" x14ac:dyDescent="0.25">
      <c r="A411" t="s">
        <v>559</v>
      </c>
      <c r="B411" t="s">
        <v>493</v>
      </c>
      <c r="C411">
        <v>1</v>
      </c>
      <c r="D411">
        <v>87.2</v>
      </c>
      <c r="E411">
        <v>14.97</v>
      </c>
      <c r="F411">
        <v>4.25</v>
      </c>
      <c r="G411">
        <v>0.85</v>
      </c>
    </row>
    <row r="412" spans="1:7" x14ac:dyDescent="0.25">
      <c r="A412" t="s">
        <v>559</v>
      </c>
      <c r="B412" t="s">
        <v>493</v>
      </c>
      <c r="C412">
        <v>1</v>
      </c>
      <c r="D412">
        <v>86.88</v>
      </c>
      <c r="E412">
        <v>16.32</v>
      </c>
      <c r="F412">
        <v>3.65</v>
      </c>
      <c r="G412">
        <v>0.87</v>
      </c>
    </row>
    <row r="413" spans="1:7" x14ac:dyDescent="0.25">
      <c r="A413" t="s">
        <v>559</v>
      </c>
      <c r="B413" t="s">
        <v>493</v>
      </c>
      <c r="C413">
        <v>2</v>
      </c>
      <c r="D413">
        <v>85.22</v>
      </c>
      <c r="E413">
        <v>7.17</v>
      </c>
      <c r="F413">
        <v>12.95</v>
      </c>
      <c r="G413">
        <v>0.96</v>
      </c>
    </row>
    <row r="414" spans="1:7" x14ac:dyDescent="0.25">
      <c r="A414" t="s">
        <v>559</v>
      </c>
      <c r="B414" t="s">
        <v>493</v>
      </c>
      <c r="C414">
        <v>2</v>
      </c>
      <c r="D414">
        <v>87.37</v>
      </c>
      <c r="E414">
        <v>8.84</v>
      </c>
      <c r="F414">
        <v>10.25</v>
      </c>
      <c r="G414">
        <v>0.94</v>
      </c>
    </row>
    <row r="415" spans="1:7" x14ac:dyDescent="0.25">
      <c r="A415" t="s">
        <v>559</v>
      </c>
      <c r="B415" t="s">
        <v>493</v>
      </c>
      <c r="C415">
        <v>2</v>
      </c>
      <c r="D415">
        <v>89.17</v>
      </c>
      <c r="E415">
        <v>9.6999999999999993</v>
      </c>
      <c r="F415">
        <v>9.0399999999999991</v>
      </c>
      <c r="G415">
        <v>0.92</v>
      </c>
    </row>
    <row r="416" spans="1:7" x14ac:dyDescent="0.25">
      <c r="A416" t="s">
        <v>559</v>
      </c>
      <c r="B416" t="s">
        <v>493</v>
      </c>
      <c r="C416">
        <v>2</v>
      </c>
      <c r="D416">
        <v>89.42</v>
      </c>
      <c r="E416">
        <v>10.59</v>
      </c>
      <c r="F416">
        <v>7.92</v>
      </c>
      <c r="G416">
        <v>0.92</v>
      </c>
    </row>
    <row r="417" spans="1:7" x14ac:dyDescent="0.25">
      <c r="A417" t="s">
        <v>559</v>
      </c>
      <c r="B417" t="s">
        <v>493</v>
      </c>
      <c r="C417">
        <v>2</v>
      </c>
      <c r="D417">
        <v>89</v>
      </c>
      <c r="E417">
        <v>10.45</v>
      </c>
      <c r="F417">
        <v>8.1</v>
      </c>
      <c r="G417">
        <v>0.93</v>
      </c>
    </row>
    <row r="418" spans="1:7" x14ac:dyDescent="0.25">
      <c r="A418" t="s">
        <v>559</v>
      </c>
      <c r="B418" t="s">
        <v>493</v>
      </c>
      <c r="C418">
        <v>2</v>
      </c>
      <c r="D418">
        <v>88.53</v>
      </c>
      <c r="E418">
        <v>10.96</v>
      </c>
      <c r="F418">
        <v>7.5</v>
      </c>
      <c r="G418">
        <v>0.93</v>
      </c>
    </row>
    <row r="419" spans="1:7" x14ac:dyDescent="0.25">
      <c r="A419" t="s">
        <v>559</v>
      </c>
      <c r="B419" t="s">
        <v>493</v>
      </c>
      <c r="C419">
        <v>2</v>
      </c>
      <c r="D419">
        <v>88.57</v>
      </c>
      <c r="E419">
        <v>11.19</v>
      </c>
      <c r="F419">
        <v>7.24</v>
      </c>
      <c r="G419">
        <v>0.94</v>
      </c>
    </row>
    <row r="420" spans="1:7" x14ac:dyDescent="0.25">
      <c r="A420" t="s">
        <v>559</v>
      </c>
      <c r="B420" t="s">
        <v>493</v>
      </c>
      <c r="C420">
        <v>2</v>
      </c>
      <c r="D420">
        <v>88.41</v>
      </c>
      <c r="E420">
        <v>11.39</v>
      </c>
      <c r="F420">
        <v>7.03</v>
      </c>
      <c r="G420">
        <v>0.92</v>
      </c>
    </row>
    <row r="421" spans="1:7" x14ac:dyDescent="0.25">
      <c r="A421" t="s">
        <v>559</v>
      </c>
      <c r="B421" t="s">
        <v>493</v>
      </c>
      <c r="C421">
        <v>2</v>
      </c>
      <c r="D421">
        <v>88.21</v>
      </c>
      <c r="E421">
        <v>11.51</v>
      </c>
      <c r="F421">
        <v>6.9</v>
      </c>
      <c r="G421">
        <v>0.9</v>
      </c>
    </row>
    <row r="422" spans="1:7" x14ac:dyDescent="0.25">
      <c r="A422" t="s">
        <v>559</v>
      </c>
      <c r="B422" t="s">
        <v>493</v>
      </c>
      <c r="C422">
        <v>2</v>
      </c>
      <c r="D422">
        <v>88.11</v>
      </c>
      <c r="E422">
        <v>11.88</v>
      </c>
      <c r="F422">
        <v>6.53</v>
      </c>
      <c r="G422">
        <v>0.88</v>
      </c>
    </row>
    <row r="423" spans="1:7" x14ac:dyDescent="0.25">
      <c r="A423" t="s">
        <v>559</v>
      </c>
      <c r="B423" t="s">
        <v>493</v>
      </c>
      <c r="C423">
        <v>3</v>
      </c>
      <c r="D423">
        <v>82.89</v>
      </c>
      <c r="E423">
        <v>11.61</v>
      </c>
      <c r="F423">
        <v>6.8</v>
      </c>
      <c r="G423">
        <v>0.92</v>
      </c>
    </row>
    <row r="424" spans="1:7" x14ac:dyDescent="0.25">
      <c r="A424" t="s">
        <v>559</v>
      </c>
      <c r="B424" t="s">
        <v>493</v>
      </c>
      <c r="C424">
        <v>3</v>
      </c>
      <c r="D424">
        <v>82.43</v>
      </c>
      <c r="E424">
        <v>11.36</v>
      </c>
      <c r="F424">
        <v>7.06</v>
      </c>
      <c r="G424">
        <v>0.94</v>
      </c>
    </row>
    <row r="425" spans="1:7" x14ac:dyDescent="0.25">
      <c r="A425" t="s">
        <v>559</v>
      </c>
      <c r="B425" t="s">
        <v>493</v>
      </c>
      <c r="C425">
        <v>3</v>
      </c>
      <c r="D425">
        <v>82.68</v>
      </c>
      <c r="E425">
        <v>11.52</v>
      </c>
      <c r="F425">
        <v>6.89</v>
      </c>
      <c r="G425">
        <v>0.92</v>
      </c>
    </row>
    <row r="426" spans="1:7" x14ac:dyDescent="0.25">
      <c r="A426" t="s">
        <v>559</v>
      </c>
      <c r="B426" t="s">
        <v>493</v>
      </c>
      <c r="C426">
        <v>3</v>
      </c>
      <c r="D426">
        <v>83.74</v>
      </c>
      <c r="E426">
        <v>12.4</v>
      </c>
      <c r="F426">
        <v>6.03</v>
      </c>
      <c r="G426">
        <v>0.92</v>
      </c>
    </row>
    <row r="427" spans="1:7" x14ac:dyDescent="0.25">
      <c r="A427" t="s">
        <v>559</v>
      </c>
      <c r="B427" t="s">
        <v>493</v>
      </c>
      <c r="C427">
        <v>3</v>
      </c>
      <c r="D427">
        <v>86.1</v>
      </c>
      <c r="E427">
        <v>12.74</v>
      </c>
      <c r="F427">
        <v>5.73</v>
      </c>
      <c r="G427">
        <v>0.92</v>
      </c>
    </row>
    <row r="428" spans="1:7" x14ac:dyDescent="0.25">
      <c r="A428" t="s">
        <v>559</v>
      </c>
      <c r="B428" t="s">
        <v>493</v>
      </c>
      <c r="C428">
        <v>3</v>
      </c>
      <c r="D428">
        <v>86.9</v>
      </c>
      <c r="E428">
        <v>13.13</v>
      </c>
      <c r="F428">
        <v>5.42</v>
      </c>
      <c r="G428">
        <v>0.92</v>
      </c>
    </row>
    <row r="429" spans="1:7" x14ac:dyDescent="0.25">
      <c r="A429" t="s">
        <v>559</v>
      </c>
      <c r="B429" t="s">
        <v>493</v>
      </c>
      <c r="C429">
        <v>3</v>
      </c>
      <c r="D429">
        <v>86.78</v>
      </c>
      <c r="E429">
        <v>13.41</v>
      </c>
      <c r="F429">
        <v>5.21</v>
      </c>
      <c r="G429">
        <v>0.92</v>
      </c>
    </row>
    <row r="430" spans="1:7" x14ac:dyDescent="0.25">
      <c r="A430" t="s">
        <v>559</v>
      </c>
      <c r="B430" t="s">
        <v>493</v>
      </c>
      <c r="C430">
        <v>3</v>
      </c>
      <c r="D430">
        <v>86.99</v>
      </c>
      <c r="E430">
        <v>13.64</v>
      </c>
      <c r="F430">
        <v>5.04</v>
      </c>
      <c r="G430">
        <v>0.91</v>
      </c>
    </row>
    <row r="431" spans="1:7" x14ac:dyDescent="0.25">
      <c r="A431" t="s">
        <v>559</v>
      </c>
      <c r="B431" t="s">
        <v>493</v>
      </c>
      <c r="C431">
        <v>3</v>
      </c>
      <c r="D431">
        <v>87.23</v>
      </c>
      <c r="E431">
        <v>14.1</v>
      </c>
      <c r="F431">
        <v>4.74</v>
      </c>
      <c r="G431">
        <v>0.91</v>
      </c>
    </row>
    <row r="432" spans="1:7" x14ac:dyDescent="0.25">
      <c r="A432" t="s">
        <v>559</v>
      </c>
      <c r="B432" t="s">
        <v>493</v>
      </c>
      <c r="C432">
        <v>3</v>
      </c>
      <c r="D432">
        <v>87.47</v>
      </c>
      <c r="E432">
        <v>15.39</v>
      </c>
      <c r="F432">
        <v>4.04</v>
      </c>
      <c r="G432">
        <v>0.9</v>
      </c>
    </row>
    <row r="433" spans="1:7" x14ac:dyDescent="0.25">
      <c r="A433" t="s">
        <v>559</v>
      </c>
      <c r="B433" t="s">
        <v>493</v>
      </c>
      <c r="C433">
        <v>3</v>
      </c>
      <c r="D433">
        <v>87.31</v>
      </c>
      <c r="E433">
        <v>15.87</v>
      </c>
      <c r="F433">
        <v>3.83</v>
      </c>
      <c r="G433">
        <v>0.86</v>
      </c>
    </row>
    <row r="434" spans="1:7" x14ac:dyDescent="0.25">
      <c r="A434" t="s">
        <v>559</v>
      </c>
      <c r="B434" t="s">
        <v>500</v>
      </c>
      <c r="C434">
        <v>0</v>
      </c>
      <c r="D434">
        <v>83.8</v>
      </c>
      <c r="E434">
        <v>10.33</v>
      </c>
      <c r="F434">
        <v>8.24</v>
      </c>
      <c r="G434">
        <v>0.86</v>
      </c>
    </row>
    <row r="435" spans="1:7" x14ac:dyDescent="0.25">
      <c r="A435" t="s">
        <v>559</v>
      </c>
      <c r="B435" t="s">
        <v>500</v>
      </c>
      <c r="C435">
        <v>0</v>
      </c>
      <c r="D435">
        <v>85.76</v>
      </c>
      <c r="E435">
        <v>10.18</v>
      </c>
      <c r="F435">
        <v>8.43</v>
      </c>
      <c r="G435">
        <v>0.86</v>
      </c>
    </row>
    <row r="436" spans="1:7" x14ac:dyDescent="0.25">
      <c r="A436" t="s">
        <v>559</v>
      </c>
      <c r="B436" t="s">
        <v>500</v>
      </c>
      <c r="C436">
        <v>0</v>
      </c>
      <c r="D436">
        <v>87.2</v>
      </c>
      <c r="E436">
        <v>11.22</v>
      </c>
      <c r="F436">
        <v>7.21</v>
      </c>
      <c r="G436">
        <v>0.86</v>
      </c>
    </row>
    <row r="437" spans="1:7" x14ac:dyDescent="0.25">
      <c r="A437" t="s">
        <v>559</v>
      </c>
      <c r="B437" t="s">
        <v>500</v>
      </c>
      <c r="C437">
        <v>0</v>
      </c>
      <c r="D437">
        <v>86.76</v>
      </c>
      <c r="E437">
        <v>13.77</v>
      </c>
      <c r="F437">
        <v>4.95</v>
      </c>
      <c r="G437">
        <v>0.79</v>
      </c>
    </row>
    <row r="438" spans="1:7" x14ac:dyDescent="0.25">
      <c r="A438" t="s">
        <v>559</v>
      </c>
      <c r="B438" t="s">
        <v>500</v>
      </c>
      <c r="C438">
        <v>0</v>
      </c>
      <c r="D438">
        <v>84.8</v>
      </c>
      <c r="E438">
        <v>13.61</v>
      </c>
      <c r="F438">
        <v>5.0599999999999996</v>
      </c>
      <c r="G438">
        <v>0.76</v>
      </c>
    </row>
    <row r="439" spans="1:7" x14ac:dyDescent="0.25">
      <c r="A439" t="s">
        <v>559</v>
      </c>
      <c r="B439" t="s">
        <v>500</v>
      </c>
      <c r="C439">
        <v>0</v>
      </c>
      <c r="D439">
        <v>85.08</v>
      </c>
      <c r="E439">
        <v>13.46</v>
      </c>
      <c r="F439">
        <v>5.17</v>
      </c>
      <c r="G439">
        <v>0.77</v>
      </c>
    </row>
    <row r="440" spans="1:7" x14ac:dyDescent="0.25">
      <c r="A440" t="s">
        <v>559</v>
      </c>
      <c r="B440" t="s">
        <v>500</v>
      </c>
      <c r="C440">
        <v>0</v>
      </c>
      <c r="D440">
        <v>84.96</v>
      </c>
      <c r="E440">
        <v>15.12</v>
      </c>
      <c r="F440">
        <v>4.17</v>
      </c>
      <c r="G440">
        <v>0.72</v>
      </c>
    </row>
    <row r="441" spans="1:7" x14ac:dyDescent="0.25">
      <c r="A441" t="s">
        <v>559</v>
      </c>
      <c r="B441" t="s">
        <v>500</v>
      </c>
      <c r="C441">
        <v>0</v>
      </c>
      <c r="D441">
        <v>85.82</v>
      </c>
      <c r="E441">
        <v>15.45</v>
      </c>
      <c r="F441">
        <v>4.01</v>
      </c>
      <c r="G441">
        <v>0.72</v>
      </c>
    </row>
    <row r="442" spans="1:7" x14ac:dyDescent="0.25">
      <c r="A442" t="s">
        <v>559</v>
      </c>
      <c r="B442" t="s">
        <v>500</v>
      </c>
      <c r="C442">
        <v>0</v>
      </c>
      <c r="D442">
        <v>86.52</v>
      </c>
      <c r="E442">
        <v>14.83</v>
      </c>
      <c r="F442">
        <v>4.32</v>
      </c>
      <c r="G442">
        <v>0.78</v>
      </c>
    </row>
    <row r="443" spans="1:7" x14ac:dyDescent="0.25">
      <c r="A443" t="s">
        <v>559</v>
      </c>
      <c r="B443" t="s">
        <v>500</v>
      </c>
      <c r="C443">
        <v>0</v>
      </c>
      <c r="D443">
        <v>86.51</v>
      </c>
      <c r="E443">
        <v>14.82</v>
      </c>
      <c r="F443">
        <v>4.33</v>
      </c>
      <c r="G443">
        <v>0.83</v>
      </c>
    </row>
    <row r="444" spans="1:7" x14ac:dyDescent="0.25">
      <c r="A444" t="s">
        <v>559</v>
      </c>
      <c r="B444" t="s">
        <v>500</v>
      </c>
      <c r="C444">
        <v>0</v>
      </c>
      <c r="D444">
        <v>86.91</v>
      </c>
      <c r="E444">
        <v>15.02</v>
      </c>
      <c r="F444">
        <v>4.22</v>
      </c>
      <c r="G444">
        <v>0.85</v>
      </c>
    </row>
    <row r="445" spans="1:7" x14ac:dyDescent="0.25">
      <c r="A445" t="s">
        <v>559</v>
      </c>
      <c r="B445" t="s">
        <v>500</v>
      </c>
      <c r="C445">
        <v>0</v>
      </c>
      <c r="D445">
        <v>87.54</v>
      </c>
      <c r="E445">
        <v>15.67</v>
      </c>
      <c r="F445">
        <v>3.92</v>
      </c>
      <c r="G445">
        <v>0.85</v>
      </c>
    </row>
    <row r="446" spans="1:7" x14ac:dyDescent="0.25">
      <c r="A446" t="s">
        <v>559</v>
      </c>
      <c r="B446" t="s">
        <v>500</v>
      </c>
      <c r="C446">
        <v>0</v>
      </c>
      <c r="D446">
        <v>88.39</v>
      </c>
      <c r="E446">
        <v>16.66</v>
      </c>
      <c r="F446">
        <v>3.53</v>
      </c>
      <c r="G446">
        <v>0.84</v>
      </c>
    </row>
    <row r="447" spans="1:7" x14ac:dyDescent="0.25">
      <c r="A447" t="s">
        <v>559</v>
      </c>
      <c r="B447" t="s">
        <v>500</v>
      </c>
      <c r="C447">
        <v>0</v>
      </c>
      <c r="D447">
        <v>90.07</v>
      </c>
      <c r="E447">
        <v>16.96</v>
      </c>
      <c r="F447">
        <v>3.42</v>
      </c>
      <c r="G447">
        <v>0.82</v>
      </c>
    </row>
    <row r="448" spans="1:7" x14ac:dyDescent="0.25">
      <c r="A448" t="s">
        <v>559</v>
      </c>
      <c r="B448" t="s">
        <v>500</v>
      </c>
      <c r="C448">
        <v>0</v>
      </c>
      <c r="D448">
        <v>90.74</v>
      </c>
      <c r="E448">
        <v>17.63</v>
      </c>
      <c r="F448">
        <v>3.21</v>
      </c>
      <c r="G448">
        <v>0.8</v>
      </c>
    </row>
    <row r="449" spans="1:7" x14ac:dyDescent="0.25">
      <c r="A449" t="s">
        <v>559</v>
      </c>
      <c r="B449" t="s">
        <v>500</v>
      </c>
      <c r="C449">
        <v>0</v>
      </c>
      <c r="D449">
        <v>91.87</v>
      </c>
      <c r="E449">
        <v>18.7</v>
      </c>
      <c r="F449">
        <v>2.93</v>
      </c>
      <c r="G449">
        <v>0.73</v>
      </c>
    </row>
    <row r="450" spans="1:7" x14ac:dyDescent="0.25">
      <c r="A450" t="s">
        <v>559</v>
      </c>
      <c r="B450" t="s">
        <v>500</v>
      </c>
      <c r="C450">
        <v>0</v>
      </c>
      <c r="D450">
        <v>92.51</v>
      </c>
      <c r="E450">
        <v>19.13</v>
      </c>
      <c r="F450">
        <v>2.83</v>
      </c>
      <c r="G450">
        <v>0.7</v>
      </c>
    </row>
    <row r="451" spans="1:7" x14ac:dyDescent="0.25">
      <c r="A451" t="s">
        <v>559</v>
      </c>
      <c r="B451" t="s">
        <v>500</v>
      </c>
      <c r="C451">
        <v>0</v>
      </c>
      <c r="D451">
        <v>92.85</v>
      </c>
      <c r="E451">
        <v>22.72</v>
      </c>
      <c r="F451">
        <v>2.19</v>
      </c>
      <c r="G451">
        <v>0.66</v>
      </c>
    </row>
    <row r="452" spans="1:7" x14ac:dyDescent="0.25">
      <c r="A452" t="s">
        <v>559</v>
      </c>
      <c r="B452" t="s">
        <v>500</v>
      </c>
      <c r="C452">
        <v>0</v>
      </c>
      <c r="D452">
        <v>93.26</v>
      </c>
      <c r="E452">
        <v>26.91</v>
      </c>
      <c r="F452">
        <v>1.7</v>
      </c>
      <c r="G452">
        <v>0.63</v>
      </c>
    </row>
    <row r="453" spans="1:7" x14ac:dyDescent="0.25">
      <c r="A453" t="s">
        <v>559</v>
      </c>
      <c r="B453" t="s">
        <v>500</v>
      </c>
      <c r="C453">
        <v>0</v>
      </c>
      <c r="D453">
        <v>94.24</v>
      </c>
      <c r="E453">
        <v>32.5</v>
      </c>
      <c r="F453">
        <v>1.25</v>
      </c>
      <c r="G453">
        <v>0.59</v>
      </c>
    </row>
    <row r="454" spans="1:7" x14ac:dyDescent="0.25">
      <c r="A454" t="s">
        <v>559</v>
      </c>
      <c r="B454" t="s">
        <v>500</v>
      </c>
      <c r="C454">
        <v>1</v>
      </c>
      <c r="D454">
        <v>69.37</v>
      </c>
      <c r="E454">
        <v>10.23</v>
      </c>
      <c r="F454">
        <v>8.3699999999999992</v>
      </c>
      <c r="G454">
        <v>0.92</v>
      </c>
    </row>
    <row r="455" spans="1:7" x14ac:dyDescent="0.25">
      <c r="A455" t="s">
        <v>559</v>
      </c>
      <c r="B455" t="s">
        <v>500</v>
      </c>
      <c r="C455">
        <v>1</v>
      </c>
      <c r="D455">
        <v>72.92</v>
      </c>
      <c r="E455">
        <v>12.61</v>
      </c>
      <c r="F455">
        <v>5.85</v>
      </c>
      <c r="G455">
        <v>0.92</v>
      </c>
    </row>
    <row r="456" spans="1:7" x14ac:dyDescent="0.25">
      <c r="A456" t="s">
        <v>559</v>
      </c>
      <c r="B456" t="s">
        <v>500</v>
      </c>
      <c r="C456">
        <v>1</v>
      </c>
      <c r="D456">
        <v>76.81</v>
      </c>
      <c r="E456">
        <v>14.76</v>
      </c>
      <c r="F456">
        <v>4.3600000000000003</v>
      </c>
      <c r="G456">
        <v>0.88</v>
      </c>
    </row>
    <row r="457" spans="1:7" x14ac:dyDescent="0.25">
      <c r="A457" t="s">
        <v>559</v>
      </c>
      <c r="B457" t="s">
        <v>500</v>
      </c>
      <c r="C457">
        <v>1</v>
      </c>
      <c r="D457">
        <v>79.61</v>
      </c>
      <c r="E457">
        <v>16.329999999999998</v>
      </c>
      <c r="F457">
        <v>3.65</v>
      </c>
      <c r="G457">
        <v>0.8</v>
      </c>
    </row>
    <row r="458" spans="1:7" x14ac:dyDescent="0.25">
      <c r="A458" t="s">
        <v>559</v>
      </c>
      <c r="B458" t="s">
        <v>500</v>
      </c>
      <c r="C458">
        <v>1</v>
      </c>
      <c r="D458">
        <v>80.73</v>
      </c>
      <c r="E458">
        <v>16.7</v>
      </c>
      <c r="F458">
        <v>3.51</v>
      </c>
      <c r="G458">
        <v>0.77</v>
      </c>
    </row>
    <row r="459" spans="1:7" x14ac:dyDescent="0.25">
      <c r="A459" t="s">
        <v>559</v>
      </c>
      <c r="B459" t="s">
        <v>500</v>
      </c>
      <c r="C459">
        <v>1</v>
      </c>
      <c r="D459">
        <v>81.56</v>
      </c>
      <c r="E459">
        <v>14.1</v>
      </c>
      <c r="F459">
        <v>4.74</v>
      </c>
      <c r="G459">
        <v>0.79</v>
      </c>
    </row>
    <row r="460" spans="1:7" x14ac:dyDescent="0.25">
      <c r="A460" t="s">
        <v>559</v>
      </c>
      <c r="B460" t="s">
        <v>500</v>
      </c>
      <c r="C460">
        <v>1</v>
      </c>
      <c r="D460">
        <v>81.03</v>
      </c>
      <c r="E460">
        <v>14.71</v>
      </c>
      <c r="F460">
        <v>4.38</v>
      </c>
      <c r="G460">
        <v>0.71</v>
      </c>
    </row>
    <row r="461" spans="1:7" x14ac:dyDescent="0.25">
      <c r="A461" t="s">
        <v>559</v>
      </c>
      <c r="B461" t="s">
        <v>500</v>
      </c>
      <c r="C461">
        <v>1</v>
      </c>
      <c r="D461">
        <v>81.63</v>
      </c>
      <c r="E461">
        <v>17.62</v>
      </c>
      <c r="F461">
        <v>3.22</v>
      </c>
      <c r="G461">
        <v>0.65</v>
      </c>
    </row>
    <row r="462" spans="1:7" x14ac:dyDescent="0.25">
      <c r="A462" t="s">
        <v>559</v>
      </c>
      <c r="B462" t="s">
        <v>500</v>
      </c>
      <c r="C462">
        <v>1</v>
      </c>
      <c r="D462">
        <v>83.6</v>
      </c>
      <c r="E462">
        <v>19.559999999999999</v>
      </c>
      <c r="F462">
        <v>2.74</v>
      </c>
      <c r="G462">
        <v>0.64</v>
      </c>
    </row>
    <row r="463" spans="1:7" x14ac:dyDescent="0.25">
      <c r="A463" t="s">
        <v>559</v>
      </c>
      <c r="B463" t="s">
        <v>500</v>
      </c>
      <c r="C463">
        <v>1</v>
      </c>
      <c r="D463">
        <v>85.53</v>
      </c>
      <c r="E463">
        <v>19.53</v>
      </c>
      <c r="F463">
        <v>2.74</v>
      </c>
      <c r="G463">
        <v>0.64</v>
      </c>
    </row>
    <row r="464" spans="1:7" x14ac:dyDescent="0.25">
      <c r="A464" t="s">
        <v>559</v>
      </c>
      <c r="B464" t="s">
        <v>500</v>
      </c>
      <c r="C464">
        <v>1</v>
      </c>
      <c r="D464">
        <v>87.57</v>
      </c>
      <c r="E464">
        <v>19.309999999999999</v>
      </c>
      <c r="F464">
        <v>2.79</v>
      </c>
      <c r="G464">
        <v>0.68</v>
      </c>
    </row>
    <row r="465" spans="1:7" x14ac:dyDescent="0.25">
      <c r="A465" t="s">
        <v>559</v>
      </c>
      <c r="B465" t="s">
        <v>500</v>
      </c>
      <c r="C465">
        <v>1</v>
      </c>
      <c r="D465">
        <v>89.77</v>
      </c>
      <c r="E465">
        <v>19.72</v>
      </c>
      <c r="F465">
        <v>2.7</v>
      </c>
      <c r="G465">
        <v>0.69</v>
      </c>
    </row>
    <row r="466" spans="1:7" x14ac:dyDescent="0.25">
      <c r="A466" t="s">
        <v>559</v>
      </c>
      <c r="B466" t="s">
        <v>500</v>
      </c>
      <c r="C466">
        <v>1</v>
      </c>
      <c r="D466">
        <v>91.36</v>
      </c>
      <c r="E466">
        <v>21.9</v>
      </c>
      <c r="F466">
        <v>2.31</v>
      </c>
      <c r="G466">
        <v>0.66</v>
      </c>
    </row>
    <row r="467" spans="1:7" x14ac:dyDescent="0.25">
      <c r="A467" t="s">
        <v>559</v>
      </c>
      <c r="B467" t="s">
        <v>500</v>
      </c>
      <c r="C467">
        <v>1</v>
      </c>
      <c r="D467">
        <v>93.32</v>
      </c>
      <c r="E467">
        <v>24.26</v>
      </c>
      <c r="F467">
        <v>1.99</v>
      </c>
      <c r="G467">
        <v>0.56999999999999995</v>
      </c>
    </row>
    <row r="468" spans="1:7" x14ac:dyDescent="0.25">
      <c r="A468" t="s">
        <v>559</v>
      </c>
      <c r="B468" t="s">
        <v>500</v>
      </c>
      <c r="C468">
        <v>1</v>
      </c>
      <c r="D468">
        <v>93.45</v>
      </c>
      <c r="E468">
        <v>26.4</v>
      </c>
      <c r="F468">
        <v>1.75</v>
      </c>
      <c r="G468">
        <v>0.55000000000000004</v>
      </c>
    </row>
    <row r="469" spans="1:7" x14ac:dyDescent="0.25">
      <c r="A469" t="s">
        <v>559</v>
      </c>
      <c r="B469" t="s">
        <v>500</v>
      </c>
      <c r="C469">
        <v>1</v>
      </c>
      <c r="D469">
        <v>93.34</v>
      </c>
      <c r="E469">
        <v>31.59</v>
      </c>
      <c r="F469">
        <v>1.32</v>
      </c>
      <c r="G469">
        <v>0.5</v>
      </c>
    </row>
    <row r="470" spans="1:7" x14ac:dyDescent="0.25">
      <c r="A470" t="s">
        <v>559</v>
      </c>
      <c r="B470" t="s">
        <v>500</v>
      </c>
      <c r="C470">
        <v>1</v>
      </c>
      <c r="D470">
        <v>95.12</v>
      </c>
      <c r="E470">
        <v>35.119999999999997</v>
      </c>
      <c r="F470">
        <v>1.0900000000000001</v>
      </c>
      <c r="G470">
        <v>0.45</v>
      </c>
    </row>
    <row r="471" spans="1:7" x14ac:dyDescent="0.25">
      <c r="A471" t="s">
        <v>559</v>
      </c>
      <c r="B471" t="s">
        <v>500</v>
      </c>
      <c r="C471">
        <v>1</v>
      </c>
      <c r="D471">
        <v>97.11</v>
      </c>
      <c r="E471">
        <v>34.869999999999997</v>
      </c>
      <c r="F471">
        <v>1.1100000000000001</v>
      </c>
      <c r="G471">
        <v>0.43</v>
      </c>
    </row>
    <row r="472" spans="1:7" x14ac:dyDescent="0.25">
      <c r="A472" t="s">
        <v>559</v>
      </c>
      <c r="B472" t="s">
        <v>500</v>
      </c>
      <c r="C472">
        <v>1</v>
      </c>
      <c r="D472">
        <v>98.66</v>
      </c>
      <c r="E472">
        <v>34.840000000000003</v>
      </c>
      <c r="F472">
        <v>1.1100000000000001</v>
      </c>
      <c r="G472">
        <v>0.38</v>
      </c>
    </row>
    <row r="473" spans="1:7" x14ac:dyDescent="0.25">
      <c r="A473" t="s">
        <v>559</v>
      </c>
      <c r="B473" t="s">
        <v>500</v>
      </c>
      <c r="C473">
        <v>1</v>
      </c>
      <c r="D473">
        <v>99</v>
      </c>
      <c r="E473">
        <v>34.11</v>
      </c>
      <c r="F473">
        <v>1.1499999999999999</v>
      </c>
      <c r="G473">
        <v>0.35</v>
      </c>
    </row>
    <row r="474" spans="1:7" x14ac:dyDescent="0.25">
      <c r="A474" t="s">
        <v>559</v>
      </c>
      <c r="B474" t="s">
        <v>500</v>
      </c>
      <c r="C474">
        <v>1</v>
      </c>
      <c r="D474">
        <v>98.95</v>
      </c>
      <c r="E474">
        <v>34.89</v>
      </c>
      <c r="F474">
        <v>1.1100000000000001</v>
      </c>
      <c r="G474">
        <v>0.34</v>
      </c>
    </row>
    <row r="475" spans="1:7" x14ac:dyDescent="0.25">
      <c r="A475" t="s">
        <v>559</v>
      </c>
      <c r="B475" t="s">
        <v>500</v>
      </c>
      <c r="C475">
        <v>1</v>
      </c>
      <c r="D475">
        <v>99.2</v>
      </c>
      <c r="E475">
        <v>35.35</v>
      </c>
      <c r="F475">
        <v>1.08</v>
      </c>
      <c r="G475">
        <v>0.35</v>
      </c>
    </row>
    <row r="476" spans="1:7" x14ac:dyDescent="0.25">
      <c r="A476" t="s">
        <v>559</v>
      </c>
      <c r="B476" t="s">
        <v>500</v>
      </c>
      <c r="C476">
        <v>1</v>
      </c>
      <c r="D476">
        <v>98.9</v>
      </c>
      <c r="E476">
        <v>38.549999999999997</v>
      </c>
      <c r="F476">
        <v>0.91</v>
      </c>
      <c r="G476">
        <v>0.36</v>
      </c>
    </row>
    <row r="477" spans="1:7" x14ac:dyDescent="0.25">
      <c r="A477" t="s">
        <v>559</v>
      </c>
      <c r="B477" t="s">
        <v>500</v>
      </c>
      <c r="C477">
        <v>1</v>
      </c>
      <c r="D477">
        <v>98.69</v>
      </c>
      <c r="E477">
        <v>41.68</v>
      </c>
      <c r="F477">
        <v>0.76</v>
      </c>
      <c r="G477">
        <v>0.38</v>
      </c>
    </row>
    <row r="478" spans="1:7" x14ac:dyDescent="0.25">
      <c r="A478" t="s">
        <v>559</v>
      </c>
      <c r="B478" t="s">
        <v>500</v>
      </c>
      <c r="C478">
        <v>2</v>
      </c>
      <c r="D478">
        <v>97.75</v>
      </c>
      <c r="E478">
        <v>5.47</v>
      </c>
      <c r="F478">
        <v>16.47</v>
      </c>
      <c r="G478">
        <v>0.86</v>
      </c>
    </row>
    <row r="479" spans="1:7" x14ac:dyDescent="0.25">
      <c r="A479" t="s">
        <v>559</v>
      </c>
      <c r="B479" t="s">
        <v>500</v>
      </c>
      <c r="C479">
        <v>2</v>
      </c>
      <c r="D479">
        <v>97.89</v>
      </c>
      <c r="E479">
        <v>3.18</v>
      </c>
      <c r="F479">
        <v>23.52</v>
      </c>
      <c r="G479">
        <v>0.88</v>
      </c>
    </row>
    <row r="480" spans="1:7" x14ac:dyDescent="0.25">
      <c r="A480" t="s">
        <v>559</v>
      </c>
      <c r="B480" t="s">
        <v>500</v>
      </c>
      <c r="C480">
        <v>2</v>
      </c>
      <c r="D480">
        <v>98.05</v>
      </c>
      <c r="E480">
        <v>5.35</v>
      </c>
      <c r="F480">
        <v>16.760000000000002</v>
      </c>
      <c r="G480">
        <v>0.87</v>
      </c>
    </row>
    <row r="481" spans="1:7" x14ac:dyDescent="0.25">
      <c r="A481" t="s">
        <v>559</v>
      </c>
      <c r="B481" t="s">
        <v>500</v>
      </c>
      <c r="C481">
        <v>2</v>
      </c>
      <c r="D481">
        <v>98.58</v>
      </c>
      <c r="E481">
        <v>6.29</v>
      </c>
      <c r="F481">
        <v>14.66</v>
      </c>
      <c r="G481">
        <v>0.87</v>
      </c>
    </row>
    <row r="482" spans="1:7" x14ac:dyDescent="0.25">
      <c r="A482" t="s">
        <v>559</v>
      </c>
      <c r="B482" t="s">
        <v>500</v>
      </c>
      <c r="C482">
        <v>2</v>
      </c>
      <c r="D482">
        <v>99.07</v>
      </c>
      <c r="E482">
        <v>8.1199999999999992</v>
      </c>
      <c r="F482">
        <v>11.35</v>
      </c>
      <c r="G482">
        <v>0.88</v>
      </c>
    </row>
    <row r="483" spans="1:7" x14ac:dyDescent="0.25">
      <c r="A483" t="s">
        <v>559</v>
      </c>
      <c r="B483" t="s">
        <v>500</v>
      </c>
      <c r="C483">
        <v>2</v>
      </c>
      <c r="D483">
        <v>99.36</v>
      </c>
      <c r="E483">
        <v>8.75</v>
      </c>
      <c r="F483">
        <v>10.37</v>
      </c>
      <c r="G483">
        <v>0.87</v>
      </c>
    </row>
    <row r="484" spans="1:7" x14ac:dyDescent="0.25">
      <c r="A484" t="s">
        <v>559</v>
      </c>
      <c r="B484" t="s">
        <v>500</v>
      </c>
      <c r="C484">
        <v>2</v>
      </c>
      <c r="D484">
        <v>98.74</v>
      </c>
      <c r="E484">
        <v>8.5299999999999994</v>
      </c>
      <c r="F484">
        <v>10.7</v>
      </c>
      <c r="G484">
        <v>0.9</v>
      </c>
    </row>
    <row r="485" spans="1:7" x14ac:dyDescent="0.25">
      <c r="A485" t="s">
        <v>559</v>
      </c>
      <c r="B485" t="s">
        <v>500</v>
      </c>
      <c r="C485">
        <v>2</v>
      </c>
      <c r="D485">
        <v>97.98</v>
      </c>
      <c r="E485">
        <v>9.8699999999999992</v>
      </c>
      <c r="F485">
        <v>8.82</v>
      </c>
      <c r="G485">
        <v>0.88</v>
      </c>
    </row>
    <row r="486" spans="1:7" x14ac:dyDescent="0.25">
      <c r="A486" t="s">
        <v>559</v>
      </c>
      <c r="B486" t="s">
        <v>500</v>
      </c>
      <c r="C486">
        <v>2</v>
      </c>
      <c r="D486">
        <v>97.21</v>
      </c>
      <c r="E486">
        <v>10.23</v>
      </c>
      <c r="F486">
        <v>8.3699999999999992</v>
      </c>
      <c r="G486">
        <v>0.89</v>
      </c>
    </row>
    <row r="487" spans="1:7" x14ac:dyDescent="0.25">
      <c r="A487" t="s">
        <v>559</v>
      </c>
      <c r="B487" t="s">
        <v>500</v>
      </c>
      <c r="C487">
        <v>2</v>
      </c>
      <c r="D487">
        <v>96.71</v>
      </c>
      <c r="E487">
        <v>9.25</v>
      </c>
      <c r="F487">
        <v>9.66</v>
      </c>
      <c r="G487">
        <v>0.9</v>
      </c>
    </row>
    <row r="488" spans="1:7" x14ac:dyDescent="0.25">
      <c r="A488" t="s">
        <v>559</v>
      </c>
      <c r="B488" t="s">
        <v>500</v>
      </c>
      <c r="C488">
        <v>2</v>
      </c>
      <c r="D488">
        <v>96.32</v>
      </c>
      <c r="E488">
        <v>8.44</v>
      </c>
      <c r="F488">
        <v>10.84</v>
      </c>
      <c r="G488">
        <v>0.9</v>
      </c>
    </row>
    <row r="489" spans="1:7" x14ac:dyDescent="0.25">
      <c r="A489" t="s">
        <v>559</v>
      </c>
      <c r="B489" t="s">
        <v>500</v>
      </c>
      <c r="C489">
        <v>2</v>
      </c>
      <c r="D489">
        <v>95.92</v>
      </c>
      <c r="E489">
        <v>8.49</v>
      </c>
      <c r="F489">
        <v>10.76</v>
      </c>
      <c r="G489">
        <v>0.89</v>
      </c>
    </row>
    <row r="490" spans="1:7" x14ac:dyDescent="0.25">
      <c r="A490" t="s">
        <v>559</v>
      </c>
      <c r="B490" t="s">
        <v>500</v>
      </c>
      <c r="C490">
        <v>2</v>
      </c>
      <c r="D490">
        <v>96.03</v>
      </c>
      <c r="E490">
        <v>10.25</v>
      </c>
      <c r="F490">
        <v>8.34</v>
      </c>
      <c r="G490">
        <v>0.87</v>
      </c>
    </row>
    <row r="491" spans="1:7" x14ac:dyDescent="0.25">
      <c r="A491" t="s">
        <v>559</v>
      </c>
      <c r="B491" t="s">
        <v>500</v>
      </c>
      <c r="C491">
        <v>2</v>
      </c>
      <c r="D491">
        <v>96.56</v>
      </c>
      <c r="E491">
        <v>11.34</v>
      </c>
      <c r="F491">
        <v>7.08</v>
      </c>
      <c r="G491">
        <v>0.87</v>
      </c>
    </row>
    <row r="492" spans="1:7" x14ac:dyDescent="0.25">
      <c r="A492" t="s">
        <v>559</v>
      </c>
      <c r="B492" t="s">
        <v>500</v>
      </c>
      <c r="C492">
        <v>2</v>
      </c>
      <c r="D492">
        <v>96.9</v>
      </c>
      <c r="E492">
        <v>12.04</v>
      </c>
      <c r="F492">
        <v>6.37</v>
      </c>
      <c r="G492">
        <v>0.86</v>
      </c>
    </row>
    <row r="493" spans="1:7" x14ac:dyDescent="0.25">
      <c r="A493" t="s">
        <v>559</v>
      </c>
      <c r="B493" t="s">
        <v>500</v>
      </c>
      <c r="C493">
        <v>2</v>
      </c>
      <c r="D493">
        <v>97</v>
      </c>
      <c r="E493">
        <v>12.65</v>
      </c>
      <c r="F493">
        <v>5.81</v>
      </c>
      <c r="G493">
        <v>0.83</v>
      </c>
    </row>
    <row r="494" spans="1:7" x14ac:dyDescent="0.25">
      <c r="A494" t="s">
        <v>559</v>
      </c>
      <c r="B494" t="s">
        <v>500</v>
      </c>
      <c r="C494">
        <v>2</v>
      </c>
      <c r="D494">
        <v>97.75</v>
      </c>
      <c r="E494">
        <v>12.82</v>
      </c>
      <c r="F494">
        <v>5.67</v>
      </c>
      <c r="G494">
        <v>0.83</v>
      </c>
    </row>
    <row r="495" spans="1:7" x14ac:dyDescent="0.25">
      <c r="A495" t="s">
        <v>559</v>
      </c>
      <c r="B495" t="s">
        <v>497</v>
      </c>
      <c r="C495">
        <v>0</v>
      </c>
      <c r="D495">
        <v>79.260000000000005</v>
      </c>
      <c r="E495">
        <v>11.04</v>
      </c>
      <c r="F495">
        <v>7.41</v>
      </c>
      <c r="G495">
        <v>0.91</v>
      </c>
    </row>
    <row r="496" spans="1:7" x14ac:dyDescent="0.25">
      <c r="A496" t="s">
        <v>559</v>
      </c>
      <c r="B496" t="s">
        <v>497</v>
      </c>
      <c r="C496">
        <v>0</v>
      </c>
      <c r="D496">
        <v>81.209999999999994</v>
      </c>
      <c r="E496">
        <v>8.4600000000000009</v>
      </c>
      <c r="F496">
        <v>10.81</v>
      </c>
      <c r="G496">
        <v>0.89</v>
      </c>
    </row>
    <row r="497" spans="1:7" x14ac:dyDescent="0.25">
      <c r="A497" t="s">
        <v>559</v>
      </c>
      <c r="B497" t="s">
        <v>497</v>
      </c>
      <c r="C497">
        <v>0</v>
      </c>
      <c r="D497">
        <v>80.47</v>
      </c>
      <c r="E497">
        <v>8.0299999999999994</v>
      </c>
      <c r="F497">
        <v>11.48</v>
      </c>
      <c r="G497">
        <v>0.89</v>
      </c>
    </row>
    <row r="498" spans="1:7" x14ac:dyDescent="0.25">
      <c r="A498" t="s">
        <v>559</v>
      </c>
      <c r="B498" t="s">
        <v>497</v>
      </c>
      <c r="C498">
        <v>0</v>
      </c>
      <c r="D498">
        <v>78.72</v>
      </c>
      <c r="E498">
        <v>7.44</v>
      </c>
      <c r="F498">
        <v>12.48</v>
      </c>
      <c r="G498">
        <v>0.88</v>
      </c>
    </row>
    <row r="499" spans="1:7" x14ac:dyDescent="0.25">
      <c r="A499" t="s">
        <v>559</v>
      </c>
      <c r="B499" t="s">
        <v>497</v>
      </c>
      <c r="C499">
        <v>0</v>
      </c>
      <c r="D499">
        <v>78.52</v>
      </c>
      <c r="E499">
        <v>5.67</v>
      </c>
      <c r="F499">
        <v>16.02</v>
      </c>
      <c r="G499">
        <v>0.91</v>
      </c>
    </row>
    <row r="500" spans="1:7" x14ac:dyDescent="0.25">
      <c r="A500" t="s">
        <v>559</v>
      </c>
      <c r="B500" t="s">
        <v>497</v>
      </c>
      <c r="C500">
        <v>0</v>
      </c>
      <c r="D500">
        <v>78.650000000000006</v>
      </c>
      <c r="E500">
        <v>4.09</v>
      </c>
      <c r="F500">
        <v>20.260000000000002</v>
      </c>
      <c r="G500">
        <v>0.92</v>
      </c>
    </row>
    <row r="501" spans="1:7" x14ac:dyDescent="0.25">
      <c r="A501" t="s">
        <v>559</v>
      </c>
      <c r="B501" t="s">
        <v>497</v>
      </c>
      <c r="C501">
        <v>0</v>
      </c>
      <c r="D501">
        <v>78.94</v>
      </c>
      <c r="E501">
        <v>3.74</v>
      </c>
      <c r="F501">
        <v>21.42</v>
      </c>
      <c r="G501">
        <v>0.91</v>
      </c>
    </row>
    <row r="502" spans="1:7" x14ac:dyDescent="0.25">
      <c r="A502" t="s">
        <v>559</v>
      </c>
      <c r="B502" t="s">
        <v>497</v>
      </c>
      <c r="C502">
        <v>0</v>
      </c>
      <c r="D502">
        <v>79.48</v>
      </c>
      <c r="E502">
        <v>3.64</v>
      </c>
      <c r="F502">
        <v>21.76</v>
      </c>
      <c r="G502">
        <v>0.92</v>
      </c>
    </row>
    <row r="503" spans="1:7" x14ac:dyDescent="0.25">
      <c r="A503" t="s">
        <v>559</v>
      </c>
      <c r="B503" t="s">
        <v>497</v>
      </c>
      <c r="C503">
        <v>0</v>
      </c>
      <c r="D503">
        <v>79.709999999999994</v>
      </c>
      <c r="E503">
        <v>3.37</v>
      </c>
      <c r="F503">
        <v>22.77</v>
      </c>
      <c r="G503">
        <v>0.92</v>
      </c>
    </row>
    <row r="504" spans="1:7" x14ac:dyDescent="0.25">
      <c r="A504" t="s">
        <v>559</v>
      </c>
      <c r="B504" t="s">
        <v>497</v>
      </c>
      <c r="C504">
        <v>0</v>
      </c>
      <c r="D504">
        <v>79.84</v>
      </c>
      <c r="E504">
        <v>3.63</v>
      </c>
      <c r="F504">
        <v>21.8</v>
      </c>
      <c r="G504">
        <v>0.91</v>
      </c>
    </row>
    <row r="505" spans="1:7" x14ac:dyDescent="0.25">
      <c r="A505" t="s">
        <v>559</v>
      </c>
      <c r="B505" t="s">
        <v>497</v>
      </c>
      <c r="C505">
        <v>0</v>
      </c>
      <c r="D505">
        <v>80.290000000000006</v>
      </c>
      <c r="E505">
        <v>4.82</v>
      </c>
      <c r="F505">
        <v>18.12</v>
      </c>
      <c r="G505">
        <v>0.9</v>
      </c>
    </row>
    <row r="506" spans="1:7" x14ac:dyDescent="0.25">
      <c r="A506" t="s">
        <v>559</v>
      </c>
      <c r="B506" t="s">
        <v>497</v>
      </c>
      <c r="C506">
        <v>0</v>
      </c>
      <c r="D506">
        <v>81.05</v>
      </c>
      <c r="E506">
        <v>5.75</v>
      </c>
      <c r="F506">
        <v>15.83</v>
      </c>
      <c r="G506">
        <v>0.89</v>
      </c>
    </row>
    <row r="507" spans="1:7" x14ac:dyDescent="0.25">
      <c r="A507" t="s">
        <v>559</v>
      </c>
      <c r="B507" t="s">
        <v>497</v>
      </c>
      <c r="C507">
        <v>0</v>
      </c>
      <c r="D507">
        <v>81.55</v>
      </c>
      <c r="E507">
        <v>5.54</v>
      </c>
      <c r="F507">
        <v>16.3</v>
      </c>
      <c r="G507">
        <v>0.88</v>
      </c>
    </row>
    <row r="508" spans="1:7" x14ac:dyDescent="0.25">
      <c r="A508" t="s">
        <v>559</v>
      </c>
      <c r="B508" t="s">
        <v>497</v>
      </c>
      <c r="C508">
        <v>1</v>
      </c>
      <c r="D508">
        <v>74.34</v>
      </c>
      <c r="E508">
        <v>6.85</v>
      </c>
      <c r="F508">
        <v>13.56</v>
      </c>
      <c r="G508">
        <v>0.79</v>
      </c>
    </row>
    <row r="509" spans="1:7" x14ac:dyDescent="0.25">
      <c r="A509" t="s">
        <v>559</v>
      </c>
      <c r="B509" t="s">
        <v>497</v>
      </c>
      <c r="C509">
        <v>1</v>
      </c>
      <c r="D509">
        <v>75.28</v>
      </c>
      <c r="E509">
        <v>9.4</v>
      </c>
      <c r="F509">
        <v>9.44</v>
      </c>
      <c r="G509">
        <v>0.79</v>
      </c>
    </row>
    <row r="510" spans="1:7" x14ac:dyDescent="0.25">
      <c r="A510" t="s">
        <v>559</v>
      </c>
      <c r="B510" t="s">
        <v>497</v>
      </c>
      <c r="C510">
        <v>1</v>
      </c>
      <c r="D510">
        <v>77.41</v>
      </c>
      <c r="E510">
        <v>10.07</v>
      </c>
      <c r="F510">
        <v>8.57</v>
      </c>
      <c r="G510">
        <v>0.83</v>
      </c>
    </row>
    <row r="511" spans="1:7" x14ac:dyDescent="0.25">
      <c r="A511" t="s">
        <v>559</v>
      </c>
      <c r="B511" t="s">
        <v>497</v>
      </c>
      <c r="C511">
        <v>1</v>
      </c>
      <c r="D511">
        <v>78.89</v>
      </c>
      <c r="E511">
        <v>9.15</v>
      </c>
      <c r="F511">
        <v>9.7899999999999991</v>
      </c>
      <c r="G511">
        <v>0.87</v>
      </c>
    </row>
    <row r="512" spans="1:7" x14ac:dyDescent="0.25">
      <c r="A512" t="s">
        <v>559</v>
      </c>
      <c r="B512" t="s">
        <v>497</v>
      </c>
      <c r="C512">
        <v>1</v>
      </c>
      <c r="D512">
        <v>79.150000000000006</v>
      </c>
      <c r="E512">
        <v>8.4700000000000006</v>
      </c>
      <c r="F512">
        <v>10.79</v>
      </c>
      <c r="G512">
        <v>0.88</v>
      </c>
    </row>
    <row r="513" spans="1:7" x14ac:dyDescent="0.25">
      <c r="A513" t="s">
        <v>559</v>
      </c>
      <c r="B513" t="s">
        <v>497</v>
      </c>
      <c r="C513">
        <v>1</v>
      </c>
      <c r="D513">
        <v>79.739999999999995</v>
      </c>
      <c r="E513">
        <v>9.17</v>
      </c>
      <c r="F513">
        <v>9.77</v>
      </c>
      <c r="G513">
        <v>0.89</v>
      </c>
    </row>
    <row r="514" spans="1:7" x14ac:dyDescent="0.25">
      <c r="A514" t="s">
        <v>559</v>
      </c>
      <c r="B514" t="s">
        <v>497</v>
      </c>
      <c r="C514">
        <v>1</v>
      </c>
      <c r="D514">
        <v>80.260000000000005</v>
      </c>
      <c r="E514">
        <v>9.6</v>
      </c>
      <c r="F514">
        <v>9.17</v>
      </c>
      <c r="G514">
        <v>0.87</v>
      </c>
    </row>
    <row r="515" spans="1:7" x14ac:dyDescent="0.25">
      <c r="A515" t="s">
        <v>559</v>
      </c>
      <c r="B515" t="s">
        <v>497</v>
      </c>
      <c r="C515">
        <v>1</v>
      </c>
      <c r="D515">
        <v>81.42</v>
      </c>
      <c r="E515">
        <v>8.23</v>
      </c>
      <c r="F515">
        <v>11.16</v>
      </c>
      <c r="G515">
        <v>0.85</v>
      </c>
    </row>
    <row r="516" spans="1:7" x14ac:dyDescent="0.25">
      <c r="A516" t="s">
        <v>559</v>
      </c>
      <c r="B516" t="s">
        <v>497</v>
      </c>
      <c r="C516">
        <v>1</v>
      </c>
      <c r="D516">
        <v>82.06</v>
      </c>
      <c r="E516">
        <v>7.5</v>
      </c>
      <c r="F516">
        <v>12.37</v>
      </c>
      <c r="G516">
        <v>0.86</v>
      </c>
    </row>
    <row r="517" spans="1:7" x14ac:dyDescent="0.25">
      <c r="A517" t="s">
        <v>559</v>
      </c>
      <c r="B517" t="s">
        <v>497</v>
      </c>
      <c r="C517">
        <v>1</v>
      </c>
      <c r="D517">
        <v>83.04</v>
      </c>
      <c r="E517">
        <v>8.2899999999999991</v>
      </c>
      <c r="F517">
        <v>11.07</v>
      </c>
      <c r="G517">
        <v>0.85</v>
      </c>
    </row>
    <row r="518" spans="1:7" x14ac:dyDescent="0.25">
      <c r="A518" t="s">
        <v>559</v>
      </c>
      <c r="B518" t="s">
        <v>497</v>
      </c>
      <c r="C518">
        <v>1</v>
      </c>
      <c r="D518">
        <v>84.19</v>
      </c>
      <c r="E518">
        <v>7.75</v>
      </c>
      <c r="F518">
        <v>11.95</v>
      </c>
      <c r="G518">
        <v>0.83</v>
      </c>
    </row>
    <row r="519" spans="1:7" x14ac:dyDescent="0.25">
      <c r="A519" t="s">
        <v>559</v>
      </c>
      <c r="B519" t="s">
        <v>497</v>
      </c>
      <c r="C519">
        <v>1</v>
      </c>
      <c r="D519">
        <v>84.86</v>
      </c>
      <c r="E519">
        <v>7.24</v>
      </c>
      <c r="F519">
        <v>12.83</v>
      </c>
      <c r="G519">
        <v>0.83</v>
      </c>
    </row>
    <row r="520" spans="1:7" x14ac:dyDescent="0.25">
      <c r="A520" t="s">
        <v>559</v>
      </c>
      <c r="B520" t="s">
        <v>497</v>
      </c>
      <c r="C520">
        <v>1</v>
      </c>
      <c r="D520">
        <v>85.44</v>
      </c>
      <c r="E520">
        <v>6.94</v>
      </c>
      <c r="F520">
        <v>13.39</v>
      </c>
      <c r="G520">
        <v>0.83</v>
      </c>
    </row>
    <row r="521" spans="1:7" x14ac:dyDescent="0.25">
      <c r="A521" t="s">
        <v>559</v>
      </c>
      <c r="B521" t="s">
        <v>497</v>
      </c>
      <c r="C521">
        <v>2</v>
      </c>
      <c r="D521">
        <v>85.81</v>
      </c>
      <c r="E521">
        <v>18.87</v>
      </c>
      <c r="F521">
        <v>2.89</v>
      </c>
      <c r="G521">
        <v>0.65</v>
      </c>
    </row>
    <row r="522" spans="1:7" x14ac:dyDescent="0.25">
      <c r="A522" t="s">
        <v>559</v>
      </c>
      <c r="B522" t="s">
        <v>497</v>
      </c>
      <c r="C522">
        <v>2</v>
      </c>
      <c r="D522">
        <v>85.85</v>
      </c>
      <c r="E522">
        <v>13.78</v>
      </c>
      <c r="F522">
        <v>4.95</v>
      </c>
      <c r="G522">
        <v>0.74</v>
      </c>
    </row>
    <row r="523" spans="1:7" x14ac:dyDescent="0.25">
      <c r="A523" t="s">
        <v>559</v>
      </c>
      <c r="B523" t="s">
        <v>497</v>
      </c>
      <c r="C523">
        <v>2</v>
      </c>
      <c r="D523">
        <v>85.68</v>
      </c>
      <c r="E523">
        <v>10.27</v>
      </c>
      <c r="F523">
        <v>8.31</v>
      </c>
      <c r="G523">
        <v>0.75</v>
      </c>
    </row>
    <row r="524" spans="1:7" x14ac:dyDescent="0.25">
      <c r="A524" t="s">
        <v>559</v>
      </c>
      <c r="B524" t="s">
        <v>497</v>
      </c>
      <c r="C524">
        <v>2</v>
      </c>
      <c r="D524">
        <v>85.56</v>
      </c>
      <c r="E524">
        <v>5.99</v>
      </c>
      <c r="F524">
        <v>15.29</v>
      </c>
      <c r="G524">
        <v>0.73</v>
      </c>
    </row>
    <row r="525" spans="1:7" x14ac:dyDescent="0.25">
      <c r="A525" t="s">
        <v>559</v>
      </c>
      <c r="B525" t="s">
        <v>497</v>
      </c>
      <c r="C525">
        <v>2</v>
      </c>
      <c r="D525">
        <v>85.58</v>
      </c>
      <c r="E525">
        <v>2.62</v>
      </c>
      <c r="F525">
        <v>26.07</v>
      </c>
      <c r="G525">
        <v>0.78</v>
      </c>
    </row>
    <row r="526" spans="1:7" x14ac:dyDescent="0.25">
      <c r="A526" t="s">
        <v>559</v>
      </c>
      <c r="B526" t="s">
        <v>497</v>
      </c>
      <c r="C526">
        <v>2</v>
      </c>
      <c r="D526">
        <v>85.66</v>
      </c>
      <c r="E526">
        <v>1.17</v>
      </c>
      <c r="F526">
        <v>36.5</v>
      </c>
      <c r="G526">
        <v>0.84</v>
      </c>
    </row>
    <row r="527" spans="1:7" x14ac:dyDescent="0.25">
      <c r="A527" t="s">
        <v>559</v>
      </c>
      <c r="B527" t="s">
        <v>497</v>
      </c>
      <c r="C527">
        <v>2</v>
      </c>
      <c r="D527">
        <v>85.68</v>
      </c>
      <c r="E527">
        <v>0.76</v>
      </c>
      <c r="F527">
        <v>42.16</v>
      </c>
      <c r="G527">
        <v>0.86</v>
      </c>
    </row>
    <row r="528" spans="1:7" x14ac:dyDescent="0.25">
      <c r="A528" t="s">
        <v>559</v>
      </c>
      <c r="B528" t="s">
        <v>497</v>
      </c>
      <c r="C528">
        <v>2</v>
      </c>
      <c r="D528">
        <v>85.7</v>
      </c>
      <c r="E528">
        <v>0.82</v>
      </c>
      <c r="F528">
        <v>41.22</v>
      </c>
      <c r="G528">
        <v>0.86</v>
      </c>
    </row>
    <row r="529" spans="1:7" x14ac:dyDescent="0.25">
      <c r="A529" t="s">
        <v>559</v>
      </c>
      <c r="B529" t="s">
        <v>497</v>
      </c>
      <c r="C529">
        <v>2</v>
      </c>
      <c r="D529">
        <v>85.73</v>
      </c>
      <c r="E529">
        <v>1.35</v>
      </c>
      <c r="F529">
        <v>34.65</v>
      </c>
      <c r="G529">
        <v>0.86</v>
      </c>
    </row>
    <row r="530" spans="1:7" x14ac:dyDescent="0.25">
      <c r="A530" t="s">
        <v>559</v>
      </c>
      <c r="B530" t="s">
        <v>497</v>
      </c>
      <c r="C530">
        <v>2</v>
      </c>
      <c r="D530">
        <v>85.9</v>
      </c>
      <c r="E530">
        <v>2.81</v>
      </c>
      <c r="F530">
        <v>25.12</v>
      </c>
      <c r="G530">
        <v>0.84</v>
      </c>
    </row>
    <row r="531" spans="1:7" x14ac:dyDescent="0.25">
      <c r="A531" t="s">
        <v>559</v>
      </c>
      <c r="B531" t="s">
        <v>497</v>
      </c>
      <c r="C531">
        <v>2</v>
      </c>
      <c r="D531">
        <v>85.94</v>
      </c>
      <c r="E531">
        <v>4.0999999999999996</v>
      </c>
      <c r="F531">
        <v>20.23</v>
      </c>
      <c r="G531">
        <v>0.83</v>
      </c>
    </row>
    <row r="532" spans="1:7" x14ac:dyDescent="0.25">
      <c r="A532" t="s">
        <v>559</v>
      </c>
      <c r="B532" t="s">
        <v>497</v>
      </c>
      <c r="C532">
        <v>2</v>
      </c>
      <c r="D532">
        <v>85.86</v>
      </c>
      <c r="E532">
        <v>5.53</v>
      </c>
      <c r="F532">
        <v>16.34</v>
      </c>
      <c r="G532">
        <v>0.82</v>
      </c>
    </row>
    <row r="533" spans="1:7" x14ac:dyDescent="0.25">
      <c r="A533" t="s">
        <v>560</v>
      </c>
      <c r="B533" t="s">
        <v>493</v>
      </c>
      <c r="C533">
        <v>0</v>
      </c>
      <c r="D533">
        <v>93.51</v>
      </c>
      <c r="E533">
        <v>28.24</v>
      </c>
      <c r="F533">
        <v>1.58</v>
      </c>
      <c r="G533">
        <v>0.57999999999999996</v>
      </c>
    </row>
    <row r="534" spans="1:7" x14ac:dyDescent="0.25">
      <c r="A534" t="s">
        <v>560</v>
      </c>
      <c r="B534" t="s">
        <v>493</v>
      </c>
      <c r="C534">
        <v>0</v>
      </c>
      <c r="D534">
        <v>93.51</v>
      </c>
      <c r="E534">
        <v>16.79</v>
      </c>
      <c r="F534">
        <v>3.48</v>
      </c>
      <c r="G534">
        <v>0.7</v>
      </c>
    </row>
    <row r="535" spans="1:7" x14ac:dyDescent="0.25">
      <c r="A535" t="s">
        <v>560</v>
      </c>
      <c r="B535" t="s">
        <v>493</v>
      </c>
      <c r="C535">
        <v>0</v>
      </c>
      <c r="D535">
        <v>93.48</v>
      </c>
      <c r="E535">
        <v>13.88</v>
      </c>
      <c r="F535">
        <v>4.88</v>
      </c>
      <c r="G535">
        <v>0.76</v>
      </c>
    </row>
    <row r="536" spans="1:7" x14ac:dyDescent="0.25">
      <c r="A536" t="s">
        <v>560</v>
      </c>
      <c r="B536" t="s">
        <v>493</v>
      </c>
      <c r="C536">
        <v>0</v>
      </c>
      <c r="D536">
        <v>93.54</v>
      </c>
      <c r="E536">
        <v>11.58</v>
      </c>
      <c r="F536">
        <v>6.82</v>
      </c>
      <c r="G536">
        <v>0.74</v>
      </c>
    </row>
    <row r="537" spans="1:7" x14ac:dyDescent="0.25">
      <c r="A537" t="s">
        <v>560</v>
      </c>
      <c r="B537" t="s">
        <v>493</v>
      </c>
      <c r="C537">
        <v>0</v>
      </c>
      <c r="D537">
        <v>93.73</v>
      </c>
      <c r="E537">
        <v>8.9499999999999993</v>
      </c>
      <c r="F537">
        <v>10.08</v>
      </c>
      <c r="G537">
        <v>0.74</v>
      </c>
    </row>
    <row r="538" spans="1:7" x14ac:dyDescent="0.25">
      <c r="A538" t="s">
        <v>560</v>
      </c>
      <c r="B538" t="s">
        <v>493</v>
      </c>
      <c r="C538">
        <v>0</v>
      </c>
      <c r="D538">
        <v>93.23</v>
      </c>
      <c r="E538">
        <v>7.58</v>
      </c>
      <c r="F538">
        <v>12.24</v>
      </c>
      <c r="G538">
        <v>0.76</v>
      </c>
    </row>
    <row r="539" spans="1:7" x14ac:dyDescent="0.25">
      <c r="A539" t="s">
        <v>560</v>
      </c>
      <c r="B539" t="s">
        <v>493</v>
      </c>
      <c r="C539">
        <v>0</v>
      </c>
      <c r="D539">
        <v>93.26</v>
      </c>
      <c r="E539">
        <v>6.43</v>
      </c>
      <c r="F539">
        <v>14.38</v>
      </c>
      <c r="G539">
        <v>0.76</v>
      </c>
    </row>
    <row r="540" spans="1:7" x14ac:dyDescent="0.25">
      <c r="A540" t="s">
        <v>560</v>
      </c>
      <c r="B540" t="s">
        <v>493</v>
      </c>
      <c r="C540">
        <v>0</v>
      </c>
      <c r="D540">
        <v>93.43</v>
      </c>
      <c r="E540">
        <v>3.78</v>
      </c>
      <c r="F540">
        <v>21.29</v>
      </c>
      <c r="G540">
        <v>0.77</v>
      </c>
    </row>
    <row r="541" spans="1:7" x14ac:dyDescent="0.25">
      <c r="A541" t="s">
        <v>560</v>
      </c>
      <c r="B541" t="s">
        <v>493</v>
      </c>
      <c r="C541">
        <v>0</v>
      </c>
      <c r="D541">
        <v>93.52</v>
      </c>
      <c r="E541">
        <v>1.67</v>
      </c>
      <c r="F541">
        <v>31.9</v>
      </c>
      <c r="G541">
        <v>0.77</v>
      </c>
    </row>
    <row r="542" spans="1:7" x14ac:dyDescent="0.25">
      <c r="A542" t="s">
        <v>560</v>
      </c>
      <c r="B542" t="s">
        <v>493</v>
      </c>
      <c r="C542">
        <v>0</v>
      </c>
      <c r="D542">
        <v>93.56</v>
      </c>
      <c r="E542">
        <v>1.1200000000000001</v>
      </c>
      <c r="F542">
        <v>37.11</v>
      </c>
      <c r="G542">
        <v>0.78</v>
      </c>
    </row>
    <row r="543" spans="1:7" x14ac:dyDescent="0.25">
      <c r="A543" t="s">
        <v>560</v>
      </c>
      <c r="B543" t="s">
        <v>493</v>
      </c>
      <c r="C543">
        <v>0</v>
      </c>
      <c r="D543">
        <v>93.54</v>
      </c>
      <c r="E543">
        <v>0.82</v>
      </c>
      <c r="F543">
        <v>41.09</v>
      </c>
      <c r="G543">
        <v>0.8</v>
      </c>
    </row>
    <row r="544" spans="1:7" x14ac:dyDescent="0.25">
      <c r="A544" t="s">
        <v>560</v>
      </c>
      <c r="B544" t="s">
        <v>493</v>
      </c>
      <c r="C544">
        <v>0</v>
      </c>
      <c r="D544">
        <v>93.54</v>
      </c>
      <c r="E544">
        <v>0.87</v>
      </c>
      <c r="F544">
        <v>40.340000000000003</v>
      </c>
      <c r="G544">
        <v>0.81</v>
      </c>
    </row>
    <row r="545" spans="1:7" x14ac:dyDescent="0.25">
      <c r="A545" t="s">
        <v>560</v>
      </c>
      <c r="B545" t="s">
        <v>493</v>
      </c>
      <c r="C545">
        <v>0</v>
      </c>
      <c r="D545">
        <v>93.58</v>
      </c>
      <c r="E545">
        <v>1.06</v>
      </c>
      <c r="F545">
        <v>37.82</v>
      </c>
      <c r="G545">
        <v>0.82</v>
      </c>
    </row>
    <row r="546" spans="1:7" x14ac:dyDescent="0.25">
      <c r="A546" t="s">
        <v>560</v>
      </c>
      <c r="B546" t="s">
        <v>493</v>
      </c>
      <c r="C546">
        <v>0</v>
      </c>
      <c r="D546">
        <v>93.64</v>
      </c>
      <c r="E546">
        <v>1.46</v>
      </c>
      <c r="F546">
        <v>33.67</v>
      </c>
      <c r="G546">
        <v>0.81</v>
      </c>
    </row>
    <row r="547" spans="1:7" x14ac:dyDescent="0.25">
      <c r="A547" t="s">
        <v>560</v>
      </c>
      <c r="B547" t="s">
        <v>493</v>
      </c>
      <c r="C547">
        <v>0</v>
      </c>
      <c r="D547">
        <v>93.75</v>
      </c>
      <c r="E547">
        <v>2.08</v>
      </c>
      <c r="F547">
        <v>29.07</v>
      </c>
      <c r="G547">
        <v>0.8</v>
      </c>
    </row>
    <row r="548" spans="1:7" x14ac:dyDescent="0.25">
      <c r="A548" t="s">
        <v>560</v>
      </c>
      <c r="B548" t="s">
        <v>493</v>
      </c>
      <c r="C548">
        <v>0</v>
      </c>
      <c r="D548">
        <v>93.87</v>
      </c>
      <c r="E548">
        <v>2.62</v>
      </c>
      <c r="F548">
        <v>26.04</v>
      </c>
      <c r="G548">
        <v>0.8</v>
      </c>
    </row>
    <row r="549" spans="1:7" x14ac:dyDescent="0.25">
      <c r="A549" t="s">
        <v>560</v>
      </c>
      <c r="B549" t="s">
        <v>493</v>
      </c>
      <c r="C549">
        <v>0</v>
      </c>
      <c r="D549">
        <v>94.08</v>
      </c>
      <c r="E549">
        <v>4.42</v>
      </c>
      <c r="F549">
        <v>19.239999999999998</v>
      </c>
      <c r="G549">
        <v>0.75</v>
      </c>
    </row>
    <row r="550" spans="1:7" x14ac:dyDescent="0.25">
      <c r="A550" t="s">
        <v>560</v>
      </c>
      <c r="B550" t="s">
        <v>493</v>
      </c>
      <c r="C550">
        <v>0</v>
      </c>
      <c r="D550">
        <v>94.19</v>
      </c>
      <c r="E550">
        <v>8.1300000000000008</v>
      </c>
      <c r="F550">
        <v>11.32</v>
      </c>
      <c r="G550">
        <v>0.64</v>
      </c>
    </row>
    <row r="551" spans="1:7" x14ac:dyDescent="0.25">
      <c r="A551" t="s">
        <v>560</v>
      </c>
      <c r="B551" t="s">
        <v>493</v>
      </c>
      <c r="C551">
        <v>1</v>
      </c>
      <c r="D551">
        <v>90.47</v>
      </c>
      <c r="E551">
        <v>4.4000000000000004</v>
      </c>
      <c r="F551">
        <v>19.309999999999999</v>
      </c>
      <c r="G551">
        <v>0.94</v>
      </c>
    </row>
    <row r="552" spans="1:7" x14ac:dyDescent="0.25">
      <c r="A552" t="s">
        <v>560</v>
      </c>
      <c r="B552" t="s">
        <v>493</v>
      </c>
      <c r="C552">
        <v>1</v>
      </c>
      <c r="D552">
        <v>92.45</v>
      </c>
      <c r="E552">
        <v>5.63</v>
      </c>
      <c r="F552">
        <v>16.11</v>
      </c>
      <c r="G552">
        <v>0.85</v>
      </c>
    </row>
    <row r="553" spans="1:7" x14ac:dyDescent="0.25">
      <c r="A553" t="s">
        <v>560</v>
      </c>
      <c r="B553" t="s">
        <v>493</v>
      </c>
      <c r="C553">
        <v>1</v>
      </c>
      <c r="D553">
        <v>92.13</v>
      </c>
      <c r="E553">
        <v>7.9</v>
      </c>
      <c r="F553">
        <v>11.69</v>
      </c>
      <c r="G553">
        <v>0.82</v>
      </c>
    </row>
    <row r="554" spans="1:7" x14ac:dyDescent="0.25">
      <c r="A554" t="s">
        <v>560</v>
      </c>
      <c r="B554" t="s">
        <v>493</v>
      </c>
      <c r="C554">
        <v>1</v>
      </c>
      <c r="D554">
        <v>90.55</v>
      </c>
      <c r="E554">
        <v>10.41</v>
      </c>
      <c r="F554">
        <v>8.14</v>
      </c>
      <c r="G554">
        <v>0.82</v>
      </c>
    </row>
    <row r="555" spans="1:7" x14ac:dyDescent="0.25">
      <c r="A555" t="s">
        <v>560</v>
      </c>
      <c r="B555" t="s">
        <v>493</v>
      </c>
      <c r="C555">
        <v>1</v>
      </c>
      <c r="D555">
        <v>87.99</v>
      </c>
      <c r="E555">
        <v>10.6</v>
      </c>
      <c r="F555">
        <v>7.91</v>
      </c>
      <c r="G555">
        <v>0.8</v>
      </c>
    </row>
    <row r="556" spans="1:7" x14ac:dyDescent="0.25">
      <c r="A556" t="s">
        <v>560</v>
      </c>
      <c r="B556" t="s">
        <v>493</v>
      </c>
      <c r="C556">
        <v>1</v>
      </c>
      <c r="D556">
        <v>87.5</v>
      </c>
      <c r="E556">
        <v>9.4</v>
      </c>
      <c r="F556">
        <v>9.4600000000000009</v>
      </c>
      <c r="G556">
        <v>0.79</v>
      </c>
    </row>
    <row r="557" spans="1:7" x14ac:dyDescent="0.25">
      <c r="A557" t="s">
        <v>560</v>
      </c>
      <c r="B557" t="s">
        <v>493</v>
      </c>
      <c r="C557">
        <v>1</v>
      </c>
      <c r="D557">
        <v>87.39</v>
      </c>
      <c r="E557">
        <v>6.72</v>
      </c>
      <c r="F557">
        <v>13.81</v>
      </c>
      <c r="G557">
        <v>0.83</v>
      </c>
    </row>
    <row r="558" spans="1:7" x14ac:dyDescent="0.25">
      <c r="A558" t="s">
        <v>560</v>
      </c>
      <c r="B558" t="s">
        <v>493</v>
      </c>
      <c r="C558">
        <v>1</v>
      </c>
      <c r="D558">
        <v>87.56</v>
      </c>
      <c r="E558">
        <v>5.77</v>
      </c>
      <c r="F558">
        <v>15.79</v>
      </c>
      <c r="G558">
        <v>0.88</v>
      </c>
    </row>
    <row r="559" spans="1:7" x14ac:dyDescent="0.25">
      <c r="A559" t="s">
        <v>560</v>
      </c>
      <c r="B559" t="s">
        <v>493</v>
      </c>
      <c r="C559">
        <v>1</v>
      </c>
      <c r="D559">
        <v>88.14</v>
      </c>
      <c r="E559">
        <v>6.38</v>
      </c>
      <c r="F559">
        <v>14.49</v>
      </c>
      <c r="G559">
        <v>0.89</v>
      </c>
    </row>
    <row r="560" spans="1:7" x14ac:dyDescent="0.25">
      <c r="A560" t="s">
        <v>560</v>
      </c>
      <c r="B560" t="s">
        <v>493</v>
      </c>
      <c r="C560">
        <v>1</v>
      </c>
      <c r="D560">
        <v>88.28</v>
      </c>
      <c r="E560">
        <v>6.68</v>
      </c>
      <c r="F560">
        <v>13.89</v>
      </c>
      <c r="G560">
        <v>0.89</v>
      </c>
    </row>
    <row r="561" spans="1:7" x14ac:dyDescent="0.25">
      <c r="A561" t="s">
        <v>560</v>
      </c>
      <c r="B561" t="s">
        <v>493</v>
      </c>
      <c r="C561">
        <v>1</v>
      </c>
      <c r="D561">
        <v>88.77</v>
      </c>
      <c r="E561">
        <v>6.53</v>
      </c>
      <c r="F561">
        <v>14.17</v>
      </c>
      <c r="G561">
        <v>0.89</v>
      </c>
    </row>
    <row r="562" spans="1:7" x14ac:dyDescent="0.25">
      <c r="A562" t="s">
        <v>560</v>
      </c>
      <c r="B562" t="s">
        <v>493</v>
      </c>
      <c r="C562">
        <v>1</v>
      </c>
      <c r="D562">
        <v>89.72</v>
      </c>
      <c r="E562">
        <v>5.82</v>
      </c>
      <c r="F562">
        <v>15.67</v>
      </c>
      <c r="G562">
        <v>0.91</v>
      </c>
    </row>
    <row r="563" spans="1:7" x14ac:dyDescent="0.25">
      <c r="A563" t="s">
        <v>560</v>
      </c>
      <c r="B563" t="s">
        <v>493</v>
      </c>
      <c r="C563">
        <v>1</v>
      </c>
      <c r="D563">
        <v>90.76</v>
      </c>
      <c r="E563">
        <v>5.6</v>
      </c>
      <c r="F563">
        <v>16.170000000000002</v>
      </c>
      <c r="G563">
        <v>0.93</v>
      </c>
    </row>
    <row r="564" spans="1:7" x14ac:dyDescent="0.25">
      <c r="A564" t="s">
        <v>560</v>
      </c>
      <c r="B564" t="s">
        <v>493</v>
      </c>
      <c r="C564">
        <v>2</v>
      </c>
      <c r="D564">
        <v>96.62</v>
      </c>
      <c r="E564">
        <v>13.72</v>
      </c>
      <c r="F564">
        <v>4.99</v>
      </c>
      <c r="G564">
        <v>0.79</v>
      </c>
    </row>
    <row r="565" spans="1:7" x14ac:dyDescent="0.25">
      <c r="A565" t="s">
        <v>560</v>
      </c>
      <c r="B565" t="s">
        <v>493</v>
      </c>
      <c r="C565">
        <v>2</v>
      </c>
      <c r="D565">
        <v>96.38</v>
      </c>
      <c r="E565">
        <v>12.29</v>
      </c>
      <c r="F565">
        <v>6.13</v>
      </c>
      <c r="G565">
        <v>0.79</v>
      </c>
    </row>
    <row r="566" spans="1:7" x14ac:dyDescent="0.25">
      <c r="A566" t="s">
        <v>560</v>
      </c>
      <c r="B566" t="s">
        <v>493</v>
      </c>
      <c r="C566">
        <v>2</v>
      </c>
      <c r="D566">
        <v>96.21</v>
      </c>
      <c r="E566">
        <v>10.9</v>
      </c>
      <c r="F566">
        <v>7.57</v>
      </c>
      <c r="G566">
        <v>0.74</v>
      </c>
    </row>
    <row r="567" spans="1:7" x14ac:dyDescent="0.25">
      <c r="A567" t="s">
        <v>560</v>
      </c>
      <c r="B567" t="s">
        <v>493</v>
      </c>
      <c r="C567">
        <v>2</v>
      </c>
      <c r="D567">
        <v>96.09</v>
      </c>
      <c r="E567">
        <v>7.53</v>
      </c>
      <c r="F567">
        <v>12.32</v>
      </c>
      <c r="G567">
        <v>0.77</v>
      </c>
    </row>
    <row r="568" spans="1:7" x14ac:dyDescent="0.25">
      <c r="A568" t="s">
        <v>560</v>
      </c>
      <c r="B568" t="s">
        <v>493</v>
      </c>
      <c r="C568">
        <v>2</v>
      </c>
      <c r="D568">
        <v>96.02</v>
      </c>
      <c r="E568">
        <v>4.57</v>
      </c>
      <c r="F568">
        <v>18.809999999999999</v>
      </c>
      <c r="G568">
        <v>0.82</v>
      </c>
    </row>
    <row r="569" spans="1:7" x14ac:dyDescent="0.25">
      <c r="A569" t="s">
        <v>560</v>
      </c>
      <c r="B569" t="s">
        <v>493</v>
      </c>
      <c r="C569">
        <v>2</v>
      </c>
      <c r="D569">
        <v>96.03</v>
      </c>
      <c r="E569">
        <v>4.1399999999999997</v>
      </c>
      <c r="F569">
        <v>20.079999999999998</v>
      </c>
      <c r="G569">
        <v>0.82</v>
      </c>
    </row>
    <row r="570" spans="1:7" x14ac:dyDescent="0.25">
      <c r="A570" t="s">
        <v>560</v>
      </c>
      <c r="B570" t="s">
        <v>493</v>
      </c>
      <c r="C570">
        <v>2</v>
      </c>
      <c r="D570">
        <v>95.97</v>
      </c>
      <c r="E570">
        <v>4.41</v>
      </c>
      <c r="F570">
        <v>19.29</v>
      </c>
      <c r="G570">
        <v>0.82</v>
      </c>
    </row>
    <row r="571" spans="1:7" x14ac:dyDescent="0.25">
      <c r="A571" t="s">
        <v>560</v>
      </c>
      <c r="B571" t="s">
        <v>493</v>
      </c>
      <c r="C571">
        <v>2</v>
      </c>
      <c r="D571">
        <v>95.6</v>
      </c>
      <c r="E571">
        <v>5.55</v>
      </c>
      <c r="F571">
        <v>16.29</v>
      </c>
      <c r="G571">
        <v>0.81</v>
      </c>
    </row>
    <row r="572" spans="1:7" x14ac:dyDescent="0.25">
      <c r="A572" t="s">
        <v>560</v>
      </c>
      <c r="B572" t="s">
        <v>493</v>
      </c>
      <c r="C572">
        <v>2</v>
      </c>
      <c r="D572">
        <v>95.47</v>
      </c>
      <c r="E572">
        <v>5.48</v>
      </c>
      <c r="F572">
        <v>16.440000000000001</v>
      </c>
      <c r="G572">
        <v>0.82</v>
      </c>
    </row>
    <row r="573" spans="1:7" x14ac:dyDescent="0.25">
      <c r="A573" t="s">
        <v>560</v>
      </c>
      <c r="B573" t="s">
        <v>493</v>
      </c>
      <c r="C573">
        <v>2</v>
      </c>
      <c r="D573">
        <v>95.31</v>
      </c>
      <c r="E573">
        <v>5.8</v>
      </c>
      <c r="F573">
        <v>15.71</v>
      </c>
      <c r="G573">
        <v>0.84</v>
      </c>
    </row>
    <row r="574" spans="1:7" x14ac:dyDescent="0.25">
      <c r="A574" t="s">
        <v>560</v>
      </c>
      <c r="B574" t="s">
        <v>493</v>
      </c>
      <c r="C574">
        <v>2</v>
      </c>
      <c r="D574">
        <v>95.18</v>
      </c>
      <c r="E574">
        <v>5.08</v>
      </c>
      <c r="F574">
        <v>17.45</v>
      </c>
      <c r="G574">
        <v>0.84</v>
      </c>
    </row>
    <row r="575" spans="1:7" x14ac:dyDescent="0.25">
      <c r="A575" t="s">
        <v>560</v>
      </c>
      <c r="B575" t="s">
        <v>493</v>
      </c>
      <c r="C575">
        <v>2</v>
      </c>
      <c r="D575">
        <v>95.1</v>
      </c>
      <c r="E575">
        <v>4.5199999999999996</v>
      </c>
      <c r="F575">
        <v>18.95</v>
      </c>
      <c r="G575">
        <v>0.84</v>
      </c>
    </row>
    <row r="576" spans="1:7" x14ac:dyDescent="0.25">
      <c r="A576" t="s">
        <v>560</v>
      </c>
      <c r="B576" t="s">
        <v>493</v>
      </c>
      <c r="C576">
        <v>2</v>
      </c>
      <c r="D576">
        <v>95.04</v>
      </c>
      <c r="E576">
        <v>4.8899999999999997</v>
      </c>
      <c r="F576">
        <v>17.940000000000001</v>
      </c>
      <c r="G576">
        <v>0.82</v>
      </c>
    </row>
    <row r="577" spans="1:7" x14ac:dyDescent="0.25">
      <c r="A577" t="s">
        <v>560</v>
      </c>
      <c r="B577" t="s">
        <v>502</v>
      </c>
      <c r="C577">
        <v>0</v>
      </c>
      <c r="D577">
        <v>83.09</v>
      </c>
      <c r="E577">
        <v>0.99</v>
      </c>
      <c r="F577">
        <v>38.659999999999997</v>
      </c>
      <c r="G577">
        <v>0.97</v>
      </c>
    </row>
    <row r="578" spans="1:7" x14ac:dyDescent="0.25">
      <c r="A578" t="s">
        <v>560</v>
      </c>
      <c r="B578" t="s">
        <v>502</v>
      </c>
      <c r="C578">
        <v>0</v>
      </c>
      <c r="D578">
        <v>82.03</v>
      </c>
      <c r="E578">
        <v>2.29</v>
      </c>
      <c r="F578">
        <v>27.78</v>
      </c>
      <c r="G578">
        <v>0.95</v>
      </c>
    </row>
    <row r="579" spans="1:7" x14ac:dyDescent="0.25">
      <c r="A579" t="s">
        <v>560</v>
      </c>
      <c r="B579" t="s">
        <v>502</v>
      </c>
      <c r="C579">
        <v>0</v>
      </c>
      <c r="D579">
        <v>83.17</v>
      </c>
      <c r="E579">
        <v>3.11</v>
      </c>
      <c r="F579">
        <v>23.82</v>
      </c>
      <c r="G579">
        <v>0.88</v>
      </c>
    </row>
    <row r="580" spans="1:7" x14ac:dyDescent="0.25">
      <c r="A580" t="s">
        <v>560</v>
      </c>
      <c r="B580" t="s">
        <v>502</v>
      </c>
      <c r="C580">
        <v>0</v>
      </c>
      <c r="D580">
        <v>84.06</v>
      </c>
      <c r="E580">
        <v>3.72</v>
      </c>
      <c r="F580">
        <v>21.49</v>
      </c>
      <c r="G580">
        <v>0.79</v>
      </c>
    </row>
    <row r="581" spans="1:7" x14ac:dyDescent="0.25">
      <c r="A581" t="s">
        <v>560</v>
      </c>
      <c r="B581" t="s">
        <v>502</v>
      </c>
      <c r="C581">
        <v>0</v>
      </c>
      <c r="D581">
        <v>84.57</v>
      </c>
      <c r="E581">
        <v>8.84</v>
      </c>
      <c r="F581">
        <v>10.24</v>
      </c>
      <c r="G581">
        <v>0.7</v>
      </c>
    </row>
    <row r="582" spans="1:7" x14ac:dyDescent="0.25">
      <c r="A582" t="s">
        <v>560</v>
      </c>
      <c r="B582" t="s">
        <v>502</v>
      </c>
      <c r="C582">
        <v>0</v>
      </c>
      <c r="D582">
        <v>84.36</v>
      </c>
      <c r="E582">
        <v>9.3000000000000007</v>
      </c>
      <c r="F582">
        <v>9.58</v>
      </c>
      <c r="G582">
        <v>0.75</v>
      </c>
    </row>
    <row r="583" spans="1:7" x14ac:dyDescent="0.25">
      <c r="A583" t="s">
        <v>560</v>
      </c>
      <c r="B583" t="s">
        <v>502</v>
      </c>
      <c r="C583">
        <v>0</v>
      </c>
      <c r="D583">
        <v>84.39</v>
      </c>
      <c r="E583">
        <v>6.19</v>
      </c>
      <c r="F583">
        <v>14.87</v>
      </c>
      <c r="G583">
        <v>0.79</v>
      </c>
    </row>
    <row r="584" spans="1:7" x14ac:dyDescent="0.25">
      <c r="A584" t="s">
        <v>560</v>
      </c>
      <c r="B584" t="s">
        <v>502</v>
      </c>
      <c r="C584">
        <v>0</v>
      </c>
      <c r="D584">
        <v>84.72</v>
      </c>
      <c r="E584">
        <v>5.57</v>
      </c>
      <c r="F584">
        <v>16.25</v>
      </c>
      <c r="G584">
        <v>0.75</v>
      </c>
    </row>
    <row r="585" spans="1:7" x14ac:dyDescent="0.25">
      <c r="A585" t="s">
        <v>560</v>
      </c>
      <c r="B585" t="s">
        <v>502</v>
      </c>
      <c r="C585">
        <v>0</v>
      </c>
      <c r="D585">
        <v>84.97</v>
      </c>
      <c r="E585">
        <v>7.15</v>
      </c>
      <c r="F585">
        <v>13</v>
      </c>
      <c r="G585">
        <v>0.72</v>
      </c>
    </row>
    <row r="586" spans="1:7" x14ac:dyDescent="0.25">
      <c r="A586" t="s">
        <v>560</v>
      </c>
      <c r="B586" t="s">
        <v>502</v>
      </c>
      <c r="C586">
        <v>0</v>
      </c>
      <c r="D586">
        <v>86.08</v>
      </c>
      <c r="E586">
        <v>10.210000000000001</v>
      </c>
      <c r="F586">
        <v>8.39</v>
      </c>
      <c r="G586">
        <v>0.76</v>
      </c>
    </row>
    <row r="587" spans="1:7" x14ac:dyDescent="0.25">
      <c r="A587" t="s">
        <v>560</v>
      </c>
      <c r="B587" t="s">
        <v>502</v>
      </c>
      <c r="C587">
        <v>0</v>
      </c>
      <c r="D587">
        <v>86.75</v>
      </c>
      <c r="E587">
        <v>9.76</v>
      </c>
      <c r="F587">
        <v>8.9600000000000009</v>
      </c>
      <c r="G587">
        <v>0.78</v>
      </c>
    </row>
    <row r="588" spans="1:7" x14ac:dyDescent="0.25">
      <c r="A588" t="s">
        <v>560</v>
      </c>
      <c r="B588" t="s">
        <v>502</v>
      </c>
      <c r="C588">
        <v>0</v>
      </c>
      <c r="D588">
        <v>87.1</v>
      </c>
      <c r="E588">
        <v>11.28</v>
      </c>
      <c r="F588">
        <v>7.15</v>
      </c>
      <c r="G588">
        <v>0.76</v>
      </c>
    </row>
    <row r="589" spans="1:7" x14ac:dyDescent="0.25">
      <c r="A589" t="s">
        <v>560</v>
      </c>
      <c r="B589" t="s">
        <v>502</v>
      </c>
      <c r="C589">
        <v>0</v>
      </c>
      <c r="D589">
        <v>87.5</v>
      </c>
      <c r="E589">
        <v>11.74</v>
      </c>
      <c r="F589">
        <v>6.66</v>
      </c>
      <c r="G589">
        <v>0.76</v>
      </c>
    </row>
    <row r="590" spans="1:7" x14ac:dyDescent="0.25">
      <c r="A590" t="s">
        <v>560</v>
      </c>
      <c r="B590" t="s">
        <v>502</v>
      </c>
      <c r="C590">
        <v>0</v>
      </c>
      <c r="D590">
        <v>88.14</v>
      </c>
      <c r="E590">
        <v>11.3</v>
      </c>
      <c r="F590">
        <v>7.12</v>
      </c>
      <c r="G590">
        <v>0.78</v>
      </c>
    </row>
    <row r="591" spans="1:7" x14ac:dyDescent="0.25">
      <c r="A591" t="s">
        <v>560</v>
      </c>
      <c r="B591" t="s">
        <v>502</v>
      </c>
      <c r="C591">
        <v>0</v>
      </c>
      <c r="D591">
        <v>88.41</v>
      </c>
      <c r="E591">
        <v>13.21</v>
      </c>
      <c r="F591">
        <v>5.36</v>
      </c>
      <c r="G591">
        <v>0.71</v>
      </c>
    </row>
    <row r="592" spans="1:7" x14ac:dyDescent="0.25">
      <c r="A592" t="s">
        <v>560</v>
      </c>
      <c r="B592" t="s">
        <v>502</v>
      </c>
      <c r="C592">
        <v>0</v>
      </c>
      <c r="D592">
        <v>88.54</v>
      </c>
      <c r="E592">
        <v>14.07</v>
      </c>
      <c r="F592">
        <v>4.76</v>
      </c>
      <c r="G592">
        <v>0.7</v>
      </c>
    </row>
    <row r="593" spans="1:7" x14ac:dyDescent="0.25">
      <c r="A593" t="s">
        <v>560</v>
      </c>
      <c r="B593" t="s">
        <v>502</v>
      </c>
      <c r="C593">
        <v>0</v>
      </c>
      <c r="D593">
        <v>88.72</v>
      </c>
      <c r="E593">
        <v>15.43</v>
      </c>
      <c r="F593">
        <v>4.0199999999999996</v>
      </c>
      <c r="G593">
        <v>0.67</v>
      </c>
    </row>
    <row r="594" spans="1:7" x14ac:dyDescent="0.25">
      <c r="A594" t="s">
        <v>560</v>
      </c>
      <c r="B594" t="s">
        <v>502</v>
      </c>
      <c r="C594">
        <v>0</v>
      </c>
      <c r="D594">
        <v>88.9</v>
      </c>
      <c r="E594">
        <v>19.68</v>
      </c>
      <c r="F594">
        <v>2.71</v>
      </c>
      <c r="G594">
        <v>0.6</v>
      </c>
    </row>
    <row r="595" spans="1:7" x14ac:dyDescent="0.25">
      <c r="A595" t="s">
        <v>560</v>
      </c>
      <c r="B595" t="s">
        <v>502</v>
      </c>
      <c r="C595">
        <v>0</v>
      </c>
      <c r="D595">
        <v>89.24</v>
      </c>
      <c r="E595">
        <v>24.34</v>
      </c>
      <c r="F595">
        <v>1.98</v>
      </c>
      <c r="G595">
        <v>0.56000000000000005</v>
      </c>
    </row>
    <row r="596" spans="1:7" x14ac:dyDescent="0.25">
      <c r="A596" t="s">
        <v>560</v>
      </c>
      <c r="B596" t="s">
        <v>502</v>
      </c>
      <c r="C596">
        <v>0</v>
      </c>
      <c r="D596">
        <v>89.17</v>
      </c>
      <c r="E596">
        <v>28.04</v>
      </c>
      <c r="F596">
        <v>1.6</v>
      </c>
      <c r="G596">
        <v>0.53</v>
      </c>
    </row>
    <row r="597" spans="1:7" x14ac:dyDescent="0.25">
      <c r="A597" t="s">
        <v>560</v>
      </c>
      <c r="B597" t="s">
        <v>502</v>
      </c>
      <c r="C597">
        <v>1</v>
      </c>
      <c r="D597">
        <v>84.54</v>
      </c>
      <c r="E597">
        <v>4.4800000000000004</v>
      </c>
      <c r="F597">
        <v>19.07</v>
      </c>
      <c r="G597">
        <v>0.87</v>
      </c>
    </row>
    <row r="598" spans="1:7" x14ac:dyDescent="0.25">
      <c r="A598" t="s">
        <v>560</v>
      </c>
      <c r="B598" t="s">
        <v>502</v>
      </c>
      <c r="C598">
        <v>1</v>
      </c>
      <c r="D598">
        <v>84.8</v>
      </c>
      <c r="E598">
        <v>2.99</v>
      </c>
      <c r="F598">
        <v>24.34</v>
      </c>
      <c r="G598">
        <v>0.87</v>
      </c>
    </row>
    <row r="599" spans="1:7" x14ac:dyDescent="0.25">
      <c r="A599" t="s">
        <v>560</v>
      </c>
      <c r="B599" t="s">
        <v>502</v>
      </c>
      <c r="C599">
        <v>1</v>
      </c>
      <c r="D599">
        <v>84.91</v>
      </c>
      <c r="E599">
        <v>2.77</v>
      </c>
      <c r="F599">
        <v>25.34</v>
      </c>
      <c r="G599">
        <v>0.82</v>
      </c>
    </row>
    <row r="600" spans="1:7" x14ac:dyDescent="0.25">
      <c r="A600" t="s">
        <v>560</v>
      </c>
      <c r="B600" t="s">
        <v>502</v>
      </c>
      <c r="C600">
        <v>1</v>
      </c>
      <c r="D600">
        <v>85.17</v>
      </c>
      <c r="E600">
        <v>4.83</v>
      </c>
      <c r="F600">
        <v>18.079999999999998</v>
      </c>
      <c r="G600">
        <v>0.84</v>
      </c>
    </row>
    <row r="601" spans="1:7" x14ac:dyDescent="0.25">
      <c r="A601" t="s">
        <v>560</v>
      </c>
      <c r="B601" t="s">
        <v>502</v>
      </c>
      <c r="C601">
        <v>1</v>
      </c>
      <c r="D601">
        <v>85.83</v>
      </c>
      <c r="E601">
        <v>4.1900000000000004</v>
      </c>
      <c r="F601">
        <v>19.96</v>
      </c>
      <c r="G601">
        <v>0.82</v>
      </c>
    </row>
    <row r="602" spans="1:7" x14ac:dyDescent="0.25">
      <c r="A602" t="s">
        <v>560</v>
      </c>
      <c r="B602" t="s">
        <v>502</v>
      </c>
      <c r="C602">
        <v>1</v>
      </c>
      <c r="D602">
        <v>86.1</v>
      </c>
      <c r="E602">
        <v>2.33</v>
      </c>
      <c r="F602">
        <v>27.59</v>
      </c>
      <c r="G602">
        <v>0.86</v>
      </c>
    </row>
    <row r="603" spans="1:7" x14ac:dyDescent="0.25">
      <c r="A603" t="s">
        <v>560</v>
      </c>
      <c r="B603" t="s">
        <v>502</v>
      </c>
      <c r="C603">
        <v>1</v>
      </c>
      <c r="D603">
        <v>86.53</v>
      </c>
      <c r="E603">
        <v>1.48</v>
      </c>
      <c r="F603">
        <v>33.43</v>
      </c>
      <c r="G603">
        <v>0.91</v>
      </c>
    </row>
    <row r="604" spans="1:7" x14ac:dyDescent="0.25">
      <c r="A604" t="s">
        <v>560</v>
      </c>
      <c r="B604" t="s">
        <v>502</v>
      </c>
      <c r="C604">
        <v>1</v>
      </c>
      <c r="D604">
        <v>87.45</v>
      </c>
      <c r="E604">
        <v>1.05</v>
      </c>
      <c r="F604">
        <v>37.909999999999997</v>
      </c>
      <c r="G604">
        <v>0.93</v>
      </c>
    </row>
    <row r="605" spans="1:7" x14ac:dyDescent="0.25">
      <c r="A605" t="s">
        <v>560</v>
      </c>
      <c r="B605" t="s">
        <v>502</v>
      </c>
      <c r="C605">
        <v>1</v>
      </c>
      <c r="D605">
        <v>88.04</v>
      </c>
      <c r="E605">
        <v>0.77</v>
      </c>
      <c r="F605">
        <v>41.91</v>
      </c>
      <c r="G605">
        <v>0.92</v>
      </c>
    </row>
    <row r="606" spans="1:7" x14ac:dyDescent="0.25">
      <c r="A606" t="s">
        <v>560</v>
      </c>
      <c r="B606" t="s">
        <v>502</v>
      </c>
      <c r="C606">
        <v>1</v>
      </c>
      <c r="D606">
        <v>88.58</v>
      </c>
      <c r="E606">
        <v>0.84</v>
      </c>
      <c r="F606">
        <v>40.799999999999997</v>
      </c>
      <c r="G606">
        <v>0.91</v>
      </c>
    </row>
    <row r="607" spans="1:7" x14ac:dyDescent="0.25">
      <c r="A607" t="s">
        <v>560</v>
      </c>
      <c r="B607" t="s">
        <v>502</v>
      </c>
      <c r="C607">
        <v>1</v>
      </c>
      <c r="D607">
        <v>89.1</v>
      </c>
      <c r="E607">
        <v>0.68</v>
      </c>
      <c r="F607">
        <v>43.65</v>
      </c>
      <c r="G607">
        <v>0.89</v>
      </c>
    </row>
    <row r="608" spans="1:7" x14ac:dyDescent="0.25">
      <c r="A608" t="s">
        <v>560</v>
      </c>
      <c r="B608" t="s">
        <v>502</v>
      </c>
      <c r="C608">
        <v>1</v>
      </c>
      <c r="D608">
        <v>89.61</v>
      </c>
      <c r="E608">
        <v>0.48</v>
      </c>
      <c r="F608">
        <v>48.18</v>
      </c>
      <c r="G608">
        <v>0.89</v>
      </c>
    </row>
    <row r="609" spans="1:7" x14ac:dyDescent="0.25">
      <c r="A609" t="s">
        <v>560</v>
      </c>
      <c r="B609" t="s">
        <v>502</v>
      </c>
      <c r="C609">
        <v>1</v>
      </c>
      <c r="D609">
        <v>89.92</v>
      </c>
      <c r="E609">
        <v>0.28999999999999998</v>
      </c>
      <c r="F609">
        <v>54.88</v>
      </c>
      <c r="G609">
        <v>0.87</v>
      </c>
    </row>
    <row r="610" spans="1:7" x14ac:dyDescent="0.25">
      <c r="A610" t="s">
        <v>560</v>
      </c>
      <c r="B610" t="s">
        <v>502</v>
      </c>
      <c r="C610">
        <v>1</v>
      </c>
      <c r="D610">
        <v>89.99</v>
      </c>
      <c r="E610">
        <v>0.38</v>
      </c>
      <c r="F610">
        <v>51.26</v>
      </c>
      <c r="G610">
        <v>0.86</v>
      </c>
    </row>
    <row r="611" spans="1:7" x14ac:dyDescent="0.25">
      <c r="A611" t="s">
        <v>560</v>
      </c>
      <c r="B611" t="s">
        <v>502</v>
      </c>
      <c r="C611">
        <v>1</v>
      </c>
      <c r="D611">
        <v>89.91</v>
      </c>
      <c r="E611">
        <v>0.92</v>
      </c>
      <c r="F611">
        <v>39.659999999999997</v>
      </c>
      <c r="G611">
        <v>0.83</v>
      </c>
    </row>
    <row r="612" spans="1:7" x14ac:dyDescent="0.25">
      <c r="A612" t="s">
        <v>560</v>
      </c>
      <c r="B612" t="s">
        <v>502</v>
      </c>
      <c r="C612">
        <v>1</v>
      </c>
      <c r="D612">
        <v>89.89</v>
      </c>
      <c r="E612">
        <v>1.65</v>
      </c>
      <c r="F612">
        <v>32.090000000000003</v>
      </c>
      <c r="G612">
        <v>0.81</v>
      </c>
    </row>
    <row r="613" spans="1:7" x14ac:dyDescent="0.25">
      <c r="A613" t="s">
        <v>560</v>
      </c>
      <c r="B613" t="s">
        <v>502</v>
      </c>
      <c r="C613">
        <v>1</v>
      </c>
      <c r="D613">
        <v>89.74</v>
      </c>
      <c r="E613">
        <v>3.53</v>
      </c>
      <c r="F613">
        <v>22.18</v>
      </c>
      <c r="G613">
        <v>0.78</v>
      </c>
    </row>
    <row r="614" spans="1:7" x14ac:dyDescent="0.25">
      <c r="A614" t="s">
        <v>560</v>
      </c>
      <c r="B614" t="s">
        <v>502</v>
      </c>
      <c r="C614">
        <v>2</v>
      </c>
      <c r="D614">
        <v>95.56</v>
      </c>
      <c r="E614">
        <v>17.14</v>
      </c>
      <c r="F614">
        <v>3.36</v>
      </c>
      <c r="G614">
        <v>0.78</v>
      </c>
    </row>
    <row r="615" spans="1:7" x14ac:dyDescent="0.25">
      <c r="A615" t="s">
        <v>560</v>
      </c>
      <c r="B615" t="s">
        <v>502</v>
      </c>
      <c r="C615">
        <v>2</v>
      </c>
      <c r="D615">
        <v>94.97</v>
      </c>
      <c r="E615">
        <v>12.84</v>
      </c>
      <c r="F615">
        <v>5.65</v>
      </c>
      <c r="G615">
        <v>0.82</v>
      </c>
    </row>
    <row r="616" spans="1:7" x14ac:dyDescent="0.25">
      <c r="A616" t="s">
        <v>560</v>
      </c>
      <c r="B616" t="s">
        <v>502</v>
      </c>
      <c r="C616">
        <v>2</v>
      </c>
      <c r="D616">
        <v>95.28</v>
      </c>
      <c r="E616">
        <v>11.68</v>
      </c>
      <c r="F616">
        <v>6.72</v>
      </c>
      <c r="G616">
        <v>0.83</v>
      </c>
    </row>
    <row r="617" spans="1:7" x14ac:dyDescent="0.25">
      <c r="A617" t="s">
        <v>560</v>
      </c>
      <c r="B617" t="s">
        <v>502</v>
      </c>
      <c r="C617">
        <v>2</v>
      </c>
      <c r="D617">
        <v>95.88</v>
      </c>
      <c r="E617">
        <v>9.5399999999999991</v>
      </c>
      <c r="F617">
        <v>9.26</v>
      </c>
      <c r="G617">
        <v>0.87</v>
      </c>
    </row>
    <row r="618" spans="1:7" x14ac:dyDescent="0.25">
      <c r="A618" t="s">
        <v>560</v>
      </c>
      <c r="B618" t="s">
        <v>502</v>
      </c>
      <c r="C618">
        <v>2</v>
      </c>
      <c r="D618">
        <v>96.27</v>
      </c>
      <c r="E618">
        <v>8.26</v>
      </c>
      <c r="F618">
        <v>11.13</v>
      </c>
      <c r="G618">
        <v>0.88</v>
      </c>
    </row>
    <row r="619" spans="1:7" x14ac:dyDescent="0.25">
      <c r="A619" t="s">
        <v>560</v>
      </c>
      <c r="B619" t="s">
        <v>502</v>
      </c>
      <c r="C619">
        <v>2</v>
      </c>
      <c r="D619">
        <v>96.63</v>
      </c>
      <c r="E619">
        <v>8.2100000000000009</v>
      </c>
      <c r="F619">
        <v>11.2</v>
      </c>
      <c r="G619">
        <v>0.87</v>
      </c>
    </row>
    <row r="620" spans="1:7" x14ac:dyDescent="0.25">
      <c r="A620" t="s">
        <v>560</v>
      </c>
      <c r="B620" t="s">
        <v>502</v>
      </c>
      <c r="C620">
        <v>2</v>
      </c>
      <c r="D620">
        <v>96.99</v>
      </c>
      <c r="E620">
        <v>7.1</v>
      </c>
      <c r="F620">
        <v>13.09</v>
      </c>
      <c r="G620">
        <v>0.86</v>
      </c>
    </row>
    <row r="621" spans="1:7" x14ac:dyDescent="0.25">
      <c r="A621" t="s">
        <v>560</v>
      </c>
      <c r="B621" t="s">
        <v>502</v>
      </c>
      <c r="C621">
        <v>2</v>
      </c>
      <c r="D621">
        <v>97.29</v>
      </c>
      <c r="E621">
        <v>4.17</v>
      </c>
      <c r="F621">
        <v>20.010000000000002</v>
      </c>
      <c r="G621">
        <v>0.88</v>
      </c>
    </row>
    <row r="622" spans="1:7" x14ac:dyDescent="0.25">
      <c r="A622" t="s">
        <v>560</v>
      </c>
      <c r="B622" t="s">
        <v>502</v>
      </c>
      <c r="C622">
        <v>2</v>
      </c>
      <c r="D622">
        <v>97.38</v>
      </c>
      <c r="E622">
        <v>2.93</v>
      </c>
      <c r="F622">
        <v>24.6</v>
      </c>
      <c r="G622">
        <v>0.88</v>
      </c>
    </row>
    <row r="623" spans="1:7" x14ac:dyDescent="0.25">
      <c r="A623" t="s">
        <v>560</v>
      </c>
      <c r="B623" t="s">
        <v>502</v>
      </c>
      <c r="C623">
        <v>2</v>
      </c>
      <c r="D623">
        <v>97.33</v>
      </c>
      <c r="E623">
        <v>2.5499999999999998</v>
      </c>
      <c r="F623">
        <v>26.41</v>
      </c>
      <c r="G623">
        <v>0.88</v>
      </c>
    </row>
    <row r="624" spans="1:7" x14ac:dyDescent="0.25">
      <c r="A624" t="s">
        <v>560</v>
      </c>
      <c r="B624" t="s">
        <v>502</v>
      </c>
      <c r="C624">
        <v>2</v>
      </c>
      <c r="D624">
        <v>97.22</v>
      </c>
      <c r="E624">
        <v>1.67</v>
      </c>
      <c r="F624">
        <v>31.92</v>
      </c>
      <c r="G624">
        <v>0.87</v>
      </c>
    </row>
    <row r="625" spans="1:7" x14ac:dyDescent="0.25">
      <c r="A625" t="s">
        <v>560</v>
      </c>
      <c r="B625" t="s">
        <v>502</v>
      </c>
      <c r="C625">
        <v>2</v>
      </c>
      <c r="D625">
        <v>97.1</v>
      </c>
      <c r="E625">
        <v>0.91</v>
      </c>
      <c r="F625">
        <v>39.840000000000003</v>
      </c>
      <c r="G625">
        <v>0.87</v>
      </c>
    </row>
    <row r="626" spans="1:7" x14ac:dyDescent="0.25">
      <c r="A626" t="s">
        <v>560</v>
      </c>
      <c r="B626" t="s">
        <v>502</v>
      </c>
      <c r="C626">
        <v>2</v>
      </c>
      <c r="D626">
        <v>97.01</v>
      </c>
      <c r="E626">
        <v>0.79</v>
      </c>
      <c r="F626">
        <v>41.59</v>
      </c>
      <c r="G626">
        <v>0.86</v>
      </c>
    </row>
    <row r="627" spans="1:7" x14ac:dyDescent="0.25">
      <c r="A627" t="s">
        <v>560</v>
      </c>
      <c r="B627" t="s">
        <v>502</v>
      </c>
      <c r="C627">
        <v>2</v>
      </c>
      <c r="D627">
        <v>96.97</v>
      </c>
      <c r="E627">
        <v>0.76</v>
      </c>
      <c r="F627">
        <v>42.11</v>
      </c>
      <c r="G627">
        <v>0.86</v>
      </c>
    </row>
    <row r="628" spans="1:7" x14ac:dyDescent="0.25">
      <c r="A628" t="s">
        <v>560</v>
      </c>
      <c r="B628" t="s">
        <v>502</v>
      </c>
      <c r="C628">
        <v>2</v>
      </c>
      <c r="D628">
        <v>97.02</v>
      </c>
      <c r="E628">
        <v>1.21</v>
      </c>
      <c r="F628">
        <v>36.119999999999997</v>
      </c>
      <c r="G628">
        <v>0.85</v>
      </c>
    </row>
    <row r="629" spans="1:7" x14ac:dyDescent="0.25">
      <c r="A629" t="s">
        <v>560</v>
      </c>
      <c r="B629" t="s">
        <v>502</v>
      </c>
      <c r="C629">
        <v>2</v>
      </c>
      <c r="D629">
        <v>97.18</v>
      </c>
      <c r="E629">
        <v>2.1</v>
      </c>
      <c r="F629">
        <v>28.93</v>
      </c>
      <c r="G629">
        <v>0.85</v>
      </c>
    </row>
    <row r="630" spans="1:7" x14ac:dyDescent="0.25">
      <c r="A630" t="s">
        <v>560</v>
      </c>
      <c r="B630" t="s">
        <v>502</v>
      </c>
      <c r="C630">
        <v>2</v>
      </c>
      <c r="D630">
        <v>97.46</v>
      </c>
      <c r="E630">
        <v>3.53</v>
      </c>
      <c r="F630">
        <v>22.18</v>
      </c>
      <c r="G630">
        <v>0.84</v>
      </c>
    </row>
    <row r="631" spans="1:7" x14ac:dyDescent="0.25">
      <c r="A631" t="s">
        <v>560</v>
      </c>
      <c r="B631" t="s">
        <v>500</v>
      </c>
      <c r="C631">
        <v>0</v>
      </c>
      <c r="D631">
        <v>103.97</v>
      </c>
      <c r="E631">
        <v>13.36</v>
      </c>
      <c r="F631">
        <v>5.25</v>
      </c>
      <c r="G631">
        <v>0.79</v>
      </c>
    </row>
    <row r="632" spans="1:7" x14ac:dyDescent="0.25">
      <c r="A632" t="s">
        <v>560</v>
      </c>
      <c r="B632" t="s">
        <v>500</v>
      </c>
      <c r="C632">
        <v>0</v>
      </c>
      <c r="D632">
        <v>103.49</v>
      </c>
      <c r="E632">
        <v>12.27</v>
      </c>
      <c r="F632">
        <v>6.15</v>
      </c>
      <c r="G632">
        <v>0.77</v>
      </c>
    </row>
    <row r="633" spans="1:7" x14ac:dyDescent="0.25">
      <c r="A633" t="s">
        <v>560</v>
      </c>
      <c r="B633" t="s">
        <v>500</v>
      </c>
      <c r="C633">
        <v>0</v>
      </c>
      <c r="D633">
        <v>103.66</v>
      </c>
      <c r="E633">
        <v>11.27</v>
      </c>
      <c r="F633">
        <v>7.15</v>
      </c>
      <c r="G633">
        <v>0.73</v>
      </c>
    </row>
    <row r="634" spans="1:7" x14ac:dyDescent="0.25">
      <c r="A634" t="s">
        <v>560</v>
      </c>
      <c r="B634" t="s">
        <v>500</v>
      </c>
      <c r="C634">
        <v>0</v>
      </c>
      <c r="D634">
        <v>104.1</v>
      </c>
      <c r="E634">
        <v>8.34</v>
      </c>
      <c r="F634">
        <v>10.99</v>
      </c>
      <c r="G634">
        <v>0.68</v>
      </c>
    </row>
    <row r="635" spans="1:7" x14ac:dyDescent="0.25">
      <c r="A635" t="s">
        <v>560</v>
      </c>
      <c r="B635" t="s">
        <v>500</v>
      </c>
      <c r="C635">
        <v>0</v>
      </c>
      <c r="D635">
        <v>104</v>
      </c>
      <c r="E635">
        <v>8.8699999999999992</v>
      </c>
      <c r="F635">
        <v>10.199999999999999</v>
      </c>
      <c r="G635">
        <v>0.7</v>
      </c>
    </row>
    <row r="636" spans="1:7" x14ac:dyDescent="0.25">
      <c r="A636" t="s">
        <v>560</v>
      </c>
      <c r="B636" t="s">
        <v>500</v>
      </c>
      <c r="C636">
        <v>0</v>
      </c>
      <c r="D636">
        <v>103.14</v>
      </c>
      <c r="E636">
        <v>7.5</v>
      </c>
      <c r="F636">
        <v>12.38</v>
      </c>
      <c r="G636">
        <v>0.82</v>
      </c>
    </row>
    <row r="637" spans="1:7" x14ac:dyDescent="0.25">
      <c r="A637" t="s">
        <v>560</v>
      </c>
      <c r="B637" t="s">
        <v>500</v>
      </c>
      <c r="C637">
        <v>0</v>
      </c>
      <c r="D637">
        <v>101.84</v>
      </c>
      <c r="E637">
        <v>6.52</v>
      </c>
      <c r="F637">
        <v>14.19</v>
      </c>
      <c r="G637">
        <v>0.88</v>
      </c>
    </row>
    <row r="638" spans="1:7" x14ac:dyDescent="0.25">
      <c r="A638" t="s">
        <v>560</v>
      </c>
      <c r="B638" t="s">
        <v>500</v>
      </c>
      <c r="C638">
        <v>0</v>
      </c>
      <c r="D638">
        <v>101.03</v>
      </c>
      <c r="E638">
        <v>6.45</v>
      </c>
      <c r="F638">
        <v>14.34</v>
      </c>
      <c r="G638">
        <v>0.9</v>
      </c>
    </row>
    <row r="639" spans="1:7" x14ac:dyDescent="0.25">
      <c r="A639" t="s">
        <v>560</v>
      </c>
      <c r="B639" t="s">
        <v>500</v>
      </c>
      <c r="C639">
        <v>0</v>
      </c>
      <c r="D639">
        <v>99.9</v>
      </c>
      <c r="E639">
        <v>7.19</v>
      </c>
      <c r="F639">
        <v>12.93</v>
      </c>
      <c r="G639">
        <v>0.89</v>
      </c>
    </row>
    <row r="640" spans="1:7" x14ac:dyDescent="0.25">
      <c r="A640" t="s">
        <v>560</v>
      </c>
      <c r="B640" t="s">
        <v>500</v>
      </c>
      <c r="C640">
        <v>0</v>
      </c>
      <c r="D640">
        <v>98.65</v>
      </c>
      <c r="E640">
        <v>6.78</v>
      </c>
      <c r="F640">
        <v>13.69</v>
      </c>
      <c r="G640">
        <v>0.86</v>
      </c>
    </row>
    <row r="641" spans="1:7" x14ac:dyDescent="0.25">
      <c r="A641" t="s">
        <v>560</v>
      </c>
      <c r="B641" t="s">
        <v>500</v>
      </c>
      <c r="C641">
        <v>0</v>
      </c>
      <c r="D641">
        <v>98</v>
      </c>
      <c r="E641">
        <v>6.27</v>
      </c>
      <c r="F641">
        <v>14.71</v>
      </c>
      <c r="G641">
        <v>0.82</v>
      </c>
    </row>
    <row r="642" spans="1:7" x14ac:dyDescent="0.25">
      <c r="A642" t="s">
        <v>560</v>
      </c>
      <c r="B642" t="s">
        <v>500</v>
      </c>
      <c r="C642">
        <v>0</v>
      </c>
      <c r="D642">
        <v>97.88</v>
      </c>
      <c r="E642">
        <v>6.6</v>
      </c>
      <c r="F642">
        <v>14.04</v>
      </c>
      <c r="G642">
        <v>0.81</v>
      </c>
    </row>
    <row r="643" spans="1:7" x14ac:dyDescent="0.25">
      <c r="A643" t="s">
        <v>560</v>
      </c>
      <c r="B643" t="s">
        <v>500</v>
      </c>
      <c r="C643">
        <v>0</v>
      </c>
      <c r="D643">
        <v>97.68</v>
      </c>
      <c r="E643">
        <v>5.83</v>
      </c>
      <c r="F643">
        <v>15.65</v>
      </c>
      <c r="G643">
        <v>0.81</v>
      </c>
    </row>
    <row r="644" spans="1:7" x14ac:dyDescent="0.25">
      <c r="A644" t="s">
        <v>560</v>
      </c>
      <c r="B644" t="s">
        <v>500</v>
      </c>
      <c r="C644">
        <v>1</v>
      </c>
      <c r="D644">
        <v>102.79</v>
      </c>
      <c r="E644">
        <v>14.11</v>
      </c>
      <c r="F644">
        <v>4.7300000000000004</v>
      </c>
      <c r="G644">
        <v>0.62</v>
      </c>
    </row>
    <row r="645" spans="1:7" x14ac:dyDescent="0.25">
      <c r="A645" t="s">
        <v>560</v>
      </c>
      <c r="B645" t="s">
        <v>500</v>
      </c>
      <c r="C645">
        <v>1</v>
      </c>
      <c r="D645">
        <v>102.1</v>
      </c>
      <c r="E645">
        <v>14.24</v>
      </c>
      <c r="F645">
        <v>4.6500000000000004</v>
      </c>
      <c r="G645">
        <v>0.6</v>
      </c>
    </row>
    <row r="646" spans="1:7" x14ac:dyDescent="0.25">
      <c r="A646" t="s">
        <v>560</v>
      </c>
      <c r="B646" t="s">
        <v>500</v>
      </c>
      <c r="C646">
        <v>1</v>
      </c>
      <c r="D646">
        <v>101.73</v>
      </c>
      <c r="E646">
        <v>18.850000000000001</v>
      </c>
      <c r="F646">
        <v>2.89</v>
      </c>
      <c r="G646">
        <v>0.48</v>
      </c>
    </row>
    <row r="647" spans="1:7" x14ac:dyDescent="0.25">
      <c r="A647" t="s">
        <v>560</v>
      </c>
      <c r="B647" t="s">
        <v>500</v>
      </c>
      <c r="C647">
        <v>1</v>
      </c>
      <c r="D647">
        <v>100.18</v>
      </c>
      <c r="E647">
        <v>23.49</v>
      </c>
      <c r="F647">
        <v>2.08</v>
      </c>
      <c r="G647">
        <v>0.45</v>
      </c>
    </row>
    <row r="648" spans="1:7" x14ac:dyDescent="0.25">
      <c r="A648" t="s">
        <v>560</v>
      </c>
      <c r="B648" t="s">
        <v>500</v>
      </c>
      <c r="C648">
        <v>1</v>
      </c>
      <c r="D648">
        <v>99.73</v>
      </c>
      <c r="E648">
        <v>20.59</v>
      </c>
      <c r="F648">
        <v>2.5299999999999998</v>
      </c>
      <c r="G648">
        <v>0.51</v>
      </c>
    </row>
    <row r="649" spans="1:7" x14ac:dyDescent="0.25">
      <c r="A649" t="s">
        <v>560</v>
      </c>
      <c r="B649" t="s">
        <v>500</v>
      </c>
      <c r="C649">
        <v>1</v>
      </c>
      <c r="D649">
        <v>99.09</v>
      </c>
      <c r="E649">
        <v>15.98</v>
      </c>
      <c r="F649">
        <v>3.78</v>
      </c>
      <c r="G649">
        <v>0.64</v>
      </c>
    </row>
    <row r="650" spans="1:7" x14ac:dyDescent="0.25">
      <c r="A650" t="s">
        <v>560</v>
      </c>
      <c r="B650" t="s">
        <v>500</v>
      </c>
      <c r="C650">
        <v>1</v>
      </c>
      <c r="D650">
        <v>98.29</v>
      </c>
      <c r="E650">
        <v>13.18</v>
      </c>
      <c r="F650">
        <v>5.38</v>
      </c>
      <c r="G650">
        <v>0.71</v>
      </c>
    </row>
    <row r="651" spans="1:7" x14ac:dyDescent="0.25">
      <c r="A651" t="s">
        <v>560</v>
      </c>
      <c r="B651" t="s">
        <v>500</v>
      </c>
      <c r="C651">
        <v>1</v>
      </c>
      <c r="D651">
        <v>97.55</v>
      </c>
      <c r="E651">
        <v>12.07</v>
      </c>
      <c r="F651">
        <v>6.34</v>
      </c>
      <c r="G651">
        <v>0.75</v>
      </c>
    </row>
    <row r="652" spans="1:7" x14ac:dyDescent="0.25">
      <c r="A652" t="s">
        <v>560</v>
      </c>
      <c r="B652" t="s">
        <v>500</v>
      </c>
      <c r="C652">
        <v>1</v>
      </c>
      <c r="D652">
        <v>96.39</v>
      </c>
      <c r="E652">
        <v>12.27</v>
      </c>
      <c r="F652">
        <v>6.15</v>
      </c>
      <c r="G652">
        <v>0.76</v>
      </c>
    </row>
    <row r="653" spans="1:7" x14ac:dyDescent="0.25">
      <c r="A653" t="s">
        <v>560</v>
      </c>
      <c r="B653" t="s">
        <v>500</v>
      </c>
      <c r="C653">
        <v>1</v>
      </c>
      <c r="D653">
        <v>95.38</v>
      </c>
      <c r="E653">
        <v>13.56</v>
      </c>
      <c r="F653">
        <v>5.0999999999999996</v>
      </c>
      <c r="G653">
        <v>0.71</v>
      </c>
    </row>
    <row r="654" spans="1:7" x14ac:dyDescent="0.25">
      <c r="A654" t="s">
        <v>560</v>
      </c>
      <c r="B654" t="s">
        <v>500</v>
      </c>
      <c r="C654">
        <v>1</v>
      </c>
      <c r="D654">
        <v>94.79</v>
      </c>
      <c r="E654">
        <v>13.61</v>
      </c>
      <c r="F654">
        <v>5.0599999999999996</v>
      </c>
      <c r="G654">
        <v>0.7</v>
      </c>
    </row>
    <row r="655" spans="1:7" x14ac:dyDescent="0.25">
      <c r="A655" t="s">
        <v>560</v>
      </c>
      <c r="B655" t="s">
        <v>500</v>
      </c>
      <c r="C655">
        <v>1</v>
      </c>
      <c r="D655">
        <v>94.25</v>
      </c>
      <c r="E655">
        <v>13.97</v>
      </c>
      <c r="F655">
        <v>4.82</v>
      </c>
      <c r="G655">
        <v>0.69</v>
      </c>
    </row>
    <row r="656" spans="1:7" x14ac:dyDescent="0.25">
      <c r="A656" t="s">
        <v>560</v>
      </c>
      <c r="B656" t="s">
        <v>500</v>
      </c>
      <c r="C656">
        <v>1</v>
      </c>
      <c r="D656">
        <v>93.78</v>
      </c>
      <c r="E656">
        <v>14.6</v>
      </c>
      <c r="F656">
        <v>4.45</v>
      </c>
      <c r="G656">
        <v>0.67</v>
      </c>
    </row>
    <row r="657" spans="1:7" x14ac:dyDescent="0.25">
      <c r="A657" t="s">
        <v>560</v>
      </c>
      <c r="B657" t="s">
        <v>500</v>
      </c>
      <c r="C657">
        <v>2</v>
      </c>
      <c r="D657">
        <v>100.38</v>
      </c>
      <c r="E657">
        <v>12.46</v>
      </c>
      <c r="F657">
        <v>5.98</v>
      </c>
      <c r="G657">
        <v>0.69</v>
      </c>
    </row>
    <row r="658" spans="1:7" x14ac:dyDescent="0.25">
      <c r="A658" t="s">
        <v>560</v>
      </c>
      <c r="B658" t="s">
        <v>500</v>
      </c>
      <c r="C658">
        <v>2</v>
      </c>
      <c r="D658">
        <v>99.98</v>
      </c>
      <c r="E658">
        <v>11.59</v>
      </c>
      <c r="F658">
        <v>6.81</v>
      </c>
      <c r="G658">
        <v>0.7</v>
      </c>
    </row>
    <row r="659" spans="1:7" x14ac:dyDescent="0.25">
      <c r="A659" t="s">
        <v>560</v>
      </c>
      <c r="B659" t="s">
        <v>500</v>
      </c>
      <c r="C659">
        <v>2</v>
      </c>
      <c r="D659">
        <v>99.78</v>
      </c>
      <c r="E659">
        <v>11.38</v>
      </c>
      <c r="F659">
        <v>7.03</v>
      </c>
      <c r="G659">
        <v>0.7</v>
      </c>
    </row>
    <row r="660" spans="1:7" x14ac:dyDescent="0.25">
      <c r="A660" t="s">
        <v>560</v>
      </c>
      <c r="B660" t="s">
        <v>500</v>
      </c>
      <c r="C660">
        <v>2</v>
      </c>
      <c r="D660">
        <v>100.62</v>
      </c>
      <c r="E660">
        <v>9.8800000000000008</v>
      </c>
      <c r="F660">
        <v>8.81</v>
      </c>
      <c r="G660">
        <v>0.71</v>
      </c>
    </row>
    <row r="661" spans="1:7" x14ac:dyDescent="0.25">
      <c r="A661" t="s">
        <v>560</v>
      </c>
      <c r="B661" t="s">
        <v>500</v>
      </c>
      <c r="C661">
        <v>2</v>
      </c>
      <c r="D661">
        <v>100.64</v>
      </c>
      <c r="E661">
        <v>8.4</v>
      </c>
      <c r="F661">
        <v>10.9</v>
      </c>
      <c r="G661">
        <v>0.72</v>
      </c>
    </row>
    <row r="662" spans="1:7" x14ac:dyDescent="0.25">
      <c r="A662" t="s">
        <v>560</v>
      </c>
      <c r="B662" t="s">
        <v>500</v>
      </c>
      <c r="C662">
        <v>2</v>
      </c>
      <c r="D662">
        <v>100.14</v>
      </c>
      <c r="E662">
        <v>6.36</v>
      </c>
      <c r="F662">
        <v>14.51</v>
      </c>
      <c r="G662">
        <v>0.76</v>
      </c>
    </row>
    <row r="663" spans="1:7" x14ac:dyDescent="0.25">
      <c r="A663" t="s">
        <v>560</v>
      </c>
      <c r="B663" t="s">
        <v>500</v>
      </c>
      <c r="C663">
        <v>2</v>
      </c>
      <c r="D663">
        <v>99.73</v>
      </c>
      <c r="E663">
        <v>5.51</v>
      </c>
      <c r="F663">
        <v>16.38</v>
      </c>
      <c r="G663">
        <v>0.77</v>
      </c>
    </row>
    <row r="664" spans="1:7" x14ac:dyDescent="0.25">
      <c r="A664" t="s">
        <v>560</v>
      </c>
      <c r="B664" t="s">
        <v>500</v>
      </c>
      <c r="C664">
        <v>2</v>
      </c>
      <c r="D664">
        <v>99.1</v>
      </c>
      <c r="E664">
        <v>6.91</v>
      </c>
      <c r="F664">
        <v>13.44</v>
      </c>
      <c r="G664">
        <v>0.74</v>
      </c>
    </row>
    <row r="665" spans="1:7" x14ac:dyDescent="0.25">
      <c r="A665" t="s">
        <v>560</v>
      </c>
      <c r="B665" t="s">
        <v>500</v>
      </c>
      <c r="C665">
        <v>2</v>
      </c>
      <c r="D665">
        <v>98.66</v>
      </c>
      <c r="E665">
        <v>5.22</v>
      </c>
      <c r="F665">
        <v>17.09</v>
      </c>
      <c r="G665">
        <v>0.79</v>
      </c>
    </row>
    <row r="666" spans="1:7" x14ac:dyDescent="0.25">
      <c r="A666" t="s">
        <v>560</v>
      </c>
      <c r="B666" t="s">
        <v>500</v>
      </c>
      <c r="C666">
        <v>2</v>
      </c>
      <c r="D666">
        <v>98.74</v>
      </c>
      <c r="E666">
        <v>4.6500000000000004</v>
      </c>
      <c r="F666">
        <v>18.600000000000001</v>
      </c>
      <c r="G666">
        <v>0.82</v>
      </c>
    </row>
    <row r="667" spans="1:7" x14ac:dyDescent="0.25">
      <c r="A667" t="s">
        <v>560</v>
      </c>
      <c r="B667" t="s">
        <v>500</v>
      </c>
      <c r="C667">
        <v>2</v>
      </c>
      <c r="D667">
        <v>98.2</v>
      </c>
      <c r="E667">
        <v>5.93</v>
      </c>
      <c r="F667">
        <v>15.42</v>
      </c>
      <c r="G667">
        <v>0.81</v>
      </c>
    </row>
    <row r="668" spans="1:7" x14ac:dyDescent="0.25">
      <c r="A668" t="s">
        <v>560</v>
      </c>
      <c r="B668" t="s">
        <v>500</v>
      </c>
      <c r="C668">
        <v>2</v>
      </c>
      <c r="D668">
        <v>97.91</v>
      </c>
      <c r="E668">
        <v>7.37</v>
      </c>
      <c r="F668">
        <v>12.61</v>
      </c>
      <c r="G668">
        <v>0.78</v>
      </c>
    </row>
    <row r="669" spans="1:7" x14ac:dyDescent="0.25">
      <c r="A669" t="s">
        <v>560</v>
      </c>
      <c r="B669" t="s">
        <v>500</v>
      </c>
      <c r="C669">
        <v>2</v>
      </c>
      <c r="D669">
        <v>97.5</v>
      </c>
      <c r="E669">
        <v>10.14</v>
      </c>
      <c r="F669">
        <v>8.48</v>
      </c>
      <c r="G669">
        <v>0.75</v>
      </c>
    </row>
    <row r="670" spans="1:7" x14ac:dyDescent="0.25">
      <c r="A670" t="s">
        <v>560</v>
      </c>
      <c r="B670" t="s">
        <v>497</v>
      </c>
      <c r="C670">
        <v>0</v>
      </c>
      <c r="D670">
        <v>98.94</v>
      </c>
      <c r="E670">
        <v>3.13</v>
      </c>
      <c r="F670">
        <v>23.75</v>
      </c>
      <c r="G670">
        <v>0.74</v>
      </c>
    </row>
    <row r="671" spans="1:7" x14ac:dyDescent="0.25">
      <c r="A671" t="s">
        <v>560</v>
      </c>
      <c r="B671" t="s">
        <v>497</v>
      </c>
      <c r="C671">
        <v>0</v>
      </c>
      <c r="D671">
        <v>98.68</v>
      </c>
      <c r="E671">
        <v>10.15</v>
      </c>
      <c r="F671">
        <v>8.4700000000000006</v>
      </c>
      <c r="G671">
        <v>0.54</v>
      </c>
    </row>
    <row r="672" spans="1:7" x14ac:dyDescent="0.25">
      <c r="A672" t="s">
        <v>560</v>
      </c>
      <c r="B672" t="s">
        <v>497</v>
      </c>
      <c r="C672">
        <v>0</v>
      </c>
      <c r="D672">
        <v>98.38</v>
      </c>
      <c r="E672">
        <v>15.6</v>
      </c>
      <c r="F672">
        <v>3.94</v>
      </c>
      <c r="G672">
        <v>0.49</v>
      </c>
    </row>
    <row r="673" spans="1:7" x14ac:dyDescent="0.25">
      <c r="A673" t="s">
        <v>560</v>
      </c>
      <c r="B673" t="s">
        <v>497</v>
      </c>
      <c r="C673">
        <v>0</v>
      </c>
      <c r="D673">
        <v>97.25</v>
      </c>
      <c r="E673">
        <v>19.96</v>
      </c>
      <c r="F673">
        <v>2.65</v>
      </c>
      <c r="G673">
        <v>0.49</v>
      </c>
    </row>
    <row r="674" spans="1:7" x14ac:dyDescent="0.25">
      <c r="A674" t="s">
        <v>560</v>
      </c>
      <c r="B674" t="s">
        <v>497</v>
      </c>
      <c r="C674">
        <v>0</v>
      </c>
      <c r="D674">
        <v>95.99</v>
      </c>
      <c r="E674">
        <v>21.12</v>
      </c>
      <c r="F674">
        <v>2.44</v>
      </c>
      <c r="G674">
        <v>0.49</v>
      </c>
    </row>
    <row r="675" spans="1:7" x14ac:dyDescent="0.25">
      <c r="A675" t="s">
        <v>560</v>
      </c>
      <c r="B675" t="s">
        <v>497</v>
      </c>
      <c r="C675">
        <v>0</v>
      </c>
      <c r="D675">
        <v>95.14</v>
      </c>
      <c r="E675">
        <v>15.11</v>
      </c>
      <c r="F675">
        <v>4.17</v>
      </c>
      <c r="G675">
        <v>0.59</v>
      </c>
    </row>
    <row r="676" spans="1:7" x14ac:dyDescent="0.25">
      <c r="A676" t="s">
        <v>560</v>
      </c>
      <c r="B676" t="s">
        <v>497</v>
      </c>
      <c r="C676">
        <v>0</v>
      </c>
      <c r="D676">
        <v>94.33</v>
      </c>
      <c r="E676">
        <v>11.32</v>
      </c>
      <c r="F676">
        <v>7.1</v>
      </c>
      <c r="G676">
        <v>0.69</v>
      </c>
    </row>
    <row r="677" spans="1:7" x14ac:dyDescent="0.25">
      <c r="A677" t="s">
        <v>560</v>
      </c>
      <c r="B677" t="s">
        <v>497</v>
      </c>
      <c r="C677">
        <v>0</v>
      </c>
      <c r="D677">
        <v>93.37</v>
      </c>
      <c r="E677">
        <v>9.4499999999999993</v>
      </c>
      <c r="F677">
        <v>9.3800000000000008</v>
      </c>
      <c r="G677">
        <v>0.76</v>
      </c>
    </row>
    <row r="678" spans="1:7" x14ac:dyDescent="0.25">
      <c r="A678" t="s">
        <v>560</v>
      </c>
      <c r="B678" t="s">
        <v>497</v>
      </c>
      <c r="C678">
        <v>0</v>
      </c>
      <c r="D678">
        <v>92.48</v>
      </c>
      <c r="E678">
        <v>9.18</v>
      </c>
      <c r="F678">
        <v>9.76</v>
      </c>
      <c r="G678">
        <v>0.78</v>
      </c>
    </row>
    <row r="679" spans="1:7" x14ac:dyDescent="0.25">
      <c r="A679" t="s">
        <v>560</v>
      </c>
      <c r="B679" t="s">
        <v>497</v>
      </c>
      <c r="C679">
        <v>0</v>
      </c>
      <c r="D679">
        <v>92.31</v>
      </c>
      <c r="E679">
        <v>9.17</v>
      </c>
      <c r="F679">
        <v>9.77</v>
      </c>
      <c r="G679">
        <v>0.78</v>
      </c>
    </row>
    <row r="680" spans="1:7" x14ac:dyDescent="0.25">
      <c r="A680" t="s">
        <v>560</v>
      </c>
      <c r="B680" t="s">
        <v>497</v>
      </c>
      <c r="C680">
        <v>0</v>
      </c>
      <c r="D680">
        <v>91.92</v>
      </c>
      <c r="E680">
        <v>12.85</v>
      </c>
      <c r="F680">
        <v>5.65</v>
      </c>
      <c r="G680">
        <v>0.71</v>
      </c>
    </row>
    <row r="681" spans="1:7" x14ac:dyDescent="0.25">
      <c r="A681" t="s">
        <v>560</v>
      </c>
      <c r="B681" t="s">
        <v>497</v>
      </c>
      <c r="C681">
        <v>1</v>
      </c>
      <c r="D681">
        <v>98.61</v>
      </c>
      <c r="E681">
        <v>15.59</v>
      </c>
      <c r="F681">
        <v>3.95</v>
      </c>
      <c r="G681">
        <v>0.46</v>
      </c>
    </row>
    <row r="682" spans="1:7" x14ac:dyDescent="0.25">
      <c r="A682" t="s">
        <v>560</v>
      </c>
      <c r="B682" t="s">
        <v>497</v>
      </c>
      <c r="C682">
        <v>1</v>
      </c>
      <c r="D682">
        <v>97.05</v>
      </c>
      <c r="E682">
        <v>29.93</v>
      </c>
      <c r="F682">
        <v>1.44</v>
      </c>
      <c r="G682">
        <v>0.35</v>
      </c>
    </row>
    <row r="683" spans="1:7" x14ac:dyDescent="0.25">
      <c r="A683" t="s">
        <v>560</v>
      </c>
      <c r="B683" t="s">
        <v>497</v>
      </c>
      <c r="C683">
        <v>1</v>
      </c>
      <c r="D683">
        <v>94.85</v>
      </c>
      <c r="E683">
        <v>30.32</v>
      </c>
      <c r="F683">
        <v>1.41</v>
      </c>
      <c r="G683">
        <v>0.38</v>
      </c>
    </row>
    <row r="684" spans="1:7" x14ac:dyDescent="0.25">
      <c r="A684" t="s">
        <v>560</v>
      </c>
      <c r="B684" t="s">
        <v>497</v>
      </c>
      <c r="C684">
        <v>1</v>
      </c>
      <c r="D684">
        <v>93.55</v>
      </c>
      <c r="E684">
        <v>26.13</v>
      </c>
      <c r="F684">
        <v>1.78</v>
      </c>
      <c r="G684">
        <v>0.44</v>
      </c>
    </row>
    <row r="685" spans="1:7" x14ac:dyDescent="0.25">
      <c r="A685" t="s">
        <v>560</v>
      </c>
      <c r="B685" t="s">
        <v>497</v>
      </c>
      <c r="C685">
        <v>1</v>
      </c>
      <c r="D685">
        <v>93.08</v>
      </c>
      <c r="E685">
        <v>25.14</v>
      </c>
      <c r="F685">
        <v>1.88</v>
      </c>
      <c r="G685">
        <v>0.48</v>
      </c>
    </row>
    <row r="686" spans="1:7" x14ac:dyDescent="0.25">
      <c r="A686" t="s">
        <v>560</v>
      </c>
      <c r="B686" t="s">
        <v>497</v>
      </c>
      <c r="C686">
        <v>1</v>
      </c>
      <c r="D686">
        <v>93.15</v>
      </c>
      <c r="E686">
        <v>26.09</v>
      </c>
      <c r="F686">
        <v>1.78</v>
      </c>
      <c r="G686">
        <v>0.51</v>
      </c>
    </row>
    <row r="687" spans="1:7" x14ac:dyDescent="0.25">
      <c r="A687" t="s">
        <v>560</v>
      </c>
      <c r="B687" t="s">
        <v>497</v>
      </c>
      <c r="C687">
        <v>1</v>
      </c>
      <c r="D687">
        <v>92.42</v>
      </c>
      <c r="E687">
        <v>28.09</v>
      </c>
      <c r="F687">
        <v>1.59</v>
      </c>
      <c r="G687">
        <v>0.51</v>
      </c>
    </row>
    <row r="688" spans="1:7" x14ac:dyDescent="0.25">
      <c r="A688" t="s">
        <v>560</v>
      </c>
      <c r="B688" t="s">
        <v>497</v>
      </c>
      <c r="C688">
        <v>1</v>
      </c>
      <c r="D688">
        <v>91.23</v>
      </c>
      <c r="E688">
        <v>22.03</v>
      </c>
      <c r="F688">
        <v>2.29</v>
      </c>
      <c r="G688">
        <v>0.53</v>
      </c>
    </row>
    <row r="689" spans="1:7" x14ac:dyDescent="0.25">
      <c r="A689" t="s">
        <v>560</v>
      </c>
      <c r="B689" t="s">
        <v>497</v>
      </c>
      <c r="C689">
        <v>1</v>
      </c>
      <c r="D689">
        <v>91.1</v>
      </c>
      <c r="E689">
        <v>20.23</v>
      </c>
      <c r="F689">
        <v>2.6</v>
      </c>
      <c r="G689">
        <v>0.56000000000000005</v>
      </c>
    </row>
    <row r="690" spans="1:7" x14ac:dyDescent="0.25">
      <c r="A690" t="s">
        <v>560</v>
      </c>
      <c r="B690" t="s">
        <v>497</v>
      </c>
      <c r="C690">
        <v>1</v>
      </c>
      <c r="D690">
        <v>90.68</v>
      </c>
      <c r="E690">
        <v>21.11</v>
      </c>
      <c r="F690">
        <v>2.44</v>
      </c>
      <c r="G690">
        <v>0.56000000000000005</v>
      </c>
    </row>
    <row r="691" spans="1:7" x14ac:dyDescent="0.25">
      <c r="A691" t="s">
        <v>560</v>
      </c>
      <c r="B691" t="s">
        <v>497</v>
      </c>
      <c r="C691">
        <v>1</v>
      </c>
      <c r="D691">
        <v>90.04</v>
      </c>
      <c r="E691">
        <v>21.94</v>
      </c>
      <c r="F691">
        <v>2.2999999999999998</v>
      </c>
      <c r="G691">
        <v>0.54</v>
      </c>
    </row>
    <row r="692" spans="1:7" x14ac:dyDescent="0.25">
      <c r="A692" t="s">
        <v>560</v>
      </c>
      <c r="B692" t="s">
        <v>497</v>
      </c>
      <c r="C692">
        <v>1</v>
      </c>
      <c r="D692">
        <v>89.64</v>
      </c>
      <c r="E692">
        <v>25.02</v>
      </c>
      <c r="F692">
        <v>1.9</v>
      </c>
      <c r="G692">
        <v>0.51</v>
      </c>
    </row>
    <row r="693" spans="1:7" x14ac:dyDescent="0.25">
      <c r="A693" t="s">
        <v>560</v>
      </c>
      <c r="B693" t="s">
        <v>497</v>
      </c>
      <c r="C693">
        <v>2</v>
      </c>
      <c r="D693">
        <v>89.21</v>
      </c>
      <c r="E693">
        <v>13.17</v>
      </c>
      <c r="F693">
        <v>5.39</v>
      </c>
      <c r="G693">
        <v>0.7</v>
      </c>
    </row>
    <row r="694" spans="1:7" x14ac:dyDescent="0.25">
      <c r="A694" t="s">
        <v>560</v>
      </c>
      <c r="B694" t="s">
        <v>497</v>
      </c>
      <c r="C694">
        <v>2</v>
      </c>
      <c r="D694">
        <v>88.23</v>
      </c>
      <c r="E694">
        <v>11.92</v>
      </c>
      <c r="F694">
        <v>6.48</v>
      </c>
      <c r="G694">
        <v>0.73</v>
      </c>
    </row>
    <row r="695" spans="1:7" x14ac:dyDescent="0.25">
      <c r="A695" t="s">
        <v>560</v>
      </c>
      <c r="B695" t="s">
        <v>497</v>
      </c>
      <c r="C695">
        <v>2</v>
      </c>
      <c r="D695">
        <v>86.86</v>
      </c>
      <c r="E695">
        <v>9.86</v>
      </c>
      <c r="F695">
        <v>8.83</v>
      </c>
      <c r="G695">
        <v>0.84</v>
      </c>
    </row>
    <row r="696" spans="1:7" x14ac:dyDescent="0.25">
      <c r="A696" t="s">
        <v>560</v>
      </c>
      <c r="B696" t="s">
        <v>497</v>
      </c>
      <c r="C696">
        <v>2</v>
      </c>
      <c r="D696">
        <v>86.35</v>
      </c>
      <c r="E696">
        <v>8.18</v>
      </c>
      <c r="F696">
        <v>11.25</v>
      </c>
      <c r="G696">
        <v>0.88</v>
      </c>
    </row>
    <row r="697" spans="1:7" x14ac:dyDescent="0.25">
      <c r="A697" t="s">
        <v>560</v>
      </c>
      <c r="B697" t="s">
        <v>497</v>
      </c>
      <c r="C697">
        <v>2</v>
      </c>
      <c r="D697">
        <v>86.22</v>
      </c>
      <c r="E697">
        <v>7.26</v>
      </c>
      <c r="F697">
        <v>12.8</v>
      </c>
      <c r="G697">
        <v>0.9</v>
      </c>
    </row>
    <row r="698" spans="1:7" x14ac:dyDescent="0.25">
      <c r="A698" t="s">
        <v>560</v>
      </c>
      <c r="B698" t="s">
        <v>497</v>
      </c>
      <c r="C698">
        <v>2</v>
      </c>
      <c r="D698">
        <v>86.23</v>
      </c>
      <c r="E698">
        <v>4.78</v>
      </c>
      <c r="F698">
        <v>18.23</v>
      </c>
      <c r="G698">
        <v>0.92</v>
      </c>
    </row>
    <row r="699" spans="1:7" x14ac:dyDescent="0.25">
      <c r="A699" t="s">
        <v>560</v>
      </c>
      <c r="B699" t="s">
        <v>497</v>
      </c>
      <c r="C699">
        <v>2</v>
      </c>
      <c r="D699">
        <v>86.01</v>
      </c>
      <c r="E699">
        <v>4.4400000000000004</v>
      </c>
      <c r="F699">
        <v>19.18</v>
      </c>
      <c r="G699">
        <v>0.92</v>
      </c>
    </row>
    <row r="700" spans="1:7" x14ac:dyDescent="0.25">
      <c r="A700" t="s">
        <v>560</v>
      </c>
      <c r="B700" t="s">
        <v>497</v>
      </c>
      <c r="C700">
        <v>2</v>
      </c>
      <c r="D700">
        <v>85.49</v>
      </c>
      <c r="E700">
        <v>4.5999999999999996</v>
      </c>
      <c r="F700">
        <v>18.72</v>
      </c>
      <c r="G700">
        <v>0.93</v>
      </c>
    </row>
    <row r="701" spans="1:7" x14ac:dyDescent="0.25">
      <c r="A701" t="s">
        <v>560</v>
      </c>
      <c r="B701" t="s">
        <v>497</v>
      </c>
      <c r="C701">
        <v>2</v>
      </c>
      <c r="D701">
        <v>85.24</v>
      </c>
      <c r="E701">
        <v>5.71</v>
      </c>
      <c r="F701">
        <v>15.92</v>
      </c>
      <c r="G701">
        <v>0.92</v>
      </c>
    </row>
    <row r="702" spans="1:7" x14ac:dyDescent="0.25">
      <c r="A702" t="s">
        <v>560</v>
      </c>
      <c r="B702" t="s">
        <v>497</v>
      </c>
      <c r="C702">
        <v>2</v>
      </c>
      <c r="D702">
        <v>85.45</v>
      </c>
      <c r="E702">
        <v>6.82</v>
      </c>
      <c r="F702">
        <v>13.61</v>
      </c>
      <c r="G702">
        <v>0.9</v>
      </c>
    </row>
    <row r="703" spans="1:7" x14ac:dyDescent="0.25">
      <c r="A703" t="s">
        <v>560</v>
      </c>
      <c r="B703" t="s">
        <v>497</v>
      </c>
      <c r="C703">
        <v>2</v>
      </c>
      <c r="D703">
        <v>85.72</v>
      </c>
      <c r="E703">
        <v>7.83</v>
      </c>
      <c r="F703">
        <v>11.82</v>
      </c>
      <c r="G703">
        <v>0.87</v>
      </c>
    </row>
    <row r="704" spans="1:7" x14ac:dyDescent="0.25">
      <c r="A704" t="s">
        <v>560</v>
      </c>
      <c r="B704" t="s">
        <v>497</v>
      </c>
      <c r="C704">
        <v>3</v>
      </c>
      <c r="D704">
        <v>85.83</v>
      </c>
      <c r="E704">
        <v>5.78</v>
      </c>
      <c r="F704">
        <v>15.76</v>
      </c>
      <c r="G704">
        <v>0.82</v>
      </c>
    </row>
    <row r="705" spans="1:7" x14ac:dyDescent="0.25">
      <c r="A705" t="s">
        <v>560</v>
      </c>
      <c r="B705" t="s">
        <v>497</v>
      </c>
      <c r="C705">
        <v>3</v>
      </c>
      <c r="D705">
        <v>85.41</v>
      </c>
      <c r="E705">
        <v>4.2300000000000004</v>
      </c>
      <c r="F705">
        <v>19.809999999999999</v>
      </c>
      <c r="G705">
        <v>0.88</v>
      </c>
    </row>
    <row r="706" spans="1:7" x14ac:dyDescent="0.25">
      <c r="A706" t="s">
        <v>560</v>
      </c>
      <c r="B706" t="s">
        <v>497</v>
      </c>
      <c r="C706">
        <v>3</v>
      </c>
      <c r="D706">
        <v>86.34</v>
      </c>
      <c r="E706">
        <v>4.2300000000000004</v>
      </c>
      <c r="F706">
        <v>19.809999999999999</v>
      </c>
      <c r="G706">
        <v>0.88</v>
      </c>
    </row>
    <row r="707" spans="1:7" x14ac:dyDescent="0.25">
      <c r="A707" t="s">
        <v>560</v>
      </c>
      <c r="B707" t="s">
        <v>497</v>
      </c>
      <c r="C707">
        <v>3</v>
      </c>
      <c r="D707">
        <v>86.67</v>
      </c>
      <c r="E707">
        <v>5.24</v>
      </c>
      <c r="F707">
        <v>17.04</v>
      </c>
      <c r="G707">
        <v>0.88</v>
      </c>
    </row>
    <row r="708" spans="1:7" x14ac:dyDescent="0.25">
      <c r="A708" t="s">
        <v>560</v>
      </c>
      <c r="B708" t="s">
        <v>497</v>
      </c>
      <c r="C708">
        <v>3</v>
      </c>
      <c r="D708">
        <v>86.3</v>
      </c>
      <c r="E708">
        <v>6.37</v>
      </c>
      <c r="F708">
        <v>14.51</v>
      </c>
      <c r="G708">
        <v>0.83</v>
      </c>
    </row>
    <row r="709" spans="1:7" x14ac:dyDescent="0.25">
      <c r="A709" t="s">
        <v>560</v>
      </c>
      <c r="B709" t="s">
        <v>497</v>
      </c>
      <c r="C709">
        <v>3</v>
      </c>
      <c r="D709">
        <v>86.06</v>
      </c>
      <c r="E709">
        <v>7.83</v>
      </c>
      <c r="F709">
        <v>11.82</v>
      </c>
      <c r="G709">
        <v>0.82</v>
      </c>
    </row>
    <row r="710" spans="1:7" x14ac:dyDescent="0.25">
      <c r="A710" t="s">
        <v>560</v>
      </c>
      <c r="B710" t="s">
        <v>497</v>
      </c>
      <c r="C710">
        <v>3</v>
      </c>
      <c r="D710">
        <v>85.87</v>
      </c>
      <c r="E710">
        <v>7.57</v>
      </c>
      <c r="F710">
        <v>12.26</v>
      </c>
      <c r="G710">
        <v>0.83</v>
      </c>
    </row>
    <row r="711" spans="1:7" x14ac:dyDescent="0.25">
      <c r="A711" t="s">
        <v>560</v>
      </c>
      <c r="B711" t="s">
        <v>497</v>
      </c>
      <c r="C711">
        <v>3</v>
      </c>
      <c r="D711">
        <v>85.57</v>
      </c>
      <c r="E711">
        <v>8.26</v>
      </c>
      <c r="F711">
        <v>11.12</v>
      </c>
      <c r="G711">
        <v>0.82</v>
      </c>
    </row>
    <row r="712" spans="1:7" x14ac:dyDescent="0.25">
      <c r="A712" t="s">
        <v>560</v>
      </c>
      <c r="B712" t="s">
        <v>497</v>
      </c>
      <c r="C712">
        <v>3</v>
      </c>
      <c r="D712">
        <v>86.14</v>
      </c>
      <c r="E712">
        <v>9.16</v>
      </c>
      <c r="F712">
        <v>9.7799999999999994</v>
      </c>
      <c r="G712">
        <v>0.83</v>
      </c>
    </row>
    <row r="713" spans="1:7" x14ac:dyDescent="0.25">
      <c r="A713" t="s">
        <v>560</v>
      </c>
      <c r="B713" t="s">
        <v>497</v>
      </c>
      <c r="C713">
        <v>3</v>
      </c>
      <c r="D713">
        <v>87.01</v>
      </c>
      <c r="E713">
        <v>10.24</v>
      </c>
      <c r="F713">
        <v>8.35</v>
      </c>
      <c r="G713">
        <v>0.78</v>
      </c>
    </row>
  </sheetData>
  <phoneticPr fontId="7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848F1-7C73-44E4-84E8-0F2E36FC6B43}">
  <dimension ref="A1:M61"/>
  <sheetViews>
    <sheetView workbookViewId="0">
      <selection activeCell="P15" sqref="P15"/>
    </sheetView>
  </sheetViews>
  <sheetFormatPr defaultRowHeight="15" x14ac:dyDescent="0.25"/>
  <cols>
    <col min="1" max="1" width="8.85546875" bestFit="1" customWidth="1"/>
    <col min="5" max="5" width="18.140625" bestFit="1" customWidth="1"/>
    <col min="6" max="6" width="15.85546875" bestFit="1" customWidth="1"/>
    <col min="7" max="7" width="14.5703125" bestFit="1" customWidth="1"/>
    <col min="10" max="10" width="10.140625" bestFit="1" customWidth="1"/>
    <col min="11" max="11" width="18.140625" bestFit="1" customWidth="1"/>
    <col min="12" max="12" width="15.85546875" bestFit="1" customWidth="1"/>
    <col min="13" max="13" width="14.5703125" bestFit="1" customWidth="1"/>
  </cols>
  <sheetData>
    <row r="1" spans="1:13" ht="25.5" x14ac:dyDescent="0.25">
      <c r="A1" s="533" t="s">
        <v>53</v>
      </c>
      <c r="B1" s="534" t="s">
        <v>8</v>
      </c>
      <c r="C1" s="534" t="s">
        <v>54</v>
      </c>
      <c r="D1" s="534" t="s">
        <v>487</v>
      </c>
      <c r="E1" s="164" t="s">
        <v>510</v>
      </c>
      <c r="F1" s="164" t="s">
        <v>508</v>
      </c>
      <c r="G1" s="535" t="s">
        <v>511</v>
      </c>
    </row>
    <row r="2" spans="1:13" x14ac:dyDescent="0.25">
      <c r="A2" s="529" t="s">
        <v>336</v>
      </c>
      <c r="B2" s="718" t="s">
        <v>86</v>
      </c>
      <c r="C2" s="531" t="s">
        <v>500</v>
      </c>
      <c r="D2" s="164">
        <v>1</v>
      </c>
      <c r="E2" s="91">
        <f>AVERAGEIFS('SHG2 - W'!E$2:E$344,'SHG2 - W'!$A$2:$A$344,'SHG3'!$A2,'SHG2 - W'!$B$2:$B$344,'SHG3'!$C2,'SHG2 - W'!$C$2:$C$344,'SHG3'!$D2-1)</f>
        <v>6.76</v>
      </c>
      <c r="F2" s="91">
        <f>AVERAGEIFS('SHG2 - W'!F$2:F$344,'SHG2 - W'!$A$2:$A$344,'SHG3'!$A2,'SHG2 - W'!$B$2:$B$344,'SHG3'!$C2,'SHG2 - W'!$C$2:$C$344,'SHG3'!$D2-1)</f>
        <v>14.756000000000004</v>
      </c>
      <c r="G2" s="92">
        <f>AVERAGEIFS('SHG2 - W'!G$2:G$344,'SHG2 - W'!$A$2:$A$344,'SHG3'!$A2,'SHG2 - W'!$B$2:$B$344,'SHG3'!$C2,'SHG2 - W'!$C$2:$C$344,'SHG3'!$D2-1)</f>
        <v>0.79100000000000004</v>
      </c>
    </row>
    <row r="3" spans="1:13" x14ac:dyDescent="0.25">
      <c r="A3" s="426" t="s">
        <v>336</v>
      </c>
      <c r="B3" s="704"/>
      <c r="C3" s="248" t="s">
        <v>500</v>
      </c>
      <c r="D3">
        <v>2</v>
      </c>
      <c r="E3" s="91">
        <f>AVERAGEIFS('SHG2 - W'!E$2:E$344,'SHG2 - W'!$A$2:$A$344,'SHG3'!$A3,'SHG2 - W'!$B$2:$B$344,'SHG3'!$C3,'SHG2 - W'!$C$2:$C$344,'SHG3'!$D3-1)</f>
        <v>12.909000000000001</v>
      </c>
      <c r="F3" s="91">
        <f>AVERAGEIFS('SHG2 - W'!F$2:F$344,'SHG2 - W'!$A$2:$A$344,'SHG3'!$A3,'SHG2 - W'!$B$2:$B$344,'SHG3'!$C3,'SHG2 - W'!$C$2:$C$344,'SHG3'!$D3-1)</f>
        <v>6.6050000000000013</v>
      </c>
      <c r="G3" s="92">
        <f>AVERAGEIFS('SHG2 - W'!G$2:G$344,'SHG2 - W'!$A$2:$A$344,'SHG3'!$A3,'SHG2 - W'!$B$2:$B$344,'SHG3'!$C3,'SHG2 - W'!$C$2:$C$344,'SHG3'!$D3-1)</f>
        <v>0.64200000000000002</v>
      </c>
      <c r="K3" t="s">
        <v>510</v>
      </c>
      <c r="L3" t="s">
        <v>508</v>
      </c>
      <c r="M3" s="248" t="s">
        <v>511</v>
      </c>
    </row>
    <row r="4" spans="1:13" x14ac:dyDescent="0.25">
      <c r="A4" s="426" t="s">
        <v>336</v>
      </c>
      <c r="B4" s="704"/>
      <c r="C4" s="248" t="s">
        <v>497</v>
      </c>
      <c r="D4">
        <v>1</v>
      </c>
      <c r="E4" s="91">
        <f>AVERAGEIFS('SHG2 - W'!E$2:E$344,'SHG2 - W'!$A$2:$A$344,'SHG3'!$A4,'SHG2 - W'!$B$2:$B$344,'SHG3'!$C4,'SHG2 - W'!$C$2:$C$344,'SHG3'!$D4-1)</f>
        <v>11.187499999999998</v>
      </c>
      <c r="F4" s="91">
        <f>AVERAGEIFS('SHG2 - W'!F$2:F$344,'SHG2 - W'!$A$2:$A$344,'SHG3'!$A4,'SHG2 - W'!$B$2:$B$344,'SHG3'!$C4,'SHG2 - W'!$C$2:$C$344,'SHG3'!$D4-1)</f>
        <v>7.9837499999999988</v>
      </c>
      <c r="G4" s="92">
        <f>AVERAGEIFS('SHG2 - W'!G$2:G$344,'SHG2 - W'!$A$2:$A$344,'SHG3'!$A4,'SHG2 - W'!$B$2:$B$344,'SHG3'!$C4,'SHG2 - W'!$C$2:$C$344,'SHG3'!$D4-1)</f>
        <v>0.77124999999999999</v>
      </c>
      <c r="J4" t="s">
        <v>285</v>
      </c>
      <c r="K4" s="91">
        <f>AVERAGE(E49:E61)</f>
        <v>9.4003623882402145</v>
      </c>
      <c r="L4" s="91">
        <f t="shared" ref="L4:M4" si="0">AVERAGE(F49:F61)</f>
        <v>14.044137613517705</v>
      </c>
      <c r="M4" s="91">
        <f t="shared" si="0"/>
        <v>0.76265333459903595</v>
      </c>
    </row>
    <row r="5" spans="1:13" x14ac:dyDescent="0.25">
      <c r="A5" s="426" t="s">
        <v>336</v>
      </c>
      <c r="B5" s="704"/>
      <c r="C5" s="248" t="s">
        <v>497</v>
      </c>
      <c r="D5">
        <v>2</v>
      </c>
      <c r="E5" s="91">
        <f>AVERAGEIFS('SHG2 - W'!E$2:E$344,'SHG2 - W'!$A$2:$A$344,'SHG3'!$A5,'SHG2 - W'!$B$2:$B$344,'SHG3'!$C5,'SHG2 - W'!$C$2:$C$344,'SHG3'!$D5-1)</f>
        <v>5.2888888888888879</v>
      </c>
      <c r="F5" s="91">
        <f>AVERAGEIFS('SHG2 - W'!F$2:F$344,'SHG2 - W'!$A$2:$A$344,'SHG3'!$A5,'SHG2 - W'!$B$2:$B$344,'SHG3'!$C5,'SHG2 - W'!$C$2:$C$344,'SHG3'!$D5-1)</f>
        <v>20.46</v>
      </c>
      <c r="G5" s="92">
        <f>AVERAGEIFS('SHG2 - W'!G$2:G$344,'SHG2 - W'!$A$2:$A$344,'SHG3'!$A5,'SHG2 - W'!$B$2:$B$344,'SHG3'!$C5,'SHG2 - W'!$C$2:$C$344,'SHG3'!$D5-1)</f>
        <v>0.84777777777777785</v>
      </c>
      <c r="J5" t="s">
        <v>86</v>
      </c>
      <c r="K5">
        <f>AVERAGE(E2:E9)</f>
        <v>7.3399798085901029</v>
      </c>
      <c r="L5">
        <f>AVERAGE(F2:F9)</f>
        <v>16.588932773109242</v>
      </c>
      <c r="M5">
        <f>AVERAGE(G2:G9)</f>
        <v>0.8079176003734827</v>
      </c>
    </row>
    <row r="6" spans="1:13" x14ac:dyDescent="0.25">
      <c r="A6" s="426" t="s">
        <v>336</v>
      </c>
      <c r="B6" s="704"/>
      <c r="C6" s="248" t="s">
        <v>501</v>
      </c>
      <c r="D6">
        <v>1</v>
      </c>
      <c r="E6" s="91">
        <f>AVERAGEIFS('SHG2 - W'!E$2:E$344,'SHG2 - W'!$A$2:$A$344,'SHG3'!$A6,'SHG2 - W'!$B$2:$B$344,'SHG3'!$C6,'SHG2 - W'!$C$2:$C$344,'SHG3'!$D6-1)</f>
        <v>7.0725000000000007</v>
      </c>
      <c r="F6" s="91">
        <f>AVERAGEIFS('SHG2 - W'!F$2:F$344,'SHG2 - W'!$A$2:$A$344,'SHG3'!$A6,'SHG2 - W'!$B$2:$B$344,'SHG3'!$C6,'SHG2 - W'!$C$2:$C$344,'SHG3'!$D6-1)</f>
        <v>13.62125</v>
      </c>
      <c r="G6" s="92">
        <f>AVERAGEIFS('SHG2 - W'!G$2:G$344,'SHG2 - W'!$A$2:$A$344,'SHG3'!$A6,'SHG2 - W'!$B$2:$B$344,'SHG3'!$C6,'SHG2 - W'!$C$2:$C$344,'SHG3'!$D6-1)</f>
        <v>0.85875000000000001</v>
      </c>
      <c r="J6" t="s">
        <v>234</v>
      </c>
      <c r="K6">
        <f>AVERAGE(E23:E31)</f>
        <v>16.689185185185188</v>
      </c>
      <c r="L6">
        <f>AVERAGE(F23:F31)</f>
        <v>5.5522619047619051</v>
      </c>
      <c r="M6">
        <f>AVERAGE(G23:G31)</f>
        <v>0.82093314093314085</v>
      </c>
    </row>
    <row r="7" spans="1:13" x14ac:dyDescent="0.25">
      <c r="A7" s="426" t="s">
        <v>336</v>
      </c>
      <c r="B7" s="704"/>
      <c r="C7" s="248" t="s">
        <v>501</v>
      </c>
      <c r="D7">
        <v>2</v>
      </c>
      <c r="E7" s="91">
        <f>AVERAGEIFS('SHG2 - W'!E$2:E$344,'SHG2 - W'!$A$2:$A$344,'SHG3'!$A7,'SHG2 - W'!$B$2:$B$344,'SHG3'!$C7,'SHG2 - W'!$C$2:$C$344,'SHG3'!$D7-1)</f>
        <v>2.1679999999999993</v>
      </c>
      <c r="F7" s="91">
        <f>AVERAGEIFS('SHG2 - W'!F$2:F$344,'SHG2 - W'!$A$2:$A$344,'SHG3'!$A7,'SHG2 - W'!$B$2:$B$344,'SHG3'!$C7,'SHG2 - W'!$C$2:$C$344,'SHG3'!$D7-1)</f>
        <v>34.08</v>
      </c>
      <c r="G7" s="92">
        <f>AVERAGEIFS('SHG2 - W'!G$2:G$344,'SHG2 - W'!$A$2:$A$344,'SHG3'!$A7,'SHG2 - W'!$B$2:$B$344,'SHG3'!$C7,'SHG2 - W'!$C$2:$C$344,'SHG3'!$D7-1)</f>
        <v>0.89</v>
      </c>
      <c r="J7" t="s">
        <v>561</v>
      </c>
      <c r="K7" s="91">
        <f>AVERAGE(E38:E48)</f>
        <v>12.053771387867222</v>
      </c>
      <c r="L7" s="91">
        <f>AVERAGE(F38:F48)</f>
        <v>9.8321311336660351</v>
      </c>
      <c r="M7" s="91">
        <f>AVERAGE(G38:G48)</f>
        <v>0.80364104618994858</v>
      </c>
    </row>
    <row r="8" spans="1:13" x14ac:dyDescent="0.25">
      <c r="A8" s="426" t="s">
        <v>336</v>
      </c>
      <c r="B8" s="704"/>
      <c r="C8" s="248" t="s">
        <v>503</v>
      </c>
      <c r="D8">
        <v>2</v>
      </c>
      <c r="E8" s="91">
        <f>AVERAGEIFS('SHG2 - W'!E$2:E$344,'SHG2 - W'!$A$2:$A$344,'SHG3'!$A8,'SHG2 - W'!$B$2:$B$344,'SHG3'!$C8,'SHG2 - W'!$C$2:$C$344,'SHG3'!$D8-1)</f>
        <v>3.9857142857142862</v>
      </c>
      <c r="F8" s="91">
        <f>AVERAGEIFS('SHG2 - W'!F$2:F$344,'SHG2 - W'!$A$2:$A$344,'SHG3'!$A8,'SHG2 - W'!$B$2:$B$344,'SHG3'!$C8,'SHG2 - W'!$C$2:$C$344,'SHG3'!$D8-1)</f>
        <v>24.17428571428572</v>
      </c>
      <c r="G8" s="92">
        <f>AVERAGEIFS('SHG2 - W'!G$2:G$344,'SHG2 - W'!$A$2:$A$344,'SHG3'!$A8,'SHG2 - W'!$B$2:$B$344,'SHG3'!$C8,'SHG2 - W'!$C$2:$C$344,'SHG3'!$D8-1)</f>
        <v>0.87785714285714289</v>
      </c>
      <c r="J8" t="s">
        <v>87</v>
      </c>
      <c r="K8">
        <f>AVERAGE(E10:E22)</f>
        <v>7.4400335966117206</v>
      </c>
      <c r="L8">
        <f>AVERAGE(F10:F22)</f>
        <v>17.124090831043954</v>
      </c>
      <c r="M8">
        <f>AVERAGE(G10:G22)</f>
        <v>0.82168200549450554</v>
      </c>
    </row>
    <row r="9" spans="1:13" x14ac:dyDescent="0.25">
      <c r="A9" s="530" t="s">
        <v>336</v>
      </c>
      <c r="B9" s="807"/>
      <c r="C9" s="248" t="s">
        <v>503</v>
      </c>
      <c r="D9" s="60">
        <v>4</v>
      </c>
      <c r="E9" s="91">
        <f>AVERAGEIFS('SHG2 - W'!E$2:E$344,'SHG2 - W'!$A$2:$A$344,'SHG3'!$A9,'SHG2 - W'!$B$2:$B$344,'SHG3'!$C9,'SHG2 - W'!$C$2:$C$344,'SHG3'!$D9-1)</f>
        <v>9.3482352941176483</v>
      </c>
      <c r="F9" s="91">
        <f>AVERAGEIFS('SHG2 - W'!F$2:F$344,'SHG2 - W'!$A$2:$A$344,'SHG3'!$A9,'SHG2 - W'!$B$2:$B$344,'SHG3'!$C9,'SHG2 - W'!$C$2:$C$344,'SHG3'!$D9-1)</f>
        <v>11.031176470588234</v>
      </c>
      <c r="G9" s="92">
        <f>AVERAGEIFS('SHG2 - W'!G$2:G$344,'SHG2 - W'!$A$2:$A$344,'SHG3'!$A9,'SHG2 - W'!$B$2:$B$344,'SHG3'!$C9,'SHG2 - W'!$C$2:$C$344,'SHG3'!$D9-1)</f>
        <v>0.78470588235294114</v>
      </c>
      <c r="J9" t="s">
        <v>292</v>
      </c>
      <c r="K9">
        <f>AVERAGE(E32:E37)</f>
        <v>6.701944444444444</v>
      </c>
      <c r="L9">
        <f>AVERAGE(F32:F37)</f>
        <v>16.227361111111112</v>
      </c>
      <c r="M9">
        <f>AVERAGE(G32:G37)</f>
        <v>0.86399999999999999</v>
      </c>
    </row>
    <row r="10" spans="1:13" x14ac:dyDescent="0.25">
      <c r="A10" s="529" t="s">
        <v>494</v>
      </c>
      <c r="B10" s="718" t="s">
        <v>87</v>
      </c>
      <c r="C10" s="531" t="s">
        <v>493</v>
      </c>
      <c r="D10" s="164">
        <v>1</v>
      </c>
      <c r="E10" s="91">
        <f>AVERAGEIFS('SHG2 - W'!E$2:E$344,'SHG2 - W'!$A$2:$A$344,'SHG3'!$A10,'SHG2 - W'!$B$2:$B$344,'SHG3'!$C10,'SHG2 - W'!$C$2:$C$344,'SHG3'!$D10-1)</f>
        <v>4.7953846153846147</v>
      </c>
      <c r="F10" s="91">
        <f>AVERAGEIFS('SHG2 - W'!F$2:F$344,'SHG2 - W'!$A$2:$A$344,'SHG3'!$A10,'SHG2 - W'!$B$2:$B$344,'SHG3'!$C10,'SHG2 - W'!$C$2:$C$344,'SHG3'!$D10-1)</f>
        <v>19.623076923076923</v>
      </c>
      <c r="G10" s="92">
        <f>AVERAGEIFS('SHG2 - W'!G$2:G$344,'SHG2 - W'!$A$2:$A$344,'SHG3'!$A10,'SHG2 - W'!$B$2:$B$344,'SHG3'!$C10,'SHG2 - W'!$C$2:$C$344,'SHG3'!$D10-1)</f>
        <v>0.84230769230769209</v>
      </c>
    </row>
    <row r="11" spans="1:13" x14ac:dyDescent="0.25">
      <c r="A11" s="426" t="s">
        <v>494</v>
      </c>
      <c r="B11" s="704"/>
      <c r="C11" s="248" t="s">
        <v>493</v>
      </c>
      <c r="D11">
        <v>2</v>
      </c>
      <c r="E11" s="91">
        <f>AVERAGEIFS('SHG2 - W'!E$2:E$344,'SHG2 - W'!$A$2:$A$344,'SHG3'!$A11,'SHG2 - W'!$B$2:$B$344,'SHG3'!$C11,'SHG2 - W'!$C$2:$C$344,'SHG3'!$D11-1)</f>
        <v>7.916153846153847</v>
      </c>
      <c r="F11" s="91">
        <f>AVERAGEIFS('SHG2 - W'!F$2:F$344,'SHG2 - W'!$A$2:$A$344,'SHG3'!$A11,'SHG2 - W'!$B$2:$B$344,'SHG3'!$C11,'SHG2 - W'!$C$2:$C$344,'SHG3'!$D11-1)</f>
        <v>12.070769230769228</v>
      </c>
      <c r="G11" s="92">
        <f>AVERAGEIFS('SHG2 - W'!G$2:G$344,'SHG2 - W'!$A$2:$A$344,'SHG3'!$A11,'SHG2 - W'!$B$2:$B$344,'SHG3'!$C11,'SHG2 - W'!$C$2:$C$344,'SHG3'!$D11-1)</f>
        <v>0.91615384615384621</v>
      </c>
    </row>
    <row r="12" spans="1:13" x14ac:dyDescent="0.25">
      <c r="A12" s="426" t="s">
        <v>494</v>
      </c>
      <c r="B12" s="704"/>
      <c r="C12" s="248" t="s">
        <v>500</v>
      </c>
      <c r="D12">
        <v>1</v>
      </c>
      <c r="E12" s="91"/>
      <c r="F12" s="91"/>
      <c r="G12" s="92"/>
      <c r="K12" t="s">
        <v>510</v>
      </c>
      <c r="L12" t="s">
        <v>508</v>
      </c>
      <c r="M12" s="248" t="s">
        <v>511</v>
      </c>
    </row>
    <row r="13" spans="1:13" x14ac:dyDescent="0.25">
      <c r="A13" s="426" t="s">
        <v>494</v>
      </c>
      <c r="B13" s="704"/>
      <c r="C13" s="248" t="s">
        <v>500</v>
      </c>
      <c r="D13">
        <v>2</v>
      </c>
      <c r="E13" s="91"/>
      <c r="F13" s="91"/>
      <c r="G13" s="92"/>
      <c r="I13" t="s">
        <v>24</v>
      </c>
      <c r="J13" t="s">
        <v>562</v>
      </c>
      <c r="K13">
        <f>TTEST(E2:E9,E49:E61,2,2)</f>
        <v>0.36450488536958825</v>
      </c>
      <c r="L13">
        <f t="shared" ref="L13:M13" si="1">TTEST(F2:F9,F49:F61,2,2)</f>
        <v>0.5178039037202935</v>
      </c>
      <c r="M13">
        <f t="shared" si="1"/>
        <v>0.340858536739436</v>
      </c>
    </row>
    <row r="14" spans="1:13" x14ac:dyDescent="0.25">
      <c r="A14" s="426" t="s">
        <v>494</v>
      </c>
      <c r="B14" s="704"/>
      <c r="C14" s="248" t="s">
        <v>497</v>
      </c>
      <c r="D14">
        <v>1</v>
      </c>
      <c r="E14" s="91">
        <f>AVERAGEIFS('SHG2 - W'!E$2:E$344,'SHG2 - W'!$A$2:$A$344,'SHG3'!$A14,'SHG2 - W'!$B$2:$B$344,'SHG3'!$C14,'SHG2 - W'!$C$2:$C$344,'SHG3'!$D14-1)</f>
        <v>7.206875000000001</v>
      </c>
      <c r="F14" s="91">
        <f>AVERAGEIFS('SHG2 - W'!F$2:F$344,'SHG2 - W'!$A$2:$A$344,'SHG3'!$A14,'SHG2 - W'!$B$2:$B$344,'SHG3'!$C14,'SHG2 - W'!$C$2:$C$344,'SHG3'!$D14-1)</f>
        <v>15.509374999999999</v>
      </c>
      <c r="G14" s="92">
        <f>AVERAGEIFS('SHG2 - W'!G$2:G$344,'SHG2 - W'!$A$2:$A$344,'SHG3'!$A14,'SHG2 - W'!$B$2:$B$344,'SHG3'!$C14,'SHG2 - W'!$C$2:$C$344,'SHG3'!$D14-1)</f>
        <v>0.81</v>
      </c>
      <c r="I14" t="s">
        <v>24</v>
      </c>
      <c r="J14" t="s">
        <v>563</v>
      </c>
      <c r="K14">
        <f>TTEST(E23:E31,E49:E61,2,2)</f>
        <v>1.4309649267565464E-2</v>
      </c>
      <c r="L14">
        <f t="shared" ref="L14:M14" si="2">TTEST(F23:F31,F49:F61,2,2)</f>
        <v>9.6083676380802584E-3</v>
      </c>
      <c r="M14">
        <f t="shared" si="2"/>
        <v>0.20384642329779903</v>
      </c>
    </row>
    <row r="15" spans="1:13" x14ac:dyDescent="0.25">
      <c r="A15" s="426" t="s">
        <v>494</v>
      </c>
      <c r="B15" s="704"/>
      <c r="C15" s="248" t="s">
        <v>497</v>
      </c>
      <c r="D15">
        <v>2</v>
      </c>
      <c r="E15" s="91">
        <f>AVERAGEIFS('SHG2 - W'!E$2:E$344,'SHG2 - W'!$A$2:$A$344,'SHG3'!$A15,'SHG2 - W'!$B$2:$B$344,'SHG3'!$C15,'SHG2 - W'!$C$2:$C$344,'SHG3'!$D15-1)</f>
        <v>5.649166666666666</v>
      </c>
      <c r="F15" s="91">
        <f>AVERAGEIFS('SHG2 - W'!F$2:F$344,'SHG2 - W'!$A$2:$A$344,'SHG3'!$A15,'SHG2 - W'!$B$2:$B$344,'SHG3'!$C15,'SHG2 - W'!$C$2:$C$344,'SHG3'!$D15-1)</f>
        <v>16.826666666666664</v>
      </c>
      <c r="G15" s="92">
        <f>AVERAGEIFS('SHG2 - W'!G$2:G$344,'SHG2 - W'!$A$2:$A$344,'SHG3'!$A15,'SHG2 - W'!$B$2:$B$344,'SHG3'!$C15,'SHG2 - W'!$C$2:$C$344,'SHG3'!$D15-1)</f>
        <v>0.90083333333333326</v>
      </c>
      <c r="I15" s="526" t="s">
        <v>24</v>
      </c>
      <c r="J15" t="s">
        <v>379</v>
      </c>
      <c r="K15">
        <f>TTEST(E2:E9,E23:E31,2,2)</f>
        <v>4.776500541239871E-3</v>
      </c>
      <c r="L15">
        <f>TTEST(F2:F9,F23:F31,2,2)</f>
        <v>5.1476820003030334E-3</v>
      </c>
      <c r="M15">
        <f>TTEST(G2:G9,G23:G31,2,2)</f>
        <v>0.74540743891010641</v>
      </c>
    </row>
    <row r="16" spans="1:13" x14ac:dyDescent="0.25">
      <c r="A16" s="426" t="s">
        <v>494</v>
      </c>
      <c r="B16" s="704"/>
      <c r="C16" s="248" t="s">
        <v>498</v>
      </c>
      <c r="D16">
        <v>1</v>
      </c>
      <c r="E16" s="91">
        <f>AVERAGEIFS('SHG2 - W'!E$2:E$344,'SHG2 - W'!$A$2:$A$344,'SHG3'!$A16,'SHG2 - W'!$B$2:$B$344,'SHG3'!$C16,'SHG2 - W'!$C$2:$C$344,'SHG3'!$D16-1)</f>
        <v>5.075333333333333</v>
      </c>
      <c r="F16" s="91">
        <f>AVERAGEIFS('SHG2 - W'!F$2:F$344,'SHG2 - W'!$A$2:$A$344,'SHG3'!$A16,'SHG2 - W'!$B$2:$B$344,'SHG3'!$C16,'SHG2 - W'!$C$2:$C$344,'SHG3'!$D16-1)</f>
        <v>19.948</v>
      </c>
      <c r="G16" s="92">
        <f>AVERAGEIFS('SHG2 - W'!G$2:G$344,'SHG2 - W'!$A$2:$A$344,'SHG3'!$A16,'SHG2 - W'!$B$2:$B$344,'SHG3'!$C16,'SHG2 - W'!$C$2:$C$344,'SHG3'!$D16-1)</f>
        <v>0.84399999999999986</v>
      </c>
      <c r="I16" s="526" t="s">
        <v>28</v>
      </c>
      <c r="J16" t="s">
        <v>562</v>
      </c>
      <c r="K16">
        <f>TTEST(E10:E22,E38:E48,2,2)</f>
        <v>8.7397295519134305E-2</v>
      </c>
      <c r="L16">
        <f t="shared" ref="L16:M16" si="3">TTEST(F10:F22,F38:F48,2,2)</f>
        <v>4.8929635223527071E-2</v>
      </c>
      <c r="M16">
        <f t="shared" si="3"/>
        <v>0.72105422169472466</v>
      </c>
    </row>
    <row r="17" spans="1:13" x14ac:dyDescent="0.25">
      <c r="A17" s="426" t="s">
        <v>494</v>
      </c>
      <c r="B17" s="704"/>
      <c r="C17" s="248" t="s">
        <v>498</v>
      </c>
      <c r="D17">
        <v>2</v>
      </c>
      <c r="E17" s="91">
        <f>AVERAGEIFS('SHG2 - W'!E$2:E$344,'SHG2 - W'!$A$2:$A$344,'SHG3'!$A17,'SHG2 - W'!$B$2:$B$344,'SHG3'!$C17,'SHG2 - W'!$C$2:$C$344,'SHG3'!$D17-1)</f>
        <v>19.415714285714284</v>
      </c>
      <c r="F17" s="91">
        <f>AVERAGEIFS('SHG2 - W'!F$2:F$344,'SHG2 - W'!$A$2:$A$344,'SHG3'!$A17,'SHG2 - W'!$B$2:$B$344,'SHG3'!$C17,'SHG2 - W'!$C$2:$C$344,'SHG3'!$D17-1)</f>
        <v>4.1864285714285705</v>
      </c>
      <c r="G17" s="92">
        <f>AVERAGEIFS('SHG2 - W'!G$2:G$344,'SHG2 - W'!$A$2:$A$344,'SHG3'!$A17,'SHG2 - W'!$B$2:$B$344,'SHG3'!$C17,'SHG2 - W'!$C$2:$C$344,'SHG3'!$D17-1)</f>
        <v>0.58857142857142863</v>
      </c>
      <c r="I17" s="526" t="s">
        <v>28</v>
      </c>
      <c r="J17" t="s">
        <v>563</v>
      </c>
      <c r="K17">
        <f>TTEST(E32:E37,E38:E48,2,2)</f>
        <v>5.0621584869067149E-2</v>
      </c>
      <c r="L17">
        <f t="shared" ref="L17:M17" si="4">TTEST(F32:F37,F38:F48,2,2)</f>
        <v>6.2759553133713633E-2</v>
      </c>
      <c r="M17">
        <f t="shared" si="4"/>
        <v>0.20810888506897948</v>
      </c>
    </row>
    <row r="18" spans="1:13" x14ac:dyDescent="0.25">
      <c r="A18" s="426" t="s">
        <v>494</v>
      </c>
      <c r="B18" s="704"/>
      <c r="C18" s="248" t="s">
        <v>499</v>
      </c>
      <c r="D18">
        <v>2</v>
      </c>
      <c r="E18" s="91">
        <f>AVERAGEIFS('SHG2 - W'!E$2:E$344,'SHG2 - W'!$A$2:$A$344,'SHG3'!$A18,'SHG2 - W'!$B$2:$B$344,'SHG3'!$C18,'SHG2 - W'!$C$2:$C$344,'SHG3'!$D18-1)</f>
        <v>7.1193333333333326</v>
      </c>
      <c r="F18" s="91">
        <f>AVERAGEIFS('SHG2 - W'!F$2:F$344,'SHG2 - W'!$A$2:$A$344,'SHG3'!$A18,'SHG2 - W'!$B$2:$B$344,'SHG3'!$C18,'SHG2 - W'!$C$2:$C$344,'SHG3'!$D18-1)</f>
        <v>13.885333333333335</v>
      </c>
      <c r="G18" s="92">
        <f>AVERAGEIFS('SHG2 - W'!G$2:G$344,'SHG2 - W'!$A$2:$A$344,'SHG3'!$A18,'SHG2 - W'!$B$2:$B$344,'SHG3'!$C18,'SHG2 - W'!$C$2:$C$344,'SHG3'!$D18-1)</f>
        <v>0.76466666666666672</v>
      </c>
      <c r="I18" s="526" t="s">
        <v>28</v>
      </c>
      <c r="J18" t="s">
        <v>379</v>
      </c>
      <c r="K18">
        <f>TTEST(E10:E22,E32:E37,2,2)</f>
        <v>0.76083331490245965</v>
      </c>
      <c r="L18">
        <f>TTEST(F10:F22,F32:F37,2,2)</f>
        <v>0.83548501616560067</v>
      </c>
      <c r="M18">
        <f>TTEST(G10:G22,G32:G37,2,2)</f>
        <v>0.38433195600540038</v>
      </c>
    </row>
    <row r="19" spans="1:13" x14ac:dyDescent="0.25">
      <c r="A19" s="426" t="s">
        <v>494</v>
      </c>
      <c r="B19" s="704"/>
      <c r="C19" s="248" t="s">
        <v>499</v>
      </c>
      <c r="D19">
        <v>3</v>
      </c>
      <c r="E19" s="91">
        <f>AVERAGEIFS('SHG2 - W'!E$2:E$344,'SHG2 - W'!$A$2:$A$344,'SHG3'!$A19,'SHG2 - W'!$B$2:$B$344,'SHG3'!$C19,'SHG2 - W'!$C$2:$C$344,'SHG3'!$D19-1)</f>
        <v>2.342307692307692</v>
      </c>
      <c r="F19" s="91">
        <f>AVERAGEIFS('SHG2 - W'!F$2:F$344,'SHG2 - W'!$A$2:$A$344,'SHG3'!$A19,'SHG2 - W'!$B$2:$B$344,'SHG3'!$C19,'SHG2 - W'!$C$2:$C$344,'SHG3'!$D19-1)</f>
        <v>34.943076923076916</v>
      </c>
      <c r="G19" s="92">
        <f>AVERAGEIFS('SHG2 - W'!G$2:G$344,'SHG2 - W'!$A$2:$A$344,'SHG3'!$A19,'SHG2 - W'!$B$2:$B$344,'SHG3'!$C19,'SHG2 - W'!$C$2:$C$344,'SHG3'!$D19-1)</f>
        <v>0.90692307692307683</v>
      </c>
      <c r="I19" s="527">
        <v>0.15</v>
      </c>
      <c r="J19" t="s">
        <v>505</v>
      </c>
      <c r="K19">
        <f>TTEST(E2:E9,E10:E22,2,2)</f>
        <v>0.96481936128092549</v>
      </c>
      <c r="L19">
        <f>TTEST(F2:F9,F10:F22,2,2)</f>
        <v>0.90698774965608431</v>
      </c>
      <c r="M19">
        <f>TTEST(G2:G9,G10:G22,2,2)</f>
        <v>0.77645497374174799</v>
      </c>
    </row>
    <row r="20" spans="1:13" x14ac:dyDescent="0.25">
      <c r="A20" s="426" t="s">
        <v>494</v>
      </c>
      <c r="B20" s="704"/>
      <c r="C20" s="248" t="s">
        <v>499</v>
      </c>
      <c r="D20">
        <v>4</v>
      </c>
      <c r="E20" s="91"/>
      <c r="F20" s="91"/>
      <c r="G20" s="92"/>
      <c r="I20" s="527">
        <v>0.5</v>
      </c>
      <c r="J20" t="s">
        <v>505</v>
      </c>
      <c r="K20">
        <f>TTEST(E23:E31,E32:E37,2,2)</f>
        <v>7.1839279815946672E-3</v>
      </c>
      <c r="L20">
        <f>TTEST(F23:F31,F32:F37,2,2)</f>
        <v>1.3623889471478586E-3</v>
      </c>
      <c r="M20">
        <f>TTEST(G23:G31,G32:G37,2,2)</f>
        <v>0.25842843391585574</v>
      </c>
    </row>
    <row r="21" spans="1:13" x14ac:dyDescent="0.25">
      <c r="A21" s="426" t="s">
        <v>494</v>
      </c>
      <c r="B21" s="704"/>
      <c r="C21" s="248" t="s">
        <v>501</v>
      </c>
      <c r="D21">
        <v>1</v>
      </c>
      <c r="E21" s="91"/>
      <c r="F21" s="91"/>
      <c r="G21" s="92"/>
    </row>
    <row r="22" spans="1:13" x14ac:dyDescent="0.25">
      <c r="A22" s="530" t="s">
        <v>494</v>
      </c>
      <c r="B22" s="807"/>
      <c r="C22" s="248" t="s">
        <v>501</v>
      </c>
      <c r="D22" s="60">
        <v>2</v>
      </c>
      <c r="E22" s="91"/>
      <c r="F22" s="91"/>
      <c r="G22" s="92"/>
    </row>
    <row r="23" spans="1:13" x14ac:dyDescent="0.25">
      <c r="A23" s="529" t="s">
        <v>496</v>
      </c>
      <c r="B23" s="718" t="s">
        <v>234</v>
      </c>
      <c r="C23" s="531" t="s">
        <v>500</v>
      </c>
      <c r="D23" s="164">
        <v>1</v>
      </c>
      <c r="E23" s="91">
        <f>AVERAGEIFS('SHG2 - W'!E$2:E$344,'SHG2 - W'!$A$2:$A$344,'SHG3'!$A23,'SHG2 - W'!$B$2:$B$344,'SHG3'!$C23,'SHG2 - W'!$C$2:$C$344,'SHG3'!$D23-1)</f>
        <v>7.36</v>
      </c>
      <c r="F23" s="91">
        <f>AVERAGEIFS('SHG2 - W'!F$2:F$344,'SHG2 - W'!$A$2:$A$344,'SHG3'!$A23,'SHG2 - W'!$B$2:$B$344,'SHG3'!$C23,'SHG2 - W'!$C$2:$C$344,'SHG3'!$D23-1)</f>
        <v>12.83</v>
      </c>
      <c r="G23" s="92">
        <f>AVERAGEIFS('SHG2 - W'!G$2:G$344,'SHG2 - W'!$A$2:$A$344,'SHG3'!$A23,'SHG2 - W'!$B$2:$B$344,'SHG3'!$C23,'SHG2 - W'!$C$2:$C$344,'SHG3'!$D23-1)</f>
        <v>0.87363636363636377</v>
      </c>
    </row>
    <row r="24" spans="1:13" x14ac:dyDescent="0.25">
      <c r="A24" s="426" t="s">
        <v>496</v>
      </c>
      <c r="B24" s="704"/>
      <c r="C24" s="248" t="s">
        <v>500</v>
      </c>
      <c r="D24">
        <v>2</v>
      </c>
      <c r="E24" s="91">
        <f>AVERAGEIFS('SHG2 - W'!E$2:E$344,'SHG2 - W'!$A$2:$A$344,'SHG3'!$A24,'SHG2 - W'!$B$2:$B$344,'SHG3'!$C24,'SHG2 - W'!$C$2:$C$344,'SHG3'!$D24-1)</f>
        <v>10.995000000000001</v>
      </c>
      <c r="F24" s="91">
        <f>AVERAGEIFS('SHG2 - W'!F$2:F$344,'SHG2 - W'!$A$2:$A$344,'SHG3'!$A24,'SHG2 - W'!$B$2:$B$344,'SHG3'!$C24,'SHG2 - W'!$C$2:$C$344,'SHG3'!$D24-1)</f>
        <v>7.5340000000000007</v>
      </c>
      <c r="G24" s="92">
        <f>AVERAGEIFS('SHG2 - W'!G$2:G$344,'SHG2 - W'!$A$2:$A$344,'SHG3'!$A24,'SHG2 - W'!$B$2:$B$344,'SHG3'!$C24,'SHG2 - W'!$C$2:$C$344,'SHG3'!$D24-1)</f>
        <v>0.90899999999999981</v>
      </c>
      <c r="K24" t="s">
        <v>58</v>
      </c>
      <c r="L24" t="s">
        <v>519</v>
      </c>
      <c r="M24" t="s">
        <v>108</v>
      </c>
    </row>
    <row r="25" spans="1:13" x14ac:dyDescent="0.25">
      <c r="A25" s="426" t="s">
        <v>496</v>
      </c>
      <c r="B25" s="704"/>
      <c r="C25" s="248" t="s">
        <v>497</v>
      </c>
      <c r="D25">
        <v>1</v>
      </c>
      <c r="E25" s="91">
        <f>AVERAGEIFS('SHG2 - W'!E$2:E$344,'SHG2 - W'!$A$2:$A$344,'SHG3'!$A25,'SHG2 - W'!$B$2:$B$344,'SHG3'!$C25,'SHG2 - W'!$C$2:$C$344,'SHG3'!$D25-1)</f>
        <v>9.3990000000000009</v>
      </c>
      <c r="F25" s="91">
        <f>AVERAGEIFS('SHG2 - W'!F$2:F$344,'SHG2 - W'!$A$2:$A$344,'SHG3'!$A25,'SHG2 - W'!$B$2:$B$344,'SHG3'!$C25,'SHG2 - W'!$C$2:$C$344,'SHG3'!$D25-1)</f>
        <v>9.8819999999999997</v>
      </c>
      <c r="G25" s="92">
        <f>AVERAGEIFS('SHG2 - W'!G$2:G$344,'SHG2 - W'!$A$2:$A$344,'SHG3'!$A25,'SHG2 - W'!$B$2:$B$344,'SHG3'!$C25,'SHG2 - W'!$C$2:$C$344,'SHG3'!$D25-1)</f>
        <v>0.84899999999999998</v>
      </c>
      <c r="J25" t="s">
        <v>285</v>
      </c>
      <c r="K25" s="91">
        <f>AVERAGE(E49:E61)</f>
        <v>9.4003623882402145</v>
      </c>
      <c r="L25">
        <f>STDEV(E49:E61)</f>
        <v>5.5550412206408541</v>
      </c>
      <c r="M25">
        <f>COUNT(E49:E61)</f>
        <v>13</v>
      </c>
    </row>
    <row r="26" spans="1:13" x14ac:dyDescent="0.25">
      <c r="A26" s="426" t="s">
        <v>496</v>
      </c>
      <c r="B26" s="704"/>
      <c r="C26" s="248" t="s">
        <v>497</v>
      </c>
      <c r="D26">
        <v>2</v>
      </c>
      <c r="E26" s="91">
        <f>AVERAGEIFS('SHG2 - W'!E$2:E$344,'SHG2 - W'!$A$2:$A$344,'SHG3'!$A26,'SHG2 - W'!$B$2:$B$344,'SHG3'!$C26,'SHG2 - W'!$C$2:$C$344,'SHG3'!$D26-1)</f>
        <v>11.317</v>
      </c>
      <c r="F26" s="91">
        <f>AVERAGEIFS('SHG2 - W'!F$2:F$344,'SHG2 - W'!$A$2:$A$344,'SHG3'!$A26,'SHG2 - W'!$B$2:$B$344,'SHG3'!$C26,'SHG2 - W'!$C$2:$C$344,'SHG3'!$D26-1)</f>
        <v>7.3890000000000002</v>
      </c>
      <c r="G26" s="92">
        <f>AVERAGEIFS('SHG2 - W'!G$2:G$344,'SHG2 - W'!$A$2:$A$344,'SHG3'!$A26,'SHG2 - W'!$B$2:$B$344,'SHG3'!$C26,'SHG2 - W'!$C$2:$C$344,'SHG3'!$D26-1)</f>
        <v>0.80200000000000016</v>
      </c>
      <c r="J26" t="s">
        <v>86</v>
      </c>
      <c r="K26" s="91">
        <f>AVERAGE(E2:E9)</f>
        <v>7.3399798085901029</v>
      </c>
      <c r="L26">
        <f>STDEV(F2:F9)</f>
        <v>9.2214323053903282</v>
      </c>
      <c r="M26">
        <f>COUNT(E2:E9)</f>
        <v>8</v>
      </c>
    </row>
    <row r="27" spans="1:13" x14ac:dyDescent="0.25">
      <c r="A27" s="426" t="s">
        <v>496</v>
      </c>
      <c r="B27" s="704"/>
      <c r="C27" s="248" t="s">
        <v>498</v>
      </c>
      <c r="D27">
        <v>1</v>
      </c>
      <c r="E27" s="91">
        <f>AVERAGEIFS('SHG2 - W'!E$2:E$344,'SHG2 - W'!$A$2:$A$344,'SHG3'!$A27,'SHG2 - W'!$B$2:$B$344,'SHG3'!$C27,'SHG2 - W'!$C$2:$C$344,'SHG3'!$D27-1)</f>
        <v>17.793333333333333</v>
      </c>
      <c r="F27" s="91">
        <f>AVERAGEIFS('SHG2 - W'!F$2:F$344,'SHG2 - W'!$A$2:$A$344,'SHG3'!$A27,'SHG2 - W'!$B$2:$B$344,'SHG3'!$C27,'SHG2 - W'!$C$2:$C$344,'SHG3'!$D27-1)</f>
        <v>3.1816666666666662</v>
      </c>
      <c r="G27" s="92">
        <f>AVERAGEIFS('SHG2 - W'!G$2:G$344,'SHG2 - W'!$A$2:$A$344,'SHG3'!$A27,'SHG2 - W'!$B$2:$B$344,'SHG3'!$C27,'SHG2 - W'!$C$2:$C$344,'SHG3'!$D27-1)</f>
        <v>0.80333333333333334</v>
      </c>
      <c r="J27" t="s">
        <v>234</v>
      </c>
      <c r="K27" s="91">
        <f>AVERAGE(E23:E31)</f>
        <v>16.689185185185188</v>
      </c>
      <c r="L27">
        <f>STDEV(E23:E31)</f>
        <v>7.2013819914249586</v>
      </c>
      <c r="M27">
        <f>COUNT(E23:E31)</f>
        <v>9</v>
      </c>
    </row>
    <row r="28" spans="1:13" x14ac:dyDescent="0.25">
      <c r="A28" s="426" t="s">
        <v>496</v>
      </c>
      <c r="B28" s="704"/>
      <c r="C28" s="248" t="s">
        <v>498</v>
      </c>
      <c r="D28">
        <v>2</v>
      </c>
      <c r="E28" s="91">
        <f>AVERAGEIFS('SHG2 - W'!E$2:E$344,'SHG2 - W'!$A$2:$A$344,'SHG3'!$A28,'SHG2 - W'!$B$2:$B$344,'SHG3'!$C28,'SHG2 - W'!$C$2:$C$344,'SHG3'!$D28-1)</f>
        <v>21.886666666666667</v>
      </c>
      <c r="F28" s="91">
        <f>AVERAGEIFS('SHG2 - W'!F$2:F$344,'SHG2 - W'!$A$2:$A$344,'SHG3'!$A28,'SHG2 - W'!$B$2:$B$344,'SHG3'!$C28,'SHG2 - W'!$C$2:$C$344,'SHG3'!$D28-1)</f>
        <v>2.3149999999999999</v>
      </c>
      <c r="G28" s="92">
        <f>AVERAGEIFS('SHG2 - W'!G$2:G$344,'SHG2 - W'!$A$2:$A$344,'SHG3'!$A28,'SHG2 - W'!$B$2:$B$344,'SHG3'!$C28,'SHG2 - W'!$C$2:$C$344,'SHG3'!$D28-1)</f>
        <v>0.87</v>
      </c>
      <c r="J28" t="s">
        <v>561</v>
      </c>
      <c r="K28" s="91">
        <f>AVERAGE(E38:E48)</f>
        <v>12.053771387867222</v>
      </c>
      <c r="L28">
        <f>STDEV(E38:E48)</f>
        <v>5.6909124164697786</v>
      </c>
      <c r="M28">
        <f>COUNT(E38:E48)</f>
        <v>11</v>
      </c>
    </row>
    <row r="29" spans="1:13" x14ac:dyDescent="0.25">
      <c r="A29" s="426" t="s">
        <v>496</v>
      </c>
      <c r="B29" s="704"/>
      <c r="C29" s="248" t="s">
        <v>498</v>
      </c>
      <c r="D29">
        <v>3</v>
      </c>
      <c r="E29" s="91">
        <f>AVERAGEIFS('SHG2 - W'!E$2:E$344,'SHG2 - W'!$A$2:$A$344,'SHG3'!$A29,'SHG2 - W'!$B$2:$B$344,'SHG3'!$C29,'SHG2 - W'!$C$2:$C$344,'SHG3'!$D29-1)</f>
        <v>19.946666666666669</v>
      </c>
      <c r="F29" s="91">
        <f>AVERAGEIFS('SHG2 - W'!F$2:F$344,'SHG2 - W'!$A$2:$A$344,'SHG3'!$A29,'SHG2 - W'!$B$2:$B$344,'SHG3'!$C29,'SHG2 - W'!$C$2:$C$344,'SHG3'!$D29-1)</f>
        <v>2.6616666666666666</v>
      </c>
      <c r="G29" s="92">
        <f>AVERAGEIFS('SHG2 - W'!G$2:G$344,'SHG2 - W'!$A$2:$A$344,'SHG3'!$A29,'SHG2 - W'!$B$2:$B$344,'SHG3'!$C29,'SHG2 - W'!$C$2:$C$344,'SHG3'!$D29-1)</f>
        <v>0.89</v>
      </c>
      <c r="J29" t="s">
        <v>87</v>
      </c>
      <c r="K29" s="91">
        <f>AVERAGE(E10:E22)</f>
        <v>7.4400335966117206</v>
      </c>
      <c r="L29">
        <f>STDEV(E10:E22)</f>
        <v>5.1489363586035415</v>
      </c>
      <c r="M29">
        <f>COUNT(E10:E22)</f>
        <v>8</v>
      </c>
    </row>
    <row r="30" spans="1:13" x14ac:dyDescent="0.25">
      <c r="A30" s="426" t="s">
        <v>496</v>
      </c>
      <c r="B30" s="704"/>
      <c r="C30" s="248" t="s">
        <v>499</v>
      </c>
      <c r="D30">
        <v>1</v>
      </c>
      <c r="E30" s="91">
        <f>AVERAGEIFS('SHG2 - W'!E$2:E$344,'SHG2 - W'!$A$2:$A$344,'SHG3'!$A30,'SHG2 - W'!$B$2:$B$344,'SHG3'!$C30,'SHG2 - W'!$C$2:$C$344,'SHG3'!$D30-1)</f>
        <v>23.485000000000003</v>
      </c>
      <c r="F30" s="91">
        <f>AVERAGEIFS('SHG2 - W'!F$2:F$344,'SHG2 - W'!$A$2:$A$344,'SHG3'!$A30,'SHG2 - W'!$B$2:$B$344,'SHG3'!$C30,'SHG2 - W'!$C$2:$C$344,'SHG3'!$D30-1)</f>
        <v>2.3841666666666668</v>
      </c>
      <c r="G30" s="92">
        <f>AVERAGEIFS('SHG2 - W'!G$2:G$344,'SHG2 - W'!$A$2:$A$344,'SHG3'!$A30,'SHG2 - W'!$B$2:$B$344,'SHG3'!$C30,'SHG2 - W'!$C$2:$C$344,'SHG3'!$D30-1)</f>
        <v>0.73</v>
      </c>
      <c r="J30" t="s">
        <v>292</v>
      </c>
      <c r="K30" s="91">
        <f>AVERAGE(E32:E37)</f>
        <v>6.701944444444444</v>
      </c>
      <c r="L30">
        <f>STDEV(E32:E37)</f>
        <v>3.0181326652725509</v>
      </c>
      <c r="M30">
        <f>COUNT(E32:E37)</f>
        <v>6</v>
      </c>
    </row>
    <row r="31" spans="1:13" x14ac:dyDescent="0.25">
      <c r="A31" s="530" t="s">
        <v>496</v>
      </c>
      <c r="B31" s="807"/>
      <c r="C31" s="248" t="s">
        <v>499</v>
      </c>
      <c r="D31" s="60">
        <v>2</v>
      </c>
      <c r="E31" s="91">
        <f>AVERAGEIFS('SHG2 - W'!E$2:E$344,'SHG2 - W'!$A$2:$A$344,'SHG3'!$A31,'SHG2 - W'!$B$2:$B$344,'SHG3'!$C31,'SHG2 - W'!$C$2:$C$344,'SHG3'!$D31-1)</f>
        <v>28.020000000000003</v>
      </c>
      <c r="F31" s="91">
        <f>AVERAGEIFS('SHG2 - W'!F$2:F$344,'SHG2 - W'!$A$2:$A$344,'SHG3'!$A31,'SHG2 - W'!$B$2:$B$344,'SHG3'!$C31,'SHG2 - W'!$C$2:$C$344,'SHG3'!$D31-1)</f>
        <v>1.7928571428571429</v>
      </c>
      <c r="G31" s="92">
        <f>AVERAGEIFS('SHG2 - W'!G$2:G$344,'SHG2 - W'!$A$2:$A$344,'SHG3'!$A31,'SHG2 - W'!$B$2:$B$344,'SHG3'!$C31,'SHG2 - W'!$C$2:$C$344,'SHG3'!$D31-1)</f>
        <v>0.66142857142857137</v>
      </c>
    </row>
    <row r="32" spans="1:13" x14ac:dyDescent="0.25">
      <c r="A32" s="529" t="s">
        <v>495</v>
      </c>
      <c r="B32" s="718" t="s">
        <v>292</v>
      </c>
      <c r="C32" s="531" t="s">
        <v>502</v>
      </c>
      <c r="D32" s="164">
        <v>1</v>
      </c>
      <c r="E32" s="91">
        <f>AVERAGEIFS('SHG2 - W'!E$2:E$344,'SHG2 - W'!$A$2:$A$344,'SHG3'!$A32,'SHG2 - W'!$B$2:$B$344,'SHG3'!$C32,'SHG2 - W'!$C$2:$C$344,'SHG3'!$D32-1)</f>
        <v>6.149166666666666</v>
      </c>
      <c r="F32" s="91">
        <f>AVERAGEIFS('SHG2 - W'!F$2:F$344,'SHG2 - W'!$A$2:$A$344,'SHG3'!$A32,'SHG2 - W'!$B$2:$B$344,'SHG3'!$C32,'SHG2 - W'!$C$2:$C$344,'SHG3'!$D32-1)</f>
        <v>15.783333333333333</v>
      </c>
      <c r="G32" s="92">
        <f>AVERAGEIFS('SHG2 - W'!G$2:G$344,'SHG2 - W'!$A$2:$A$344,'SHG3'!$A32,'SHG2 - W'!$B$2:$B$344,'SHG3'!$C32,'SHG2 - W'!$C$2:$C$344,'SHG3'!$D32-1)</f>
        <v>0.92</v>
      </c>
    </row>
    <row r="33" spans="1:7" x14ac:dyDescent="0.25">
      <c r="A33" s="426" t="s">
        <v>495</v>
      </c>
      <c r="B33" s="704"/>
      <c r="C33" s="248" t="s">
        <v>502</v>
      </c>
      <c r="D33">
        <v>2</v>
      </c>
      <c r="E33" s="91">
        <f>AVERAGEIFS('SHG2 - W'!E$2:E$344,'SHG2 - W'!$A$2:$A$344,'SHG3'!$A33,'SHG2 - W'!$B$2:$B$344,'SHG3'!$C33,'SHG2 - W'!$C$2:$C$344,'SHG3'!$D33-1)</f>
        <v>7.2450000000000001</v>
      </c>
      <c r="F33" s="91">
        <f>AVERAGEIFS('SHG2 - W'!F$2:F$344,'SHG2 - W'!$A$2:$A$344,'SHG3'!$A33,'SHG2 - W'!$B$2:$B$344,'SHG3'!$C33,'SHG2 - W'!$C$2:$C$344,'SHG3'!$D33-1)</f>
        <v>13.258333333333335</v>
      </c>
      <c r="G33" s="92">
        <f>AVERAGEIFS('SHG2 - W'!G$2:G$344,'SHG2 - W'!$A$2:$A$344,'SHG3'!$A33,'SHG2 - W'!$B$2:$B$344,'SHG3'!$C33,'SHG2 - W'!$C$2:$C$344,'SHG3'!$D33-1)</f>
        <v>0.84333333333333327</v>
      </c>
    </row>
    <row r="34" spans="1:7" x14ac:dyDescent="0.25">
      <c r="A34" s="426" t="s">
        <v>495</v>
      </c>
      <c r="B34" s="704"/>
      <c r="C34" s="248" t="s">
        <v>500</v>
      </c>
      <c r="D34">
        <v>1</v>
      </c>
      <c r="E34" s="91">
        <f>AVERAGEIFS('SHG2 - W'!E$2:E$344,'SHG2 - W'!$A$2:$A$344,'SHG3'!$A34,'SHG2 - W'!$B$2:$B$344,'SHG3'!$C34,'SHG2 - W'!$C$2:$C$344,'SHG3'!$D34-1)</f>
        <v>3.1999999999999993</v>
      </c>
      <c r="F34" s="91">
        <f>AVERAGEIFS('SHG2 - W'!F$2:F$344,'SHG2 - W'!$A$2:$A$344,'SHG3'!$A34,'SHG2 - W'!$B$2:$B$344,'SHG3'!$C34,'SHG2 - W'!$C$2:$C$344,'SHG3'!$D34-1)</f>
        <v>25.004999999999999</v>
      </c>
      <c r="G34" s="92">
        <f>AVERAGEIFS('SHG2 - W'!G$2:G$344,'SHG2 - W'!$A$2:$A$344,'SHG3'!$A34,'SHG2 - W'!$B$2:$B$344,'SHG3'!$C34,'SHG2 - W'!$C$2:$C$344,'SHG3'!$D34-1)</f>
        <v>0.89583333333333337</v>
      </c>
    </row>
    <row r="35" spans="1:7" x14ac:dyDescent="0.25">
      <c r="A35" s="426" t="s">
        <v>495</v>
      </c>
      <c r="B35" s="704"/>
      <c r="C35" s="248" t="s">
        <v>500</v>
      </c>
      <c r="D35">
        <v>2</v>
      </c>
      <c r="E35" s="91">
        <f>AVERAGEIFS('SHG2 - W'!E$2:E$344,'SHG2 - W'!$A$2:$A$344,'SHG3'!$A35,'SHG2 - W'!$B$2:$B$344,'SHG3'!$C35,'SHG2 - W'!$C$2:$C$344,'SHG3'!$D35-1)</f>
        <v>11.813000000000001</v>
      </c>
      <c r="F35" s="91">
        <f>AVERAGEIFS('SHG2 - W'!F$2:F$344,'SHG2 - W'!$A$2:$A$344,'SHG3'!$A35,'SHG2 - W'!$B$2:$B$344,'SHG3'!$C35,'SHG2 - W'!$C$2:$C$344,'SHG3'!$D35-1)</f>
        <v>7.0419999999999998</v>
      </c>
      <c r="G35" s="92">
        <f>AVERAGEIFS('SHG2 - W'!G$2:G$344,'SHG2 - W'!$A$2:$A$344,'SHG3'!$A35,'SHG2 - W'!$B$2:$B$344,'SHG3'!$C35,'SHG2 - W'!$C$2:$C$344,'SHG3'!$D35-1)</f>
        <v>0.88700000000000012</v>
      </c>
    </row>
    <row r="36" spans="1:7" x14ac:dyDescent="0.25">
      <c r="A36" s="426" t="s">
        <v>495</v>
      </c>
      <c r="B36" s="704"/>
      <c r="C36" s="248" t="s">
        <v>503</v>
      </c>
      <c r="D36">
        <v>1</v>
      </c>
      <c r="E36" s="91">
        <f>AVERAGEIFS('SHG2 - W'!E$2:E$344,'SHG2 - W'!$A$2:$A$344,'SHG3'!$A36,'SHG2 - W'!$B$2:$B$344,'SHG3'!$C36,'SHG2 - W'!$C$2:$C$344,'SHG3'!$D36-1)</f>
        <v>7.527000000000001</v>
      </c>
      <c r="F36" s="91">
        <f>AVERAGEIFS('SHG2 - W'!F$2:F$344,'SHG2 - W'!$A$2:$A$344,'SHG3'!$A36,'SHG2 - W'!$B$2:$B$344,'SHG3'!$C36,'SHG2 - W'!$C$2:$C$344,'SHG3'!$D36-1)</f>
        <v>15.063000000000002</v>
      </c>
      <c r="G36" s="92">
        <f>AVERAGEIFS('SHG2 - W'!G$2:G$344,'SHG2 - W'!$A$2:$A$344,'SHG3'!$A36,'SHG2 - W'!$B$2:$B$344,'SHG3'!$C36,'SHG2 - W'!$C$2:$C$344,'SHG3'!$D36-1)</f>
        <v>0.81200000000000006</v>
      </c>
    </row>
    <row r="37" spans="1:7" x14ac:dyDescent="0.25">
      <c r="A37" s="530" t="s">
        <v>495</v>
      </c>
      <c r="B37" s="807"/>
      <c r="C37" s="532" t="s">
        <v>503</v>
      </c>
      <c r="D37" s="60">
        <v>2</v>
      </c>
      <c r="E37" s="91">
        <f>AVERAGEIFS('SHG2 - W'!E$2:E$344,'SHG2 - W'!$A$2:$A$344,'SHG3'!$A37,'SHG2 - W'!$B$2:$B$344,'SHG3'!$C37,'SHG2 - W'!$C$2:$C$344,'SHG3'!$D37-1)</f>
        <v>4.277499999999999</v>
      </c>
      <c r="F37" s="91">
        <f>AVERAGEIFS('SHG2 - W'!F$2:F$344,'SHG2 - W'!$A$2:$A$344,'SHG3'!$A37,'SHG2 - W'!$B$2:$B$344,'SHG3'!$C37,'SHG2 - W'!$C$2:$C$344,'SHG3'!$D37-1)</f>
        <v>21.212499999999995</v>
      </c>
      <c r="G37" s="92">
        <f>AVERAGEIFS('SHG2 - W'!G$2:G$344,'SHG2 - W'!$A$2:$A$344,'SHG3'!$A37,'SHG2 - W'!$B$2:$B$344,'SHG3'!$C37,'SHG2 - W'!$C$2:$C$344,'SHG3'!$D37-1)</f>
        <v>0.82583333333333353</v>
      </c>
    </row>
    <row r="38" spans="1:7" x14ac:dyDescent="0.25">
      <c r="A38" s="426" t="s">
        <v>559</v>
      </c>
      <c r="B38" s="704" t="s">
        <v>561</v>
      </c>
      <c r="C38" s="248" t="s">
        <v>493</v>
      </c>
      <c r="D38">
        <v>2</v>
      </c>
      <c r="E38" s="91">
        <f>AVERAGEIFS('SHG2 - W'!E$2:E$713,'SHG2 - W'!$A$2:$A$713,'SHG-Summary'!$A38,'SHG2 - W'!$B$2:$B$713,'SHG-Summary'!$C38,'SHG2 - W'!$C$2:$C$713,'SHG-Summary'!$D38-1)</f>
        <v>8.65</v>
      </c>
      <c r="F38" s="91">
        <f>AVERAGEIFS('SHG2 - W'!F$2:F$713,'SHG2 - W'!$A$2:$A$713,'SHG-Summary'!$A38,'SHG2 - W'!$B$2:$B$713,'SHG-Summary'!$C38,'SHG2 - W'!$C$2:$C$713,'SHG-Summary'!$D38-1)</f>
        <v>15.25</v>
      </c>
      <c r="G38" s="91">
        <f>AVERAGEIFS('SHG2 - W'!G$2:G$713,'SHG2 - W'!$A$2:$A$713,'SHG-Summary'!$A38,'SHG2 - W'!$B$2:$B$713,'SHG-Summary'!$C38,'SHG2 - W'!$C$2:$C$713,'SHG-Summary'!$D38-1)</f>
        <v>0.83916666666666673</v>
      </c>
    </row>
    <row r="39" spans="1:7" x14ac:dyDescent="0.25">
      <c r="A39" s="426" t="s">
        <v>559</v>
      </c>
      <c r="B39" s="704"/>
      <c r="C39" s="248" t="s">
        <v>493</v>
      </c>
      <c r="D39">
        <v>3</v>
      </c>
      <c r="E39" s="91">
        <f>AVERAGEIFS('SHG2 - W'!E$2:E$713,'SHG2 - W'!$A$2:$A$713,'SHG-Summary'!$A39,'SHG2 - W'!$B$2:$B$713,'SHG-Summary'!$C39,'SHG2 - W'!$C$2:$C$713,'SHG-Summary'!$D39-1)</f>
        <v>10.368</v>
      </c>
      <c r="F39" s="91">
        <f>AVERAGEIFS('SHG2 - W'!F$2:F$713,'SHG2 - W'!$A$2:$A$713,'SHG-Summary'!$A39,'SHG2 - W'!$B$2:$B$713,'SHG-Summary'!$C39,'SHG2 - W'!$C$2:$C$713,'SHG-Summary'!$D39-1)</f>
        <v>8.3460000000000001</v>
      </c>
      <c r="G39" s="91">
        <f>AVERAGEIFS('SHG2 - W'!G$2:G$713,'SHG2 - W'!$A$2:$A$713,'SHG-Summary'!$A39,'SHG2 - W'!$B$2:$B$713,'SHG-Summary'!$C39,'SHG2 - W'!$C$2:$C$713,'SHG-Summary'!$D39-1)</f>
        <v>0.92400000000000004</v>
      </c>
    </row>
    <row r="40" spans="1:7" x14ac:dyDescent="0.25">
      <c r="A40" s="426" t="s">
        <v>559</v>
      </c>
      <c r="B40" s="704"/>
      <c r="C40" s="248" t="s">
        <v>493</v>
      </c>
      <c r="D40">
        <v>4</v>
      </c>
      <c r="E40" s="91">
        <f>AVERAGEIFS('SHG2 - W'!E$2:E$713,'SHG2 - W'!$A$2:$A$713,'SHG-Summary'!$A40,'SHG2 - W'!$B$2:$B$713,'SHG-Summary'!$C40,'SHG2 - W'!$C$2:$C$713,'SHG-Summary'!$D40-1)</f>
        <v>13.197272727272725</v>
      </c>
      <c r="F40" s="91">
        <f>AVERAGEIFS('SHG2 - W'!F$2:F$713,'SHG2 - W'!$A$2:$A$713,'SHG-Summary'!$A40,'SHG2 - W'!$B$2:$B$713,'SHG-Summary'!$C40,'SHG2 - W'!$C$2:$C$713,'SHG-Summary'!$D40-1)</f>
        <v>5.5263636363636373</v>
      </c>
      <c r="G40" s="91">
        <f>AVERAGEIFS('SHG2 - W'!G$2:G$713,'SHG2 - W'!$A$2:$A$713,'SHG-Summary'!$A40,'SHG2 - W'!$B$2:$B$713,'SHG-Summary'!$C40,'SHG2 - W'!$C$2:$C$713,'SHG-Summary'!$D40-1)</f>
        <v>0.91272727272727261</v>
      </c>
    </row>
    <row r="41" spans="1:7" x14ac:dyDescent="0.25">
      <c r="A41" s="426" t="s">
        <v>559</v>
      </c>
      <c r="B41" s="704"/>
      <c r="C41" s="248" t="s">
        <v>502</v>
      </c>
      <c r="D41">
        <v>1</v>
      </c>
      <c r="E41" s="91">
        <f>AVERAGEIFS('SHG2 - W'!E$2:E$713,'SHG2 - W'!$A$2:$A$713,'SHG-Summary'!$A41,'SHG2 - W'!$B$2:$B$713,'SHG-Summary'!$C41,'SHG2 - W'!$C$2:$C$713,'SHG-Summary'!$D41-1)</f>
        <v>13.331578947368419</v>
      </c>
      <c r="F41" s="91">
        <f>AVERAGEIFS('SHG2 - W'!F$2:F$713,'SHG2 - W'!$A$2:$A$713,'SHG-Summary'!$A41,'SHG2 - W'!$B$2:$B$713,'SHG-Summary'!$C41,'SHG2 - W'!$C$2:$C$713,'SHG-Summary'!$D41-1)</f>
        <v>6.399473684210526</v>
      </c>
      <c r="G41" s="91">
        <f>AVERAGEIFS('SHG2 - W'!G$2:G$713,'SHG2 - W'!$A$2:$A$713,'SHG-Summary'!$A41,'SHG2 - W'!$B$2:$B$713,'SHG-Summary'!$C41,'SHG2 - W'!$C$2:$C$713,'SHG-Summary'!$D41-1)</f>
        <v>0.70210526315789468</v>
      </c>
    </row>
    <row r="42" spans="1:7" x14ac:dyDescent="0.25">
      <c r="A42" s="426" t="s">
        <v>559</v>
      </c>
      <c r="B42" s="704"/>
      <c r="C42" s="248" t="s">
        <v>502</v>
      </c>
      <c r="D42">
        <v>2</v>
      </c>
      <c r="E42" s="91">
        <f>AVERAGEIFS('SHG2 - W'!E$2:E$713,'SHG2 - W'!$A$2:$A$713,'SHG-Summary'!$A42,'SHG2 - W'!$B$2:$B$713,'SHG-Summary'!$C42,'SHG2 - W'!$C$2:$C$713,'SHG-Summary'!$D42-1)</f>
        <v>17.075714285714284</v>
      </c>
      <c r="F42" s="91">
        <f>AVERAGEIFS('SHG2 - W'!F$2:F$713,'SHG2 - W'!$A$2:$A$713,'SHG-Summary'!$A42,'SHG2 - W'!$B$2:$B$713,'SHG-Summary'!$C42,'SHG2 - W'!$C$2:$C$713,'SHG-Summary'!$D42-1)</f>
        <v>4.2371428571428567</v>
      </c>
      <c r="G42" s="91">
        <f>AVERAGEIFS('SHG2 - W'!G$2:G$713,'SHG2 - W'!$A$2:$A$713,'SHG-Summary'!$A42,'SHG2 - W'!$B$2:$B$713,'SHG-Summary'!$C42,'SHG2 - W'!$C$2:$C$713,'SHG-Summary'!$D42-1)</f>
        <v>0.67428571428571427</v>
      </c>
    </row>
    <row r="43" spans="1:7" x14ac:dyDescent="0.25">
      <c r="A43" s="426" t="s">
        <v>559</v>
      </c>
      <c r="B43" s="704"/>
      <c r="C43" s="248" t="s">
        <v>500</v>
      </c>
      <c r="D43">
        <v>1</v>
      </c>
      <c r="E43" s="91">
        <f>AVERAGEIFS('SHG2 - W'!E$2:E$713,'SHG2 - W'!$A$2:$A$713,'SHG-Summary'!$A43,'SHG2 - W'!$B$2:$B$713,'SHG-Summary'!$C43,'SHG2 - W'!$C$2:$C$713,'SHG-Summary'!$D43-1)</f>
        <v>16.734500000000001</v>
      </c>
      <c r="F43" s="91">
        <f>AVERAGEIFS('SHG2 - W'!F$2:F$713,'SHG2 - W'!$A$2:$A$713,'SHG-Summary'!$A43,'SHG2 - W'!$B$2:$B$713,'SHG-Summary'!$C43,'SHG2 - W'!$C$2:$C$713,'SHG-Summary'!$D43-1)</f>
        <v>4.2545000000000002</v>
      </c>
      <c r="G43" s="91">
        <f>AVERAGEIFS('SHG2 - W'!G$2:G$713,'SHG2 - W'!$A$2:$A$713,'SHG-Summary'!$A43,'SHG2 - W'!$B$2:$B$713,'SHG-Summary'!$C43,'SHG2 - W'!$C$2:$C$713,'SHG-Summary'!$D43-1)</f>
        <v>0.77100000000000013</v>
      </c>
    </row>
    <row r="44" spans="1:7" x14ac:dyDescent="0.25">
      <c r="A44" s="426" t="s">
        <v>559</v>
      </c>
      <c r="B44" s="704"/>
      <c r="C44" s="248" t="s">
        <v>500</v>
      </c>
      <c r="D44">
        <v>2</v>
      </c>
      <c r="E44" s="91">
        <f>AVERAGEIFS('SHG2 - W'!E$2:E$713,'SHG2 - W'!$A$2:$A$713,'SHG-Summary'!$A44,'SHG2 - W'!$B$2:$B$713,'SHG-Summary'!$C44,'SHG2 - W'!$C$2:$C$713,'SHG-Summary'!$D44-1)</f>
        <v>24.53083333333333</v>
      </c>
      <c r="F44" s="91">
        <f>AVERAGEIFS('SHG2 - W'!F$2:F$713,'SHG2 - W'!$A$2:$A$713,'SHG-Summary'!$A44,'SHG2 - W'!$B$2:$B$713,'SHG-Summary'!$C44,'SHG2 - W'!$C$2:$C$713,'SHG-Summary'!$D44-1)</f>
        <v>2.6975000000000002</v>
      </c>
      <c r="G44" s="91">
        <f>AVERAGEIFS('SHG2 - W'!G$2:G$713,'SHG2 - W'!$A$2:$A$713,'SHG-Summary'!$A44,'SHG2 - W'!$B$2:$B$713,'SHG-Summary'!$C44,'SHG2 - W'!$C$2:$C$713,'SHG-Summary'!$D44-1)</f>
        <v>0.60041666666666671</v>
      </c>
    </row>
    <row r="45" spans="1:7" x14ac:dyDescent="0.25">
      <c r="A45" s="426" t="s">
        <v>559</v>
      </c>
      <c r="B45" s="704"/>
      <c r="C45" s="248" t="s">
        <v>500</v>
      </c>
      <c r="D45">
        <v>3</v>
      </c>
      <c r="E45" s="91">
        <f>AVERAGEIFS('SHG2 - W'!E$2:E$713,'SHG2 - W'!$A$2:$A$713,'SHG-Summary'!$A45,'SHG2 - W'!$B$2:$B$713,'SHG-Summary'!$C45,'SHG2 - W'!$C$2:$C$713,'SHG-Summary'!$D45-1)</f>
        <v>8.8864705882352943</v>
      </c>
      <c r="F45" s="91">
        <f>AVERAGEIFS('SHG2 - W'!F$2:F$713,'SHG2 - W'!$A$2:$A$713,'SHG-Summary'!$A45,'SHG2 - W'!$B$2:$B$713,'SHG-Summary'!$C45,'SHG2 - W'!$C$2:$C$713,'SHG-Summary'!$D45-1)</f>
        <v>10.914705882352942</v>
      </c>
      <c r="G45" s="91">
        <f>AVERAGEIFS('SHG2 - W'!G$2:G$713,'SHG2 - W'!$A$2:$A$713,'SHG-Summary'!$A45,'SHG2 - W'!$B$2:$B$713,'SHG-Summary'!$C45,'SHG2 - W'!$C$2:$C$713,'SHG-Summary'!$D45-1)</f>
        <v>0.87352941176470589</v>
      </c>
    </row>
    <row r="46" spans="1:7" x14ac:dyDescent="0.25">
      <c r="A46" s="426" t="s">
        <v>559</v>
      </c>
      <c r="B46" s="704"/>
      <c r="C46" t="s">
        <v>497</v>
      </c>
      <c r="D46">
        <v>1</v>
      </c>
      <c r="E46" s="91">
        <f>AVERAGEIFS('SHG2 - W'!E$2:E$713,'SHG2 - W'!$A$2:$A$713,'SHG-Summary'!$A46,'SHG2 - W'!$B$2:$B$713,'SHG-Summary'!$C46,'SHG2 - W'!$C$2:$C$713,'SHG-Summary'!$D46-1)</f>
        <v>5.7861538461538471</v>
      </c>
      <c r="F46" s="91">
        <f>AVERAGEIFS('SHG2 - W'!F$2:F$713,'SHG2 - W'!$A$2:$A$713,'SHG-Summary'!$A46,'SHG2 - W'!$B$2:$B$713,'SHG-Summary'!$C46,'SHG2 - W'!$C$2:$C$713,'SHG-Summary'!$D46-1)</f>
        <v>16.650769230769235</v>
      </c>
      <c r="G46" s="91">
        <f>AVERAGEIFS('SHG2 - W'!G$2:G$713,'SHG2 - W'!$A$2:$A$713,'SHG-Summary'!$A46,'SHG2 - W'!$B$2:$B$713,'SHG-Summary'!$C46,'SHG2 - W'!$C$2:$C$713,'SHG-Summary'!$D46-1)</f>
        <v>0.90230769230769248</v>
      </c>
    </row>
    <row r="47" spans="1:7" x14ac:dyDescent="0.25">
      <c r="A47" s="426" t="s">
        <v>559</v>
      </c>
      <c r="B47" s="704"/>
      <c r="C47" t="s">
        <v>497</v>
      </c>
      <c r="D47">
        <v>2</v>
      </c>
      <c r="E47" s="91">
        <f>AVERAGEIFS('SHG2 - W'!E$2:E$713,'SHG2 - W'!$A$2:$A$713,'SHG-Summary'!$A47,'SHG2 - W'!$B$2:$B$713,'SHG-Summary'!$C47,'SHG2 - W'!$C$2:$C$713,'SHG-Summary'!$D47-1)</f>
        <v>8.3584615384615368</v>
      </c>
      <c r="F47" s="91">
        <f>AVERAGEIFS('SHG2 - W'!F$2:F$713,'SHG2 - W'!$A$2:$A$713,'SHG-Summary'!$A47,'SHG2 - W'!$B$2:$B$713,'SHG-Summary'!$C47,'SHG2 - W'!$C$2:$C$713,'SHG-Summary'!$D47-1)</f>
        <v>11.066153846153847</v>
      </c>
      <c r="G47" s="91">
        <f>AVERAGEIFS('SHG2 - W'!G$2:G$713,'SHG2 - W'!$A$2:$A$713,'SHG-Summary'!$A47,'SHG2 - W'!$B$2:$B$713,'SHG-Summary'!$C47,'SHG2 - W'!$C$2:$C$713,'SHG-Summary'!$D47-1)</f>
        <v>0.84384615384615391</v>
      </c>
    </row>
    <row r="48" spans="1:7" x14ac:dyDescent="0.25">
      <c r="A48" s="530" t="s">
        <v>559</v>
      </c>
      <c r="B48" s="807"/>
      <c r="C48" s="60" t="s">
        <v>497</v>
      </c>
      <c r="D48" s="60">
        <v>3</v>
      </c>
      <c r="E48" s="191">
        <f>AVERAGEIFS('SHG2 - W'!E$2:E$713,'SHG2 - W'!$A$2:$A$713,'SHG-Summary'!$A48,'SHG2 - W'!$B$2:$B$713,'SHG-Summary'!$C48,'SHG2 - W'!$C$2:$C$713,'SHG-Summary'!$D48-1)</f>
        <v>5.6725000000000003</v>
      </c>
      <c r="F48" s="191">
        <f>AVERAGEIFS('SHG2 - W'!F$2:F$713,'SHG2 - W'!$A$2:$A$713,'SHG-Summary'!$A48,'SHG2 - W'!$B$2:$B$713,'SHG-Summary'!$C48,'SHG2 - W'!$C$2:$C$713,'SHG-Summary'!$D48-1)</f>
        <v>22.810833333333331</v>
      </c>
      <c r="G48" s="191">
        <f>AVERAGEIFS('SHG2 - W'!G$2:G$713,'SHG2 - W'!$A$2:$A$713,'SHG-Summary'!$A48,'SHG2 - W'!$B$2:$B$713,'SHG-Summary'!$C48,'SHG2 - W'!$C$2:$C$713,'SHG-Summary'!$D48-1)</f>
        <v>0.79666666666666675</v>
      </c>
    </row>
    <row r="49" spans="1:7" x14ac:dyDescent="0.25">
      <c r="A49" s="426" t="s">
        <v>560</v>
      </c>
      <c r="B49" s="718" t="s">
        <v>285</v>
      </c>
      <c r="C49" s="248" t="s">
        <v>493</v>
      </c>
      <c r="D49">
        <v>1</v>
      </c>
      <c r="E49" s="91">
        <f>AVERAGEIFS('SHG2 - W'!E$2:E$713,'SHG2 - W'!$A$2:$A$713,'SHG-Summary'!$A49,'SHG2 - W'!$B$2:$B$713,'SHG-Summary'!$C49,'SHG2 - W'!$C$2:$C$713,'SHG-Summary'!$D49-1)</f>
        <v>6.7488888888888896</v>
      </c>
      <c r="F49" s="91">
        <f>AVERAGEIFS('SHG2 - W'!F$2:F$713,'SHG2 - W'!$A$2:$A$713,'SHG-Summary'!$A49,'SHG2 - W'!$B$2:$B$713,'SHG-Summary'!$C49,'SHG2 - W'!$C$2:$C$713,'SHG-Summary'!$D49-1)</f>
        <v>21.241666666666667</v>
      </c>
      <c r="G49" s="91">
        <f>AVERAGEIFS('SHG2 - W'!G$2:G$713,'SHG2 - W'!$A$2:$A$713,'SHG-Summary'!$A49,'SHG2 - W'!$B$2:$B$713,'SHG-Summary'!$C49,'SHG2 - W'!$C$2:$C$713,'SHG-Summary'!$D49-1)</f>
        <v>0.75500000000000023</v>
      </c>
    </row>
    <row r="50" spans="1:7" x14ac:dyDescent="0.25">
      <c r="A50" s="426" t="s">
        <v>560</v>
      </c>
      <c r="B50" s="704"/>
      <c r="C50" s="248" t="s">
        <v>493</v>
      </c>
      <c r="D50">
        <v>2</v>
      </c>
      <c r="E50" s="91">
        <f>AVERAGEIFS('SHG2 - W'!E$2:E$713,'SHG2 - W'!$A$2:$A$713,'SHG-Summary'!$A50,'SHG2 - W'!$B$2:$B$713,'SHG-Summary'!$C50,'SHG2 - W'!$C$2:$C$713,'SHG-Summary'!$D50-1)</f>
        <v>7.064615384615383</v>
      </c>
      <c r="F50" s="91">
        <f>AVERAGEIFS('SHG2 - W'!F$2:F$713,'SHG2 - W'!$A$2:$A$713,'SHG-Summary'!$A50,'SHG2 - W'!$B$2:$B$713,'SHG-Summary'!$C50,'SHG2 - W'!$C$2:$C$713,'SHG-Summary'!$D50-1)</f>
        <v>13.585384615384612</v>
      </c>
      <c r="G50" s="91">
        <f>AVERAGEIFS('SHG2 - W'!G$2:G$713,'SHG2 - W'!$A$2:$A$713,'SHG-Summary'!$A50,'SHG2 - W'!$B$2:$B$713,'SHG-Summary'!$C50,'SHG2 - W'!$C$2:$C$713,'SHG-Summary'!$D50-1)</f>
        <v>0.86461538461538467</v>
      </c>
    </row>
    <row r="51" spans="1:7" x14ac:dyDescent="0.25">
      <c r="A51" s="426" t="s">
        <v>560</v>
      </c>
      <c r="B51" s="704"/>
      <c r="C51" s="248" t="s">
        <v>493</v>
      </c>
      <c r="D51">
        <v>3</v>
      </c>
      <c r="E51" s="91">
        <f>AVERAGEIFS('SHG2 - W'!E$2:E$713,'SHG2 - W'!$A$2:$A$713,'SHG-Summary'!$A51,'SHG2 - W'!$B$2:$B$713,'SHG-Summary'!$C51,'SHG2 - W'!$C$2:$C$713,'SHG-Summary'!$D51-1)</f>
        <v>6.8369230769230764</v>
      </c>
      <c r="F51" s="91">
        <f>AVERAGEIFS('SHG2 - W'!F$2:F$713,'SHG2 - W'!$A$2:$A$713,'SHG-Summary'!$A51,'SHG2 - W'!$B$2:$B$713,'SHG-Summary'!$C51,'SHG2 - W'!$C$2:$C$713,'SHG-Summary'!$D51-1)</f>
        <v>14.766923076923074</v>
      </c>
      <c r="G51" s="91">
        <f>AVERAGEIFS('SHG2 - W'!G$2:G$713,'SHG2 - W'!$A$2:$A$713,'SHG-Summary'!$A51,'SHG2 - W'!$B$2:$B$713,'SHG-Summary'!$C51,'SHG2 - W'!$C$2:$C$713,'SHG-Summary'!$D51-1)</f>
        <v>0.80923076923076931</v>
      </c>
    </row>
    <row r="52" spans="1:7" x14ac:dyDescent="0.25">
      <c r="A52" s="426" t="s">
        <v>560</v>
      </c>
      <c r="B52" s="704"/>
      <c r="C52" s="248" t="s">
        <v>502</v>
      </c>
      <c r="D52">
        <v>1</v>
      </c>
      <c r="E52" s="91">
        <f>AVERAGEIFS('SHG2 - W'!E$2:E$713,'SHG2 - W'!$A$2:$A$713,'SHG-Summary'!$A52,'SHG2 - W'!$B$2:$B$713,'SHG-Summary'!$C52,'SHG2 - W'!$C$2:$C$713,'SHG-Summary'!$D52-1)</f>
        <v>10.811</v>
      </c>
      <c r="F52" s="91">
        <f>AVERAGEIFS('SHG2 - W'!F$2:F$713,'SHG2 - W'!$A$2:$A$713,'SHG-Summary'!$A52,'SHG2 - W'!$B$2:$B$713,'SHG-Summary'!$C52,'SHG2 - W'!$C$2:$C$713,'SHG-Summary'!$D52-1)</f>
        <v>11.72</v>
      </c>
      <c r="G52" s="91">
        <f>AVERAGEIFS('SHG2 - W'!G$2:G$713,'SHG2 - W'!$A$2:$A$713,'SHG-Summary'!$A52,'SHG2 - W'!$B$2:$B$713,'SHG-Summary'!$C52,'SHG2 - W'!$C$2:$C$713,'SHG-Summary'!$D52-1)</f>
        <v>0.74549999999999983</v>
      </c>
    </row>
    <row r="53" spans="1:7" x14ac:dyDescent="0.25">
      <c r="A53" s="426" t="s">
        <v>560</v>
      </c>
      <c r="B53" s="704"/>
      <c r="C53" s="248" t="s">
        <v>502</v>
      </c>
      <c r="D53">
        <v>2</v>
      </c>
      <c r="E53" s="91">
        <f>AVERAGEIFS('SHG2 - W'!E$2:E$713,'SHG2 - W'!$A$2:$A$713,'SHG-Summary'!$A53,'SHG2 - W'!$B$2:$B$713,'SHG-Summary'!$C53,'SHG2 - W'!$C$2:$C$713,'SHG-Summary'!$D53-1)</f>
        <v>1.9800000000000002</v>
      </c>
      <c r="F53" s="91">
        <f>AVERAGEIFS('SHG2 - W'!F$2:F$713,'SHG2 - W'!$A$2:$A$713,'SHG-Summary'!$A53,'SHG2 - W'!$B$2:$B$713,'SHG-Summary'!$C53,'SHG2 - W'!$C$2:$C$713,'SHG-Summary'!$D53-1)</f>
        <v>34.137058823529408</v>
      </c>
      <c r="G53" s="91">
        <f>AVERAGEIFS('SHG2 - W'!G$2:G$713,'SHG2 - W'!$A$2:$A$713,'SHG-Summary'!$A53,'SHG2 - W'!$B$2:$B$713,'SHG-Summary'!$C53,'SHG2 - W'!$C$2:$C$713,'SHG-Summary'!$D53-1)</f>
        <v>0.86352941176470588</v>
      </c>
    </row>
    <row r="54" spans="1:7" x14ac:dyDescent="0.25">
      <c r="A54" s="426" t="s">
        <v>560</v>
      </c>
      <c r="B54" s="704"/>
      <c r="C54" s="248" t="s">
        <v>502</v>
      </c>
      <c r="D54">
        <v>3</v>
      </c>
      <c r="E54" s="91">
        <f>AVERAGEIFS('SHG2 - W'!E$2:E$713,'SHG2 - W'!$A$2:$A$713,'SHG-Summary'!$A54,'SHG2 - W'!$B$2:$B$713,'SHG-Summary'!$C54,'SHG2 - W'!$C$2:$C$713,'SHG-Summary'!$D54-1)</f>
        <v>5.6111764705882345</v>
      </c>
      <c r="F54" s="91">
        <f>AVERAGEIFS('SHG2 - W'!F$2:F$713,'SHG2 - W'!$A$2:$A$713,'SHG-Summary'!$A54,'SHG2 - W'!$B$2:$B$713,'SHG-Summary'!$C54,'SHG2 - W'!$C$2:$C$713,'SHG-Summary'!$D54-1)</f>
        <v>22.007058823529416</v>
      </c>
      <c r="G54" s="91">
        <f>AVERAGEIFS('SHG2 - W'!G$2:G$713,'SHG2 - W'!$A$2:$A$713,'SHG-Summary'!$A54,'SHG2 - W'!$B$2:$B$713,'SHG-Summary'!$C54,'SHG2 - W'!$C$2:$C$713,'SHG-Summary'!$D54-1)</f>
        <v>0.85588235294117632</v>
      </c>
    </row>
    <row r="55" spans="1:7" x14ac:dyDescent="0.25">
      <c r="A55" s="426" t="s">
        <v>560</v>
      </c>
      <c r="B55" s="704"/>
      <c r="C55" s="248" t="s">
        <v>500</v>
      </c>
      <c r="D55">
        <v>1</v>
      </c>
      <c r="E55" s="91">
        <f>AVERAGEIFS('SHG2 - W'!E$2:E$713,'SHG2 - W'!$A$2:$A$713,'SHG-Summary'!$A55,'SHG2 - W'!$B$2:$B$713,'SHG-Summary'!$C55,'SHG2 - W'!$C$2:$C$713,'SHG-Summary'!$D55-1)</f>
        <v>8.2499999999999982</v>
      </c>
      <c r="F55" s="91">
        <f>AVERAGEIFS('SHG2 - W'!F$2:F$713,'SHG2 - W'!$A$2:$A$713,'SHG-Summary'!$A55,'SHG2 - W'!$B$2:$B$713,'SHG-Summary'!$C55,'SHG2 - W'!$C$2:$C$713,'SHG-Summary'!$D55-1)</f>
        <v>11.666923076923078</v>
      </c>
      <c r="G55" s="91">
        <f>AVERAGEIFS('SHG2 - W'!G$2:G$713,'SHG2 - W'!$A$2:$A$713,'SHG-Summary'!$A55,'SHG2 - W'!$B$2:$B$713,'SHG-Summary'!$C55,'SHG2 - W'!$C$2:$C$713,'SHG-Summary'!$D55-1)</f>
        <v>0.80461538461538473</v>
      </c>
    </row>
    <row r="56" spans="1:7" x14ac:dyDescent="0.25">
      <c r="A56" s="426" t="s">
        <v>560</v>
      </c>
      <c r="B56" s="704"/>
      <c r="C56" s="248" t="s">
        <v>500</v>
      </c>
      <c r="D56">
        <v>2</v>
      </c>
      <c r="E56" s="91">
        <f>AVERAGEIFS('SHG2 - W'!E$2:E$713,'SHG2 - W'!$A$2:$A$713,'SHG-Summary'!$A56,'SHG2 - W'!$B$2:$B$713,'SHG-Summary'!$C56,'SHG2 - W'!$C$2:$C$713,'SHG-Summary'!$D56-1)</f>
        <v>15.424615384615382</v>
      </c>
      <c r="F56" s="91">
        <f>AVERAGEIFS('SHG2 - W'!F$2:F$713,'SHG2 - W'!$A$2:$A$713,'SHG-Summary'!$A56,'SHG2 - W'!$B$2:$B$713,'SHG-Summary'!$C56,'SHG2 - W'!$C$2:$C$713,'SHG-Summary'!$D56-1)</f>
        <v>4.4584615384615391</v>
      </c>
      <c r="G56" s="91">
        <f>AVERAGEIFS('SHG2 - W'!G$2:G$713,'SHG2 - W'!$A$2:$A$713,'SHG-Summary'!$A56,'SHG2 - W'!$B$2:$B$713,'SHG-Summary'!$C56,'SHG2 - W'!$C$2:$C$713,'SHG-Summary'!$D56-1)</f>
        <v>0.63769230769230767</v>
      </c>
    </row>
    <row r="57" spans="1:7" x14ac:dyDescent="0.25">
      <c r="A57" s="426" t="s">
        <v>560</v>
      </c>
      <c r="B57" s="704"/>
      <c r="C57" s="248" t="s">
        <v>500</v>
      </c>
      <c r="D57">
        <v>3</v>
      </c>
      <c r="E57" s="91">
        <f>AVERAGEIFS('SHG2 - W'!E$2:E$713,'SHG2 - W'!$A$2:$A$713,'SHG-Summary'!$A57,'SHG2 - W'!$B$2:$B$713,'SHG-Summary'!$C57,'SHG2 - W'!$C$2:$C$713,'SHG-Summary'!$D57-1)</f>
        <v>8.138461538461538</v>
      </c>
      <c r="F57" s="91">
        <f>AVERAGEIFS('SHG2 - W'!F$2:F$713,'SHG2 - W'!$A$2:$A$713,'SHG-Summary'!$A57,'SHG2 - W'!$B$2:$B$713,'SHG-Summary'!$C57,'SHG2 - W'!$C$2:$C$713,'SHG-Summary'!$D57-1)</f>
        <v>12.004615384615382</v>
      </c>
      <c r="G57" s="91">
        <f>AVERAGEIFS('SHG2 - W'!G$2:G$713,'SHG2 - W'!$A$2:$A$713,'SHG-Summary'!$A57,'SHG2 - W'!$B$2:$B$713,'SHG-Summary'!$C57,'SHG2 - W'!$C$2:$C$713,'SHG-Summary'!$D57-1)</f>
        <v>0.74923076923076914</v>
      </c>
    </row>
    <row r="58" spans="1:7" x14ac:dyDescent="0.25">
      <c r="A58" s="426" t="s">
        <v>560</v>
      </c>
      <c r="B58" s="704"/>
      <c r="C58" t="s">
        <v>497</v>
      </c>
      <c r="D58">
        <v>1</v>
      </c>
      <c r="E58" s="91">
        <f>AVERAGEIFS('SHG2 - W'!E$2:E$713,'SHG2 - W'!$A$2:$A$713,'SHG-Summary'!$A58,'SHG2 - W'!$B$2:$B$713,'SHG-Summary'!$C58,'SHG2 - W'!$C$2:$C$713,'SHG-Summary'!$D58-1)</f>
        <v>12.458181818181821</v>
      </c>
      <c r="F58" s="91">
        <f>AVERAGEIFS('SHG2 - W'!F$2:F$713,'SHG2 - W'!$A$2:$A$713,'SHG-Summary'!$A58,'SHG2 - W'!$B$2:$B$713,'SHG-Summary'!$C58,'SHG2 - W'!$C$2:$C$713,'SHG-Summary'!$D58-1)</f>
        <v>7.916363636363636</v>
      </c>
      <c r="G58" s="91">
        <f>AVERAGEIFS('SHG2 - W'!G$2:G$713,'SHG2 - W'!$A$2:$A$713,'SHG-Summary'!$A58,'SHG2 - W'!$B$2:$B$713,'SHG-Summary'!$C58,'SHG2 - W'!$C$2:$C$713,'SHG-Summary'!$D58-1)</f>
        <v>0.64181818181818173</v>
      </c>
    </row>
    <row r="59" spans="1:7" x14ac:dyDescent="0.25">
      <c r="A59" s="426" t="s">
        <v>560</v>
      </c>
      <c r="B59" s="704"/>
      <c r="C59" t="s">
        <v>497</v>
      </c>
      <c r="D59">
        <v>2</v>
      </c>
      <c r="E59" s="91">
        <f>AVERAGEIFS('SHG2 - W'!E$2:E$713,'SHG2 - W'!$A$2:$A$713,'SHG-Summary'!$A59,'SHG2 - W'!$B$2:$B$713,'SHG-Summary'!$C59,'SHG2 - W'!$C$2:$C$713,'SHG-Summary'!$D59-1)</f>
        <v>24.301666666666662</v>
      </c>
      <c r="F59" s="91">
        <f>AVERAGEIFS('SHG2 - W'!F$2:F$713,'SHG2 - W'!$A$2:$A$713,'SHG-Summary'!$A59,'SHG2 - W'!$B$2:$B$713,'SHG-Summary'!$C59,'SHG2 - W'!$C$2:$C$713,'SHG-Summary'!$D59-1)</f>
        <v>2.1133333333333337</v>
      </c>
      <c r="G59" s="91">
        <f>AVERAGEIFS('SHG2 - W'!G$2:G$713,'SHG2 - W'!$A$2:$A$713,'SHG-Summary'!$A59,'SHG2 - W'!$B$2:$B$713,'SHG-Summary'!$C59,'SHG2 - W'!$C$2:$C$713,'SHG-Summary'!$D59-1)</f>
        <v>0.48583333333333339</v>
      </c>
    </row>
    <row r="60" spans="1:7" x14ac:dyDescent="0.25">
      <c r="A60" s="426" t="s">
        <v>560</v>
      </c>
      <c r="B60" s="704"/>
      <c r="C60" t="s">
        <v>497</v>
      </c>
      <c r="D60">
        <v>3</v>
      </c>
      <c r="E60" s="91">
        <f>AVERAGEIFS('SHG2 - W'!E$2:E$713,'SHG2 - W'!$A$2:$A$713,'SHG-Summary'!$A60,'SHG2 - W'!$B$2:$B$713,'SHG-Summary'!$C60,'SHG2 - W'!$C$2:$C$713,'SHG-Summary'!$D60-1)</f>
        <v>7.6881818181818167</v>
      </c>
      <c r="F60" s="91">
        <f>AVERAGEIFS('SHG2 - W'!F$2:F$713,'SHG2 - W'!$A$2:$A$713,'SHG-Summary'!$A60,'SHG2 - W'!$B$2:$B$713,'SHG-Summary'!$C60,'SHG2 - W'!$C$2:$C$713,'SHG-Summary'!$D60-1)</f>
        <v>12.93</v>
      </c>
      <c r="G60" s="91">
        <f>AVERAGEIFS('SHG2 - W'!G$2:G$713,'SHG2 - W'!$A$2:$A$713,'SHG-Summary'!$A60,'SHG2 - W'!$B$2:$B$713,'SHG-Summary'!$C60,'SHG2 - W'!$C$2:$C$713,'SHG-Summary'!$D60-1)</f>
        <v>0.86454545454545439</v>
      </c>
    </row>
    <row r="61" spans="1:7" x14ac:dyDescent="0.25">
      <c r="A61" s="426" t="s">
        <v>560</v>
      </c>
      <c r="B61" s="704"/>
      <c r="C61" t="s">
        <v>497</v>
      </c>
      <c r="D61">
        <v>4</v>
      </c>
      <c r="E61" s="91">
        <f>AVERAGEIFS('SHG2 - W'!E$2:E$713,'SHG2 - W'!$A$2:$A$713,'SHG-Summary'!$A61,'SHG2 - W'!$B$2:$B$713,'SHG-Summary'!$C61,'SHG2 - W'!$C$2:$C$713,'SHG-Summary'!$D61-1)</f>
        <v>6.891</v>
      </c>
      <c r="F61" s="91">
        <f>AVERAGEIFS('SHG2 - W'!F$2:F$713,'SHG2 - W'!$A$2:$A$713,'SHG-Summary'!$A61,'SHG2 - W'!$B$2:$B$713,'SHG-Summary'!$C61,'SHG2 - W'!$C$2:$C$713,'SHG-Summary'!$D61-1)</f>
        <v>14.026</v>
      </c>
      <c r="G61" s="91">
        <f>AVERAGEIFS('SHG2 - W'!G$2:G$713,'SHG2 - W'!$A$2:$A$713,'SHG-Summary'!$A61,'SHG2 - W'!$B$2:$B$713,'SHG-Summary'!$C61,'SHG2 - W'!$C$2:$C$713,'SHG-Summary'!$D61-1)</f>
        <v>0.83700000000000008</v>
      </c>
    </row>
  </sheetData>
  <mergeCells count="6">
    <mergeCell ref="B2:B9"/>
    <mergeCell ref="B10:B22"/>
    <mergeCell ref="B23:B31"/>
    <mergeCell ref="B32:B37"/>
    <mergeCell ref="B49:B61"/>
    <mergeCell ref="B38:B48"/>
  </mergeCells>
  <conditionalFormatting sqref="K13:M20">
    <cfRule type="cellIs" dxfId="14" priority="1" operator="lessThan">
      <formula>0.025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555E1-807B-417F-AF1F-4A27A4D747E6}">
  <dimension ref="A1:J27"/>
  <sheetViews>
    <sheetView workbookViewId="0">
      <selection activeCell="E36" sqref="E36"/>
    </sheetView>
  </sheetViews>
  <sheetFormatPr defaultRowHeight="15" x14ac:dyDescent="0.25"/>
  <cols>
    <col min="1" max="1" width="76.85546875" bestFit="1" customWidth="1"/>
    <col min="10" max="10" width="10.42578125" bestFit="1" customWidth="1"/>
  </cols>
  <sheetData>
    <row r="1" spans="1:10" ht="15.75" thickBot="1" x14ac:dyDescent="0.3">
      <c r="A1" s="654" t="s">
        <v>206</v>
      </c>
      <c r="B1" s="652"/>
      <c r="C1" s="652"/>
      <c r="D1" s="652"/>
      <c r="E1" s="652"/>
      <c r="F1" s="652"/>
      <c r="G1" s="652"/>
      <c r="H1" s="652"/>
      <c r="I1" s="652"/>
      <c r="J1" s="806"/>
    </row>
    <row r="2" spans="1:10" ht="15.75" thickBot="1" x14ac:dyDescent="0.3">
      <c r="A2" s="174" t="s">
        <v>442</v>
      </c>
      <c r="B2" s="52" t="s">
        <v>443</v>
      </c>
      <c r="C2" s="52" t="s">
        <v>444</v>
      </c>
      <c r="D2" s="52" t="s">
        <v>445</v>
      </c>
      <c r="E2" s="52" t="s">
        <v>446</v>
      </c>
      <c r="F2" s="52" t="s">
        <v>447</v>
      </c>
      <c r="G2" s="52" t="s">
        <v>448</v>
      </c>
      <c r="H2" s="52" t="s">
        <v>449</v>
      </c>
      <c r="I2" s="52" t="s">
        <v>450</v>
      </c>
      <c r="J2" s="53" t="s">
        <v>451</v>
      </c>
    </row>
    <row r="3" spans="1:10" x14ac:dyDescent="0.25">
      <c r="A3" s="168" t="s">
        <v>416</v>
      </c>
      <c r="B3">
        <v>9.6559000000000006E-2</v>
      </c>
      <c r="C3">
        <v>152.778325</v>
      </c>
      <c r="D3">
        <v>12.849698</v>
      </c>
      <c r="E3">
        <v>3774.3454820000002</v>
      </c>
      <c r="F3">
        <v>-21.248888000000001</v>
      </c>
      <c r="G3">
        <v>190.95017999999999</v>
      </c>
      <c r="H3">
        <v>18.425559</v>
      </c>
      <c r="I3">
        <v>1.84284</v>
      </c>
      <c r="J3" s="27" t="s">
        <v>417</v>
      </c>
    </row>
    <row r="4" spans="1:10" x14ac:dyDescent="0.25">
      <c r="A4" s="168" t="s">
        <v>418</v>
      </c>
      <c r="B4">
        <v>0.66201600000000005</v>
      </c>
      <c r="C4">
        <v>37.651921000000002</v>
      </c>
      <c r="D4">
        <v>14.268171000000001</v>
      </c>
      <c r="E4">
        <v>55.403869999999998</v>
      </c>
      <c r="F4">
        <v>-22.937542000000001</v>
      </c>
      <c r="G4">
        <v>-4.5030749999999999</v>
      </c>
      <c r="H4">
        <v>14.342908</v>
      </c>
      <c r="I4">
        <v>9.51736</v>
      </c>
      <c r="J4" s="27">
        <v>0.46791100000000002</v>
      </c>
    </row>
    <row r="5" spans="1:10" x14ac:dyDescent="0.25">
      <c r="A5" s="168" t="s">
        <v>419</v>
      </c>
      <c r="B5">
        <v>0.12252399999999999</v>
      </c>
      <c r="C5">
        <v>165.06648999999999</v>
      </c>
      <c r="D5">
        <v>-40.801983999999997</v>
      </c>
      <c r="E5">
        <v>-22.445259</v>
      </c>
      <c r="F5">
        <v>3.7994699999999999</v>
      </c>
      <c r="G5">
        <v>9.0061509999999991</v>
      </c>
      <c r="H5">
        <v>13.932546</v>
      </c>
      <c r="I5">
        <v>1.760899</v>
      </c>
      <c r="J5" s="27">
        <v>3.9459999999999999E-3</v>
      </c>
    </row>
    <row r="6" spans="1:10" x14ac:dyDescent="0.25">
      <c r="A6" s="168" t="s">
        <v>420</v>
      </c>
      <c r="B6">
        <v>0.120953</v>
      </c>
      <c r="C6">
        <v>179.08661799999999</v>
      </c>
      <c r="D6">
        <v>-42.637656</v>
      </c>
      <c r="E6">
        <v>-23.112776</v>
      </c>
      <c r="F6">
        <v>4.5030749999999999</v>
      </c>
      <c r="G6">
        <v>7.880382</v>
      </c>
      <c r="H6">
        <v>14.128781</v>
      </c>
      <c r="I6">
        <v>1.743989</v>
      </c>
      <c r="J6" s="27">
        <v>3.617E-3</v>
      </c>
    </row>
    <row r="7" spans="1:10" x14ac:dyDescent="0.25">
      <c r="A7" s="168" t="s">
        <v>421</v>
      </c>
      <c r="B7">
        <v>0.123029</v>
      </c>
      <c r="C7">
        <v>179.720089</v>
      </c>
      <c r="D7">
        <v>-44.389890000000001</v>
      </c>
      <c r="E7">
        <v>-23.029336000000001</v>
      </c>
      <c r="F7">
        <v>4.6437970000000002</v>
      </c>
      <c r="G7">
        <v>7.880382</v>
      </c>
      <c r="H7">
        <v>14.113378000000001</v>
      </c>
      <c r="I7">
        <v>1.76109</v>
      </c>
      <c r="J7" s="27">
        <v>2.6310000000000001E-3</v>
      </c>
    </row>
    <row r="8" spans="1:10" x14ac:dyDescent="0.25">
      <c r="A8" s="168" t="s">
        <v>422</v>
      </c>
      <c r="B8">
        <v>9.4520169999999997</v>
      </c>
      <c r="C8">
        <v>17.900552000000001</v>
      </c>
      <c r="D8">
        <v>86.693680000000001</v>
      </c>
      <c r="E8">
        <v>120.15289799999999</v>
      </c>
      <c r="F8">
        <v>-152.11955900000001</v>
      </c>
      <c r="G8">
        <v>4.3623539999999998</v>
      </c>
      <c r="H8">
        <v>12.987951000000001</v>
      </c>
      <c r="I8">
        <v>118.13867999999999</v>
      </c>
      <c r="J8" s="27">
        <v>0.24202199999999999</v>
      </c>
    </row>
    <row r="9" spans="1:10" x14ac:dyDescent="0.25">
      <c r="A9" s="168" t="s">
        <v>423</v>
      </c>
      <c r="B9">
        <v>3.722159</v>
      </c>
      <c r="C9">
        <v>15.080826</v>
      </c>
      <c r="D9">
        <v>103.047814</v>
      </c>
      <c r="E9">
        <v>120.23633700000001</v>
      </c>
      <c r="F9">
        <v>-116.376379</v>
      </c>
      <c r="G9">
        <v>6.6138919999999999</v>
      </c>
      <c r="H9">
        <v>12.994603</v>
      </c>
      <c r="I9">
        <v>50.640448999999997</v>
      </c>
      <c r="J9" s="27">
        <v>1.7756999999999998E-2</v>
      </c>
    </row>
    <row r="10" spans="1:10" x14ac:dyDescent="0.25">
      <c r="A10" s="168" t="s">
        <v>424</v>
      </c>
      <c r="B10">
        <v>4.9027159999999999</v>
      </c>
      <c r="C10">
        <v>22.925888</v>
      </c>
      <c r="D10">
        <v>98.458644000000007</v>
      </c>
      <c r="E10">
        <v>118.150352</v>
      </c>
      <c r="F10">
        <v>-126.226861</v>
      </c>
      <c r="G10">
        <v>7.1767760000000003</v>
      </c>
      <c r="H10">
        <v>12.973998</v>
      </c>
      <c r="I10">
        <v>63.932184999999997</v>
      </c>
      <c r="J10" s="27">
        <v>2.5319999999999999E-2</v>
      </c>
    </row>
    <row r="11" spans="1:10" x14ac:dyDescent="0.25">
      <c r="A11" s="168" t="s">
        <v>425</v>
      </c>
      <c r="B11">
        <v>5.7473409999999996</v>
      </c>
      <c r="C11">
        <v>25.732841000000001</v>
      </c>
      <c r="D11">
        <v>91.449730000000002</v>
      </c>
      <c r="E11">
        <v>114.64589599999999</v>
      </c>
      <c r="F11">
        <v>-128.196958</v>
      </c>
      <c r="G11">
        <v>5.7695650000000001</v>
      </c>
      <c r="H11">
        <v>12.856628000000001</v>
      </c>
      <c r="I11">
        <v>75.123188999999996</v>
      </c>
      <c r="J11" s="27">
        <v>9.0759000000000006E-2</v>
      </c>
    </row>
    <row r="12" spans="1:10" x14ac:dyDescent="0.25">
      <c r="A12" s="168" t="s">
        <v>426</v>
      </c>
      <c r="B12">
        <v>5.326174</v>
      </c>
      <c r="C12">
        <v>37.390839</v>
      </c>
      <c r="D12">
        <v>80.686037999999996</v>
      </c>
      <c r="E12">
        <v>107.88730200000001</v>
      </c>
      <c r="F12">
        <v>-124.397486</v>
      </c>
      <c r="G12">
        <v>7.1767760000000003</v>
      </c>
      <c r="H12">
        <v>13.035492</v>
      </c>
      <c r="I12">
        <v>69.468349000000003</v>
      </c>
      <c r="J12" s="27">
        <v>7.4645000000000003E-2</v>
      </c>
    </row>
    <row r="13" spans="1:10" x14ac:dyDescent="0.25">
      <c r="A13" s="168" t="s">
        <v>427</v>
      </c>
      <c r="B13">
        <v>4.3128010000000003</v>
      </c>
      <c r="C13">
        <v>31.364280999999998</v>
      </c>
      <c r="D13">
        <v>72.926165999999995</v>
      </c>
      <c r="E13">
        <v>95.371384000000006</v>
      </c>
      <c r="F13">
        <v>-98.504791999999995</v>
      </c>
      <c r="G13">
        <v>6.1917280000000003</v>
      </c>
      <c r="H13">
        <v>13.071142</v>
      </c>
      <c r="I13">
        <v>56.567388000000001</v>
      </c>
      <c r="J13" s="27">
        <v>4.8009999999999997E-2</v>
      </c>
    </row>
    <row r="14" spans="1:10" x14ac:dyDescent="0.25">
      <c r="A14" s="168" t="s">
        <v>428</v>
      </c>
      <c r="B14">
        <v>3.3403</v>
      </c>
      <c r="C14">
        <v>34.682029999999997</v>
      </c>
      <c r="D14">
        <v>69.755465000000001</v>
      </c>
      <c r="E14">
        <v>90.198138</v>
      </c>
      <c r="F14">
        <v>-101.037772</v>
      </c>
      <c r="G14">
        <v>7.880382</v>
      </c>
      <c r="H14">
        <v>13.275893999999999</v>
      </c>
      <c r="I14">
        <v>45.874223999999998</v>
      </c>
      <c r="J14" s="27">
        <v>5.0640999999999999E-2</v>
      </c>
    </row>
    <row r="15" spans="1:10" x14ac:dyDescent="0.25">
      <c r="A15" s="168" t="s">
        <v>429</v>
      </c>
      <c r="B15">
        <v>2.6578940000000002</v>
      </c>
      <c r="C15">
        <v>28.535450000000001</v>
      </c>
      <c r="D15">
        <v>70.089223000000004</v>
      </c>
      <c r="E15">
        <v>88.946545999999998</v>
      </c>
      <c r="F15">
        <v>-95.549646999999993</v>
      </c>
      <c r="G15">
        <v>8.8654290000000007</v>
      </c>
      <c r="H15">
        <v>13.259622999999999</v>
      </c>
      <c r="I15">
        <v>37.762627000000002</v>
      </c>
      <c r="J15" s="27">
        <v>5.4258000000000001E-2</v>
      </c>
    </row>
    <row r="16" spans="1:10" x14ac:dyDescent="0.25">
      <c r="A16" s="168" t="s">
        <v>430</v>
      </c>
      <c r="B16">
        <v>2.205273</v>
      </c>
      <c r="C16">
        <v>28.556249999999999</v>
      </c>
      <c r="D16">
        <v>-62.496302999999997</v>
      </c>
      <c r="E16">
        <v>-33.542732999999998</v>
      </c>
      <c r="F16">
        <v>-58.821427999999997</v>
      </c>
      <c r="G16">
        <v>-14.072111</v>
      </c>
      <c r="H16">
        <v>11.023424</v>
      </c>
      <c r="I16">
        <v>24.380051999999999</v>
      </c>
      <c r="J16" s="27">
        <v>4.4721999999999998E-2</v>
      </c>
    </row>
    <row r="17" spans="1:10" x14ac:dyDescent="0.25">
      <c r="A17" s="168" t="s">
        <v>431</v>
      </c>
      <c r="B17">
        <v>2.1652499999999999</v>
      </c>
      <c r="C17">
        <v>32.711894000000001</v>
      </c>
      <c r="D17">
        <v>-38.298794000000001</v>
      </c>
      <c r="E17">
        <v>-19.107672999999998</v>
      </c>
      <c r="F17">
        <v>-77.53734</v>
      </c>
      <c r="G17">
        <v>-29.973597000000002</v>
      </c>
      <c r="H17">
        <v>11.036932999999999</v>
      </c>
      <c r="I17">
        <v>23.854108</v>
      </c>
      <c r="J17" s="27">
        <v>2.6963999999999998E-2</v>
      </c>
    </row>
    <row r="18" spans="1:10" x14ac:dyDescent="0.25">
      <c r="A18" s="168" t="s">
        <v>432</v>
      </c>
      <c r="B18">
        <v>2.1578330000000001</v>
      </c>
      <c r="C18">
        <v>31.978473999999999</v>
      </c>
      <c r="D18">
        <v>-36.463121000000001</v>
      </c>
      <c r="E18">
        <v>-19.608311</v>
      </c>
      <c r="F18">
        <v>-68.390465000000006</v>
      </c>
      <c r="G18">
        <v>-31.521529000000001</v>
      </c>
      <c r="H18">
        <v>11.047711</v>
      </c>
      <c r="I18">
        <v>23.835930999999999</v>
      </c>
      <c r="J18" s="27">
        <v>2.4334000000000001E-2</v>
      </c>
    </row>
    <row r="19" spans="1:10" x14ac:dyDescent="0.25">
      <c r="A19" s="168" t="s">
        <v>433</v>
      </c>
      <c r="B19">
        <v>2.1562489999999999</v>
      </c>
      <c r="C19">
        <v>35.013713000000003</v>
      </c>
      <c r="D19">
        <v>-38.298794000000001</v>
      </c>
      <c r="E19">
        <v>-23.446535000000001</v>
      </c>
      <c r="F19">
        <v>-76.693012999999993</v>
      </c>
      <c r="G19">
        <v>-40.527681000000001</v>
      </c>
      <c r="H19">
        <v>11.013919</v>
      </c>
      <c r="I19">
        <v>23.754391999999999</v>
      </c>
      <c r="J19" s="27">
        <v>2.2689999999999998E-2</v>
      </c>
    </row>
    <row r="20" spans="1:10" x14ac:dyDescent="0.25">
      <c r="A20" s="168" t="s">
        <v>434</v>
      </c>
      <c r="B20">
        <v>2.4907620000000001</v>
      </c>
      <c r="C20">
        <v>37.094366000000001</v>
      </c>
      <c r="D20">
        <v>-41.386060999999998</v>
      </c>
      <c r="E20">
        <v>-22.612138000000002</v>
      </c>
      <c r="F20">
        <v>-77.818781999999999</v>
      </c>
      <c r="G20">
        <v>-26.314848000000001</v>
      </c>
      <c r="H20">
        <v>10.619434999999999</v>
      </c>
      <c r="I20">
        <v>26.394867000000001</v>
      </c>
      <c r="J20" s="27">
        <v>2.9923999999999999E-2</v>
      </c>
    </row>
    <row r="21" spans="1:10" x14ac:dyDescent="0.25">
      <c r="A21" s="168" t="s">
        <v>435</v>
      </c>
      <c r="B21">
        <v>2.5994899999999999</v>
      </c>
      <c r="C21">
        <v>36.549027000000002</v>
      </c>
      <c r="D21">
        <v>-39.049751000000001</v>
      </c>
      <c r="E21">
        <v>-25.115328000000002</v>
      </c>
      <c r="F21">
        <v>-66.842533000000003</v>
      </c>
      <c r="G21">
        <v>-26.174126999999999</v>
      </c>
      <c r="H21">
        <v>10.515250999999999</v>
      </c>
      <c r="I21">
        <v>27.328120999999999</v>
      </c>
      <c r="J21" s="27">
        <v>2.9266E-2</v>
      </c>
    </row>
    <row r="22" spans="1:10" x14ac:dyDescent="0.25">
      <c r="A22" s="168" t="s">
        <v>436</v>
      </c>
      <c r="B22">
        <v>2.487616</v>
      </c>
      <c r="C22">
        <v>36.135829000000001</v>
      </c>
      <c r="D22">
        <v>-39.633828000000001</v>
      </c>
      <c r="E22">
        <v>-24.698129000000002</v>
      </c>
      <c r="F22">
        <v>-65.857484999999997</v>
      </c>
      <c r="G22">
        <v>-26.877732000000002</v>
      </c>
      <c r="H22">
        <v>10.620849</v>
      </c>
      <c r="I22">
        <v>26.397251000000001</v>
      </c>
      <c r="J22" s="27">
        <v>2.7622000000000001E-2</v>
      </c>
    </row>
    <row r="23" spans="1:10" x14ac:dyDescent="0.25">
      <c r="A23" s="168" t="s">
        <v>437</v>
      </c>
      <c r="B23">
        <v>2.476413</v>
      </c>
      <c r="C23">
        <v>38.216369999999998</v>
      </c>
      <c r="D23">
        <v>-40.551665</v>
      </c>
      <c r="E23">
        <v>-25.365646999999999</v>
      </c>
      <c r="F23">
        <v>-67.968301999999994</v>
      </c>
      <c r="G23">
        <v>-30.114318000000001</v>
      </c>
      <c r="H23">
        <v>10.754445</v>
      </c>
      <c r="I23">
        <v>26.611733999999998</v>
      </c>
      <c r="J23" s="27">
        <v>0.52874500000000002</v>
      </c>
    </row>
    <row r="24" spans="1:10" x14ac:dyDescent="0.25">
      <c r="A24" s="168" t="s">
        <v>438</v>
      </c>
      <c r="B24">
        <v>0.82345400000000002</v>
      </c>
      <c r="C24">
        <v>44.725247000000003</v>
      </c>
      <c r="D24">
        <v>-82.688715999999999</v>
      </c>
      <c r="E24">
        <v>-51.148504000000003</v>
      </c>
      <c r="F24">
        <v>-47.282294999999998</v>
      </c>
      <c r="G24">
        <v>2.251538</v>
      </c>
      <c r="H24">
        <v>12.663342999999999</v>
      </c>
      <c r="I24">
        <v>12.294138999999999</v>
      </c>
      <c r="J24" s="27">
        <v>1.3483E-2</v>
      </c>
    </row>
    <row r="25" spans="1:10" x14ac:dyDescent="0.25">
      <c r="A25" s="168" t="s">
        <v>439</v>
      </c>
      <c r="B25">
        <v>1.6964809999999999</v>
      </c>
      <c r="C25">
        <v>42.837192999999999</v>
      </c>
      <c r="D25">
        <v>-58.574637000000003</v>
      </c>
      <c r="E25">
        <v>-39.800708</v>
      </c>
      <c r="F25">
        <v>-25.189079</v>
      </c>
      <c r="G25">
        <v>1.125769</v>
      </c>
      <c r="H25">
        <v>12.494142999999999</v>
      </c>
      <c r="I25">
        <v>21.148702</v>
      </c>
      <c r="J25" s="27">
        <v>5.2620000000000002E-3</v>
      </c>
    </row>
    <row r="26" spans="1:10" x14ac:dyDescent="0.25">
      <c r="A26" s="168" t="s">
        <v>440</v>
      </c>
      <c r="B26">
        <v>1.6101589999999999</v>
      </c>
      <c r="C26">
        <v>43.497112999999999</v>
      </c>
      <c r="D26">
        <v>-58.240878000000002</v>
      </c>
      <c r="E26">
        <v>-39.133189999999999</v>
      </c>
      <c r="F26">
        <v>-23.781867999999999</v>
      </c>
      <c r="G26">
        <v>0.98504800000000003</v>
      </c>
      <c r="H26">
        <v>12.429199000000001</v>
      </c>
      <c r="I26">
        <v>19.841168</v>
      </c>
      <c r="J26" s="27">
        <v>6.2480000000000001E-3</v>
      </c>
    </row>
    <row r="27" spans="1:10" ht="15.75" thickBot="1" x14ac:dyDescent="0.3">
      <c r="A27" s="170" t="s">
        <v>441</v>
      </c>
      <c r="B27" s="2">
        <v>1.757266</v>
      </c>
      <c r="C27" s="2">
        <v>43.596102999999999</v>
      </c>
      <c r="D27" s="2">
        <v>-58.574637000000003</v>
      </c>
      <c r="E27" s="2">
        <v>-40.718544000000001</v>
      </c>
      <c r="F27" s="2">
        <v>-25.892683999999999</v>
      </c>
      <c r="G27" s="2">
        <v>0.56288400000000005</v>
      </c>
      <c r="H27" s="2">
        <v>12.319174</v>
      </c>
      <c r="I27" s="2">
        <v>21.707833999999998</v>
      </c>
      <c r="J27" s="8">
        <v>0.43963099999999999</v>
      </c>
    </row>
  </sheetData>
  <mergeCells count="1">
    <mergeCell ref="A1:J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2F7B-0DDF-4EDE-AA52-CFF7C4B867FF}">
  <dimension ref="B1:L27"/>
  <sheetViews>
    <sheetView workbookViewId="0">
      <selection activeCell="B22" sqref="B22:L27"/>
    </sheetView>
  </sheetViews>
  <sheetFormatPr defaultRowHeight="15" x14ac:dyDescent="0.25"/>
  <cols>
    <col min="2" max="2" width="11.7109375" bestFit="1" customWidth="1"/>
    <col min="8" max="8" width="11" customWidth="1"/>
  </cols>
  <sheetData>
    <row r="1" spans="2:12" x14ac:dyDescent="0.25">
      <c r="B1" s="649" t="s">
        <v>395</v>
      </c>
      <c r="C1" s="689" t="s">
        <v>8</v>
      </c>
      <c r="D1" s="690" t="s">
        <v>396</v>
      </c>
      <c r="E1" s="664" t="s">
        <v>54</v>
      </c>
      <c r="F1" s="830" t="s">
        <v>397</v>
      </c>
      <c r="G1" s="832" t="s">
        <v>398</v>
      </c>
      <c r="H1" s="821" t="s">
        <v>399</v>
      </c>
      <c r="I1" s="822" t="s">
        <v>400</v>
      </c>
      <c r="J1" s="824" t="s">
        <v>401</v>
      </c>
      <c r="K1" s="826" t="s">
        <v>402</v>
      </c>
      <c r="L1" s="828" t="s">
        <v>403</v>
      </c>
    </row>
    <row r="2" spans="2:12" x14ac:dyDescent="0.25">
      <c r="B2" s="647"/>
      <c r="C2" s="681"/>
      <c r="D2" s="686"/>
      <c r="E2" s="662"/>
      <c r="F2" s="831"/>
      <c r="G2" s="833"/>
      <c r="H2" s="821"/>
      <c r="I2" s="823"/>
      <c r="J2" s="825"/>
      <c r="K2" s="827"/>
      <c r="L2" s="829"/>
    </row>
    <row r="3" spans="2:12" x14ac:dyDescent="0.25">
      <c r="B3" s="704" t="s">
        <v>404</v>
      </c>
      <c r="C3" s="704" t="s">
        <v>87</v>
      </c>
      <c r="D3">
        <v>21</v>
      </c>
      <c r="E3" t="s">
        <v>405</v>
      </c>
      <c r="F3">
        <v>1.8320000000000001</v>
      </c>
      <c r="G3">
        <v>7.4340000000000002</v>
      </c>
      <c r="H3">
        <v>13</v>
      </c>
      <c r="I3">
        <f>G3*H3</f>
        <v>96.641999999999996</v>
      </c>
      <c r="J3">
        <f>100/G3</f>
        <v>13.451708366962604</v>
      </c>
      <c r="K3">
        <f>IF(J3&lt;13,L3-J3,12)</f>
        <v>12</v>
      </c>
      <c r="L3">
        <v>25</v>
      </c>
    </row>
    <row r="4" spans="2:12" x14ac:dyDescent="0.25">
      <c r="B4" s="704"/>
      <c r="C4" s="704"/>
      <c r="D4">
        <v>22</v>
      </c>
      <c r="E4" t="s">
        <v>406</v>
      </c>
      <c r="F4">
        <v>1.9379999999999999</v>
      </c>
      <c r="G4">
        <v>6.3609999999999998</v>
      </c>
      <c r="H4">
        <v>13</v>
      </c>
      <c r="I4">
        <f t="shared" ref="I4:I26" si="0">G4*H4</f>
        <v>82.692999999999998</v>
      </c>
      <c r="J4">
        <f t="shared" ref="J4:J26" si="1">100/G4</f>
        <v>15.720798616569722</v>
      </c>
      <c r="K4">
        <f t="shared" ref="K4:K26" si="2">IF(J4&lt;13,L4-J4,12)</f>
        <v>12</v>
      </c>
      <c r="L4">
        <v>25</v>
      </c>
    </row>
    <row r="5" spans="2:12" x14ac:dyDescent="0.25">
      <c r="B5" s="704"/>
      <c r="C5" s="704"/>
      <c r="D5">
        <v>23</v>
      </c>
      <c r="E5" t="s">
        <v>407</v>
      </c>
      <c r="H5">
        <v>13</v>
      </c>
      <c r="L5">
        <v>25</v>
      </c>
    </row>
    <row r="6" spans="2:12" x14ac:dyDescent="0.25">
      <c r="B6" s="704"/>
      <c r="C6" s="704"/>
      <c r="D6">
        <v>24</v>
      </c>
      <c r="E6" t="s">
        <v>408</v>
      </c>
      <c r="F6">
        <v>2.1739999999999999</v>
      </c>
      <c r="G6">
        <v>9.452</v>
      </c>
      <c r="H6">
        <v>13</v>
      </c>
      <c r="I6">
        <f t="shared" si="0"/>
        <v>122.876</v>
      </c>
      <c r="J6">
        <f t="shared" si="1"/>
        <v>10.579771476936099</v>
      </c>
      <c r="K6">
        <f t="shared" si="2"/>
        <v>14.420228523063901</v>
      </c>
      <c r="L6">
        <v>25</v>
      </c>
    </row>
    <row r="7" spans="2:12" x14ac:dyDescent="0.25">
      <c r="B7" s="704"/>
      <c r="C7" s="704"/>
      <c r="D7">
        <v>25</v>
      </c>
      <c r="E7" t="s">
        <v>409</v>
      </c>
      <c r="F7">
        <v>1.72</v>
      </c>
      <c r="G7">
        <v>7.4539999999999997</v>
      </c>
      <c r="H7">
        <v>13</v>
      </c>
      <c r="I7">
        <f t="shared" si="0"/>
        <v>96.902000000000001</v>
      </c>
      <c r="J7">
        <f t="shared" si="1"/>
        <v>13.415615776764154</v>
      </c>
      <c r="K7">
        <f t="shared" si="2"/>
        <v>12</v>
      </c>
      <c r="L7">
        <v>25</v>
      </c>
    </row>
    <row r="8" spans="2:12" x14ac:dyDescent="0.25">
      <c r="B8" s="704" t="s">
        <v>410</v>
      </c>
      <c r="C8" s="704" t="s">
        <v>86</v>
      </c>
      <c r="D8">
        <v>4</v>
      </c>
      <c r="E8" t="s">
        <v>405</v>
      </c>
      <c r="F8">
        <v>1.8</v>
      </c>
      <c r="G8">
        <v>6.55</v>
      </c>
      <c r="H8">
        <v>13</v>
      </c>
      <c r="I8">
        <f t="shared" si="0"/>
        <v>85.149999999999991</v>
      </c>
      <c r="J8">
        <f t="shared" si="1"/>
        <v>15.267175572519085</v>
      </c>
      <c r="K8">
        <f t="shared" si="2"/>
        <v>12</v>
      </c>
      <c r="L8">
        <v>25</v>
      </c>
    </row>
    <row r="9" spans="2:12" x14ac:dyDescent="0.25">
      <c r="B9" s="704"/>
      <c r="C9" s="704"/>
      <c r="D9">
        <v>1</v>
      </c>
      <c r="E9" t="s">
        <v>406</v>
      </c>
      <c r="F9">
        <v>1.518</v>
      </c>
      <c r="G9">
        <v>8.1270000000000007</v>
      </c>
      <c r="H9">
        <v>13</v>
      </c>
      <c r="I9">
        <f t="shared" si="0"/>
        <v>105.65100000000001</v>
      </c>
      <c r="J9">
        <f t="shared" si="1"/>
        <v>12.304663467454164</v>
      </c>
      <c r="K9">
        <f t="shared" si="2"/>
        <v>12.695336532545836</v>
      </c>
      <c r="L9">
        <v>25</v>
      </c>
    </row>
    <row r="10" spans="2:12" x14ac:dyDescent="0.25">
      <c r="B10" s="704"/>
      <c r="C10" s="704"/>
      <c r="D10">
        <v>15</v>
      </c>
      <c r="E10" t="s">
        <v>407</v>
      </c>
      <c r="F10">
        <v>1.867</v>
      </c>
      <c r="G10">
        <v>3.2069999999999999</v>
      </c>
      <c r="H10">
        <v>13</v>
      </c>
      <c r="I10">
        <f t="shared" si="0"/>
        <v>41.690999999999995</v>
      </c>
      <c r="J10">
        <f t="shared" si="1"/>
        <v>31.181789834736517</v>
      </c>
      <c r="K10">
        <f t="shared" si="2"/>
        <v>12</v>
      </c>
      <c r="L10">
        <v>25</v>
      </c>
    </row>
    <row r="11" spans="2:12" x14ac:dyDescent="0.25">
      <c r="B11" s="704"/>
      <c r="C11" s="704"/>
      <c r="D11">
        <v>10</v>
      </c>
      <c r="E11" t="s">
        <v>408</v>
      </c>
      <c r="F11">
        <v>1.2070000000000001</v>
      </c>
      <c r="G11">
        <v>7.55</v>
      </c>
      <c r="H11">
        <v>13</v>
      </c>
      <c r="I11">
        <f t="shared" si="0"/>
        <v>98.149999999999991</v>
      </c>
      <c r="J11">
        <f t="shared" si="1"/>
        <v>13.245033112582782</v>
      </c>
      <c r="K11">
        <f t="shared" si="2"/>
        <v>12</v>
      </c>
      <c r="L11">
        <v>25</v>
      </c>
    </row>
    <row r="12" spans="2:12" x14ac:dyDescent="0.25">
      <c r="B12" s="704"/>
      <c r="C12" s="704"/>
      <c r="D12">
        <v>16</v>
      </c>
      <c r="E12" t="s">
        <v>409</v>
      </c>
      <c r="F12">
        <v>1.355</v>
      </c>
      <c r="G12">
        <v>5.0510000000000002</v>
      </c>
      <c r="H12">
        <v>13</v>
      </c>
      <c r="I12">
        <f t="shared" si="0"/>
        <v>65.662999999999997</v>
      </c>
      <c r="J12">
        <f t="shared" si="1"/>
        <v>19.798059790140567</v>
      </c>
      <c r="K12">
        <f t="shared" si="2"/>
        <v>12</v>
      </c>
      <c r="L12">
        <v>25</v>
      </c>
    </row>
    <row r="13" spans="2:12" x14ac:dyDescent="0.25">
      <c r="B13" s="704"/>
      <c r="C13" s="704"/>
      <c r="D13">
        <v>12</v>
      </c>
      <c r="E13" t="s">
        <v>411</v>
      </c>
      <c r="F13">
        <v>1.5229999999999999</v>
      </c>
      <c r="G13">
        <v>4.8789999999999996</v>
      </c>
      <c r="H13">
        <v>13</v>
      </c>
      <c r="I13">
        <f t="shared" si="0"/>
        <v>63.426999999999992</v>
      </c>
      <c r="J13">
        <f t="shared" si="1"/>
        <v>20.496003279360526</v>
      </c>
      <c r="K13">
        <f t="shared" si="2"/>
        <v>12</v>
      </c>
      <c r="L13">
        <v>25</v>
      </c>
    </row>
    <row r="14" spans="2:12" x14ac:dyDescent="0.25">
      <c r="B14" s="704" t="s">
        <v>412</v>
      </c>
      <c r="C14" s="704" t="s">
        <v>292</v>
      </c>
      <c r="D14">
        <v>3</v>
      </c>
      <c r="E14" t="s">
        <v>405</v>
      </c>
      <c r="F14">
        <v>1.448</v>
      </c>
      <c r="G14">
        <v>3.9689999999999999</v>
      </c>
      <c r="H14">
        <v>13</v>
      </c>
      <c r="I14">
        <f t="shared" si="0"/>
        <v>51.597000000000001</v>
      </c>
      <c r="J14">
        <f t="shared" si="1"/>
        <v>25.195263290501387</v>
      </c>
      <c r="K14">
        <f t="shared" si="2"/>
        <v>12</v>
      </c>
      <c r="L14">
        <v>25</v>
      </c>
    </row>
    <row r="15" spans="2:12" x14ac:dyDescent="0.25">
      <c r="B15" s="704"/>
      <c r="C15" s="704"/>
      <c r="D15">
        <v>6</v>
      </c>
      <c r="E15" t="s">
        <v>406</v>
      </c>
      <c r="F15">
        <v>1.357</v>
      </c>
      <c r="G15">
        <v>4.3490000000000002</v>
      </c>
      <c r="H15">
        <v>13</v>
      </c>
      <c r="I15">
        <f t="shared" si="0"/>
        <v>56.537000000000006</v>
      </c>
      <c r="J15">
        <f t="shared" si="1"/>
        <v>22.993791676247412</v>
      </c>
      <c r="K15">
        <f t="shared" si="2"/>
        <v>12</v>
      </c>
      <c r="L15">
        <v>25</v>
      </c>
    </row>
    <row r="16" spans="2:12" x14ac:dyDescent="0.25">
      <c r="B16" s="704"/>
      <c r="C16" s="704"/>
      <c r="D16">
        <v>17</v>
      </c>
      <c r="E16" t="s">
        <v>407</v>
      </c>
      <c r="F16">
        <v>1.2222</v>
      </c>
      <c r="G16">
        <v>3.1930000000000001</v>
      </c>
      <c r="H16">
        <v>13</v>
      </c>
      <c r="I16">
        <f t="shared" si="0"/>
        <v>41.509</v>
      </c>
      <c r="J16">
        <f t="shared" si="1"/>
        <v>31.318509238960225</v>
      </c>
      <c r="K16">
        <f t="shared" si="2"/>
        <v>12</v>
      </c>
      <c r="L16">
        <v>25</v>
      </c>
    </row>
    <row r="17" spans="2:12" x14ac:dyDescent="0.25">
      <c r="B17" s="704"/>
      <c r="C17" s="704"/>
      <c r="D17">
        <v>8</v>
      </c>
      <c r="E17" t="s">
        <v>408</v>
      </c>
      <c r="F17">
        <v>1.5860000000000001</v>
      </c>
      <c r="G17">
        <v>7.7930000000000001</v>
      </c>
      <c r="H17">
        <v>13</v>
      </c>
      <c r="I17">
        <f t="shared" si="0"/>
        <v>101.309</v>
      </c>
      <c r="J17">
        <f t="shared" si="1"/>
        <v>12.832028743744386</v>
      </c>
      <c r="K17">
        <f t="shared" si="2"/>
        <v>12.167971256255614</v>
      </c>
      <c r="L17">
        <v>25</v>
      </c>
    </row>
    <row r="18" spans="2:12" x14ac:dyDescent="0.25">
      <c r="B18" s="704"/>
      <c r="C18" s="704"/>
      <c r="D18">
        <v>18</v>
      </c>
      <c r="E18" t="s">
        <v>409</v>
      </c>
      <c r="F18">
        <v>3.867</v>
      </c>
      <c r="G18">
        <v>1.542</v>
      </c>
      <c r="H18">
        <v>13</v>
      </c>
      <c r="I18">
        <f t="shared" si="0"/>
        <v>20.045999999999999</v>
      </c>
      <c r="J18">
        <f t="shared" si="1"/>
        <v>64.850843060959789</v>
      </c>
      <c r="K18">
        <f t="shared" si="2"/>
        <v>12</v>
      </c>
      <c r="L18">
        <v>25</v>
      </c>
    </row>
    <row r="19" spans="2:12" x14ac:dyDescent="0.25">
      <c r="B19" s="704"/>
      <c r="C19" s="704"/>
      <c r="D19">
        <v>5</v>
      </c>
      <c r="E19" t="s">
        <v>411</v>
      </c>
      <c r="F19">
        <v>1.51</v>
      </c>
      <c r="G19">
        <v>21.6</v>
      </c>
      <c r="H19">
        <v>13</v>
      </c>
      <c r="I19">
        <f t="shared" si="0"/>
        <v>280.8</v>
      </c>
      <c r="J19">
        <f t="shared" si="1"/>
        <v>4.6296296296296298</v>
      </c>
      <c r="K19">
        <f t="shared" si="2"/>
        <v>20.37037037037037</v>
      </c>
      <c r="L19">
        <v>25</v>
      </c>
    </row>
    <row r="20" spans="2:12" x14ac:dyDescent="0.25">
      <c r="B20" s="704"/>
      <c r="C20" s="704"/>
      <c r="D20">
        <v>11</v>
      </c>
      <c r="E20" t="s">
        <v>413</v>
      </c>
      <c r="F20">
        <v>1.528</v>
      </c>
      <c r="G20">
        <v>14.898</v>
      </c>
      <c r="H20">
        <v>13</v>
      </c>
      <c r="I20">
        <f t="shared" si="0"/>
        <v>193.67400000000001</v>
      </c>
      <c r="J20">
        <f t="shared" si="1"/>
        <v>6.7123103772318435</v>
      </c>
      <c r="K20">
        <f t="shared" si="2"/>
        <v>18.287689622768156</v>
      </c>
      <c r="L20">
        <v>25</v>
      </c>
    </row>
    <row r="21" spans="2:12" x14ac:dyDescent="0.25">
      <c r="B21" s="704"/>
      <c r="C21" s="704"/>
      <c r="D21">
        <v>13</v>
      </c>
      <c r="E21" t="s">
        <v>414</v>
      </c>
      <c r="F21">
        <v>1.0820000000000001</v>
      </c>
      <c r="G21">
        <v>6.1790000000000003</v>
      </c>
      <c r="H21">
        <v>13</v>
      </c>
      <c r="I21">
        <f t="shared" si="0"/>
        <v>80.326999999999998</v>
      </c>
      <c r="J21">
        <f t="shared" si="1"/>
        <v>16.183848519177861</v>
      </c>
      <c r="K21">
        <f t="shared" si="2"/>
        <v>12</v>
      </c>
      <c r="L21">
        <v>25</v>
      </c>
    </row>
    <row r="22" spans="2:12" x14ac:dyDescent="0.25">
      <c r="B22" s="704" t="s">
        <v>415</v>
      </c>
      <c r="C22" s="704" t="s">
        <v>234</v>
      </c>
      <c r="D22">
        <v>2</v>
      </c>
      <c r="E22" t="s">
        <v>405</v>
      </c>
      <c r="F22">
        <v>1.5229999999999999</v>
      </c>
      <c r="G22">
        <v>3.657</v>
      </c>
      <c r="H22">
        <v>13</v>
      </c>
      <c r="I22">
        <f t="shared" si="0"/>
        <v>47.540999999999997</v>
      </c>
      <c r="J22">
        <f t="shared" si="1"/>
        <v>27.344818156959256</v>
      </c>
      <c r="K22">
        <f t="shared" si="2"/>
        <v>12</v>
      </c>
      <c r="L22">
        <v>25</v>
      </c>
    </row>
    <row r="23" spans="2:12" x14ac:dyDescent="0.25">
      <c r="B23" s="704"/>
      <c r="C23" s="704"/>
      <c r="D23">
        <v>7</v>
      </c>
      <c r="E23" t="s">
        <v>406</v>
      </c>
      <c r="F23">
        <v>1.5489999999999999</v>
      </c>
      <c r="G23">
        <v>5.3179999999999996</v>
      </c>
      <c r="H23">
        <v>13</v>
      </c>
      <c r="I23">
        <f t="shared" si="0"/>
        <v>69.134</v>
      </c>
      <c r="J23">
        <f t="shared" si="1"/>
        <v>18.804061677322302</v>
      </c>
      <c r="K23">
        <f t="shared" si="2"/>
        <v>12</v>
      </c>
      <c r="L23">
        <v>25</v>
      </c>
    </row>
    <row r="24" spans="2:12" x14ac:dyDescent="0.25">
      <c r="B24" s="704"/>
      <c r="C24" s="704"/>
      <c r="D24">
        <v>19</v>
      </c>
      <c r="E24" t="s">
        <v>407</v>
      </c>
      <c r="H24">
        <v>13</v>
      </c>
      <c r="L24">
        <v>25</v>
      </c>
    </row>
    <row r="25" spans="2:12" x14ac:dyDescent="0.25">
      <c r="B25" s="704"/>
      <c r="C25" s="704"/>
      <c r="D25">
        <v>9</v>
      </c>
      <c r="E25" t="s">
        <v>408</v>
      </c>
      <c r="F25">
        <v>1.2849999999999999</v>
      </c>
      <c r="G25">
        <v>13.032999999999999</v>
      </c>
      <c r="H25">
        <v>13</v>
      </c>
      <c r="I25">
        <f t="shared" si="0"/>
        <v>169.429</v>
      </c>
      <c r="J25">
        <f t="shared" si="1"/>
        <v>7.6728305071740968</v>
      </c>
      <c r="K25">
        <f t="shared" si="2"/>
        <v>17.327169492825902</v>
      </c>
      <c r="L25">
        <v>25</v>
      </c>
    </row>
    <row r="26" spans="2:12" x14ac:dyDescent="0.25">
      <c r="B26" s="704"/>
      <c r="C26" s="704"/>
      <c r="D26">
        <v>14</v>
      </c>
      <c r="E26" t="s">
        <v>409</v>
      </c>
      <c r="F26">
        <v>1.341</v>
      </c>
      <c r="G26">
        <v>8.3759999999999994</v>
      </c>
      <c r="H26">
        <v>13</v>
      </c>
      <c r="I26">
        <f t="shared" si="0"/>
        <v>108.88799999999999</v>
      </c>
      <c r="J26">
        <f t="shared" si="1"/>
        <v>11.938872970391596</v>
      </c>
      <c r="K26">
        <f t="shared" si="2"/>
        <v>13.061127029608404</v>
      </c>
      <c r="L26">
        <v>25</v>
      </c>
    </row>
    <row r="27" spans="2:12" x14ac:dyDescent="0.25">
      <c r="B27" s="704"/>
      <c r="C27" s="704"/>
      <c r="D27">
        <v>20</v>
      </c>
      <c r="E27" t="s">
        <v>411</v>
      </c>
      <c r="H27">
        <v>13</v>
      </c>
      <c r="L27">
        <v>25</v>
      </c>
    </row>
  </sheetData>
  <mergeCells count="19">
    <mergeCell ref="K1:K2"/>
    <mergeCell ref="L1:L2"/>
    <mergeCell ref="C3:C7"/>
    <mergeCell ref="B1:B2"/>
    <mergeCell ref="C1:C2"/>
    <mergeCell ref="D1:D2"/>
    <mergeCell ref="E1:E2"/>
    <mergeCell ref="F1:F2"/>
    <mergeCell ref="G1:G2"/>
    <mergeCell ref="C22:C27"/>
    <mergeCell ref="B22:B27"/>
    <mergeCell ref="H1:H2"/>
    <mergeCell ref="I1:I2"/>
    <mergeCell ref="J1:J2"/>
    <mergeCell ref="B3:B7"/>
    <mergeCell ref="C8:C13"/>
    <mergeCell ref="B8:B13"/>
    <mergeCell ref="B14:B21"/>
    <mergeCell ref="C14:C21"/>
  </mergeCells>
  <phoneticPr fontId="7" type="noConversion"/>
  <conditionalFormatting sqref="F3:F27">
    <cfRule type="cellIs" dxfId="13" priority="1" operator="lessThan">
      <formula>1.5</formula>
    </cfRule>
  </conditionalFormatting>
  <conditionalFormatting sqref="I3:I27">
    <cfRule type="cellIs" dxfId="12" priority="2" operator="lessThan">
      <formula>80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B433-E4CC-4A39-9C0A-EB9893C73B8D}">
  <dimension ref="B1:AP254"/>
  <sheetViews>
    <sheetView topLeftCell="Q14" workbookViewId="0">
      <selection activeCell="AK54" sqref="AK54"/>
    </sheetView>
  </sheetViews>
  <sheetFormatPr defaultRowHeight="15" x14ac:dyDescent="0.25"/>
  <cols>
    <col min="3" max="3" width="13.42578125" bestFit="1" customWidth="1"/>
    <col min="17" max="17" width="13.42578125" bestFit="1" customWidth="1"/>
    <col min="21" max="21" width="12" bestFit="1" customWidth="1"/>
    <col min="24" max="24" width="13.42578125" bestFit="1" customWidth="1"/>
    <col min="28" max="28" width="12" bestFit="1" customWidth="1"/>
    <col min="31" max="31" width="13.42578125" bestFit="1" customWidth="1"/>
    <col min="35" max="35" width="12" bestFit="1" customWidth="1"/>
    <col min="41" max="41" width="12" bestFit="1" customWidth="1"/>
    <col min="42" max="42" width="11" bestFit="1" customWidth="1"/>
  </cols>
  <sheetData>
    <row r="1" spans="2:42" ht="15.75" thickBot="1" x14ac:dyDescent="0.3"/>
    <row r="2" spans="2:42" ht="15.75" thickBot="1" x14ac:dyDescent="0.3">
      <c r="B2" s="51" t="s">
        <v>471</v>
      </c>
      <c r="C2" s="52" t="s">
        <v>472</v>
      </c>
      <c r="D2" s="536" t="s">
        <v>473</v>
      </c>
      <c r="E2" s="536" t="s">
        <v>474</v>
      </c>
      <c r="F2" s="52" t="s">
        <v>475</v>
      </c>
      <c r="G2" s="74" t="s">
        <v>359</v>
      </c>
      <c r="I2" s="51" t="s">
        <v>471</v>
      </c>
      <c r="J2" s="52" t="s">
        <v>472</v>
      </c>
      <c r="K2" s="536" t="s">
        <v>473</v>
      </c>
      <c r="L2" s="536" t="s">
        <v>474</v>
      </c>
      <c r="M2" s="52" t="s">
        <v>475</v>
      </c>
      <c r="N2" s="74" t="s">
        <v>359</v>
      </c>
      <c r="P2" s="51" t="s">
        <v>471</v>
      </c>
      <c r="Q2" s="52" t="s">
        <v>472</v>
      </c>
      <c r="R2" s="536" t="s">
        <v>473</v>
      </c>
      <c r="S2" s="536" t="s">
        <v>474</v>
      </c>
      <c r="T2" s="52" t="s">
        <v>475</v>
      </c>
      <c r="U2" s="74" t="s">
        <v>359</v>
      </c>
      <c r="W2" s="51" t="s">
        <v>471</v>
      </c>
      <c r="X2" s="52" t="s">
        <v>472</v>
      </c>
      <c r="Y2" s="536" t="s">
        <v>473</v>
      </c>
      <c r="Z2" s="536" t="s">
        <v>474</v>
      </c>
      <c r="AA2" s="52" t="s">
        <v>475</v>
      </c>
      <c r="AB2" s="74" t="s">
        <v>359</v>
      </c>
      <c r="AD2" s="51" t="s">
        <v>471</v>
      </c>
      <c r="AE2" s="52" t="s">
        <v>472</v>
      </c>
      <c r="AF2" s="536" t="s">
        <v>473</v>
      </c>
      <c r="AG2" s="536" t="s">
        <v>474</v>
      </c>
      <c r="AH2" s="52" t="s">
        <v>475</v>
      </c>
      <c r="AI2" s="74" t="s">
        <v>359</v>
      </c>
      <c r="AK2" s="51" t="s">
        <v>471</v>
      </c>
      <c r="AL2" s="52" t="s">
        <v>472</v>
      </c>
      <c r="AM2" s="536" t="s">
        <v>473</v>
      </c>
      <c r="AN2" s="536" t="s">
        <v>474</v>
      </c>
      <c r="AO2" s="52" t="s">
        <v>475</v>
      </c>
      <c r="AP2" s="74" t="s">
        <v>359</v>
      </c>
    </row>
    <row r="3" spans="2:42" x14ac:dyDescent="0.25">
      <c r="B3" s="71" t="s">
        <v>452</v>
      </c>
      <c r="C3" s="50" t="s">
        <v>453</v>
      </c>
      <c r="D3" s="50" t="s">
        <v>417</v>
      </c>
      <c r="E3" s="50" t="e">
        <f>2^(-D3)</f>
        <v>#VALUE!</v>
      </c>
      <c r="F3" s="50"/>
      <c r="G3" s="25"/>
      <c r="I3" s="71" t="s">
        <v>452</v>
      </c>
      <c r="J3" s="50" t="s">
        <v>453</v>
      </c>
      <c r="K3" s="50" t="s">
        <v>417</v>
      </c>
      <c r="L3" s="50"/>
      <c r="M3" s="50"/>
      <c r="N3" s="25"/>
      <c r="P3" s="71" t="s">
        <v>452</v>
      </c>
      <c r="Q3" s="50" t="s">
        <v>453</v>
      </c>
      <c r="R3" s="50" t="s">
        <v>417</v>
      </c>
      <c r="S3" s="50"/>
      <c r="T3" s="50"/>
      <c r="U3" s="25"/>
      <c r="W3" s="71" t="s">
        <v>452</v>
      </c>
      <c r="X3" s="50" t="s">
        <v>453</v>
      </c>
      <c r="Y3" s="50" t="s">
        <v>417</v>
      </c>
      <c r="Z3" s="50"/>
      <c r="AA3" s="50"/>
      <c r="AB3" s="25"/>
      <c r="AD3" s="71" t="s">
        <v>452</v>
      </c>
      <c r="AE3" s="50" t="s">
        <v>453</v>
      </c>
      <c r="AF3" s="50" t="s">
        <v>417</v>
      </c>
      <c r="AG3" s="50"/>
      <c r="AH3" s="50"/>
      <c r="AI3" s="25"/>
      <c r="AK3" s="72" t="s">
        <v>518</v>
      </c>
      <c r="AL3">
        <v>1</v>
      </c>
      <c r="AM3">
        <v>34.456620819585197</v>
      </c>
      <c r="AN3">
        <f t="shared" ref="AN3:AN66" si="0">2^(-AM3)</f>
        <v>4.2415401669842144E-11</v>
      </c>
      <c r="AO3">
        <f>AN3/AVERAGE($L$39,$L$57)</f>
        <v>1.4979073324799871E-4</v>
      </c>
      <c r="AP3" s="27">
        <f>AVERAGE(AO3:AO4)</f>
        <v>1.2665065164319916E-4</v>
      </c>
    </row>
    <row r="4" spans="2:42" x14ac:dyDescent="0.25">
      <c r="B4" s="72" t="s">
        <v>454</v>
      </c>
      <c r="C4" t="s">
        <v>453</v>
      </c>
      <c r="D4" t="s">
        <v>417</v>
      </c>
      <c r="E4" t="e">
        <f t="shared" ref="E4:E67" si="1">2^(-D4)</f>
        <v>#VALUE!</v>
      </c>
      <c r="G4" s="27"/>
      <c r="I4" s="72" t="s">
        <v>454</v>
      </c>
      <c r="J4" t="s">
        <v>453</v>
      </c>
      <c r="K4" t="s">
        <v>417</v>
      </c>
      <c r="N4" s="27"/>
      <c r="P4" s="72" t="s">
        <v>454</v>
      </c>
      <c r="Q4" t="s">
        <v>453</v>
      </c>
      <c r="R4" t="s">
        <v>417</v>
      </c>
      <c r="U4" s="27"/>
      <c r="W4" s="72" t="s">
        <v>454</v>
      </c>
      <c r="X4" t="s">
        <v>453</v>
      </c>
      <c r="Y4" t="s">
        <v>417</v>
      </c>
      <c r="AB4" s="27"/>
      <c r="AD4" s="72" t="s">
        <v>454</v>
      </c>
      <c r="AE4" t="s">
        <v>453</v>
      </c>
      <c r="AF4" t="s">
        <v>417</v>
      </c>
      <c r="AI4" s="27"/>
      <c r="AK4" s="72" t="s">
        <v>518</v>
      </c>
      <c r="AL4">
        <v>1</v>
      </c>
      <c r="AM4">
        <v>34.989791097472697</v>
      </c>
      <c r="AN4">
        <f t="shared" si="0"/>
        <v>2.931050746633358E-11</v>
      </c>
      <c r="AO4">
        <f>AN4/AVERAGE($L$39,$L$57)</f>
        <v>1.0351057003839962E-4</v>
      </c>
      <c r="AP4" s="27"/>
    </row>
    <row r="5" spans="2:42" x14ac:dyDescent="0.25">
      <c r="B5" s="72" t="s">
        <v>455</v>
      </c>
      <c r="C5" t="s">
        <v>453</v>
      </c>
      <c r="D5" t="s">
        <v>417</v>
      </c>
      <c r="E5" t="e">
        <f t="shared" si="1"/>
        <v>#VALUE!</v>
      </c>
      <c r="G5" s="27"/>
      <c r="I5" s="72" t="s">
        <v>455</v>
      </c>
      <c r="J5" t="s">
        <v>453</v>
      </c>
      <c r="K5" t="s">
        <v>417</v>
      </c>
      <c r="N5" s="27"/>
      <c r="P5" s="72" t="s">
        <v>455</v>
      </c>
      <c r="Q5" t="s">
        <v>453</v>
      </c>
      <c r="R5" t="s">
        <v>417</v>
      </c>
      <c r="U5" s="27"/>
      <c r="W5" s="72" t="s">
        <v>455</v>
      </c>
      <c r="X5" t="s">
        <v>453</v>
      </c>
      <c r="Y5" t="s">
        <v>417</v>
      </c>
      <c r="AB5" s="27"/>
      <c r="AD5" s="72" t="s">
        <v>455</v>
      </c>
      <c r="AE5" t="s">
        <v>453</v>
      </c>
      <c r="AF5" t="s">
        <v>417</v>
      </c>
      <c r="AI5" s="27"/>
      <c r="AK5" s="72" t="s">
        <v>518</v>
      </c>
      <c r="AL5">
        <v>2</v>
      </c>
      <c r="AM5">
        <v>35.149993243756803</v>
      </c>
      <c r="AN5">
        <f t="shared" si="0"/>
        <v>2.6229963499370148E-11</v>
      </c>
      <c r="AO5">
        <f>AN5/AVERAGE($L$75,$L$93)</f>
        <v>6.0497759619663936E-2</v>
      </c>
      <c r="AP5" s="27">
        <f>AVERAGE(AO5:AO6)</f>
        <v>0.12850650790717219</v>
      </c>
    </row>
    <row r="6" spans="2:42" x14ac:dyDescent="0.25">
      <c r="B6" s="72" t="s">
        <v>481</v>
      </c>
      <c r="C6" t="s">
        <v>453</v>
      </c>
      <c r="D6" t="s">
        <v>417</v>
      </c>
      <c r="E6" t="e">
        <f t="shared" si="1"/>
        <v>#VALUE!</v>
      </c>
      <c r="G6" s="27"/>
      <c r="I6" s="72" t="s">
        <v>481</v>
      </c>
      <c r="J6" t="s">
        <v>453</v>
      </c>
      <c r="K6" t="s">
        <v>417</v>
      </c>
      <c r="N6" s="27"/>
      <c r="P6" s="72" t="s">
        <v>481</v>
      </c>
      <c r="Q6" t="s">
        <v>453</v>
      </c>
      <c r="R6" t="s">
        <v>417</v>
      </c>
      <c r="U6" s="27"/>
      <c r="W6" s="72" t="s">
        <v>481</v>
      </c>
      <c r="X6" t="s">
        <v>453</v>
      </c>
      <c r="Y6" t="s">
        <v>417</v>
      </c>
      <c r="AB6" s="27"/>
      <c r="AD6" s="72" t="s">
        <v>481</v>
      </c>
      <c r="AE6" t="s">
        <v>453</v>
      </c>
      <c r="AF6" t="s">
        <v>417</v>
      </c>
      <c r="AI6" s="27"/>
      <c r="AK6" s="72" t="s">
        <v>518</v>
      </c>
      <c r="AL6">
        <v>2</v>
      </c>
      <c r="AM6">
        <v>33.4503055472128</v>
      </c>
      <c r="AN6">
        <f t="shared" si="0"/>
        <v>8.520295676173133E-11</v>
      </c>
      <c r="AO6">
        <f>AN6/AVERAGE($L$75,$L$93)</f>
        <v>0.19651525619468047</v>
      </c>
      <c r="AP6" s="27"/>
    </row>
    <row r="7" spans="2:42" x14ac:dyDescent="0.25">
      <c r="B7" s="72" t="s">
        <v>457</v>
      </c>
      <c r="C7" t="s">
        <v>453</v>
      </c>
      <c r="D7" t="s">
        <v>417</v>
      </c>
      <c r="E7" t="e">
        <f t="shared" si="1"/>
        <v>#VALUE!</v>
      </c>
      <c r="G7" s="27"/>
      <c r="I7" s="72" t="s">
        <v>457</v>
      </c>
      <c r="J7" t="s">
        <v>453</v>
      </c>
      <c r="K7" t="s">
        <v>417</v>
      </c>
      <c r="N7" s="27"/>
      <c r="P7" s="72" t="s">
        <v>457</v>
      </c>
      <c r="Q7" t="s">
        <v>453</v>
      </c>
      <c r="R7" t="s">
        <v>417</v>
      </c>
      <c r="U7" s="27"/>
      <c r="W7" s="72" t="s">
        <v>457</v>
      </c>
      <c r="X7" t="s">
        <v>453</v>
      </c>
      <c r="Y7" t="s">
        <v>417</v>
      </c>
      <c r="AB7" s="27"/>
      <c r="AD7" s="72" t="s">
        <v>457</v>
      </c>
      <c r="AE7" t="s">
        <v>453</v>
      </c>
      <c r="AF7" t="s">
        <v>417</v>
      </c>
      <c r="AI7" s="27"/>
      <c r="AK7" s="72" t="s">
        <v>518</v>
      </c>
      <c r="AL7">
        <v>3</v>
      </c>
      <c r="AM7">
        <v>35.7158146720217</v>
      </c>
      <c r="AN7">
        <f t="shared" si="0"/>
        <v>1.7720193670704067E-11</v>
      </c>
      <c r="AO7">
        <f>AN7/AVERAGE($L$111,$L$129)</f>
        <v>1.4937874891730926E-3</v>
      </c>
      <c r="AP7" s="27">
        <f>AVERAGE(AO7:AO8)</f>
        <v>3.5571286672189642E-3</v>
      </c>
    </row>
    <row r="8" spans="2:42" x14ac:dyDescent="0.25">
      <c r="B8" s="72" t="s">
        <v>458</v>
      </c>
      <c r="C8" t="s">
        <v>453</v>
      </c>
      <c r="D8" t="s">
        <v>417</v>
      </c>
      <c r="E8" t="e">
        <f t="shared" si="1"/>
        <v>#VALUE!</v>
      </c>
      <c r="G8" s="27"/>
      <c r="I8" s="72" t="s">
        <v>458</v>
      </c>
      <c r="J8" t="s">
        <v>453</v>
      </c>
      <c r="K8" t="s">
        <v>417</v>
      </c>
      <c r="N8" s="27"/>
      <c r="P8" s="72" t="s">
        <v>458</v>
      </c>
      <c r="Q8" t="s">
        <v>453</v>
      </c>
      <c r="R8" t="s">
        <v>417</v>
      </c>
      <c r="U8" s="27"/>
      <c r="W8" s="72" t="s">
        <v>458</v>
      </c>
      <c r="X8" t="s">
        <v>453</v>
      </c>
      <c r="Y8" t="s">
        <v>417</v>
      </c>
      <c r="AB8" s="27"/>
      <c r="AD8" s="72" t="s">
        <v>458</v>
      </c>
      <c r="AE8" t="s">
        <v>453</v>
      </c>
      <c r="AF8" t="s">
        <v>417</v>
      </c>
      <c r="AI8" s="27"/>
      <c r="AK8" s="72" t="s">
        <v>518</v>
      </c>
      <c r="AL8">
        <v>3</v>
      </c>
      <c r="AM8">
        <v>33.804098854374097</v>
      </c>
      <c r="AN8">
        <f t="shared" si="0"/>
        <v>6.667334871948734E-11</v>
      </c>
      <c r="AO8">
        <f>AN8/AVERAGE($L$111,$L$129)</f>
        <v>5.6204698452648359E-3</v>
      </c>
      <c r="AP8" s="27"/>
    </row>
    <row r="9" spans="2:42" x14ac:dyDescent="0.25">
      <c r="B9" s="72" t="s">
        <v>459</v>
      </c>
      <c r="C9" t="s">
        <v>453</v>
      </c>
      <c r="D9" t="s">
        <v>417</v>
      </c>
      <c r="E9" t="e">
        <f t="shared" si="1"/>
        <v>#VALUE!</v>
      </c>
      <c r="G9" s="27"/>
      <c r="I9" s="72" t="s">
        <v>459</v>
      </c>
      <c r="J9" t="s">
        <v>453</v>
      </c>
      <c r="K9" t="s">
        <v>417</v>
      </c>
      <c r="N9" s="27"/>
      <c r="P9" s="72" t="s">
        <v>482</v>
      </c>
      <c r="Q9" t="s">
        <v>453</v>
      </c>
      <c r="R9" t="s">
        <v>417</v>
      </c>
      <c r="U9" s="27"/>
      <c r="W9" s="72" t="s">
        <v>459</v>
      </c>
      <c r="X9" t="s">
        <v>453</v>
      </c>
      <c r="Y9" t="s">
        <v>417</v>
      </c>
      <c r="AB9" s="27"/>
      <c r="AD9" s="72" t="s">
        <v>459</v>
      </c>
      <c r="AE9" t="s">
        <v>453</v>
      </c>
      <c r="AF9" t="s">
        <v>417</v>
      </c>
      <c r="AI9" s="27"/>
      <c r="AK9" s="72" t="s">
        <v>518</v>
      </c>
      <c r="AL9">
        <v>4</v>
      </c>
      <c r="AM9" t="s">
        <v>417</v>
      </c>
      <c r="AN9" t="e">
        <f t="shared" si="0"/>
        <v>#VALUE!</v>
      </c>
      <c r="AO9" t="e">
        <f>AN9/AVERAGE($L$147,$L$165)</f>
        <v>#VALUE!</v>
      </c>
      <c r="AP9" s="27"/>
    </row>
    <row r="10" spans="2:42" x14ac:dyDescent="0.25">
      <c r="B10" s="72" t="s">
        <v>460</v>
      </c>
      <c r="C10" t="s">
        <v>453</v>
      </c>
      <c r="D10" t="s">
        <v>417</v>
      </c>
      <c r="E10" t="e">
        <f t="shared" si="1"/>
        <v>#VALUE!</v>
      </c>
      <c r="G10" s="27"/>
      <c r="I10" s="72" t="s">
        <v>460</v>
      </c>
      <c r="J10" t="s">
        <v>453</v>
      </c>
      <c r="K10" t="s">
        <v>417</v>
      </c>
      <c r="N10" s="27"/>
      <c r="P10" s="72" t="s">
        <v>483</v>
      </c>
      <c r="Q10" t="s">
        <v>453</v>
      </c>
      <c r="R10" t="s">
        <v>417</v>
      </c>
      <c r="U10" s="27"/>
      <c r="W10" s="72" t="s">
        <v>460</v>
      </c>
      <c r="X10" t="s">
        <v>453</v>
      </c>
      <c r="Y10" t="s">
        <v>417</v>
      </c>
      <c r="AB10" s="27"/>
      <c r="AD10" s="72" t="s">
        <v>460</v>
      </c>
      <c r="AE10" t="s">
        <v>453</v>
      </c>
      <c r="AF10" t="s">
        <v>417</v>
      </c>
      <c r="AI10" s="27"/>
      <c r="AK10" s="72" t="s">
        <v>518</v>
      </c>
      <c r="AL10">
        <v>4</v>
      </c>
      <c r="AM10" t="s">
        <v>417</v>
      </c>
      <c r="AN10" t="e">
        <f t="shared" si="0"/>
        <v>#VALUE!</v>
      </c>
      <c r="AO10" t="e">
        <f>AN10/AVERAGE($L$147,$L$165)</f>
        <v>#VALUE!</v>
      </c>
      <c r="AP10" s="27"/>
    </row>
    <row r="11" spans="2:42" x14ac:dyDescent="0.25">
      <c r="B11" s="72" t="s">
        <v>461</v>
      </c>
      <c r="C11" t="s">
        <v>453</v>
      </c>
      <c r="D11" t="s">
        <v>417</v>
      </c>
      <c r="E11" t="e">
        <f t="shared" si="1"/>
        <v>#VALUE!</v>
      </c>
      <c r="G11" s="27"/>
      <c r="I11" s="72" t="s">
        <v>461</v>
      </c>
      <c r="J11" t="s">
        <v>453</v>
      </c>
      <c r="K11" t="s">
        <v>417</v>
      </c>
      <c r="N11" s="27"/>
      <c r="P11" s="72" t="s">
        <v>484</v>
      </c>
      <c r="Q11" t="s">
        <v>453</v>
      </c>
      <c r="R11" t="s">
        <v>417</v>
      </c>
      <c r="U11" s="27"/>
      <c r="W11" s="72" t="s">
        <v>461</v>
      </c>
      <c r="X11" t="s">
        <v>453</v>
      </c>
      <c r="Y11" t="s">
        <v>417</v>
      </c>
      <c r="AB11" s="27"/>
      <c r="AD11" s="72" t="s">
        <v>461</v>
      </c>
      <c r="AE11" t="s">
        <v>453</v>
      </c>
      <c r="AF11" t="s">
        <v>417</v>
      </c>
      <c r="AI11" s="27"/>
      <c r="AK11" s="72" t="s">
        <v>518</v>
      </c>
      <c r="AL11">
        <v>5</v>
      </c>
      <c r="AM11" t="s">
        <v>417</v>
      </c>
      <c r="AN11" t="e">
        <f t="shared" si="0"/>
        <v>#VALUE!</v>
      </c>
      <c r="AP11" s="27"/>
    </row>
    <row r="12" spans="2:42" x14ac:dyDescent="0.25">
      <c r="B12" s="72" t="s">
        <v>462</v>
      </c>
      <c r="C12" t="s">
        <v>453</v>
      </c>
      <c r="D12" t="s">
        <v>417</v>
      </c>
      <c r="E12" t="e">
        <f t="shared" si="1"/>
        <v>#VALUE!</v>
      </c>
      <c r="G12" s="27"/>
      <c r="I12" s="72" t="s">
        <v>462</v>
      </c>
      <c r="J12" t="s">
        <v>453</v>
      </c>
      <c r="K12" t="s">
        <v>417</v>
      </c>
      <c r="N12" s="27"/>
      <c r="P12" s="72" t="s">
        <v>485</v>
      </c>
      <c r="Q12" t="s">
        <v>453</v>
      </c>
      <c r="R12" t="s">
        <v>417</v>
      </c>
      <c r="U12" s="27"/>
      <c r="W12" s="72" t="s">
        <v>462</v>
      </c>
      <c r="X12" t="s">
        <v>453</v>
      </c>
      <c r="Y12" t="s">
        <v>417</v>
      </c>
      <c r="AB12" s="27"/>
      <c r="AD12" s="72" t="s">
        <v>462</v>
      </c>
      <c r="AE12" t="s">
        <v>453</v>
      </c>
      <c r="AF12" t="s">
        <v>417</v>
      </c>
      <c r="AI12" s="27"/>
      <c r="AK12" s="72" t="s">
        <v>518</v>
      </c>
      <c r="AL12">
        <v>5</v>
      </c>
      <c r="AM12">
        <v>34.581484030788801</v>
      </c>
      <c r="AN12">
        <f t="shared" si="0"/>
        <v>3.8898782829645085E-11</v>
      </c>
      <c r="AP12" s="27"/>
    </row>
    <row r="13" spans="2:42" x14ac:dyDescent="0.25">
      <c r="B13" s="72" t="s">
        <v>463</v>
      </c>
      <c r="C13" t="s">
        <v>453</v>
      </c>
      <c r="D13" t="s">
        <v>417</v>
      </c>
      <c r="E13" t="e">
        <f t="shared" si="1"/>
        <v>#VALUE!</v>
      </c>
      <c r="G13" s="27"/>
      <c r="I13" s="72" t="s">
        <v>463</v>
      </c>
      <c r="J13" t="s">
        <v>453</v>
      </c>
      <c r="K13" t="s">
        <v>417</v>
      </c>
      <c r="N13" s="27"/>
      <c r="P13" s="72" t="s">
        <v>463</v>
      </c>
      <c r="Q13" t="s">
        <v>453</v>
      </c>
      <c r="R13" t="s">
        <v>417</v>
      </c>
      <c r="U13" s="27"/>
      <c r="W13" s="72" t="s">
        <v>463</v>
      </c>
      <c r="X13" t="s">
        <v>453</v>
      </c>
      <c r="Y13" t="s">
        <v>417</v>
      </c>
      <c r="AB13" s="27"/>
      <c r="AD13" s="72" t="s">
        <v>463</v>
      </c>
      <c r="AE13" t="s">
        <v>453</v>
      </c>
      <c r="AF13" t="s">
        <v>417</v>
      </c>
      <c r="AI13" s="27"/>
      <c r="AK13" s="72" t="s">
        <v>518</v>
      </c>
      <c r="AL13">
        <v>6</v>
      </c>
      <c r="AM13" t="s">
        <v>417</v>
      </c>
      <c r="AN13" t="e">
        <f t="shared" si="0"/>
        <v>#VALUE!</v>
      </c>
      <c r="AP13" s="27"/>
    </row>
    <row r="14" spans="2:42" x14ac:dyDescent="0.25">
      <c r="B14" s="72" t="s">
        <v>464</v>
      </c>
      <c r="C14" t="s">
        <v>453</v>
      </c>
      <c r="D14" t="s">
        <v>417</v>
      </c>
      <c r="E14" t="e">
        <f t="shared" si="1"/>
        <v>#VALUE!</v>
      </c>
      <c r="G14" s="27"/>
      <c r="I14" s="72" t="s">
        <v>464</v>
      </c>
      <c r="J14" t="s">
        <v>453</v>
      </c>
      <c r="K14" t="s">
        <v>417</v>
      </c>
      <c r="N14" s="27"/>
      <c r="P14" s="72" t="s">
        <v>464</v>
      </c>
      <c r="Q14" t="s">
        <v>453</v>
      </c>
      <c r="R14" t="s">
        <v>417</v>
      </c>
      <c r="U14" s="27"/>
      <c r="W14" s="72" t="s">
        <v>464</v>
      </c>
      <c r="X14" t="s">
        <v>453</v>
      </c>
      <c r="Y14" t="s">
        <v>417</v>
      </c>
      <c r="AB14" s="27"/>
      <c r="AD14" s="72" t="s">
        <v>464</v>
      </c>
      <c r="AE14" t="s">
        <v>453</v>
      </c>
      <c r="AF14" t="s">
        <v>417</v>
      </c>
      <c r="AI14" s="27"/>
      <c r="AK14" s="72" t="s">
        <v>518</v>
      </c>
      <c r="AL14">
        <v>6</v>
      </c>
      <c r="AM14" t="s">
        <v>417</v>
      </c>
      <c r="AN14" t="e">
        <f t="shared" si="0"/>
        <v>#VALUE!</v>
      </c>
      <c r="AP14" s="27"/>
    </row>
    <row r="15" spans="2:42" x14ac:dyDescent="0.25">
      <c r="B15" s="72" t="s">
        <v>465</v>
      </c>
      <c r="C15" t="s">
        <v>453</v>
      </c>
      <c r="D15" t="s">
        <v>417</v>
      </c>
      <c r="E15" t="e">
        <f t="shared" si="1"/>
        <v>#VALUE!</v>
      </c>
      <c r="G15" s="27"/>
      <c r="I15" s="72" t="s">
        <v>465</v>
      </c>
      <c r="J15" t="s">
        <v>453</v>
      </c>
      <c r="K15" t="s">
        <v>417</v>
      </c>
      <c r="N15" s="27"/>
      <c r="P15" s="72" t="s">
        <v>465</v>
      </c>
      <c r="Q15" t="s">
        <v>453</v>
      </c>
      <c r="R15" t="s">
        <v>417</v>
      </c>
      <c r="U15" s="27"/>
      <c r="W15" s="72" t="s">
        <v>465</v>
      </c>
      <c r="X15" t="s">
        <v>453</v>
      </c>
      <c r="Y15" t="s">
        <v>417</v>
      </c>
      <c r="AB15" s="27"/>
      <c r="AD15" s="72" t="s">
        <v>465</v>
      </c>
      <c r="AE15" t="s">
        <v>453</v>
      </c>
      <c r="AF15" t="s">
        <v>417</v>
      </c>
      <c r="AI15" s="27"/>
      <c r="AK15" s="72" t="s">
        <v>518</v>
      </c>
      <c r="AL15">
        <v>8</v>
      </c>
      <c r="AM15" t="s">
        <v>417</v>
      </c>
      <c r="AN15" t="e">
        <f t="shared" si="0"/>
        <v>#VALUE!</v>
      </c>
      <c r="AP15" s="27"/>
    </row>
    <row r="16" spans="2:42" x14ac:dyDescent="0.25">
      <c r="B16" s="72" t="s">
        <v>466</v>
      </c>
      <c r="C16" t="s">
        <v>453</v>
      </c>
      <c r="D16" t="s">
        <v>417</v>
      </c>
      <c r="E16" t="e">
        <f t="shared" si="1"/>
        <v>#VALUE!</v>
      </c>
      <c r="G16" s="27"/>
      <c r="I16" s="72" t="s">
        <v>466</v>
      </c>
      <c r="J16" t="s">
        <v>453</v>
      </c>
      <c r="K16" t="s">
        <v>417</v>
      </c>
      <c r="N16" s="27"/>
      <c r="P16" s="72" t="s">
        <v>466</v>
      </c>
      <c r="Q16" t="s">
        <v>453</v>
      </c>
      <c r="R16" t="s">
        <v>417</v>
      </c>
      <c r="U16" s="27"/>
      <c r="W16" s="72" t="s">
        <v>466</v>
      </c>
      <c r="X16" t="s">
        <v>453</v>
      </c>
      <c r="Y16" t="s">
        <v>417</v>
      </c>
      <c r="AB16" s="27"/>
      <c r="AD16" s="72" t="s">
        <v>466</v>
      </c>
      <c r="AE16" t="s">
        <v>453</v>
      </c>
      <c r="AF16" t="s">
        <v>417</v>
      </c>
      <c r="AI16" s="27"/>
      <c r="AK16" s="72" t="s">
        <v>518</v>
      </c>
      <c r="AL16">
        <v>8</v>
      </c>
      <c r="AM16" t="s">
        <v>417</v>
      </c>
      <c r="AN16" t="e">
        <f t="shared" si="0"/>
        <v>#VALUE!</v>
      </c>
      <c r="AP16" s="27"/>
    </row>
    <row r="17" spans="2:42" x14ac:dyDescent="0.25">
      <c r="B17" s="72" t="s">
        <v>467</v>
      </c>
      <c r="C17" t="s">
        <v>453</v>
      </c>
      <c r="D17" t="s">
        <v>417</v>
      </c>
      <c r="E17" t="e">
        <f t="shared" si="1"/>
        <v>#VALUE!</v>
      </c>
      <c r="G17" s="27"/>
      <c r="I17" s="72" t="s">
        <v>467</v>
      </c>
      <c r="J17" t="s">
        <v>453</v>
      </c>
      <c r="K17" t="s">
        <v>417</v>
      </c>
      <c r="N17" s="27"/>
      <c r="P17" s="72" t="s">
        <v>467</v>
      </c>
      <c r="Q17" t="s">
        <v>453</v>
      </c>
      <c r="R17" t="s">
        <v>417</v>
      </c>
      <c r="U17" s="27"/>
      <c r="W17" s="72" t="s">
        <v>467</v>
      </c>
      <c r="X17" t="s">
        <v>453</v>
      </c>
      <c r="Y17" t="s">
        <v>417</v>
      </c>
      <c r="AB17" s="27"/>
      <c r="AD17" s="72" t="s">
        <v>467</v>
      </c>
      <c r="AE17" t="s">
        <v>453</v>
      </c>
      <c r="AF17" t="s">
        <v>417</v>
      </c>
      <c r="AI17" s="27"/>
      <c r="AK17" s="72" t="s">
        <v>518</v>
      </c>
      <c r="AL17">
        <v>10</v>
      </c>
      <c r="AM17" t="s">
        <v>417</v>
      </c>
      <c r="AN17" t="e">
        <f t="shared" si="0"/>
        <v>#VALUE!</v>
      </c>
      <c r="AP17" s="27"/>
    </row>
    <row r="18" spans="2:42" x14ac:dyDescent="0.25">
      <c r="B18" s="72" t="s">
        <v>468</v>
      </c>
      <c r="C18" t="s">
        <v>453</v>
      </c>
      <c r="D18" t="s">
        <v>417</v>
      </c>
      <c r="E18" t="e">
        <f t="shared" si="1"/>
        <v>#VALUE!</v>
      </c>
      <c r="G18" s="27"/>
      <c r="I18" s="72" t="s">
        <v>468</v>
      </c>
      <c r="J18" t="s">
        <v>453</v>
      </c>
      <c r="K18" t="s">
        <v>417</v>
      </c>
      <c r="N18" s="27"/>
      <c r="P18" s="72" t="s">
        <v>468</v>
      </c>
      <c r="Q18" t="s">
        <v>453</v>
      </c>
      <c r="R18" t="s">
        <v>417</v>
      </c>
      <c r="U18" s="27"/>
      <c r="W18" s="72" t="s">
        <v>468</v>
      </c>
      <c r="X18" t="s">
        <v>453</v>
      </c>
      <c r="Y18" t="s">
        <v>417</v>
      </c>
      <c r="AB18" s="27"/>
      <c r="AD18" s="72" t="s">
        <v>468</v>
      </c>
      <c r="AE18" t="s">
        <v>453</v>
      </c>
      <c r="AF18" t="s">
        <v>417</v>
      </c>
      <c r="AI18" s="27"/>
      <c r="AK18" s="212" t="s">
        <v>518</v>
      </c>
      <c r="AL18" s="60">
        <v>10</v>
      </c>
      <c r="AM18" s="60" t="s">
        <v>417</v>
      </c>
      <c r="AN18" s="60" t="e">
        <f t="shared" si="0"/>
        <v>#VALUE!</v>
      </c>
      <c r="AO18" s="60"/>
      <c r="AP18" s="61"/>
    </row>
    <row r="19" spans="2:42" x14ac:dyDescent="0.25">
      <c r="B19" s="72" t="s">
        <v>469</v>
      </c>
      <c r="C19" t="s">
        <v>453</v>
      </c>
      <c r="D19" t="s">
        <v>417</v>
      </c>
      <c r="E19" t="e">
        <f t="shared" si="1"/>
        <v>#VALUE!</v>
      </c>
      <c r="G19" s="27"/>
      <c r="I19" s="72" t="s">
        <v>486</v>
      </c>
      <c r="J19" t="s">
        <v>453</v>
      </c>
      <c r="K19" t="s">
        <v>417</v>
      </c>
      <c r="N19" s="27"/>
      <c r="P19" s="72" t="s">
        <v>486</v>
      </c>
      <c r="Q19" t="s">
        <v>453</v>
      </c>
      <c r="R19" t="s">
        <v>417</v>
      </c>
      <c r="U19" s="27"/>
      <c r="W19" s="72" t="s">
        <v>486</v>
      </c>
      <c r="X19" t="s">
        <v>453</v>
      </c>
      <c r="Y19" t="s">
        <v>417</v>
      </c>
      <c r="AB19" s="27"/>
      <c r="AD19" s="72" t="s">
        <v>486</v>
      </c>
      <c r="AE19" t="s">
        <v>453</v>
      </c>
      <c r="AF19">
        <v>39.222279351108099</v>
      </c>
      <c r="AI19" s="27"/>
      <c r="AK19" s="72" t="s">
        <v>466</v>
      </c>
      <c r="AL19">
        <v>1</v>
      </c>
      <c r="AM19" t="s">
        <v>417</v>
      </c>
      <c r="AN19" t="e">
        <f t="shared" si="0"/>
        <v>#VALUE!</v>
      </c>
      <c r="AO19" t="e">
        <f>AN19/$L$39</f>
        <v>#VALUE!</v>
      </c>
      <c r="AP19" s="27">
        <f>AO20</f>
        <v>5.7992035038373756E-5</v>
      </c>
    </row>
    <row r="20" spans="2:42" x14ac:dyDescent="0.25">
      <c r="B20" s="72" t="s">
        <v>470</v>
      </c>
      <c r="C20" t="s">
        <v>453</v>
      </c>
      <c r="D20" t="s">
        <v>417</v>
      </c>
      <c r="E20" t="e">
        <f t="shared" si="1"/>
        <v>#VALUE!</v>
      </c>
      <c r="G20" s="27"/>
      <c r="I20" s="72" t="s">
        <v>470</v>
      </c>
      <c r="J20" t="s">
        <v>453</v>
      </c>
      <c r="K20" t="s">
        <v>417</v>
      </c>
      <c r="N20" s="27"/>
      <c r="P20" s="72" t="s">
        <v>470</v>
      </c>
      <c r="Q20" t="s">
        <v>453</v>
      </c>
      <c r="R20" t="s">
        <v>417</v>
      </c>
      <c r="U20" s="27"/>
      <c r="W20" s="72" t="s">
        <v>470</v>
      </c>
      <c r="X20" t="s">
        <v>453</v>
      </c>
      <c r="Y20" t="s">
        <v>417</v>
      </c>
      <c r="AB20" s="27"/>
      <c r="AD20" s="72" t="s">
        <v>470</v>
      </c>
      <c r="AE20" t="s">
        <v>453</v>
      </c>
      <c r="AF20" t="s">
        <v>417</v>
      </c>
      <c r="AI20" s="27"/>
      <c r="AK20" s="72" t="s">
        <v>466</v>
      </c>
      <c r="AL20">
        <v>1</v>
      </c>
      <c r="AM20">
        <v>36.042252424986501</v>
      </c>
      <c r="AN20">
        <f t="shared" si="0"/>
        <v>1.4131911491877783E-11</v>
      </c>
      <c r="AO20">
        <f>AN20/$L$39</f>
        <v>5.7992035038373756E-5</v>
      </c>
      <c r="AP20" s="27"/>
    </row>
    <row r="21" spans="2:42" x14ac:dyDescent="0.25">
      <c r="B21" s="72" t="s">
        <v>452</v>
      </c>
      <c r="C21" t="s">
        <v>453</v>
      </c>
      <c r="D21">
        <v>29.255881299944502</v>
      </c>
      <c r="E21">
        <f t="shared" si="1"/>
        <v>1.5599194714964792E-9</v>
      </c>
      <c r="G21" s="27"/>
      <c r="I21" s="72" t="s">
        <v>452</v>
      </c>
      <c r="J21" t="s">
        <v>453</v>
      </c>
      <c r="K21" t="s">
        <v>417</v>
      </c>
      <c r="N21" s="27"/>
      <c r="P21" s="72" t="s">
        <v>452</v>
      </c>
      <c r="Q21" t="s">
        <v>453</v>
      </c>
      <c r="R21" t="s">
        <v>417</v>
      </c>
      <c r="U21" s="27"/>
      <c r="W21" s="72" t="s">
        <v>452</v>
      </c>
      <c r="X21" t="s">
        <v>453</v>
      </c>
      <c r="Y21" t="s">
        <v>417</v>
      </c>
      <c r="AB21" s="27"/>
      <c r="AD21" s="72" t="s">
        <v>452</v>
      </c>
      <c r="AE21" t="s">
        <v>453</v>
      </c>
      <c r="AF21" t="s">
        <v>417</v>
      </c>
      <c r="AI21" s="27"/>
      <c r="AK21" s="72" t="s">
        <v>466</v>
      </c>
      <c r="AL21">
        <v>2</v>
      </c>
      <c r="AM21" t="s">
        <v>417</v>
      </c>
      <c r="AN21" t="e">
        <f t="shared" si="0"/>
        <v>#VALUE!</v>
      </c>
      <c r="AO21" t="e">
        <f>AN21/AVERAGE($L$75,$L$93)</f>
        <v>#VALUE!</v>
      </c>
      <c r="AP21" s="27">
        <f>AO22</f>
        <v>8.8718264899108107E-4</v>
      </c>
    </row>
    <row r="22" spans="2:42" x14ac:dyDescent="0.25">
      <c r="B22" s="72" t="s">
        <v>454</v>
      </c>
      <c r="C22" t="s">
        <v>453</v>
      </c>
      <c r="D22">
        <v>33.094589981645498</v>
      </c>
      <c r="E22">
        <f t="shared" si="1"/>
        <v>1.0902741652608205E-10</v>
      </c>
      <c r="G22" s="27"/>
      <c r="I22" s="72" t="s">
        <v>454</v>
      </c>
      <c r="J22" t="s">
        <v>453</v>
      </c>
      <c r="K22" t="s">
        <v>417</v>
      </c>
      <c r="N22" s="27"/>
      <c r="P22" s="72" t="s">
        <v>454</v>
      </c>
      <c r="Q22" t="s">
        <v>453</v>
      </c>
      <c r="R22" t="s">
        <v>417</v>
      </c>
      <c r="U22" s="27"/>
      <c r="W22" s="72" t="s">
        <v>454</v>
      </c>
      <c r="X22" t="s">
        <v>453</v>
      </c>
      <c r="Y22" t="s">
        <v>417</v>
      </c>
      <c r="AB22" s="27"/>
      <c r="AD22" s="72" t="s">
        <v>454</v>
      </c>
      <c r="AE22" t="s">
        <v>453</v>
      </c>
      <c r="AF22" t="s">
        <v>417</v>
      </c>
      <c r="AI22" s="27"/>
      <c r="AK22" s="72" t="s">
        <v>466</v>
      </c>
      <c r="AL22">
        <v>2</v>
      </c>
      <c r="AM22">
        <v>41.241500000000002</v>
      </c>
      <c r="AN22">
        <f t="shared" si="0"/>
        <v>3.8465504584977629E-13</v>
      </c>
      <c r="AO22">
        <f>AN22/AVERAGE($L$75,$L$93)</f>
        <v>8.8718264899108107E-4</v>
      </c>
      <c r="AP22" s="27"/>
    </row>
    <row r="23" spans="2:42" x14ac:dyDescent="0.25">
      <c r="B23" s="72" t="s">
        <v>455</v>
      </c>
      <c r="C23" t="s">
        <v>453</v>
      </c>
      <c r="D23" t="s">
        <v>417</v>
      </c>
      <c r="E23" t="e">
        <f t="shared" si="1"/>
        <v>#VALUE!</v>
      </c>
      <c r="G23" s="27"/>
      <c r="I23" s="72" t="s">
        <v>455</v>
      </c>
      <c r="J23" t="s">
        <v>453</v>
      </c>
      <c r="K23" t="s">
        <v>417</v>
      </c>
      <c r="N23" s="27"/>
      <c r="P23" s="72" t="s">
        <v>455</v>
      </c>
      <c r="Q23" t="s">
        <v>453</v>
      </c>
      <c r="R23" t="s">
        <v>417</v>
      </c>
      <c r="U23" s="27"/>
      <c r="W23" s="72" t="s">
        <v>455</v>
      </c>
      <c r="X23" t="s">
        <v>453</v>
      </c>
      <c r="Y23" t="s">
        <v>417</v>
      </c>
      <c r="AB23" s="27"/>
      <c r="AD23" s="72" t="s">
        <v>455</v>
      </c>
      <c r="AE23" t="s">
        <v>453</v>
      </c>
      <c r="AF23" t="s">
        <v>417</v>
      </c>
      <c r="AI23" s="27"/>
      <c r="AK23" s="72" t="s">
        <v>466</v>
      </c>
      <c r="AL23">
        <v>3</v>
      </c>
      <c r="AM23" t="s">
        <v>417</v>
      </c>
      <c r="AN23" t="e">
        <f t="shared" si="0"/>
        <v>#VALUE!</v>
      </c>
      <c r="AP23" s="27"/>
    </row>
    <row r="24" spans="2:42" x14ac:dyDescent="0.25">
      <c r="B24" s="72" t="s">
        <v>481</v>
      </c>
      <c r="C24" t="s">
        <v>453</v>
      </c>
      <c r="D24" t="s">
        <v>417</v>
      </c>
      <c r="E24" t="e">
        <f t="shared" si="1"/>
        <v>#VALUE!</v>
      </c>
      <c r="G24" s="27"/>
      <c r="I24" s="72" t="s">
        <v>481</v>
      </c>
      <c r="J24" t="s">
        <v>453</v>
      </c>
      <c r="K24" t="s">
        <v>417</v>
      </c>
      <c r="N24" s="27"/>
      <c r="P24" s="72" t="s">
        <v>481</v>
      </c>
      <c r="Q24" t="s">
        <v>453</v>
      </c>
      <c r="R24" t="s">
        <v>417</v>
      </c>
      <c r="U24" s="27"/>
      <c r="W24" s="72" t="s">
        <v>481</v>
      </c>
      <c r="X24" t="s">
        <v>453</v>
      </c>
      <c r="Y24" t="s">
        <v>417</v>
      </c>
      <c r="AB24" s="27"/>
      <c r="AD24" s="72" t="s">
        <v>481</v>
      </c>
      <c r="AE24" t="s">
        <v>453</v>
      </c>
      <c r="AF24" t="s">
        <v>417</v>
      </c>
      <c r="AI24" s="27"/>
      <c r="AK24" s="72" t="s">
        <v>466</v>
      </c>
      <c r="AL24">
        <v>3</v>
      </c>
      <c r="AM24" t="s">
        <v>417</v>
      </c>
      <c r="AN24" t="e">
        <f t="shared" si="0"/>
        <v>#VALUE!</v>
      </c>
      <c r="AP24" s="27"/>
    </row>
    <row r="25" spans="2:42" x14ac:dyDescent="0.25">
      <c r="B25" s="72" t="s">
        <v>457</v>
      </c>
      <c r="C25" t="s">
        <v>453</v>
      </c>
      <c r="D25" t="s">
        <v>417</v>
      </c>
      <c r="E25" t="e">
        <f t="shared" si="1"/>
        <v>#VALUE!</v>
      </c>
      <c r="G25" s="27"/>
      <c r="I25" s="72" t="s">
        <v>457</v>
      </c>
      <c r="J25" t="s">
        <v>453</v>
      </c>
      <c r="K25" t="s">
        <v>417</v>
      </c>
      <c r="N25" s="27"/>
      <c r="P25" s="72" t="s">
        <v>457</v>
      </c>
      <c r="Q25" t="s">
        <v>453</v>
      </c>
      <c r="R25" t="s">
        <v>417</v>
      </c>
      <c r="U25" s="27"/>
      <c r="W25" s="72" t="s">
        <v>457</v>
      </c>
      <c r="X25" t="s">
        <v>453</v>
      </c>
      <c r="Y25" t="s">
        <v>417</v>
      </c>
      <c r="AB25" s="27"/>
      <c r="AD25" s="72" t="s">
        <v>457</v>
      </c>
      <c r="AE25" t="s">
        <v>453</v>
      </c>
      <c r="AF25" t="s">
        <v>417</v>
      </c>
      <c r="AI25" s="27"/>
      <c r="AK25" s="72" t="s">
        <v>466</v>
      </c>
      <c r="AL25">
        <v>4</v>
      </c>
      <c r="AM25" t="s">
        <v>417</v>
      </c>
      <c r="AN25" t="e">
        <f t="shared" si="0"/>
        <v>#VALUE!</v>
      </c>
      <c r="AP25" s="27"/>
    </row>
    <row r="26" spans="2:42" x14ac:dyDescent="0.25">
      <c r="B26" s="72" t="s">
        <v>458</v>
      </c>
      <c r="C26" t="s">
        <v>453</v>
      </c>
      <c r="D26" t="s">
        <v>417</v>
      </c>
      <c r="E26" t="e">
        <f t="shared" si="1"/>
        <v>#VALUE!</v>
      </c>
      <c r="G26" s="27"/>
      <c r="I26" s="72" t="s">
        <v>458</v>
      </c>
      <c r="J26" t="s">
        <v>453</v>
      </c>
      <c r="K26" t="s">
        <v>417</v>
      </c>
      <c r="N26" s="27"/>
      <c r="P26" s="72" t="s">
        <v>458</v>
      </c>
      <c r="Q26" t="s">
        <v>453</v>
      </c>
      <c r="R26" t="s">
        <v>417</v>
      </c>
      <c r="U26" s="27"/>
      <c r="W26" s="72" t="s">
        <v>458</v>
      </c>
      <c r="X26" t="s">
        <v>453</v>
      </c>
      <c r="Y26" t="s">
        <v>417</v>
      </c>
      <c r="AB26" s="27"/>
      <c r="AD26" s="72" t="s">
        <v>458</v>
      </c>
      <c r="AE26" t="s">
        <v>453</v>
      </c>
      <c r="AF26" t="s">
        <v>417</v>
      </c>
      <c r="AI26" s="27"/>
      <c r="AK26" s="72" t="s">
        <v>466</v>
      </c>
      <c r="AL26">
        <v>4</v>
      </c>
      <c r="AM26" t="s">
        <v>417</v>
      </c>
      <c r="AN26" t="e">
        <f t="shared" si="0"/>
        <v>#VALUE!</v>
      </c>
      <c r="AP26" s="27"/>
    </row>
    <row r="27" spans="2:42" x14ac:dyDescent="0.25">
      <c r="B27" s="72" t="s">
        <v>459</v>
      </c>
      <c r="C27" t="s">
        <v>453</v>
      </c>
      <c r="D27">
        <v>36.047465141534701</v>
      </c>
      <c r="E27">
        <f t="shared" si="1"/>
        <v>1.4080942490577333E-11</v>
      </c>
      <c r="G27" s="27"/>
      <c r="I27" s="72" t="s">
        <v>459</v>
      </c>
      <c r="J27" t="s">
        <v>453</v>
      </c>
      <c r="K27" t="s">
        <v>417</v>
      </c>
      <c r="N27" s="27"/>
      <c r="P27" s="72" t="s">
        <v>482</v>
      </c>
      <c r="Q27" t="s">
        <v>453</v>
      </c>
      <c r="R27" t="s">
        <v>417</v>
      </c>
      <c r="U27" s="27"/>
      <c r="W27" s="72" t="s">
        <v>459</v>
      </c>
      <c r="X27" t="s">
        <v>453</v>
      </c>
      <c r="Y27" t="s">
        <v>417</v>
      </c>
      <c r="AB27" s="27"/>
      <c r="AD27" s="72" t="s">
        <v>459</v>
      </c>
      <c r="AE27" t="s">
        <v>453</v>
      </c>
      <c r="AF27" t="s">
        <v>417</v>
      </c>
      <c r="AI27" s="27"/>
      <c r="AK27" s="72" t="s">
        <v>466</v>
      </c>
      <c r="AL27">
        <v>5</v>
      </c>
      <c r="AM27" t="s">
        <v>417</v>
      </c>
      <c r="AN27" t="e">
        <f t="shared" si="0"/>
        <v>#VALUE!</v>
      </c>
      <c r="AP27" s="27"/>
    </row>
    <row r="28" spans="2:42" x14ac:dyDescent="0.25">
      <c r="B28" s="72" t="s">
        <v>460</v>
      </c>
      <c r="C28" t="s">
        <v>453</v>
      </c>
      <c r="D28" t="s">
        <v>417</v>
      </c>
      <c r="E28" t="e">
        <f t="shared" si="1"/>
        <v>#VALUE!</v>
      </c>
      <c r="G28" s="27"/>
      <c r="I28" s="72" t="s">
        <v>460</v>
      </c>
      <c r="J28" t="s">
        <v>453</v>
      </c>
      <c r="K28" t="s">
        <v>417</v>
      </c>
      <c r="N28" s="27"/>
      <c r="P28" s="72" t="s">
        <v>483</v>
      </c>
      <c r="Q28" t="s">
        <v>453</v>
      </c>
      <c r="R28" t="s">
        <v>417</v>
      </c>
      <c r="U28" s="27"/>
      <c r="W28" s="72" t="s">
        <v>460</v>
      </c>
      <c r="X28" t="s">
        <v>453</v>
      </c>
      <c r="Y28" t="s">
        <v>417</v>
      </c>
      <c r="AB28" s="27"/>
      <c r="AD28" s="72" t="s">
        <v>460</v>
      </c>
      <c r="AE28" t="s">
        <v>453</v>
      </c>
      <c r="AF28" t="s">
        <v>417</v>
      </c>
      <c r="AI28" s="27"/>
      <c r="AK28" s="72" t="s">
        <v>466</v>
      </c>
      <c r="AL28">
        <v>5</v>
      </c>
      <c r="AM28" t="s">
        <v>417</v>
      </c>
      <c r="AN28" t="e">
        <f t="shared" si="0"/>
        <v>#VALUE!</v>
      </c>
      <c r="AP28" s="27"/>
    </row>
    <row r="29" spans="2:42" x14ac:dyDescent="0.25">
      <c r="B29" s="72" t="s">
        <v>461</v>
      </c>
      <c r="C29" t="s">
        <v>453</v>
      </c>
      <c r="D29" t="s">
        <v>417</v>
      </c>
      <c r="E29" t="e">
        <f t="shared" si="1"/>
        <v>#VALUE!</v>
      </c>
      <c r="G29" s="27"/>
      <c r="I29" s="72" t="s">
        <v>461</v>
      </c>
      <c r="J29" t="s">
        <v>453</v>
      </c>
      <c r="K29" t="s">
        <v>417</v>
      </c>
      <c r="N29" s="27"/>
      <c r="P29" s="72" t="s">
        <v>484</v>
      </c>
      <c r="Q29" t="s">
        <v>453</v>
      </c>
      <c r="R29" t="s">
        <v>417</v>
      </c>
      <c r="U29" s="27"/>
      <c r="W29" s="72" t="s">
        <v>461</v>
      </c>
      <c r="X29" t="s">
        <v>453</v>
      </c>
      <c r="Y29" t="s">
        <v>417</v>
      </c>
      <c r="AB29" s="27"/>
      <c r="AD29" s="72" t="s">
        <v>461</v>
      </c>
      <c r="AE29" t="s">
        <v>453</v>
      </c>
      <c r="AF29" t="s">
        <v>417</v>
      </c>
      <c r="AI29" s="27"/>
      <c r="AK29" s="72" t="s">
        <v>466</v>
      </c>
      <c r="AL29">
        <v>6</v>
      </c>
      <c r="AM29" t="s">
        <v>417</v>
      </c>
      <c r="AN29" t="e">
        <f t="shared" si="0"/>
        <v>#VALUE!</v>
      </c>
      <c r="AP29" s="27"/>
    </row>
    <row r="30" spans="2:42" x14ac:dyDescent="0.25">
      <c r="B30" s="72" t="s">
        <v>462</v>
      </c>
      <c r="C30" t="s">
        <v>453</v>
      </c>
      <c r="D30" t="s">
        <v>417</v>
      </c>
      <c r="E30" t="e">
        <f t="shared" si="1"/>
        <v>#VALUE!</v>
      </c>
      <c r="G30" s="27"/>
      <c r="I30" s="72" t="s">
        <v>462</v>
      </c>
      <c r="J30" t="s">
        <v>453</v>
      </c>
      <c r="K30" t="s">
        <v>417</v>
      </c>
      <c r="N30" s="27"/>
      <c r="P30" s="72" t="s">
        <v>485</v>
      </c>
      <c r="Q30" t="s">
        <v>453</v>
      </c>
      <c r="R30" t="s">
        <v>417</v>
      </c>
      <c r="U30" s="27"/>
      <c r="W30" s="72" t="s">
        <v>462</v>
      </c>
      <c r="X30" t="s">
        <v>453</v>
      </c>
      <c r="Y30" t="s">
        <v>417</v>
      </c>
      <c r="AB30" s="27"/>
      <c r="AD30" s="72" t="s">
        <v>462</v>
      </c>
      <c r="AE30" t="s">
        <v>453</v>
      </c>
      <c r="AF30" t="s">
        <v>417</v>
      </c>
      <c r="AI30" s="27"/>
      <c r="AK30" s="72" t="s">
        <v>466</v>
      </c>
      <c r="AL30">
        <v>6</v>
      </c>
      <c r="AM30" t="s">
        <v>417</v>
      </c>
      <c r="AN30" t="e">
        <f t="shared" si="0"/>
        <v>#VALUE!</v>
      </c>
      <c r="AP30" s="27"/>
    </row>
    <row r="31" spans="2:42" x14ac:dyDescent="0.25">
      <c r="B31" s="72" t="s">
        <v>463</v>
      </c>
      <c r="C31" t="s">
        <v>453</v>
      </c>
      <c r="D31" t="s">
        <v>417</v>
      </c>
      <c r="E31" t="e">
        <f t="shared" si="1"/>
        <v>#VALUE!</v>
      </c>
      <c r="G31" s="27"/>
      <c r="I31" s="72" t="s">
        <v>463</v>
      </c>
      <c r="J31" t="s">
        <v>453</v>
      </c>
      <c r="K31" t="s">
        <v>417</v>
      </c>
      <c r="N31" s="27"/>
      <c r="P31" s="72" t="s">
        <v>463</v>
      </c>
      <c r="Q31" t="s">
        <v>453</v>
      </c>
      <c r="R31" t="s">
        <v>417</v>
      </c>
      <c r="U31" s="27"/>
      <c r="W31" s="72" t="s">
        <v>463</v>
      </c>
      <c r="X31" t="s">
        <v>453</v>
      </c>
      <c r="Y31" t="s">
        <v>417</v>
      </c>
      <c r="AB31" s="27"/>
      <c r="AD31" s="72" t="s">
        <v>463</v>
      </c>
      <c r="AE31" t="s">
        <v>453</v>
      </c>
      <c r="AF31" t="s">
        <v>417</v>
      </c>
      <c r="AI31" s="27"/>
      <c r="AK31" s="72" t="s">
        <v>466</v>
      </c>
      <c r="AL31">
        <v>8</v>
      </c>
      <c r="AM31">
        <v>39.842599999999997</v>
      </c>
      <c r="AN31">
        <f t="shared" si="0"/>
        <v>1.0143370635552343E-12</v>
      </c>
      <c r="AO31">
        <f>AN31/AVERAGE(L$75,L$93)</f>
        <v>2.3395045839752649E-3</v>
      </c>
      <c r="AP31" s="27">
        <f>AO31</f>
        <v>2.3395045839752649E-3</v>
      </c>
    </row>
    <row r="32" spans="2:42" x14ac:dyDescent="0.25">
      <c r="B32" s="72" t="s">
        <v>464</v>
      </c>
      <c r="C32" t="s">
        <v>453</v>
      </c>
      <c r="D32">
        <v>38.7551044276114</v>
      </c>
      <c r="E32">
        <f t="shared" si="1"/>
        <v>2.1555151627421924E-12</v>
      </c>
      <c r="G32" s="27"/>
      <c r="I32" s="72" t="s">
        <v>464</v>
      </c>
      <c r="J32" t="s">
        <v>453</v>
      </c>
      <c r="K32" t="s">
        <v>417</v>
      </c>
      <c r="N32" s="27"/>
      <c r="P32" s="72" t="s">
        <v>464</v>
      </c>
      <c r="Q32" t="s">
        <v>453</v>
      </c>
      <c r="R32" t="s">
        <v>417</v>
      </c>
      <c r="U32" s="27"/>
      <c r="W32" s="72" t="s">
        <v>464</v>
      </c>
      <c r="X32" t="s">
        <v>453</v>
      </c>
      <c r="Y32" t="s">
        <v>417</v>
      </c>
      <c r="AB32" s="27"/>
      <c r="AD32" s="72" t="s">
        <v>464</v>
      </c>
      <c r="AE32" t="s">
        <v>453</v>
      </c>
      <c r="AF32" t="s">
        <v>417</v>
      </c>
      <c r="AI32" s="27"/>
      <c r="AK32" s="72" t="s">
        <v>466</v>
      </c>
      <c r="AL32">
        <v>8</v>
      </c>
      <c r="AM32" t="s">
        <v>417</v>
      </c>
      <c r="AN32" t="e">
        <f t="shared" si="0"/>
        <v>#VALUE!</v>
      </c>
      <c r="AO32" t="e">
        <f>AN21/AVERAGE(L$75,L$93)</f>
        <v>#VALUE!</v>
      </c>
      <c r="AP32" s="27"/>
    </row>
    <row r="33" spans="2:42" x14ac:dyDescent="0.25">
      <c r="B33" s="72" t="s">
        <v>465</v>
      </c>
      <c r="C33" t="s">
        <v>453</v>
      </c>
      <c r="D33" t="s">
        <v>417</v>
      </c>
      <c r="E33" t="e">
        <f t="shared" si="1"/>
        <v>#VALUE!</v>
      </c>
      <c r="G33" s="27"/>
      <c r="I33" s="72" t="s">
        <v>465</v>
      </c>
      <c r="J33" t="s">
        <v>453</v>
      </c>
      <c r="K33">
        <v>39.735037817884198</v>
      </c>
      <c r="N33" s="27"/>
      <c r="P33" s="72" t="s">
        <v>465</v>
      </c>
      <c r="Q33" t="s">
        <v>453</v>
      </c>
      <c r="R33" t="s">
        <v>417</v>
      </c>
      <c r="U33" s="27"/>
      <c r="W33" s="72" t="s">
        <v>465</v>
      </c>
      <c r="X33" t="s">
        <v>453</v>
      </c>
      <c r="Y33" t="s">
        <v>417</v>
      </c>
      <c r="AB33" s="27"/>
      <c r="AD33" s="72" t="s">
        <v>465</v>
      </c>
      <c r="AE33" t="s">
        <v>453</v>
      </c>
      <c r="AF33" t="s">
        <v>417</v>
      </c>
      <c r="AI33" s="27"/>
      <c r="AK33" s="72" t="s">
        <v>466</v>
      </c>
      <c r="AL33">
        <v>10</v>
      </c>
      <c r="AM33" t="s">
        <v>417</v>
      </c>
      <c r="AN33" t="e">
        <f t="shared" si="0"/>
        <v>#VALUE!</v>
      </c>
      <c r="AP33" s="27"/>
    </row>
    <row r="34" spans="2:42" x14ac:dyDescent="0.25">
      <c r="B34" s="72" t="s">
        <v>466</v>
      </c>
      <c r="C34" t="s">
        <v>453</v>
      </c>
      <c r="D34" t="s">
        <v>417</v>
      </c>
      <c r="E34" t="e">
        <f t="shared" si="1"/>
        <v>#VALUE!</v>
      </c>
      <c r="G34" s="27"/>
      <c r="I34" s="72" t="s">
        <v>466</v>
      </c>
      <c r="J34" t="s">
        <v>453</v>
      </c>
      <c r="K34" t="s">
        <v>417</v>
      </c>
      <c r="N34" s="27"/>
      <c r="P34" s="72" t="s">
        <v>466</v>
      </c>
      <c r="Q34" t="s">
        <v>453</v>
      </c>
      <c r="R34" t="s">
        <v>417</v>
      </c>
      <c r="U34" s="27"/>
      <c r="W34" s="72" t="s">
        <v>466</v>
      </c>
      <c r="X34" t="s">
        <v>453</v>
      </c>
      <c r="Y34" t="s">
        <v>417</v>
      </c>
      <c r="AB34" s="27"/>
      <c r="AD34" s="72" t="s">
        <v>466</v>
      </c>
      <c r="AE34" t="s">
        <v>453</v>
      </c>
      <c r="AF34" t="s">
        <v>417</v>
      </c>
      <c r="AI34" s="27"/>
      <c r="AK34" s="72" t="s">
        <v>466</v>
      </c>
      <c r="AL34">
        <v>10</v>
      </c>
      <c r="AM34" t="s">
        <v>417</v>
      </c>
      <c r="AN34" t="e">
        <f t="shared" si="0"/>
        <v>#VALUE!</v>
      </c>
      <c r="AP34" s="27"/>
    </row>
    <row r="35" spans="2:42" x14ac:dyDescent="0.25">
      <c r="B35" s="72" t="s">
        <v>467</v>
      </c>
      <c r="C35" t="s">
        <v>453</v>
      </c>
      <c r="D35" t="s">
        <v>417</v>
      </c>
      <c r="E35" t="e">
        <f t="shared" si="1"/>
        <v>#VALUE!</v>
      </c>
      <c r="G35" s="27"/>
      <c r="I35" s="72" t="s">
        <v>467</v>
      </c>
      <c r="J35" t="s">
        <v>453</v>
      </c>
      <c r="K35" t="s">
        <v>417</v>
      </c>
      <c r="N35" s="27"/>
      <c r="P35" s="72" t="s">
        <v>467</v>
      </c>
      <c r="Q35" t="s">
        <v>453</v>
      </c>
      <c r="R35" t="s">
        <v>417</v>
      </c>
      <c r="U35" s="27"/>
      <c r="W35" s="72" t="s">
        <v>467</v>
      </c>
      <c r="X35" t="s">
        <v>453</v>
      </c>
      <c r="Y35" t="s">
        <v>417</v>
      </c>
      <c r="AB35" s="27"/>
      <c r="AD35" s="72" t="s">
        <v>467</v>
      </c>
      <c r="AE35" t="s">
        <v>453</v>
      </c>
      <c r="AF35" t="s">
        <v>417</v>
      </c>
      <c r="AI35" s="27"/>
      <c r="AK35" s="72" t="s">
        <v>466</v>
      </c>
      <c r="AL35">
        <v>7</v>
      </c>
      <c r="AM35" t="s">
        <v>417</v>
      </c>
      <c r="AN35" t="e">
        <f t="shared" si="0"/>
        <v>#VALUE!</v>
      </c>
      <c r="AP35" s="27"/>
    </row>
    <row r="36" spans="2:42" x14ac:dyDescent="0.25">
      <c r="B36" s="72" t="s">
        <v>468</v>
      </c>
      <c r="C36" t="s">
        <v>453</v>
      </c>
      <c r="D36" t="s">
        <v>417</v>
      </c>
      <c r="E36" t="e">
        <f t="shared" si="1"/>
        <v>#VALUE!</v>
      </c>
      <c r="G36" s="27"/>
      <c r="I36" s="72" t="s">
        <v>468</v>
      </c>
      <c r="J36" t="s">
        <v>453</v>
      </c>
      <c r="K36" t="s">
        <v>417</v>
      </c>
      <c r="N36" s="27"/>
      <c r="P36" s="72" t="s">
        <v>468</v>
      </c>
      <c r="Q36" t="s">
        <v>453</v>
      </c>
      <c r="R36" t="s">
        <v>417</v>
      </c>
      <c r="U36" s="27"/>
      <c r="W36" s="72" t="s">
        <v>468</v>
      </c>
      <c r="X36" t="s">
        <v>453</v>
      </c>
      <c r="Y36" t="s">
        <v>417</v>
      </c>
      <c r="AB36" s="27"/>
      <c r="AD36" s="72" t="s">
        <v>468</v>
      </c>
      <c r="AE36" t="s">
        <v>453</v>
      </c>
      <c r="AF36" t="s">
        <v>417</v>
      </c>
      <c r="AI36" s="27"/>
      <c r="AK36" s="72" t="s">
        <v>466</v>
      </c>
      <c r="AL36">
        <v>7</v>
      </c>
      <c r="AM36" t="s">
        <v>417</v>
      </c>
      <c r="AN36" t="e">
        <f t="shared" si="0"/>
        <v>#VALUE!</v>
      </c>
      <c r="AP36" s="27"/>
    </row>
    <row r="37" spans="2:42" x14ac:dyDescent="0.25">
      <c r="B37" s="72" t="s">
        <v>486</v>
      </c>
      <c r="C37" t="s">
        <v>453</v>
      </c>
      <c r="D37" t="s">
        <v>417</v>
      </c>
      <c r="E37" t="e">
        <f t="shared" si="1"/>
        <v>#VALUE!</v>
      </c>
      <c r="G37" s="27"/>
      <c r="I37" s="72" t="s">
        <v>486</v>
      </c>
      <c r="J37" t="s">
        <v>453</v>
      </c>
      <c r="K37" t="s">
        <v>417</v>
      </c>
      <c r="N37" s="27"/>
      <c r="P37" s="72" t="s">
        <v>486</v>
      </c>
      <c r="Q37" t="s">
        <v>453</v>
      </c>
      <c r="R37" t="s">
        <v>417</v>
      </c>
      <c r="U37" s="27"/>
      <c r="W37" s="72" t="s">
        <v>486</v>
      </c>
      <c r="X37" t="s">
        <v>453</v>
      </c>
      <c r="Y37" t="s">
        <v>417</v>
      </c>
      <c r="AB37" s="27"/>
      <c r="AD37" s="72" t="s">
        <v>486</v>
      </c>
      <c r="AE37" t="s">
        <v>453</v>
      </c>
      <c r="AF37" t="s">
        <v>417</v>
      </c>
      <c r="AI37" s="27"/>
      <c r="AK37" s="72" t="s">
        <v>466</v>
      </c>
      <c r="AL37">
        <v>8</v>
      </c>
      <c r="AM37" t="s">
        <v>417</v>
      </c>
      <c r="AN37" t="e">
        <f t="shared" si="0"/>
        <v>#VALUE!</v>
      </c>
      <c r="AP37" s="27"/>
    </row>
    <row r="38" spans="2:42" ht="15.75" thickBot="1" x14ac:dyDescent="0.3">
      <c r="B38" s="73" t="s">
        <v>470</v>
      </c>
      <c r="C38" s="2" t="s">
        <v>453</v>
      </c>
      <c r="D38" s="2" t="s">
        <v>417</v>
      </c>
      <c r="E38" s="2" t="e">
        <f t="shared" si="1"/>
        <v>#VALUE!</v>
      </c>
      <c r="F38" s="2"/>
      <c r="G38" s="8"/>
      <c r="I38" s="73" t="s">
        <v>470</v>
      </c>
      <c r="J38" s="2" t="s">
        <v>453</v>
      </c>
      <c r="K38" s="2" t="s">
        <v>417</v>
      </c>
      <c r="L38" s="2"/>
      <c r="M38" s="2"/>
      <c r="N38" s="8"/>
      <c r="P38" s="73" t="s">
        <v>470</v>
      </c>
      <c r="Q38" s="2" t="s">
        <v>453</v>
      </c>
      <c r="R38" s="2" t="s">
        <v>417</v>
      </c>
      <c r="S38" s="2"/>
      <c r="T38" s="2"/>
      <c r="U38" s="8"/>
      <c r="W38" s="73" t="s">
        <v>470</v>
      </c>
      <c r="X38" s="2" t="s">
        <v>453</v>
      </c>
      <c r="Y38" s="2" t="s">
        <v>417</v>
      </c>
      <c r="Z38" s="2"/>
      <c r="AA38" s="2"/>
      <c r="AB38" s="8"/>
      <c r="AD38" s="73" t="s">
        <v>470</v>
      </c>
      <c r="AE38" s="2" t="s">
        <v>453</v>
      </c>
      <c r="AF38" s="2" t="s">
        <v>417</v>
      </c>
      <c r="AG38" s="2"/>
      <c r="AH38" s="2"/>
      <c r="AI38" s="8"/>
      <c r="AK38" s="212" t="s">
        <v>466</v>
      </c>
      <c r="AL38" s="60">
        <v>8</v>
      </c>
      <c r="AM38" s="60" t="s">
        <v>417</v>
      </c>
      <c r="AN38" s="60" t="e">
        <f t="shared" si="0"/>
        <v>#VALUE!</v>
      </c>
      <c r="AO38" s="60"/>
      <c r="AP38" s="61"/>
    </row>
    <row r="39" spans="2:42" x14ac:dyDescent="0.25">
      <c r="B39" s="71" t="s">
        <v>452</v>
      </c>
      <c r="C39" s="50">
        <v>24</v>
      </c>
      <c r="D39" s="50">
        <v>21.305424812281</v>
      </c>
      <c r="E39" s="50">
        <f t="shared" si="1"/>
        <v>3.8585849063713259E-7</v>
      </c>
      <c r="F39" s="50"/>
      <c r="G39" s="25"/>
      <c r="I39" s="71" t="s">
        <v>452</v>
      </c>
      <c r="J39" s="50">
        <v>7</v>
      </c>
      <c r="K39" s="50">
        <v>21.968466716311902</v>
      </c>
      <c r="L39" s="50">
        <f t="shared" ref="L39:L102" si="2">2^(-K39)</f>
        <v>2.4368711121323116E-7</v>
      </c>
      <c r="M39" s="50"/>
      <c r="N39" s="25"/>
      <c r="P39" s="71" t="s">
        <v>452</v>
      </c>
      <c r="Q39" s="50">
        <v>1</v>
      </c>
      <c r="R39" s="50">
        <v>35.0377862935472</v>
      </c>
      <c r="S39" s="50">
        <f t="shared" ref="S39:S74" si="3">2^(-R39)</f>
        <v>2.835145448645012E-11</v>
      </c>
      <c r="T39" s="50"/>
      <c r="U39" s="25"/>
      <c r="W39" s="71" t="s">
        <v>452</v>
      </c>
      <c r="X39" s="50">
        <v>1</v>
      </c>
      <c r="Y39" s="50">
        <v>32.906559095017101</v>
      </c>
      <c r="Z39" s="50">
        <f t="shared" ref="Z39:Z102" si="4">2^(-Y39)</f>
        <v>1.2420487963922874E-10</v>
      </c>
      <c r="AA39" s="50"/>
      <c r="AB39" s="25"/>
      <c r="AD39" s="71" t="s">
        <v>452</v>
      </c>
      <c r="AE39" s="50">
        <v>9</v>
      </c>
      <c r="AF39" s="50" t="s">
        <v>417</v>
      </c>
      <c r="AG39" s="50" t="e">
        <f t="shared" ref="AG39:AG102" si="5">2^(-AF39)</f>
        <v>#VALUE!</v>
      </c>
      <c r="AH39" s="50"/>
      <c r="AI39" s="25"/>
      <c r="AK39" s="72" t="s">
        <v>467</v>
      </c>
      <c r="AL39">
        <v>1</v>
      </c>
      <c r="AM39">
        <v>32.399246780793902</v>
      </c>
      <c r="AN39">
        <f t="shared" si="0"/>
        <v>1.7654478040835962E-10</v>
      </c>
      <c r="AO39">
        <f>AN39/AVERAGE($L$39,$L$57)</f>
        <v>6.2347098146845208E-4</v>
      </c>
      <c r="AP39" s="27">
        <f>AVERAGE(AO39:AO40)</f>
        <v>5.1445942444099449E-4</v>
      </c>
    </row>
    <row r="40" spans="2:42" x14ac:dyDescent="0.25">
      <c r="B40" s="72" t="s">
        <v>454</v>
      </c>
      <c r="C40">
        <v>24</v>
      </c>
      <c r="D40">
        <v>26.7764113245528</v>
      </c>
      <c r="E40">
        <f t="shared" si="1"/>
        <v>8.6995545379855569E-9</v>
      </c>
      <c r="F40">
        <f>E40/$E$39</f>
        <v>2.2545971513081867E-2</v>
      </c>
      <c r="G40" s="27">
        <f>AVERAGE(F40,F58)</f>
        <v>2.2536027372937889E-2</v>
      </c>
      <c r="I40" s="72" t="s">
        <v>454</v>
      </c>
      <c r="J40">
        <v>7</v>
      </c>
      <c r="K40">
        <v>27.441377591757899</v>
      </c>
      <c r="L40">
        <f t="shared" si="2"/>
        <v>5.4868390711834815E-9</v>
      </c>
      <c r="M40">
        <f>L40/$L$39</f>
        <v>2.2515918235751033E-2</v>
      </c>
      <c r="N40" s="27">
        <f>_xlfn.AGGREGATE(1,6,(M40,M58))</f>
        <v>2.3666100230275083E-2</v>
      </c>
      <c r="P40" s="72" t="s">
        <v>454</v>
      </c>
      <c r="Q40">
        <v>1</v>
      </c>
      <c r="R40" t="s">
        <v>417</v>
      </c>
      <c r="S40" t="e">
        <f t="shared" si="3"/>
        <v>#VALUE!</v>
      </c>
      <c r="T40" t="e">
        <f>S40/$S$39</f>
        <v>#VALUE!</v>
      </c>
      <c r="U40" s="27">
        <f>_xlfn.AGGREGATE(1,6,(T40,T58))</f>
        <v>0.81345930725524962</v>
      </c>
      <c r="W40" s="72" t="s">
        <v>454</v>
      </c>
      <c r="X40">
        <v>1</v>
      </c>
      <c r="Y40">
        <v>34.7661422318372</v>
      </c>
      <c r="Z40">
        <f t="shared" si="4"/>
        <v>3.4225385985225055E-11</v>
      </c>
      <c r="AA40">
        <f>Z40/$Z$39</f>
        <v>0.27555588866264918</v>
      </c>
      <c r="AB40" s="27">
        <f>_xlfn.AGGREGATE(1,6,(AA40,AA58))</f>
        <v>0.18201230455440548</v>
      </c>
      <c r="AD40" s="72" t="s">
        <v>454</v>
      </c>
      <c r="AE40">
        <v>9</v>
      </c>
      <c r="AF40" t="s">
        <v>417</v>
      </c>
      <c r="AG40" t="e">
        <f t="shared" si="5"/>
        <v>#VALUE!</v>
      </c>
      <c r="AH40" t="e">
        <f>AG40/$Z$39</f>
        <v>#VALUE!</v>
      </c>
      <c r="AI40" s="27">
        <f>_xlfn.AGGREGATE(1,6,(AH40,AH58))</f>
        <v>7.027099857022584E-2</v>
      </c>
      <c r="AK40" s="72" t="s">
        <v>467</v>
      </c>
      <c r="AL40">
        <v>1</v>
      </c>
      <c r="AM40">
        <v>33.020052770027398</v>
      </c>
      <c r="AN40">
        <f t="shared" si="0"/>
        <v>1.1480839822082807E-10</v>
      </c>
      <c r="AO40">
        <f>AN40/AVERAGE($L$39,$L$57)</f>
        <v>4.0544786741353685E-4</v>
      </c>
      <c r="AP40" s="27"/>
    </row>
    <row r="41" spans="2:42" x14ac:dyDescent="0.25">
      <c r="B41" s="72" t="s">
        <v>455</v>
      </c>
      <c r="C41">
        <v>24</v>
      </c>
      <c r="D41">
        <v>36.981774183965904</v>
      </c>
      <c r="E41">
        <f t="shared" si="1"/>
        <v>7.3684591088940885E-12</v>
      </c>
      <c r="F41">
        <f t="shared" ref="F41:F56" si="6">E41/$E$39</f>
        <v>1.9096273083759878E-5</v>
      </c>
      <c r="G41" s="27">
        <f t="shared" ref="G41:G56" si="7">AVERAGE(F41,F59)</f>
        <v>3.0180805751489756E-5</v>
      </c>
      <c r="I41" s="72" t="s">
        <v>455</v>
      </c>
      <c r="J41">
        <v>7</v>
      </c>
      <c r="K41">
        <v>35.444404035664597</v>
      </c>
      <c r="L41">
        <f t="shared" si="2"/>
        <v>2.138805079428463E-11</v>
      </c>
      <c r="M41">
        <f t="shared" ref="M41:M56" si="8">L41/$L$39</f>
        <v>8.7768494147274183E-5</v>
      </c>
      <c r="N41" s="27">
        <f>_xlfn.AGGREGATE(1,6,(M41,M59))</f>
        <v>9.6402966779756012E-5</v>
      </c>
      <c r="P41" s="72" t="s">
        <v>455</v>
      </c>
      <c r="Q41">
        <v>1</v>
      </c>
      <c r="R41" t="s">
        <v>417</v>
      </c>
      <c r="S41" t="e">
        <f t="shared" si="3"/>
        <v>#VALUE!</v>
      </c>
      <c r="T41" t="e">
        <f t="shared" ref="T41:T56" si="9">S41/$S$39</f>
        <v>#VALUE!</v>
      </c>
      <c r="U41" s="27" t="e">
        <f>_xlfn.AGGREGATE(1,6,(T41,T59))</f>
        <v>#DIV/0!</v>
      </c>
      <c r="W41" s="72" t="s">
        <v>455</v>
      </c>
      <c r="X41">
        <v>1</v>
      </c>
      <c r="Y41" t="s">
        <v>417</v>
      </c>
      <c r="Z41" t="e">
        <f t="shared" si="4"/>
        <v>#VALUE!</v>
      </c>
      <c r="AA41" t="e">
        <f t="shared" ref="AA41:AA56" si="10">Z41/$Z$39</f>
        <v>#VALUE!</v>
      </c>
      <c r="AB41" s="27" t="e">
        <f>_xlfn.AGGREGATE(1,6,(AA41,AA59))</f>
        <v>#DIV/0!</v>
      </c>
      <c r="AD41" s="72" t="s">
        <v>455</v>
      </c>
      <c r="AE41">
        <v>9</v>
      </c>
      <c r="AF41" t="s">
        <v>417</v>
      </c>
      <c r="AG41" t="e">
        <f t="shared" si="5"/>
        <v>#VALUE!</v>
      </c>
      <c r="AH41" t="e">
        <f t="shared" ref="AH41:AH56" si="11">AG41/$Z$39</f>
        <v>#VALUE!</v>
      </c>
      <c r="AI41" s="27" t="e">
        <f>_xlfn.AGGREGATE(1,6,(AH41,AH59))</f>
        <v>#DIV/0!</v>
      </c>
      <c r="AK41" s="72" t="s">
        <v>467</v>
      </c>
      <c r="AL41">
        <v>2</v>
      </c>
      <c r="AM41">
        <v>32.405780055264799</v>
      </c>
      <c r="AN41">
        <f t="shared" si="0"/>
        <v>1.757471012183927E-10</v>
      </c>
      <c r="AO41">
        <f>AN41/AVERAGE($L$75,$L$93)</f>
        <v>0.40534962557680948</v>
      </c>
      <c r="AP41" s="27">
        <f>AVERAGE(AO41:AO42)</f>
        <v>0.43510546197254374</v>
      </c>
    </row>
    <row r="42" spans="2:42" x14ac:dyDescent="0.25">
      <c r="B42" s="72" t="s">
        <v>481</v>
      </c>
      <c r="C42">
        <v>24</v>
      </c>
      <c r="D42">
        <v>20.473107032055299</v>
      </c>
      <c r="E42">
        <f t="shared" si="1"/>
        <v>6.8703787408502549E-7</v>
      </c>
      <c r="F42">
        <f t="shared" si="6"/>
        <v>1.7805436209284475</v>
      </c>
      <c r="G42" s="27">
        <f t="shared" si="7"/>
        <v>1.6348934973666074</v>
      </c>
      <c r="I42" s="72" t="s">
        <v>481</v>
      </c>
      <c r="J42">
        <v>7</v>
      </c>
      <c r="K42">
        <v>22.228664549698902</v>
      </c>
      <c r="L42">
        <f t="shared" si="2"/>
        <v>2.034722591078031E-7</v>
      </c>
      <c r="M42">
        <f t="shared" si="8"/>
        <v>0.8349734136318796</v>
      </c>
      <c r="N42" s="27">
        <f>_xlfn.AGGREGATE(1,6,(M42,M60))</f>
        <v>0.78040132312668142</v>
      </c>
      <c r="P42" s="72" t="s">
        <v>481</v>
      </c>
      <c r="Q42">
        <v>1</v>
      </c>
      <c r="R42">
        <v>31.3487022219403</v>
      </c>
      <c r="S42">
        <f t="shared" si="3"/>
        <v>3.6567924032028025E-10</v>
      </c>
      <c r="T42">
        <f t="shared" si="9"/>
        <v>12.898076904486421</v>
      </c>
      <c r="U42" s="27">
        <f>_xlfn.AGGREGATE(1,6,(T42,T60))</f>
        <v>13.041844624796727</v>
      </c>
      <c r="W42" s="72" t="s">
        <v>481</v>
      </c>
      <c r="X42">
        <v>1</v>
      </c>
      <c r="Y42">
        <v>28.2459836289005</v>
      </c>
      <c r="Z42">
        <f t="shared" si="4"/>
        <v>3.1413163205166059E-9</v>
      </c>
      <c r="AA42">
        <f t="shared" si="10"/>
        <v>25.291408273499552</v>
      </c>
      <c r="AB42" s="27">
        <f>_xlfn.AGGREGATE(1,6,(AA42,AA60))</f>
        <v>20.504124881784918</v>
      </c>
      <c r="AD42" s="72" t="s">
        <v>481</v>
      </c>
      <c r="AE42">
        <v>9</v>
      </c>
      <c r="AF42">
        <v>33.141326254454</v>
      </c>
      <c r="AG42">
        <f t="shared" si="5"/>
        <v>1.0555205701455626E-10</v>
      </c>
      <c r="AH42">
        <f t="shared" si="11"/>
        <v>0.84982214322937777</v>
      </c>
      <c r="AI42" s="27">
        <f>_xlfn.AGGREGATE(1,6,(AH42,AH60))</f>
        <v>1.0340626082665501</v>
      </c>
      <c r="AK42" s="72" t="s">
        <v>467</v>
      </c>
      <c r="AL42">
        <v>2</v>
      </c>
      <c r="AM42">
        <v>32.208146545203299</v>
      </c>
      <c r="AN42">
        <f t="shared" si="0"/>
        <v>2.0154952786890462E-10</v>
      </c>
      <c r="AO42">
        <f>AN42/AVERAGE($L$75,$L$93)</f>
        <v>0.46486129836827805</v>
      </c>
      <c r="AP42" s="27"/>
    </row>
    <row r="43" spans="2:42" x14ac:dyDescent="0.25">
      <c r="B43" s="72" t="s">
        <v>457</v>
      </c>
      <c r="C43">
        <v>24</v>
      </c>
      <c r="D43">
        <v>33.049490229684899</v>
      </c>
      <c r="E43">
        <f t="shared" si="1"/>
        <v>1.1248952928368512E-10</v>
      </c>
      <c r="F43">
        <f t="shared" si="6"/>
        <v>2.9153052741677786E-4</v>
      </c>
      <c r="G43" s="27">
        <f t="shared" si="7"/>
        <v>2.2272163341129569E-4</v>
      </c>
      <c r="I43" s="72" t="s">
        <v>457</v>
      </c>
      <c r="J43">
        <v>7</v>
      </c>
      <c r="K43">
        <v>35.2707116552386</v>
      </c>
      <c r="L43">
        <f t="shared" si="2"/>
        <v>2.4124472356606157E-11</v>
      </c>
      <c r="M43">
        <f t="shared" si="8"/>
        <v>9.8997736222071901E-5</v>
      </c>
      <c r="N43" s="27">
        <f>_xlfn.AGGREGATE(1,6,(M43,M61))</f>
        <v>2.5048585644732831E-4</v>
      </c>
      <c r="P43" s="72" t="s">
        <v>457</v>
      </c>
      <c r="Q43">
        <v>1</v>
      </c>
      <c r="R43" t="s">
        <v>417</v>
      </c>
      <c r="S43" t="e">
        <f t="shared" si="3"/>
        <v>#VALUE!</v>
      </c>
      <c r="T43" t="e">
        <f t="shared" si="9"/>
        <v>#VALUE!</v>
      </c>
      <c r="U43" s="27" t="e">
        <f>_xlfn.AGGREGATE(1,6,(T43,T61))</f>
        <v>#DIV/0!</v>
      </c>
      <c r="W43" s="72" t="s">
        <v>457</v>
      </c>
      <c r="X43">
        <v>1</v>
      </c>
      <c r="Y43" t="s">
        <v>417</v>
      </c>
      <c r="Z43" t="e">
        <f t="shared" si="4"/>
        <v>#VALUE!</v>
      </c>
      <c r="AA43" t="e">
        <f t="shared" si="10"/>
        <v>#VALUE!</v>
      </c>
      <c r="AB43" s="27" t="e">
        <f>_xlfn.AGGREGATE(1,6,(AA43,AA61))</f>
        <v>#DIV/0!</v>
      </c>
      <c r="AD43" s="72" t="s">
        <v>457</v>
      </c>
      <c r="AE43">
        <v>9</v>
      </c>
      <c r="AF43" t="s">
        <v>417</v>
      </c>
      <c r="AG43" t="e">
        <f t="shared" si="5"/>
        <v>#VALUE!</v>
      </c>
      <c r="AH43" t="e">
        <f t="shared" si="11"/>
        <v>#VALUE!</v>
      </c>
      <c r="AI43" s="27" t="e">
        <f>_xlfn.AGGREGATE(1,6,(AH43,AH61))</f>
        <v>#DIV/0!</v>
      </c>
      <c r="AK43" s="72" t="s">
        <v>467</v>
      </c>
      <c r="AL43">
        <v>3</v>
      </c>
      <c r="AM43">
        <v>32.654286660802498</v>
      </c>
      <c r="AN43">
        <f t="shared" si="0"/>
        <v>1.4793816520584687E-10</v>
      </c>
      <c r="AO43">
        <f>AN43/AVERAGE($L$111,$L$129)</f>
        <v>1.2470979971345638E-2</v>
      </c>
      <c r="AP43" s="27">
        <f>AVERAGE(AO43:AO44)</f>
        <v>1.1926489809064144E-2</v>
      </c>
    </row>
    <row r="44" spans="2:42" x14ac:dyDescent="0.25">
      <c r="B44" s="72" t="s">
        <v>458</v>
      </c>
      <c r="C44">
        <v>24</v>
      </c>
      <c r="D44">
        <v>23.453545599178401</v>
      </c>
      <c r="E44">
        <f t="shared" si="1"/>
        <v>8.705210354754238E-8</v>
      </c>
      <c r="F44">
        <f t="shared" si="6"/>
        <v>0.22560629261727858</v>
      </c>
      <c r="G44" s="27">
        <f t="shared" si="7"/>
        <v>0.19712124678875284</v>
      </c>
      <c r="I44" s="72" t="s">
        <v>458</v>
      </c>
      <c r="J44">
        <v>7</v>
      </c>
      <c r="K44">
        <v>23.495427746343399</v>
      </c>
      <c r="L44">
        <f t="shared" si="2"/>
        <v>8.456126815215874E-8</v>
      </c>
      <c r="M44">
        <f t="shared" si="8"/>
        <v>0.34700755296888031</v>
      </c>
      <c r="N44" s="27">
        <f>_xlfn.AGGREGATE(1,6,(M44,M62))</f>
        <v>0.39287475312044379</v>
      </c>
      <c r="P44" s="72" t="s">
        <v>458</v>
      </c>
      <c r="Q44">
        <v>1</v>
      </c>
      <c r="R44">
        <v>35.621687560709901</v>
      </c>
      <c r="S44">
        <f t="shared" si="3"/>
        <v>1.8914878156586722E-11</v>
      </c>
      <c r="T44">
        <f t="shared" si="9"/>
        <v>0.66715724110826913</v>
      </c>
      <c r="U44" s="27">
        <f>_xlfn.AGGREGATE(1,6,(T44,T62))</f>
        <v>0.62487794019193232</v>
      </c>
      <c r="W44" s="72" t="s">
        <v>458</v>
      </c>
      <c r="X44">
        <v>1</v>
      </c>
      <c r="Y44">
        <v>35.216180243676497</v>
      </c>
      <c r="Z44">
        <f t="shared" si="4"/>
        <v>2.5053788908696318E-11</v>
      </c>
      <c r="AA44">
        <f t="shared" si="10"/>
        <v>0.20171340273803023</v>
      </c>
      <c r="AB44" s="27">
        <f>_xlfn.AGGREGATE(1,6,(AA44,AA62))</f>
        <v>0.26281521133355629</v>
      </c>
      <c r="AD44" s="72" t="s">
        <v>458</v>
      </c>
      <c r="AE44">
        <v>9</v>
      </c>
      <c r="AF44" t="s">
        <v>417</v>
      </c>
      <c r="AG44" t="e">
        <f t="shared" si="5"/>
        <v>#VALUE!</v>
      </c>
      <c r="AH44" t="e">
        <f t="shared" si="11"/>
        <v>#VALUE!</v>
      </c>
      <c r="AI44" s="27" t="e">
        <f>_xlfn.AGGREGATE(1,6,(AH44,AH62))</f>
        <v>#DIV/0!</v>
      </c>
      <c r="AK44" s="72" t="s">
        <v>467</v>
      </c>
      <c r="AL44">
        <v>3</v>
      </c>
      <c r="AM44">
        <v>32.786107457790003</v>
      </c>
      <c r="AN44">
        <f t="shared" si="0"/>
        <v>1.3502003435075154E-10</v>
      </c>
      <c r="AO44">
        <f>AN44/AVERAGE($L$111,$L$129)</f>
        <v>1.138199964678265E-2</v>
      </c>
      <c r="AP44" s="27"/>
    </row>
    <row r="45" spans="2:42" x14ac:dyDescent="0.25">
      <c r="B45" s="72" t="s">
        <v>459</v>
      </c>
      <c r="C45">
        <v>24</v>
      </c>
      <c r="D45">
        <v>19.2174813218714</v>
      </c>
      <c r="E45">
        <f t="shared" si="1"/>
        <v>1.6404450258413023E-6</v>
      </c>
      <c r="F45">
        <f t="shared" si="6"/>
        <v>4.2514161684833898</v>
      </c>
      <c r="G45" s="27">
        <f t="shared" si="7"/>
        <v>3.7940775657099746</v>
      </c>
      <c r="I45" s="72" t="s">
        <v>459</v>
      </c>
      <c r="J45">
        <v>7</v>
      </c>
      <c r="K45">
        <v>21.440083607996499</v>
      </c>
      <c r="L45">
        <f t="shared" si="2"/>
        <v>3.514728026302165E-7</v>
      </c>
      <c r="M45">
        <f t="shared" si="8"/>
        <v>1.4423118271637709</v>
      </c>
      <c r="N45" s="27">
        <f>_xlfn.AGGREGATE(1,6,(M45,M63))</f>
        <v>1.437275881428822</v>
      </c>
      <c r="P45" s="72" t="s">
        <v>482</v>
      </c>
      <c r="Q45">
        <v>1</v>
      </c>
      <c r="R45">
        <v>39.143154225935902</v>
      </c>
      <c r="S45">
        <f t="shared" si="3"/>
        <v>1.6471625254181118E-12</v>
      </c>
      <c r="T45">
        <f t="shared" si="9"/>
        <v>5.8097990217938648E-2</v>
      </c>
      <c r="U45" s="27">
        <f>_xlfn.AGGREGATE(1,6,(T45,T63))</f>
        <v>0.48307874638196152</v>
      </c>
      <c r="W45" s="72" t="s">
        <v>459</v>
      </c>
      <c r="X45">
        <v>1</v>
      </c>
      <c r="Y45">
        <v>36.053054464913401</v>
      </c>
      <c r="Z45">
        <f t="shared" si="4"/>
        <v>1.4026495307269745E-11</v>
      </c>
      <c r="AA45">
        <f t="shared" si="10"/>
        <v>0.11293030795578848</v>
      </c>
      <c r="AB45" s="27">
        <f>_xlfn.AGGREGATE(1,6,(AA45,AA63))</f>
        <v>0.11293030795578848</v>
      </c>
      <c r="AD45" s="72" t="s">
        <v>459</v>
      </c>
      <c r="AE45">
        <v>9</v>
      </c>
      <c r="AF45" t="s">
        <v>417</v>
      </c>
      <c r="AG45" t="e">
        <f t="shared" si="5"/>
        <v>#VALUE!</v>
      </c>
      <c r="AH45" t="e">
        <f t="shared" si="11"/>
        <v>#VALUE!</v>
      </c>
      <c r="AI45" s="27" t="e">
        <f>_xlfn.AGGREGATE(1,6,(AH45,AH63))</f>
        <v>#DIV/0!</v>
      </c>
      <c r="AK45" s="72" t="s">
        <v>467</v>
      </c>
      <c r="AL45">
        <v>4</v>
      </c>
      <c r="AM45" t="s">
        <v>417</v>
      </c>
      <c r="AN45" t="e">
        <f t="shared" si="0"/>
        <v>#VALUE!</v>
      </c>
      <c r="AO45" t="e">
        <f>AN45/AVERAGE($L$147,$L$165)</f>
        <v>#VALUE!</v>
      </c>
      <c r="AP45" s="27"/>
    </row>
    <row r="46" spans="2:42" x14ac:dyDescent="0.25">
      <c r="B46" s="72" t="s">
        <v>460</v>
      </c>
      <c r="C46">
        <v>24</v>
      </c>
      <c r="D46">
        <v>22.5790002997451</v>
      </c>
      <c r="E46">
        <f t="shared" si="1"/>
        <v>1.5960395083521603E-7</v>
      </c>
      <c r="F46">
        <f t="shared" si="6"/>
        <v>0.41363337780043852</v>
      </c>
      <c r="G46" s="27">
        <f t="shared" si="7"/>
        <v>0.39161870229379137</v>
      </c>
      <c r="I46" s="72" t="s">
        <v>460</v>
      </c>
      <c r="J46">
        <v>7</v>
      </c>
      <c r="K46">
        <v>23.565504578820601</v>
      </c>
      <c r="L46">
        <f t="shared" si="2"/>
        <v>8.0551987196350639E-8</v>
      </c>
      <c r="M46">
        <f t="shared" si="8"/>
        <v>0.33055497599077377</v>
      </c>
      <c r="N46" s="27">
        <f>_xlfn.AGGREGATE(1,6,(M46,M64))</f>
        <v>0.39158085822889588</v>
      </c>
      <c r="P46" s="72" t="s">
        <v>483</v>
      </c>
      <c r="Q46">
        <v>1</v>
      </c>
      <c r="R46" t="s">
        <v>417</v>
      </c>
      <c r="S46" t="e">
        <f t="shared" si="3"/>
        <v>#VALUE!</v>
      </c>
      <c r="T46" t="e">
        <f t="shared" si="9"/>
        <v>#VALUE!</v>
      </c>
      <c r="U46" s="27">
        <f>_xlfn.AGGREGATE(1,6,(T46,T64))</f>
        <v>0.14578290919937428</v>
      </c>
      <c r="W46" s="72" t="s">
        <v>460</v>
      </c>
      <c r="X46">
        <v>1</v>
      </c>
      <c r="Y46">
        <v>37.841810171749998</v>
      </c>
      <c r="Z46">
        <f t="shared" si="4"/>
        <v>4.0595701275548862E-12</v>
      </c>
      <c r="AA46">
        <f t="shared" si="10"/>
        <v>3.2684465693670832E-2</v>
      </c>
      <c r="AB46" s="27">
        <f>_xlfn.AGGREGATE(1,6,(AA46,AA64))</f>
        <v>3.2684465693670832E-2</v>
      </c>
      <c r="AD46" s="72" t="s">
        <v>460</v>
      </c>
      <c r="AE46">
        <v>9</v>
      </c>
      <c r="AF46">
        <v>39.380639404332399</v>
      </c>
      <c r="AG46">
        <f t="shared" si="5"/>
        <v>1.3971604740744559E-12</v>
      </c>
      <c r="AH46">
        <f t="shared" si="11"/>
        <v>1.1248837228720105E-2</v>
      </c>
      <c r="AI46" s="27">
        <f>_xlfn.AGGREGATE(1,6,(AH46,AH64))</f>
        <v>1.1248837228720105E-2</v>
      </c>
      <c r="AK46" s="72" t="s">
        <v>467</v>
      </c>
      <c r="AL46">
        <v>4</v>
      </c>
      <c r="AM46" t="s">
        <v>417</v>
      </c>
      <c r="AN46" t="e">
        <f t="shared" si="0"/>
        <v>#VALUE!</v>
      </c>
      <c r="AO46" t="e">
        <f>AN46/AVERAGE($L$147,$L$165)</f>
        <v>#VALUE!</v>
      </c>
      <c r="AP46" s="27"/>
    </row>
    <row r="47" spans="2:42" x14ac:dyDescent="0.25">
      <c r="B47" s="72" t="s">
        <v>461</v>
      </c>
      <c r="C47">
        <v>24</v>
      </c>
      <c r="D47">
        <v>30.035036949845299</v>
      </c>
      <c r="E47">
        <f t="shared" si="1"/>
        <v>9.0897713162204931E-10</v>
      </c>
      <c r="F47">
        <f t="shared" si="6"/>
        <v>2.3557266554408043E-3</v>
      </c>
      <c r="G47" s="27">
        <f t="shared" si="7"/>
        <v>2.2957074009588418E-3</v>
      </c>
      <c r="I47" s="72" t="s">
        <v>461</v>
      </c>
      <c r="J47">
        <v>7</v>
      </c>
      <c r="K47">
        <v>31.936019989739499</v>
      </c>
      <c r="L47">
        <f t="shared" si="2"/>
        <v>2.4338849260751821E-10</v>
      </c>
      <c r="M47">
        <f t="shared" si="8"/>
        <v>9.9877458186349599E-4</v>
      </c>
      <c r="N47" s="27">
        <f>_xlfn.AGGREGATE(1,6,(M47,M65))</f>
        <v>1.0361755921430469E-3</v>
      </c>
      <c r="P47" s="72" t="s">
        <v>484</v>
      </c>
      <c r="Q47">
        <v>1</v>
      </c>
      <c r="R47" t="s">
        <v>417</v>
      </c>
      <c r="S47" t="e">
        <f t="shared" si="3"/>
        <v>#VALUE!</v>
      </c>
      <c r="T47" t="e">
        <f t="shared" si="9"/>
        <v>#VALUE!</v>
      </c>
      <c r="U47" s="27" t="e">
        <f>_xlfn.AGGREGATE(1,6,(T47,T65))</f>
        <v>#DIV/0!</v>
      </c>
      <c r="W47" s="72" t="s">
        <v>461</v>
      </c>
      <c r="X47">
        <v>1</v>
      </c>
      <c r="Y47" t="s">
        <v>417</v>
      </c>
      <c r="Z47" t="e">
        <f t="shared" si="4"/>
        <v>#VALUE!</v>
      </c>
      <c r="AA47" t="e">
        <f t="shared" si="10"/>
        <v>#VALUE!</v>
      </c>
      <c r="AB47" s="27" t="e">
        <f>_xlfn.AGGREGATE(1,6,(AA47,AA65))</f>
        <v>#DIV/0!</v>
      </c>
      <c r="AD47" s="72" t="s">
        <v>461</v>
      </c>
      <c r="AE47">
        <v>9</v>
      </c>
      <c r="AF47" t="s">
        <v>417</v>
      </c>
      <c r="AG47" t="e">
        <f t="shared" si="5"/>
        <v>#VALUE!</v>
      </c>
      <c r="AH47" t="e">
        <f t="shared" si="11"/>
        <v>#VALUE!</v>
      </c>
      <c r="AI47" s="27" t="e">
        <f>_xlfn.AGGREGATE(1,6,(AH47,AH65))</f>
        <v>#DIV/0!</v>
      </c>
      <c r="AK47" s="72" t="s">
        <v>467</v>
      </c>
      <c r="AL47">
        <v>5</v>
      </c>
      <c r="AM47">
        <v>33.6773533920381</v>
      </c>
      <c r="AN47">
        <f t="shared" si="0"/>
        <v>7.2795822005136225E-11</v>
      </c>
      <c r="AP47" s="27"/>
    </row>
    <row r="48" spans="2:42" x14ac:dyDescent="0.25">
      <c r="B48" s="72" t="s">
        <v>462</v>
      </c>
      <c r="C48">
        <v>24</v>
      </c>
      <c r="D48">
        <v>29.732737244192698</v>
      </c>
      <c r="E48">
        <f t="shared" si="1"/>
        <v>1.1208673954655997E-9</v>
      </c>
      <c r="F48">
        <f t="shared" si="6"/>
        <v>2.9048664799751185E-3</v>
      </c>
      <c r="G48" s="27">
        <f t="shared" si="7"/>
        <v>3.1378326910014125E-3</v>
      </c>
      <c r="I48" s="72" t="s">
        <v>462</v>
      </c>
      <c r="J48">
        <v>7</v>
      </c>
      <c r="K48">
        <v>28.594823965027999</v>
      </c>
      <c r="L48">
        <f t="shared" si="2"/>
        <v>2.4666087387588422E-9</v>
      </c>
      <c r="M48">
        <f t="shared" si="8"/>
        <v>1.0122032004394805E-2</v>
      </c>
      <c r="N48" s="27">
        <f>_xlfn.AGGREGATE(1,6,(M48,M66))</f>
        <v>1.0464579841185415E-2</v>
      </c>
      <c r="P48" s="72" t="s">
        <v>485</v>
      </c>
      <c r="Q48">
        <v>1</v>
      </c>
      <c r="R48" t="s">
        <v>417</v>
      </c>
      <c r="S48" t="e">
        <f t="shared" si="3"/>
        <v>#VALUE!</v>
      </c>
      <c r="T48" t="e">
        <f t="shared" si="9"/>
        <v>#VALUE!</v>
      </c>
      <c r="U48" s="27" t="e">
        <f>_xlfn.AGGREGATE(1,6,(T48,T66))</f>
        <v>#DIV/0!</v>
      </c>
      <c r="W48" s="72" t="s">
        <v>462</v>
      </c>
      <c r="X48">
        <v>1</v>
      </c>
      <c r="Y48" t="s">
        <v>417</v>
      </c>
      <c r="Z48" t="e">
        <f t="shared" si="4"/>
        <v>#VALUE!</v>
      </c>
      <c r="AA48" t="e">
        <f t="shared" si="10"/>
        <v>#VALUE!</v>
      </c>
      <c r="AB48" s="27" t="e">
        <f>_xlfn.AGGREGATE(1,6,(AA48,AA66))</f>
        <v>#DIV/0!</v>
      </c>
      <c r="AD48" s="72" t="s">
        <v>462</v>
      </c>
      <c r="AE48">
        <v>9</v>
      </c>
      <c r="AF48" t="s">
        <v>417</v>
      </c>
      <c r="AG48" t="e">
        <f t="shared" si="5"/>
        <v>#VALUE!</v>
      </c>
      <c r="AH48" t="e">
        <f t="shared" si="11"/>
        <v>#VALUE!</v>
      </c>
      <c r="AI48" s="27" t="e">
        <f>_xlfn.AGGREGATE(1,6,(AH48,AH66))</f>
        <v>#DIV/0!</v>
      </c>
      <c r="AK48" s="72" t="s">
        <v>467</v>
      </c>
      <c r="AL48">
        <v>5</v>
      </c>
      <c r="AM48">
        <v>33.640487839847403</v>
      </c>
      <c r="AN48">
        <f t="shared" si="0"/>
        <v>7.4679962540795845E-11</v>
      </c>
      <c r="AP48" s="27"/>
    </row>
    <row r="49" spans="2:42" x14ac:dyDescent="0.25">
      <c r="B49" s="72" t="s">
        <v>463</v>
      </c>
      <c r="C49">
        <v>24</v>
      </c>
      <c r="D49">
        <v>26.440972375842701</v>
      </c>
      <c r="E49">
        <f t="shared" si="1"/>
        <v>1.0976760799094141E-8</v>
      </c>
      <c r="F49">
        <f t="shared" si="6"/>
        <v>2.8447633174973619E-2</v>
      </c>
      <c r="G49" s="27">
        <f t="shared" si="7"/>
        <v>2.8829167213483931E-2</v>
      </c>
      <c r="I49" s="72" t="s">
        <v>463</v>
      </c>
      <c r="J49">
        <v>7</v>
      </c>
      <c r="K49">
        <v>27.353368478497799</v>
      </c>
      <c r="L49">
        <f t="shared" si="2"/>
        <v>5.8319743541398022E-9</v>
      </c>
      <c r="M49">
        <f t="shared" si="8"/>
        <v>2.393222327231212E-2</v>
      </c>
      <c r="N49" s="27">
        <f>_xlfn.AGGREGATE(1,6,(M49,M67))</f>
        <v>2.5003365692301199E-2</v>
      </c>
      <c r="P49" s="72" t="s">
        <v>463</v>
      </c>
      <c r="Q49">
        <v>1</v>
      </c>
      <c r="R49" t="s">
        <v>417</v>
      </c>
      <c r="S49" t="e">
        <f t="shared" si="3"/>
        <v>#VALUE!</v>
      </c>
      <c r="T49" t="e">
        <f t="shared" si="9"/>
        <v>#VALUE!</v>
      </c>
      <c r="U49" s="27">
        <f>_xlfn.AGGREGATE(1,6,(T49,T67))</f>
        <v>1.3646581120037999</v>
      </c>
      <c r="W49" s="72" t="s">
        <v>463</v>
      </c>
      <c r="X49">
        <v>1</v>
      </c>
      <c r="Y49">
        <v>39.333122369144398</v>
      </c>
      <c r="Z49">
        <f t="shared" si="4"/>
        <v>1.4439439777366956E-12</v>
      </c>
      <c r="AA49">
        <f t="shared" si="10"/>
        <v>1.162550120358268E-2</v>
      </c>
      <c r="AB49" s="27">
        <f>_xlfn.AGGREGATE(1,6,(AA49,AA67))</f>
        <v>0.16538401893201943</v>
      </c>
      <c r="AD49" s="72" t="s">
        <v>463</v>
      </c>
      <c r="AE49">
        <v>9</v>
      </c>
      <c r="AF49" t="s">
        <v>417</v>
      </c>
      <c r="AG49" t="e">
        <f t="shared" si="5"/>
        <v>#VALUE!</v>
      </c>
      <c r="AH49" t="e">
        <f t="shared" si="11"/>
        <v>#VALUE!</v>
      </c>
      <c r="AI49" s="27" t="e">
        <f>_xlfn.AGGREGATE(1,6,(AH49,AH67))</f>
        <v>#DIV/0!</v>
      </c>
      <c r="AK49" s="72" t="s">
        <v>467</v>
      </c>
      <c r="AL49">
        <v>6</v>
      </c>
      <c r="AM49" t="s">
        <v>417</v>
      </c>
      <c r="AN49" t="e">
        <f t="shared" si="0"/>
        <v>#VALUE!</v>
      </c>
      <c r="AP49" s="27"/>
    </row>
    <row r="50" spans="2:42" x14ac:dyDescent="0.25">
      <c r="B50" s="72" t="s">
        <v>464</v>
      </c>
      <c r="C50">
        <v>24</v>
      </c>
      <c r="D50">
        <v>22.9923927777443</v>
      </c>
      <c r="E50">
        <f t="shared" si="1"/>
        <v>1.1983953130154649E-7</v>
      </c>
      <c r="F50">
        <f t="shared" si="6"/>
        <v>0.31057896666642354</v>
      </c>
      <c r="G50" s="27">
        <f t="shared" si="7"/>
        <v>0.312576504376606</v>
      </c>
      <c r="I50" s="72" t="s">
        <v>464</v>
      </c>
      <c r="J50">
        <v>7</v>
      </c>
      <c r="K50">
        <v>23.304957620103998</v>
      </c>
      <c r="L50">
        <f t="shared" si="2"/>
        <v>9.6495866140231992E-8</v>
      </c>
      <c r="M50">
        <f t="shared" si="8"/>
        <v>0.39598264208481732</v>
      </c>
      <c r="N50" s="27">
        <f>_xlfn.AGGREGATE(1,6,(M50,M68))</f>
        <v>0.41255772707365479</v>
      </c>
      <c r="P50" s="72" t="s">
        <v>464</v>
      </c>
      <c r="Q50">
        <v>1</v>
      </c>
      <c r="R50">
        <v>34.276030660119098</v>
      </c>
      <c r="S50">
        <f t="shared" si="3"/>
        <v>4.8071385453841845E-11</v>
      </c>
      <c r="T50">
        <f t="shared" si="9"/>
        <v>1.6955527088325004</v>
      </c>
      <c r="U50" s="27">
        <f>_xlfn.AGGREGATE(1,6,(T50,T68))</f>
        <v>3.6729678356247777</v>
      </c>
      <c r="W50" s="72" t="s">
        <v>464</v>
      </c>
      <c r="X50">
        <v>1</v>
      </c>
      <c r="Y50">
        <v>30.101385643221501</v>
      </c>
      <c r="Z50">
        <f t="shared" si="4"/>
        <v>8.6812049693734915E-10</v>
      </c>
      <c r="AA50">
        <f t="shared" si="10"/>
        <v>6.9894234385873748</v>
      </c>
      <c r="AB50" s="27">
        <f>_xlfn.AGGREGATE(1,6,(AA50,AA68))</f>
        <v>5.9641498505977539</v>
      </c>
      <c r="AD50" s="72" t="s">
        <v>464</v>
      </c>
      <c r="AE50">
        <v>9</v>
      </c>
      <c r="AF50">
        <v>35.573221134255903</v>
      </c>
      <c r="AG50">
        <f t="shared" si="5"/>
        <v>1.9561105536562375E-11</v>
      </c>
      <c r="AH50">
        <f t="shared" si="11"/>
        <v>0.15749063638546626</v>
      </c>
      <c r="AI50" s="27">
        <f>_xlfn.AGGREGATE(1,6,(AH50,AH68))</f>
        <v>0.21159265239394076</v>
      </c>
      <c r="AK50" s="72" t="s">
        <v>467</v>
      </c>
      <c r="AL50">
        <v>6</v>
      </c>
      <c r="AM50" t="s">
        <v>417</v>
      </c>
      <c r="AN50" t="e">
        <f t="shared" si="0"/>
        <v>#VALUE!</v>
      </c>
      <c r="AP50" s="27"/>
    </row>
    <row r="51" spans="2:42" x14ac:dyDescent="0.25">
      <c r="B51" s="72" t="s">
        <v>465</v>
      </c>
      <c r="C51">
        <v>24</v>
      </c>
      <c r="D51">
        <v>25.797759741447798</v>
      </c>
      <c r="E51">
        <f t="shared" si="1"/>
        <v>1.7143539676540279E-8</v>
      </c>
      <c r="F51">
        <f t="shared" si="6"/>
        <v>4.4429603319685235E-2</v>
      </c>
      <c r="G51" s="27">
        <f t="shared" si="7"/>
        <v>4.769553242389124E-2</v>
      </c>
      <c r="I51" s="72" t="s">
        <v>465</v>
      </c>
      <c r="J51">
        <v>7</v>
      </c>
      <c r="K51">
        <v>26.787548033924299</v>
      </c>
      <c r="L51">
        <f t="shared" si="2"/>
        <v>8.6326579143482522E-9</v>
      </c>
      <c r="M51">
        <f t="shared" si="8"/>
        <v>3.5425172350598805E-2</v>
      </c>
      <c r="N51" s="27">
        <f>_xlfn.AGGREGATE(1,6,(M51,M69))</f>
        <v>2.9660122624595154E-2</v>
      </c>
      <c r="P51" s="72" t="s">
        <v>465</v>
      </c>
      <c r="Q51">
        <v>1</v>
      </c>
      <c r="R51">
        <v>36.153590363866698</v>
      </c>
      <c r="S51">
        <f t="shared" si="3"/>
        <v>1.3082322456385193E-11</v>
      </c>
      <c r="T51">
        <f t="shared" si="9"/>
        <v>0.46143390853677602</v>
      </c>
      <c r="U51" s="27">
        <f>_xlfn.AGGREGATE(1,6,(T51,T69))</f>
        <v>0.46143390853677602</v>
      </c>
      <c r="W51" s="72" t="s">
        <v>465</v>
      </c>
      <c r="X51">
        <v>1</v>
      </c>
      <c r="Y51">
        <v>37.226322499348399</v>
      </c>
      <c r="Z51">
        <f t="shared" si="4"/>
        <v>6.2195691315078627E-12</v>
      </c>
      <c r="AA51">
        <f t="shared" si="10"/>
        <v>5.0075078769638619E-2</v>
      </c>
      <c r="AB51" s="27">
        <f>_xlfn.AGGREGATE(1,6,(AA51,AA69))</f>
        <v>4.0961910244279962E-2</v>
      </c>
      <c r="AD51" s="72" t="s">
        <v>465</v>
      </c>
      <c r="AE51">
        <v>9</v>
      </c>
      <c r="AF51" t="s">
        <v>417</v>
      </c>
      <c r="AG51" t="e">
        <f t="shared" si="5"/>
        <v>#VALUE!</v>
      </c>
      <c r="AH51" t="e">
        <f t="shared" si="11"/>
        <v>#VALUE!</v>
      </c>
      <c r="AI51" s="27" t="e">
        <f>_xlfn.AGGREGATE(1,6,(AH51,AH69))</f>
        <v>#DIV/0!</v>
      </c>
      <c r="AK51" s="72" t="s">
        <v>467</v>
      </c>
      <c r="AL51">
        <v>8</v>
      </c>
      <c r="AM51" t="s">
        <v>417</v>
      </c>
      <c r="AN51" t="e">
        <f t="shared" si="0"/>
        <v>#VALUE!</v>
      </c>
      <c r="AP51" s="27"/>
    </row>
    <row r="52" spans="2:42" x14ac:dyDescent="0.25">
      <c r="B52" s="72" t="s">
        <v>466</v>
      </c>
      <c r="C52">
        <v>24</v>
      </c>
      <c r="D52">
        <v>34.233438031000397</v>
      </c>
      <c r="E52">
        <f t="shared" si="1"/>
        <v>4.9511752412395084E-11</v>
      </c>
      <c r="F52">
        <f t="shared" si="6"/>
        <v>1.2831582980237362E-4</v>
      </c>
      <c r="G52" s="27">
        <f t="shared" si="7"/>
        <v>8.7861344116265869E-5</v>
      </c>
      <c r="I52" s="72" t="s">
        <v>466</v>
      </c>
      <c r="J52">
        <v>7</v>
      </c>
      <c r="K52">
        <v>35.148004110559697</v>
      </c>
      <c r="L52">
        <f t="shared" si="2"/>
        <v>2.6266153320914163E-11</v>
      </c>
      <c r="M52">
        <f t="shared" si="8"/>
        <v>1.0778638718373065E-4</v>
      </c>
      <c r="N52" s="27">
        <f>_xlfn.AGGREGATE(1,6,(M52,M70))</f>
        <v>1.0486766027519782E-4</v>
      </c>
      <c r="P52" s="72" t="s">
        <v>466</v>
      </c>
      <c r="Q52">
        <v>1</v>
      </c>
      <c r="R52" t="s">
        <v>417</v>
      </c>
      <c r="S52" t="e">
        <f t="shared" si="3"/>
        <v>#VALUE!</v>
      </c>
      <c r="T52" t="e">
        <f t="shared" si="9"/>
        <v>#VALUE!</v>
      </c>
      <c r="U52" s="27" t="e">
        <f>_xlfn.AGGREGATE(1,6,(T52,T70))</f>
        <v>#DIV/0!</v>
      </c>
      <c r="W52" s="72" t="s">
        <v>466</v>
      </c>
      <c r="X52">
        <v>1</v>
      </c>
      <c r="Y52" t="s">
        <v>417</v>
      </c>
      <c r="Z52" t="e">
        <f t="shared" si="4"/>
        <v>#VALUE!</v>
      </c>
      <c r="AA52" t="e">
        <f t="shared" si="10"/>
        <v>#VALUE!</v>
      </c>
      <c r="AB52" s="27" t="e">
        <f>_xlfn.AGGREGATE(1,6,(AA52,AA70))</f>
        <v>#DIV/0!</v>
      </c>
      <c r="AD52" s="72" t="s">
        <v>466</v>
      </c>
      <c r="AE52">
        <v>9</v>
      </c>
      <c r="AF52" t="s">
        <v>417</v>
      </c>
      <c r="AG52" t="e">
        <f t="shared" si="5"/>
        <v>#VALUE!</v>
      </c>
      <c r="AH52" t="e">
        <f t="shared" si="11"/>
        <v>#VALUE!</v>
      </c>
      <c r="AI52" s="27" t="e">
        <f>_xlfn.AGGREGATE(1,6,(AH52,AH70))</f>
        <v>#DIV/0!</v>
      </c>
      <c r="AK52" s="72" t="s">
        <v>467</v>
      </c>
      <c r="AL52">
        <v>8</v>
      </c>
      <c r="AM52" t="s">
        <v>417</v>
      </c>
      <c r="AN52" t="e">
        <f t="shared" si="0"/>
        <v>#VALUE!</v>
      </c>
      <c r="AP52" s="27"/>
    </row>
    <row r="53" spans="2:42" x14ac:dyDescent="0.25">
      <c r="B53" s="72" t="s">
        <v>467</v>
      </c>
      <c r="C53">
        <v>24</v>
      </c>
      <c r="D53">
        <v>29.6400379262816</v>
      </c>
      <c r="E53">
        <f t="shared" si="1"/>
        <v>1.1952520894546822E-9</v>
      </c>
      <c r="F53">
        <f t="shared" si="6"/>
        <v>3.0976436140645047E-3</v>
      </c>
      <c r="G53" s="27">
        <f t="shared" si="7"/>
        <v>3.2749989705982523E-3</v>
      </c>
      <c r="I53" s="72" t="s">
        <v>467</v>
      </c>
      <c r="J53">
        <v>7</v>
      </c>
      <c r="K53">
        <v>30.355299819089399</v>
      </c>
      <c r="L53">
        <f t="shared" si="2"/>
        <v>7.280215367995109E-10</v>
      </c>
      <c r="M53">
        <f t="shared" si="8"/>
        <v>2.9875258202001391E-3</v>
      </c>
      <c r="N53" s="27">
        <f>_xlfn.AGGREGATE(1,6,(M53,M71))</f>
        <v>2.7932030693650148E-3</v>
      </c>
      <c r="P53" s="72" t="s">
        <v>467</v>
      </c>
      <c r="Q53">
        <v>1</v>
      </c>
      <c r="R53" t="s">
        <v>417</v>
      </c>
      <c r="S53" t="e">
        <f t="shared" si="3"/>
        <v>#VALUE!</v>
      </c>
      <c r="T53" t="e">
        <f t="shared" si="9"/>
        <v>#VALUE!</v>
      </c>
      <c r="U53" s="27" t="e">
        <f>_xlfn.AGGREGATE(1,6,(T53,T71))</f>
        <v>#DIV/0!</v>
      </c>
      <c r="W53" s="72" t="s">
        <v>467</v>
      </c>
      <c r="X53">
        <v>1</v>
      </c>
      <c r="Y53">
        <v>38.417876798545798</v>
      </c>
      <c r="Z53">
        <f t="shared" si="4"/>
        <v>2.7231195865081018E-12</v>
      </c>
      <c r="AA53">
        <f t="shared" si="10"/>
        <v>2.1924417095510268E-2</v>
      </c>
      <c r="AB53" s="27">
        <f>_xlfn.AGGREGATE(1,6,(AA53,AA71))</f>
        <v>2.1924417095510268E-2</v>
      </c>
      <c r="AD53" s="72" t="s">
        <v>467</v>
      </c>
      <c r="AE53">
        <v>9</v>
      </c>
      <c r="AF53" t="s">
        <v>417</v>
      </c>
      <c r="AG53" t="e">
        <f t="shared" si="5"/>
        <v>#VALUE!</v>
      </c>
      <c r="AH53" t="e">
        <f t="shared" si="11"/>
        <v>#VALUE!</v>
      </c>
      <c r="AI53" s="27" t="e">
        <f>_xlfn.AGGREGATE(1,6,(AH53,AH71))</f>
        <v>#DIV/0!</v>
      </c>
      <c r="AK53" s="72" t="s">
        <v>467</v>
      </c>
      <c r="AL53">
        <v>10</v>
      </c>
      <c r="AM53" t="s">
        <v>417</v>
      </c>
      <c r="AN53" t="e">
        <f t="shared" si="0"/>
        <v>#VALUE!</v>
      </c>
      <c r="AP53" s="27"/>
    </row>
    <row r="54" spans="2:42" x14ac:dyDescent="0.25">
      <c r="B54" s="72" t="s">
        <v>468</v>
      </c>
      <c r="C54">
        <v>24</v>
      </c>
      <c r="D54">
        <v>30.4835696662213</v>
      </c>
      <c r="E54">
        <f t="shared" si="1"/>
        <v>6.6608730356588989E-10</v>
      </c>
      <c r="F54">
        <f t="shared" si="6"/>
        <v>1.7262476263410487E-3</v>
      </c>
      <c r="G54" s="27">
        <f t="shared" si="7"/>
        <v>1.6686127560000892E-3</v>
      </c>
      <c r="I54" s="72" t="s">
        <v>468</v>
      </c>
      <c r="J54">
        <v>7</v>
      </c>
      <c r="K54">
        <v>31.178504776918899</v>
      </c>
      <c r="L54">
        <f t="shared" si="2"/>
        <v>4.1146684086176887E-10</v>
      </c>
      <c r="M54">
        <f t="shared" si="8"/>
        <v>1.6885047338499862E-3</v>
      </c>
      <c r="N54" s="27">
        <f>_xlfn.AGGREGATE(1,6,(M54,M72))</f>
        <v>1.6383990516454202E-3</v>
      </c>
      <c r="P54" s="72" t="s">
        <v>468</v>
      </c>
      <c r="Q54">
        <v>1</v>
      </c>
      <c r="R54">
        <v>22.008102125726499</v>
      </c>
      <c r="S54">
        <f t="shared" si="3"/>
        <v>2.370833812837551E-7</v>
      </c>
      <c r="T54">
        <f t="shared" si="9"/>
        <v>8362.3004737574665</v>
      </c>
      <c r="U54" s="27">
        <f>_xlfn.AGGREGATE(1,6,(T54,T72))</f>
        <v>8362.3004737574665</v>
      </c>
      <c r="W54" s="72" t="s">
        <v>468</v>
      </c>
      <c r="X54">
        <v>1</v>
      </c>
      <c r="Y54" t="s">
        <v>417</v>
      </c>
      <c r="Z54" t="e">
        <f t="shared" si="4"/>
        <v>#VALUE!</v>
      </c>
      <c r="AA54" t="e">
        <f t="shared" si="10"/>
        <v>#VALUE!</v>
      </c>
      <c r="AB54" s="27" t="e">
        <f>_xlfn.AGGREGATE(1,6,(AA54,AA72))</f>
        <v>#DIV/0!</v>
      </c>
      <c r="AD54" s="72" t="s">
        <v>468</v>
      </c>
      <c r="AE54">
        <v>9</v>
      </c>
      <c r="AF54" t="s">
        <v>417</v>
      </c>
      <c r="AG54" t="e">
        <f t="shared" si="5"/>
        <v>#VALUE!</v>
      </c>
      <c r="AH54" t="e">
        <f t="shared" si="11"/>
        <v>#VALUE!</v>
      </c>
      <c r="AI54" s="27" t="e">
        <f>_xlfn.AGGREGATE(1,6,(AH54,AH72))</f>
        <v>#DIV/0!</v>
      </c>
      <c r="AK54" s="72" t="s">
        <v>467</v>
      </c>
      <c r="AL54">
        <v>10</v>
      </c>
      <c r="AM54" t="s">
        <v>417</v>
      </c>
      <c r="AN54" t="e">
        <f t="shared" si="0"/>
        <v>#VALUE!</v>
      </c>
      <c r="AP54" s="27"/>
    </row>
    <row r="55" spans="2:42" x14ac:dyDescent="0.25">
      <c r="B55" s="72" t="s">
        <v>486</v>
      </c>
      <c r="C55">
        <v>24</v>
      </c>
      <c r="D55">
        <v>26.111419705430301</v>
      </c>
      <c r="E55">
        <f t="shared" si="1"/>
        <v>1.3793657536487484E-8</v>
      </c>
      <c r="F55">
        <f t="shared" si="6"/>
        <v>3.5747969453027426E-2</v>
      </c>
      <c r="G55" s="27">
        <f t="shared" si="7"/>
        <v>4.3014052245887113E-2</v>
      </c>
      <c r="I55" s="72" t="s">
        <v>486</v>
      </c>
      <c r="J55">
        <v>7</v>
      </c>
      <c r="K55">
        <v>26.700505336196201</v>
      </c>
      <c r="L55">
        <f t="shared" si="2"/>
        <v>9.1695282831966238E-9</v>
      </c>
      <c r="M55">
        <f t="shared" si="8"/>
        <v>3.7628285868484448E-2</v>
      </c>
      <c r="N55" s="27">
        <f>_xlfn.AGGREGATE(1,6,(M55,M73))</f>
        <v>4.0762426173281546E-2</v>
      </c>
      <c r="P55" s="72" t="s">
        <v>486</v>
      </c>
      <c r="Q55">
        <v>1</v>
      </c>
      <c r="R55" t="s">
        <v>417</v>
      </c>
      <c r="S55" t="e">
        <f t="shared" si="3"/>
        <v>#VALUE!</v>
      </c>
      <c r="T55" t="e">
        <f t="shared" si="9"/>
        <v>#VALUE!</v>
      </c>
      <c r="U55" s="27">
        <f>_xlfn.AGGREGATE(1,6,(T55,T73))</f>
        <v>0.47539076273484926</v>
      </c>
      <c r="W55" s="72" t="s">
        <v>486</v>
      </c>
      <c r="X55">
        <v>1</v>
      </c>
      <c r="Y55">
        <v>35.902837090779599</v>
      </c>
      <c r="Z55">
        <f t="shared" si="4"/>
        <v>1.5565716138123908E-11</v>
      </c>
      <c r="AA55">
        <f t="shared" si="10"/>
        <v>0.12532290344257657</v>
      </c>
      <c r="AB55" s="27">
        <f>_xlfn.AGGREGATE(1,6,(AA55,AA73))</f>
        <v>9.2036304996682014E-2</v>
      </c>
      <c r="AD55" s="72" t="s">
        <v>486</v>
      </c>
      <c r="AE55">
        <v>9</v>
      </c>
      <c r="AF55" t="s">
        <v>417</v>
      </c>
      <c r="AG55" t="e">
        <f t="shared" si="5"/>
        <v>#VALUE!</v>
      </c>
      <c r="AH55" t="e">
        <f t="shared" si="11"/>
        <v>#VALUE!</v>
      </c>
      <c r="AI55" s="27" t="e">
        <f>_xlfn.AGGREGATE(1,6,(AH55,AH73))</f>
        <v>#DIV/0!</v>
      </c>
      <c r="AK55" s="72" t="s">
        <v>467</v>
      </c>
      <c r="AL55">
        <v>7</v>
      </c>
      <c r="AM55" t="s">
        <v>417</v>
      </c>
      <c r="AN55" t="e">
        <f t="shared" si="0"/>
        <v>#VALUE!</v>
      </c>
      <c r="AP55" s="27"/>
    </row>
    <row r="56" spans="2:42" x14ac:dyDescent="0.25">
      <c r="B56" s="212" t="s">
        <v>470</v>
      </c>
      <c r="C56" s="60">
        <v>24</v>
      </c>
      <c r="D56" s="60">
        <v>32.206472420362303</v>
      </c>
      <c r="E56" s="60">
        <f t="shared" si="1"/>
        <v>2.0178354469889093E-10</v>
      </c>
      <c r="F56" s="60">
        <f t="shared" si="6"/>
        <v>5.2294701191025843E-4</v>
      </c>
      <c r="G56" s="61">
        <f t="shared" si="7"/>
        <v>3.9477514113180084E-4</v>
      </c>
      <c r="I56" s="212" t="s">
        <v>470</v>
      </c>
      <c r="J56" s="60">
        <v>7</v>
      </c>
      <c r="K56" s="60">
        <v>32.435134548408897</v>
      </c>
      <c r="L56" s="60">
        <f t="shared" si="2"/>
        <v>1.7220731187448143E-10</v>
      </c>
      <c r="M56" s="60">
        <f t="shared" si="8"/>
        <v>7.0667386148213867E-4</v>
      </c>
      <c r="N56" s="61">
        <f>_xlfn.AGGREGATE(1,6,(M56,M74))</f>
        <v>6.8030299378488222E-4</v>
      </c>
      <c r="P56" s="212" t="s">
        <v>470</v>
      </c>
      <c r="Q56" s="60">
        <v>1</v>
      </c>
      <c r="R56" s="60" t="s">
        <v>417</v>
      </c>
      <c r="S56" s="60" t="e">
        <f t="shared" si="3"/>
        <v>#VALUE!</v>
      </c>
      <c r="T56" s="60" t="e">
        <f t="shared" si="9"/>
        <v>#VALUE!</v>
      </c>
      <c r="U56" s="61">
        <f>_xlfn.AGGREGATE(1,6,(T56,T74))</f>
        <v>1.4411373144059161</v>
      </c>
      <c r="W56" s="212" t="s">
        <v>470</v>
      </c>
      <c r="X56" s="60">
        <v>1</v>
      </c>
      <c r="Y56" s="60">
        <v>34.352235739172798</v>
      </c>
      <c r="Z56" s="60">
        <f t="shared" si="4"/>
        <v>4.5598087159792964E-11</v>
      </c>
      <c r="AA56" s="60">
        <f t="shared" si="10"/>
        <v>0.36711993355043127</v>
      </c>
      <c r="AB56" s="61">
        <f>_xlfn.AGGREGATE(1,6,(AA56,AA74))</f>
        <v>0.30319924967666928</v>
      </c>
      <c r="AD56" s="212" t="s">
        <v>470</v>
      </c>
      <c r="AE56" s="60">
        <v>9</v>
      </c>
      <c r="AF56" s="60" t="s">
        <v>417</v>
      </c>
      <c r="AG56" s="60" t="e">
        <f t="shared" si="5"/>
        <v>#VALUE!</v>
      </c>
      <c r="AH56" s="60" t="e">
        <f t="shared" si="11"/>
        <v>#VALUE!</v>
      </c>
      <c r="AI56" s="61" t="e">
        <f>_xlfn.AGGREGATE(1,6,(AH56,AH74))</f>
        <v>#DIV/0!</v>
      </c>
      <c r="AK56" s="72" t="s">
        <v>467</v>
      </c>
      <c r="AL56">
        <v>7</v>
      </c>
      <c r="AM56" t="s">
        <v>417</v>
      </c>
      <c r="AN56" t="e">
        <f t="shared" si="0"/>
        <v>#VALUE!</v>
      </c>
      <c r="AP56" s="27"/>
    </row>
    <row r="57" spans="2:42" x14ac:dyDescent="0.25">
      <c r="B57" s="72" t="s">
        <v>452</v>
      </c>
      <c r="C57">
        <v>24</v>
      </c>
      <c r="D57">
        <v>20.855124649441301</v>
      </c>
      <c r="E57">
        <f t="shared" si="1"/>
        <v>5.2720790952055109E-7</v>
      </c>
      <c r="G57" s="27"/>
      <c r="I57" s="72" t="s">
        <v>452</v>
      </c>
      <c r="J57">
        <v>7</v>
      </c>
      <c r="K57">
        <v>21.563563887638399</v>
      </c>
      <c r="L57">
        <f t="shared" si="2"/>
        <v>3.2264166961485571E-7</v>
      </c>
      <c r="N57" s="27"/>
      <c r="P57" s="72" t="s">
        <v>452</v>
      </c>
      <c r="Q57">
        <v>1</v>
      </c>
      <c r="R57">
        <v>34.444306522091303</v>
      </c>
      <c r="S57">
        <f t="shared" si="3"/>
        <v>4.2778992976820041E-11</v>
      </c>
      <c r="U57" s="27"/>
      <c r="W57" s="72" t="s">
        <v>452</v>
      </c>
      <c r="X57">
        <v>1</v>
      </c>
      <c r="Y57">
        <v>32.403860536542403</v>
      </c>
      <c r="Z57">
        <f t="shared" si="4"/>
        <v>1.7598108994414436E-10</v>
      </c>
      <c r="AB57" s="27"/>
      <c r="AD57" s="72" t="s">
        <v>452</v>
      </c>
      <c r="AE57">
        <v>9</v>
      </c>
      <c r="AF57" t="s">
        <v>417</v>
      </c>
      <c r="AG57" t="e">
        <f t="shared" si="5"/>
        <v>#VALUE!</v>
      </c>
      <c r="AI57" s="27"/>
      <c r="AK57" s="72" t="s">
        <v>467</v>
      </c>
      <c r="AL57">
        <v>8</v>
      </c>
      <c r="AM57" t="s">
        <v>417</v>
      </c>
      <c r="AN57" t="e">
        <f t="shared" si="0"/>
        <v>#VALUE!</v>
      </c>
      <c r="AP57" s="27"/>
    </row>
    <row r="58" spans="2:42" x14ac:dyDescent="0.25">
      <c r="B58" s="72" t="s">
        <v>454</v>
      </c>
      <c r="C58">
        <v>24</v>
      </c>
      <c r="D58">
        <v>26.327384355285801</v>
      </c>
      <c r="E58">
        <f t="shared" si="1"/>
        <v>1.1875929250847215E-8</v>
      </c>
      <c r="F58">
        <f>E58/$E$57</f>
        <v>2.2526083232793911E-2</v>
      </c>
      <c r="G58" s="27"/>
      <c r="I58" s="72" t="s">
        <v>454</v>
      </c>
      <c r="J58">
        <v>7</v>
      </c>
      <c r="K58">
        <v>26.8961330786891</v>
      </c>
      <c r="L58">
        <f t="shared" si="2"/>
        <v>8.0067667306426579E-9</v>
      </c>
      <c r="M58">
        <f>L58/$L$57</f>
        <v>2.4816282224799133E-2</v>
      </c>
      <c r="N58" s="27"/>
      <c r="P58" s="72" t="s">
        <v>454</v>
      </c>
      <c r="Q58">
        <v>1</v>
      </c>
      <c r="R58">
        <v>34.742164439107199</v>
      </c>
      <c r="S58">
        <f t="shared" si="3"/>
        <v>3.479896999200122E-11</v>
      </c>
      <c r="T58">
        <f>S58/$S$57</f>
        <v>0.81345930725524962</v>
      </c>
      <c r="U58" s="27"/>
      <c r="W58" s="72" t="s">
        <v>454</v>
      </c>
      <c r="X58">
        <v>1</v>
      </c>
      <c r="Y58">
        <v>35.902549269245</v>
      </c>
      <c r="Z58">
        <f t="shared" si="4"/>
        <v>1.5568821850079359E-11</v>
      </c>
      <c r="AA58">
        <f>Z58/$Z$57</f>
        <v>8.8468720446161775E-2</v>
      </c>
      <c r="AB58" s="27"/>
      <c r="AD58" s="72" t="s">
        <v>454</v>
      </c>
      <c r="AE58">
        <v>9</v>
      </c>
      <c r="AF58">
        <v>36.234787326516198</v>
      </c>
      <c r="AG58">
        <f t="shared" si="5"/>
        <v>1.2366366919851754E-11</v>
      </c>
      <c r="AH58">
        <f>AG58/$Z$57</f>
        <v>7.027099857022584E-2</v>
      </c>
      <c r="AI58" s="27"/>
      <c r="AK58" s="212" t="s">
        <v>467</v>
      </c>
      <c r="AL58" s="60">
        <v>8</v>
      </c>
      <c r="AM58" s="60" t="s">
        <v>417</v>
      </c>
      <c r="AN58" s="60" t="e">
        <f t="shared" si="0"/>
        <v>#VALUE!</v>
      </c>
      <c r="AO58" s="60"/>
      <c r="AP58" s="61"/>
    </row>
    <row r="59" spans="2:42" x14ac:dyDescent="0.25">
      <c r="B59" s="72" t="s">
        <v>455</v>
      </c>
      <c r="C59">
        <v>24</v>
      </c>
      <c r="D59">
        <v>35.419834651836098</v>
      </c>
      <c r="E59">
        <f t="shared" si="1"/>
        <v>2.1755412803654865E-11</v>
      </c>
      <c r="F59">
        <f t="shared" ref="F59:F74" si="12">E59/$E$57</f>
        <v>4.1265338419219635E-5</v>
      </c>
      <c r="G59" s="27"/>
      <c r="I59" s="72" t="s">
        <v>455</v>
      </c>
      <c r="J59">
        <v>7</v>
      </c>
      <c r="K59">
        <v>34.780372615230299</v>
      </c>
      <c r="L59">
        <f t="shared" si="2"/>
        <v>3.3889454824033669E-11</v>
      </c>
      <c r="M59">
        <f t="shared" ref="M59:M74" si="13">L59/$L$57</f>
        <v>1.0503743941223786E-4</v>
      </c>
      <c r="N59" s="27"/>
      <c r="P59" s="72" t="s">
        <v>455</v>
      </c>
      <c r="Q59">
        <v>1</v>
      </c>
      <c r="R59" t="s">
        <v>417</v>
      </c>
      <c r="S59" t="e">
        <f t="shared" si="3"/>
        <v>#VALUE!</v>
      </c>
      <c r="T59" t="e">
        <f t="shared" ref="T59:T74" si="14">S59/$S$57</f>
        <v>#VALUE!</v>
      </c>
      <c r="U59" s="27"/>
      <c r="W59" s="72" t="s">
        <v>455</v>
      </c>
      <c r="X59">
        <v>1</v>
      </c>
      <c r="Y59" t="s">
        <v>417</v>
      </c>
      <c r="Z59" t="e">
        <f t="shared" si="4"/>
        <v>#VALUE!</v>
      </c>
      <c r="AA59" t="e">
        <f t="shared" ref="AA59:AA74" si="15">Z59/$Z$57</f>
        <v>#VALUE!</v>
      </c>
      <c r="AB59" s="27"/>
      <c r="AD59" s="72" t="s">
        <v>455</v>
      </c>
      <c r="AE59">
        <v>9</v>
      </c>
      <c r="AF59" t="s">
        <v>417</v>
      </c>
      <c r="AG59" t="e">
        <f t="shared" si="5"/>
        <v>#VALUE!</v>
      </c>
      <c r="AH59" t="e">
        <f t="shared" ref="AH59:AH74" si="16">AG59/$Z$57</f>
        <v>#VALUE!</v>
      </c>
      <c r="AI59" s="27"/>
      <c r="AK59" s="72" t="s">
        <v>468</v>
      </c>
      <c r="AL59">
        <v>19</v>
      </c>
      <c r="AM59">
        <v>32.067508436533402</v>
      </c>
      <c r="AN59">
        <f t="shared" si="0"/>
        <v>2.2218670802864368E-10</v>
      </c>
      <c r="AO59">
        <f>AN59/AVERAGE('[1]PCR Raw Data'!$K$11:$K$12)</f>
        <v>3.4080444236251279E-5</v>
      </c>
      <c r="AP59" s="27">
        <f>AVERAGE(AO59:AO60)</f>
        <v>5.9130545072504559E-5</v>
      </c>
    </row>
    <row r="60" spans="2:42" x14ac:dyDescent="0.25">
      <c r="B60" s="72" t="s">
        <v>481</v>
      </c>
      <c r="C60">
        <v>24</v>
      </c>
      <c r="D60">
        <v>20.280545109430001</v>
      </c>
      <c r="E60">
        <f t="shared" si="1"/>
        <v>7.8514088587094414E-7</v>
      </c>
      <c r="F60">
        <f t="shared" si="12"/>
        <v>1.4892433738047675</v>
      </c>
      <c r="G60" s="27"/>
      <c r="I60" s="72" t="s">
        <v>481</v>
      </c>
      <c r="J60">
        <v>7</v>
      </c>
      <c r="K60">
        <v>22.0258618202955</v>
      </c>
      <c r="L60">
        <f t="shared" si="2"/>
        <v>2.3418275546826484E-7</v>
      </c>
      <c r="M60">
        <f t="shared" si="13"/>
        <v>0.72582923262148324</v>
      </c>
      <c r="N60" s="27"/>
      <c r="P60" s="72" t="s">
        <v>481</v>
      </c>
      <c r="Q60">
        <v>1</v>
      </c>
      <c r="R60">
        <v>30.723413855111399</v>
      </c>
      <c r="S60">
        <f t="shared" si="3"/>
        <v>5.6406721790640537E-10</v>
      </c>
      <c r="T60">
        <f t="shared" si="14"/>
        <v>13.185612345107032</v>
      </c>
      <c r="U60" s="27"/>
      <c r="W60" s="72" t="s">
        <v>481</v>
      </c>
      <c r="X60">
        <v>1</v>
      </c>
      <c r="Y60">
        <v>28.429621123832899</v>
      </c>
      <c r="Z60">
        <f t="shared" si="4"/>
        <v>2.7658668959019185E-9</v>
      </c>
      <c r="AA60">
        <f t="shared" si="15"/>
        <v>15.716841490070284</v>
      </c>
      <c r="AB60" s="27"/>
      <c r="AD60" s="72" t="s">
        <v>481</v>
      </c>
      <c r="AE60">
        <v>9</v>
      </c>
      <c r="AF60">
        <v>32.118987464084597</v>
      </c>
      <c r="AG60">
        <f t="shared" si="5"/>
        <v>2.1439830272228984E-10</v>
      </c>
      <c r="AH60">
        <f t="shared" si="16"/>
        <v>1.2183030733037221</v>
      </c>
      <c r="AI60" s="27"/>
      <c r="AK60" s="72" t="s">
        <v>468</v>
      </c>
      <c r="AL60">
        <v>19</v>
      </c>
      <c r="AM60">
        <v>30.7629639982901</v>
      </c>
      <c r="AN60">
        <f t="shared" si="0"/>
        <v>5.4881387298046457E-10</v>
      </c>
      <c r="AO60">
        <f>AN60/AVERAGE('[1]PCR Raw Data'!$K$11:$K$12)</f>
        <v>8.4180645908757832E-5</v>
      </c>
      <c r="AP60" s="27"/>
    </row>
    <row r="61" spans="2:42" x14ac:dyDescent="0.25">
      <c r="B61" s="72" t="s">
        <v>457</v>
      </c>
      <c r="C61">
        <v>24</v>
      </c>
      <c r="D61">
        <v>33.5207243800605</v>
      </c>
      <c r="E61">
        <f t="shared" si="1"/>
        <v>8.1144013590720268E-11</v>
      </c>
      <c r="F61">
        <f t="shared" si="12"/>
        <v>1.5391273940581349E-4</v>
      </c>
      <c r="G61" s="27"/>
      <c r="I61" s="72" t="s">
        <v>457</v>
      </c>
      <c r="J61">
        <v>7</v>
      </c>
      <c r="K61">
        <v>32.844174161158399</v>
      </c>
      <c r="L61">
        <f t="shared" si="2"/>
        <v>1.296935549753658E-10</v>
      </c>
      <c r="M61">
        <f t="shared" si="13"/>
        <v>4.0197397667258473E-4</v>
      </c>
      <c r="N61" s="27"/>
      <c r="P61" s="72" t="s">
        <v>457</v>
      </c>
      <c r="Q61">
        <v>1</v>
      </c>
      <c r="R61" t="s">
        <v>417</v>
      </c>
      <c r="S61" t="e">
        <f t="shared" si="3"/>
        <v>#VALUE!</v>
      </c>
      <c r="T61" t="e">
        <f t="shared" si="14"/>
        <v>#VALUE!</v>
      </c>
      <c r="U61" s="27"/>
      <c r="W61" s="72" t="s">
        <v>457</v>
      </c>
      <c r="X61">
        <v>1</v>
      </c>
      <c r="Y61" t="s">
        <v>417</v>
      </c>
      <c r="Z61" t="e">
        <f t="shared" si="4"/>
        <v>#VALUE!</v>
      </c>
      <c r="AA61" t="e">
        <f t="shared" si="15"/>
        <v>#VALUE!</v>
      </c>
      <c r="AB61" s="27"/>
      <c r="AD61" s="72" t="s">
        <v>457</v>
      </c>
      <c r="AE61">
        <v>9</v>
      </c>
      <c r="AF61" t="s">
        <v>417</v>
      </c>
      <c r="AG61" t="e">
        <f t="shared" si="5"/>
        <v>#VALUE!</v>
      </c>
      <c r="AH61" t="e">
        <f t="shared" si="16"/>
        <v>#VALUE!</v>
      </c>
      <c r="AI61" s="27"/>
      <c r="AK61" s="72" t="s">
        <v>468</v>
      </c>
      <c r="AL61">
        <v>20</v>
      </c>
      <c r="AM61">
        <v>31.843174748600099</v>
      </c>
      <c r="AN61">
        <f t="shared" si="0"/>
        <v>2.5956686002934722E-10</v>
      </c>
      <c r="AO61">
        <f>AN61/AVERAGE('[1]PCR Raw Data'!$K$13:$K$14)</f>
        <v>3.3106303153121846E-5</v>
      </c>
      <c r="AP61" s="27">
        <f>AVERAGE(AO61:AO62)</f>
        <v>5.8243679258430533E-5</v>
      </c>
    </row>
    <row r="62" spans="2:42" x14ac:dyDescent="0.25">
      <c r="B62" s="72" t="s">
        <v>458</v>
      </c>
      <c r="C62">
        <v>24</v>
      </c>
      <c r="D62">
        <v>23.423138472938099</v>
      </c>
      <c r="E62">
        <f t="shared" si="1"/>
        <v>8.8906338977728884E-8</v>
      </c>
      <c r="F62">
        <f t="shared" si="12"/>
        <v>0.16863620096022711</v>
      </c>
      <c r="G62" s="27"/>
      <c r="I62" s="72" t="s">
        <v>458</v>
      </c>
      <c r="J62">
        <v>7</v>
      </c>
      <c r="K62">
        <v>22.752119316552498</v>
      </c>
      <c r="L62">
        <f t="shared" si="2"/>
        <v>1.4155643633376343E-7</v>
      </c>
      <c r="M62">
        <f t="shared" si="13"/>
        <v>0.43874195327200727</v>
      </c>
      <c r="N62" s="27"/>
      <c r="P62" s="72" t="s">
        <v>458</v>
      </c>
      <c r="Q62">
        <v>1</v>
      </c>
      <c r="R62">
        <v>35.223732285072401</v>
      </c>
      <c r="S62">
        <f t="shared" si="3"/>
        <v>2.4922983097875612E-11</v>
      </c>
      <c r="T62">
        <f t="shared" si="14"/>
        <v>0.58259863927559552</v>
      </c>
      <c r="U62" s="27"/>
      <c r="W62" s="72" t="s">
        <v>458</v>
      </c>
      <c r="X62">
        <v>1</v>
      </c>
      <c r="Y62">
        <v>34.030164356188997</v>
      </c>
      <c r="Z62">
        <f t="shared" si="4"/>
        <v>5.7003270218579043E-11</v>
      </c>
      <c r="AA62">
        <f t="shared" si="15"/>
        <v>0.32391701992908234</v>
      </c>
      <c r="AB62" s="27"/>
      <c r="AD62" s="72" t="s">
        <v>458</v>
      </c>
      <c r="AE62">
        <v>9</v>
      </c>
      <c r="AF62" t="s">
        <v>417</v>
      </c>
      <c r="AG62" t="e">
        <f t="shared" si="5"/>
        <v>#VALUE!</v>
      </c>
      <c r="AH62" t="e">
        <f t="shared" si="16"/>
        <v>#VALUE!</v>
      </c>
      <c r="AI62" s="27"/>
      <c r="AK62" s="72" t="s">
        <v>468</v>
      </c>
      <c r="AL62">
        <v>20</v>
      </c>
      <c r="AM62">
        <v>30.510561035791799</v>
      </c>
      <c r="AN62">
        <f t="shared" si="0"/>
        <v>6.5374133217462752E-10</v>
      </c>
      <c r="AO62">
        <f>AN62/AVERAGE('[1]PCR Raw Data'!$K$13:$K$14)</f>
        <v>8.3381055363739221E-5</v>
      </c>
      <c r="AP62" s="27"/>
    </row>
    <row r="63" spans="2:42" x14ac:dyDescent="0.25">
      <c r="B63" s="72" t="s">
        <v>459</v>
      </c>
      <c r="C63">
        <v>24</v>
      </c>
      <c r="D63">
        <v>19.116685822257999</v>
      </c>
      <c r="E63">
        <f t="shared" si="1"/>
        <v>1.7591551732655551E-6</v>
      </c>
      <c r="F63">
        <f t="shared" si="12"/>
        <v>3.3367389629365594</v>
      </c>
      <c r="G63" s="27"/>
      <c r="I63" s="72" t="s">
        <v>459</v>
      </c>
      <c r="J63">
        <v>7</v>
      </c>
      <c r="K63">
        <v>21.045290687606499</v>
      </c>
      <c r="L63">
        <f t="shared" si="2"/>
        <v>4.6210028414134472E-7</v>
      </c>
      <c r="M63">
        <f t="shared" si="13"/>
        <v>1.4322399356938729</v>
      </c>
      <c r="N63" s="27"/>
      <c r="P63" s="72" t="s">
        <v>482</v>
      </c>
      <c r="Q63">
        <v>1</v>
      </c>
      <c r="R63">
        <v>34.583447780679002</v>
      </c>
      <c r="S63">
        <f t="shared" si="3"/>
        <v>3.8845871081949366E-11</v>
      </c>
      <c r="T63">
        <f t="shared" si="14"/>
        <v>0.90805950254598444</v>
      </c>
      <c r="U63" s="27"/>
      <c r="W63" s="72" t="s">
        <v>459</v>
      </c>
      <c r="X63">
        <v>1</v>
      </c>
      <c r="Y63" t="s">
        <v>417</v>
      </c>
      <c r="Z63" t="e">
        <f t="shared" si="4"/>
        <v>#VALUE!</v>
      </c>
      <c r="AA63" t="e">
        <f t="shared" si="15"/>
        <v>#VALUE!</v>
      </c>
      <c r="AB63" s="27"/>
      <c r="AD63" s="72" t="s">
        <v>459</v>
      </c>
      <c r="AE63">
        <v>9</v>
      </c>
      <c r="AF63" t="s">
        <v>417</v>
      </c>
      <c r="AG63" t="e">
        <f t="shared" si="5"/>
        <v>#VALUE!</v>
      </c>
      <c r="AH63" t="e">
        <f t="shared" si="16"/>
        <v>#VALUE!</v>
      </c>
      <c r="AI63" s="27"/>
      <c r="AK63" s="72" t="s">
        <v>468</v>
      </c>
      <c r="AL63">
        <v>30</v>
      </c>
      <c r="AM63">
        <v>31.940863917524702</v>
      </c>
      <c r="AN63">
        <f t="shared" si="0"/>
        <v>2.4257267273110112E-10</v>
      </c>
      <c r="AO63">
        <f>AN63/AVERAGE('[1]PCR Raw Data'!$K$5:$K$6)</f>
        <v>4.7595336030131035E-5</v>
      </c>
      <c r="AP63" s="27">
        <f>AVERAGE(AO63:AO64)</f>
        <v>6.8078146984686135E-5</v>
      </c>
    </row>
    <row r="64" spans="2:42" x14ac:dyDescent="0.25">
      <c r="B64" s="72" t="s">
        <v>460</v>
      </c>
      <c r="C64">
        <v>24</v>
      </c>
      <c r="D64">
        <v>22.2910722695168</v>
      </c>
      <c r="E64">
        <f t="shared" si="1"/>
        <v>1.9485816631282809E-7</v>
      </c>
      <c r="F64">
        <f t="shared" si="12"/>
        <v>0.36960402678714427</v>
      </c>
      <c r="G64" s="27"/>
      <c r="I64" s="72" t="s">
        <v>460</v>
      </c>
      <c r="J64">
        <v>7</v>
      </c>
      <c r="K64">
        <v>22.707233912357701</v>
      </c>
      <c r="L64">
        <f t="shared" si="2"/>
        <v>1.4602979442321634E-7</v>
      </c>
      <c r="M64">
        <f t="shared" si="13"/>
        <v>0.45260674046701793</v>
      </c>
      <c r="N64" s="27"/>
      <c r="P64" s="72" t="s">
        <v>483</v>
      </c>
      <c r="Q64">
        <v>1</v>
      </c>
      <c r="R64">
        <v>37.222413021172301</v>
      </c>
      <c r="S64">
        <f t="shared" si="3"/>
        <v>6.2364460487804267E-12</v>
      </c>
      <c r="T64">
        <f t="shared" si="14"/>
        <v>0.14578290919937428</v>
      </c>
      <c r="U64" s="27"/>
      <c r="W64" s="72" t="s">
        <v>460</v>
      </c>
      <c r="X64">
        <v>1</v>
      </c>
      <c r="Y64" t="s">
        <v>417</v>
      </c>
      <c r="Z64" t="e">
        <f t="shared" si="4"/>
        <v>#VALUE!</v>
      </c>
      <c r="AA64" t="e">
        <f t="shared" si="15"/>
        <v>#VALUE!</v>
      </c>
      <c r="AB64" s="27"/>
      <c r="AD64" s="72" t="s">
        <v>460</v>
      </c>
      <c r="AE64">
        <v>9</v>
      </c>
      <c r="AF64" t="s">
        <v>417</v>
      </c>
      <c r="AG64" t="e">
        <f t="shared" si="5"/>
        <v>#VALUE!</v>
      </c>
      <c r="AH64" t="e">
        <f t="shared" si="16"/>
        <v>#VALUE!</v>
      </c>
      <c r="AI64" s="27"/>
      <c r="AK64" s="72" t="s">
        <v>468</v>
      </c>
      <c r="AL64">
        <v>30</v>
      </c>
      <c r="AM64">
        <v>31.045013297743601</v>
      </c>
      <c r="AN64">
        <f t="shared" si="0"/>
        <v>4.5135658362299478E-10</v>
      </c>
      <c r="AO64">
        <f>AN64/AVERAGE('[1]PCR Raw Data'!$K$5:$K$6)</f>
        <v>8.8560957939241229E-5</v>
      </c>
      <c r="AP64" s="27"/>
    </row>
    <row r="65" spans="2:42" x14ac:dyDescent="0.25">
      <c r="B65" s="72" t="s">
        <v>461</v>
      </c>
      <c r="C65">
        <v>24</v>
      </c>
      <c r="D65">
        <v>29.6601899717311</v>
      </c>
      <c r="E65">
        <f t="shared" si="1"/>
        <v>1.1786724740439508E-9</v>
      </c>
      <c r="F65">
        <f t="shared" si="12"/>
        <v>2.2356881464768788E-3</v>
      </c>
      <c r="G65" s="27"/>
      <c r="I65" s="72" t="s">
        <v>461</v>
      </c>
      <c r="J65">
        <v>7</v>
      </c>
      <c r="K65">
        <v>31.426923037468601</v>
      </c>
      <c r="L65">
        <f t="shared" si="2"/>
        <v>3.4638054746507112E-10</v>
      </c>
      <c r="M65">
        <f t="shared" si="13"/>
        <v>1.0735766024225978E-3</v>
      </c>
      <c r="N65" s="27"/>
      <c r="P65" s="72" t="s">
        <v>484</v>
      </c>
      <c r="Q65">
        <v>1</v>
      </c>
      <c r="R65" t="s">
        <v>417</v>
      </c>
      <c r="S65" t="e">
        <f t="shared" si="3"/>
        <v>#VALUE!</v>
      </c>
      <c r="T65" t="e">
        <f t="shared" si="14"/>
        <v>#VALUE!</v>
      </c>
      <c r="U65" s="27"/>
      <c r="W65" s="72" t="s">
        <v>461</v>
      </c>
      <c r="X65">
        <v>1</v>
      </c>
      <c r="Y65" t="s">
        <v>417</v>
      </c>
      <c r="Z65" t="e">
        <f t="shared" si="4"/>
        <v>#VALUE!</v>
      </c>
      <c r="AA65" t="e">
        <f t="shared" si="15"/>
        <v>#VALUE!</v>
      </c>
      <c r="AB65" s="27"/>
      <c r="AD65" s="72" t="s">
        <v>461</v>
      </c>
      <c r="AE65">
        <v>9</v>
      </c>
      <c r="AF65" t="s">
        <v>417</v>
      </c>
      <c r="AG65" t="e">
        <f t="shared" si="5"/>
        <v>#VALUE!</v>
      </c>
      <c r="AH65" t="e">
        <f t="shared" si="16"/>
        <v>#VALUE!</v>
      </c>
      <c r="AI65" s="27"/>
      <c r="AK65" s="72" t="s">
        <v>468</v>
      </c>
      <c r="AL65">
        <v>37</v>
      </c>
      <c r="AM65">
        <v>31.179437062751902</v>
      </c>
      <c r="AN65">
        <f t="shared" si="0"/>
        <v>4.1120103223453855E-10</v>
      </c>
      <c r="AO65">
        <f>AN65/AVERAGE('[1]PCR Raw Data'!$E$9:$E$10)</f>
        <v>2.9695867826085555E-6</v>
      </c>
      <c r="AP65" s="27">
        <f>AVERAGE(AO65:AO66)</f>
        <v>4.325253915637857E-6</v>
      </c>
    </row>
    <row r="66" spans="2:42" x14ac:dyDescent="0.25">
      <c r="B66" s="72" t="s">
        <v>462</v>
      </c>
      <c r="C66">
        <v>24</v>
      </c>
      <c r="D66">
        <v>29.067818373735101</v>
      </c>
      <c r="E66">
        <f t="shared" si="1"/>
        <v>1.7771118425521963E-9</v>
      </c>
      <c r="F66">
        <f t="shared" si="12"/>
        <v>3.3707989020277068E-3</v>
      </c>
      <c r="G66" s="27"/>
      <c r="I66" s="72" t="s">
        <v>462</v>
      </c>
      <c r="J66">
        <v>7</v>
      </c>
      <c r="K66">
        <v>28.0954369433667</v>
      </c>
      <c r="L66">
        <f t="shared" si="2"/>
        <v>3.4868297177631035E-9</v>
      </c>
      <c r="M66">
        <f t="shared" si="13"/>
        <v>1.0807127677976026E-2</v>
      </c>
      <c r="N66" s="27"/>
      <c r="P66" s="72" t="s">
        <v>485</v>
      </c>
      <c r="Q66">
        <v>1</v>
      </c>
      <c r="R66" t="s">
        <v>417</v>
      </c>
      <c r="S66" t="e">
        <f t="shared" si="3"/>
        <v>#VALUE!</v>
      </c>
      <c r="T66" t="e">
        <f t="shared" si="14"/>
        <v>#VALUE!</v>
      </c>
      <c r="U66" s="27"/>
      <c r="W66" s="72" t="s">
        <v>462</v>
      </c>
      <c r="X66">
        <v>1</v>
      </c>
      <c r="Y66" t="s">
        <v>417</v>
      </c>
      <c r="Z66" t="e">
        <f t="shared" si="4"/>
        <v>#VALUE!</v>
      </c>
      <c r="AA66" t="e">
        <f t="shared" si="15"/>
        <v>#VALUE!</v>
      </c>
      <c r="AB66" s="27"/>
      <c r="AD66" s="72" t="s">
        <v>462</v>
      </c>
      <c r="AE66">
        <v>9</v>
      </c>
      <c r="AF66" t="s">
        <v>417</v>
      </c>
      <c r="AG66" t="e">
        <f t="shared" si="5"/>
        <v>#VALUE!</v>
      </c>
      <c r="AH66" t="e">
        <f t="shared" si="16"/>
        <v>#VALUE!</v>
      </c>
      <c r="AI66" s="27"/>
      <c r="AK66" s="212" t="s">
        <v>468</v>
      </c>
      <c r="AL66" s="60">
        <v>37</v>
      </c>
      <c r="AM66" s="60">
        <v>30.243574403946401</v>
      </c>
      <c r="AN66" s="60">
        <f t="shared" si="0"/>
        <v>7.866416340939038E-10</v>
      </c>
      <c r="AO66" s="60">
        <f>AN66/AVERAGE('[1]PCR Raw Data'!$E$9:$E$10)</f>
        <v>5.6809210486671581E-6</v>
      </c>
      <c r="AP66" s="61"/>
    </row>
    <row r="67" spans="2:42" x14ac:dyDescent="0.25">
      <c r="B67" s="72" t="s">
        <v>463</v>
      </c>
      <c r="C67">
        <v>24</v>
      </c>
      <c r="D67">
        <v>25.9524838463132</v>
      </c>
      <c r="E67">
        <f t="shared" si="1"/>
        <v>1.540011274269323E-8</v>
      </c>
      <c r="F67">
        <f t="shared" si="12"/>
        <v>2.9210701251994244E-2</v>
      </c>
      <c r="G67" s="27"/>
      <c r="I67" s="72" t="s">
        <v>463</v>
      </c>
      <c r="J67">
        <v>7</v>
      </c>
      <c r="K67">
        <v>26.824780040417</v>
      </c>
      <c r="L67">
        <f t="shared" si="2"/>
        <v>8.4127228317354343E-9</v>
      </c>
      <c r="M67">
        <f t="shared" si="13"/>
        <v>2.6074508112290277E-2</v>
      </c>
      <c r="N67" s="27"/>
      <c r="P67" s="72" t="s">
        <v>463</v>
      </c>
      <c r="Q67">
        <v>1</v>
      </c>
      <c r="R67">
        <v>33.9957669642775</v>
      </c>
      <c r="S67">
        <f t="shared" si="3"/>
        <v>5.8378699789171057E-11</v>
      </c>
      <c r="T67">
        <f t="shared" si="14"/>
        <v>1.3646581120037999</v>
      </c>
      <c r="U67" s="27"/>
      <c r="W67" s="72" t="s">
        <v>463</v>
      </c>
      <c r="X67">
        <v>1</v>
      </c>
      <c r="Y67">
        <v>34.051587721529998</v>
      </c>
      <c r="Z67">
        <f t="shared" si="4"/>
        <v>5.616305144904613E-11</v>
      </c>
      <c r="AA67">
        <f t="shared" si="15"/>
        <v>0.31914253666045617</v>
      </c>
      <c r="AB67" s="27"/>
      <c r="AD67" s="72" t="s">
        <v>463</v>
      </c>
      <c r="AE67">
        <v>9</v>
      </c>
      <c r="AF67" t="s">
        <v>417</v>
      </c>
      <c r="AG67" t="e">
        <f t="shared" si="5"/>
        <v>#VALUE!</v>
      </c>
      <c r="AH67" t="e">
        <f t="shared" si="16"/>
        <v>#VALUE!</v>
      </c>
      <c r="AI67" s="27"/>
      <c r="AK67" s="72" t="s">
        <v>486</v>
      </c>
      <c r="AL67">
        <v>19</v>
      </c>
      <c r="AM67">
        <v>25.440137060525899</v>
      </c>
      <c r="AN67">
        <f t="shared" ref="AN67:AN86" si="17">2^(-AM67)</f>
        <v>2.1966236289931664E-8</v>
      </c>
      <c r="AO67">
        <f>AN67/AVERAGE('[1]PCR Raw Data'!$K$11:$K$12)</f>
        <v>3.3693243740882347E-3</v>
      </c>
      <c r="AP67" s="27">
        <f>AVERAGE(AO67:AO68)</f>
        <v>3.8360379932732662E-3</v>
      </c>
    </row>
    <row r="68" spans="2:42" x14ac:dyDescent="0.25">
      <c r="B68" s="72" t="s">
        <v>464</v>
      </c>
      <c r="C68">
        <v>24</v>
      </c>
      <c r="D68">
        <v>22.523653116479501</v>
      </c>
      <c r="E68">
        <f t="shared" ref="E68:E131" si="18">2^(-D68)</f>
        <v>1.6584592311800561E-7</v>
      </c>
      <c r="F68">
        <f t="shared" si="12"/>
        <v>0.31457404208678846</v>
      </c>
      <c r="G68" s="27"/>
      <c r="I68" s="72" t="s">
        <v>464</v>
      </c>
      <c r="J68">
        <v>7</v>
      </c>
      <c r="K68">
        <v>22.784067766850701</v>
      </c>
      <c r="L68">
        <f t="shared" si="2"/>
        <v>1.3845612697036059E-7</v>
      </c>
      <c r="M68">
        <f t="shared" si="13"/>
        <v>0.42913281206249221</v>
      </c>
      <c r="N68" s="27"/>
      <c r="P68" s="72" t="s">
        <v>464</v>
      </c>
      <c r="Q68">
        <v>1</v>
      </c>
      <c r="R68">
        <v>31.945957870624301</v>
      </c>
      <c r="S68">
        <f t="shared" si="3"/>
        <v>2.4171769306558281E-10</v>
      </c>
      <c r="T68">
        <f t="shared" si="14"/>
        <v>5.650382962417055</v>
      </c>
      <c r="U68" s="27"/>
      <c r="W68" s="72" t="s">
        <v>464</v>
      </c>
      <c r="X68">
        <v>1</v>
      </c>
      <c r="Y68">
        <v>30.099677712300199</v>
      </c>
      <c r="Z68">
        <f t="shared" si="4"/>
        <v>8.6914882779304139E-10</v>
      </c>
      <c r="AA68">
        <f t="shared" si="15"/>
        <v>4.9388762626081331</v>
      </c>
      <c r="AB68" s="27"/>
      <c r="AD68" s="72" t="s">
        <v>464</v>
      </c>
      <c r="AE68">
        <v>9</v>
      </c>
      <c r="AF68">
        <v>34.316019353343798</v>
      </c>
      <c r="AG68">
        <f t="shared" si="5"/>
        <v>4.6757237337805049E-11</v>
      </c>
      <c r="AH68">
        <f t="shared" si="16"/>
        <v>0.26569466840241523</v>
      </c>
      <c r="AI68" s="27"/>
      <c r="AK68" s="72" t="s">
        <v>486</v>
      </c>
      <c r="AL68">
        <v>19</v>
      </c>
      <c r="AM68">
        <v>25.087336828514001</v>
      </c>
      <c r="AN68">
        <f t="shared" si="17"/>
        <v>2.805169467891319E-8</v>
      </c>
      <c r="AO68">
        <f>AN68/AVERAGE('[1]PCR Raw Data'!$K$11:$K$12)</f>
        <v>4.3027516124582981E-3</v>
      </c>
      <c r="AP68" s="27"/>
    </row>
    <row r="69" spans="2:42" x14ac:dyDescent="0.25">
      <c r="B69" s="72" t="s">
        <v>465</v>
      </c>
      <c r="C69">
        <v>24</v>
      </c>
      <c r="D69">
        <v>25.149574185854501</v>
      </c>
      <c r="E69">
        <f t="shared" si="18"/>
        <v>2.6867285598340133E-8</v>
      </c>
      <c r="F69">
        <f t="shared" si="12"/>
        <v>5.0961461528097239E-2</v>
      </c>
      <c r="G69" s="27"/>
      <c r="I69" s="72" t="s">
        <v>465</v>
      </c>
      <c r="J69">
        <v>7</v>
      </c>
      <c r="K69">
        <v>26.950706908478001</v>
      </c>
      <c r="L69">
        <f t="shared" si="2"/>
        <v>7.7095462155702524E-9</v>
      </c>
      <c r="M69">
        <f t="shared" si="13"/>
        <v>2.3895072898591503E-2</v>
      </c>
      <c r="N69" s="27"/>
      <c r="P69" s="72" t="s">
        <v>465</v>
      </c>
      <c r="Q69">
        <v>1</v>
      </c>
      <c r="R69" t="s">
        <v>417</v>
      </c>
      <c r="S69" t="e">
        <f t="shared" si="3"/>
        <v>#VALUE!</v>
      </c>
      <c r="T69" t="e">
        <f t="shared" si="14"/>
        <v>#VALUE!</v>
      </c>
      <c r="U69" s="27"/>
      <c r="W69" s="72" t="s">
        <v>465</v>
      </c>
      <c r="X69">
        <v>1</v>
      </c>
      <c r="Y69">
        <v>37.376480350750199</v>
      </c>
      <c r="Z69">
        <f t="shared" si="4"/>
        <v>5.6047762810453135E-12</v>
      </c>
      <c r="AA69">
        <f t="shared" si="15"/>
        <v>3.1848741718921304E-2</v>
      </c>
      <c r="AB69" s="27"/>
      <c r="AD69" s="72" t="s">
        <v>465</v>
      </c>
      <c r="AE69">
        <v>9</v>
      </c>
      <c r="AF69" t="s">
        <v>417</v>
      </c>
      <c r="AG69" t="e">
        <f t="shared" si="5"/>
        <v>#VALUE!</v>
      </c>
      <c r="AH69" t="e">
        <f t="shared" si="16"/>
        <v>#VALUE!</v>
      </c>
      <c r="AI69" s="27"/>
      <c r="AK69" s="72" t="s">
        <v>486</v>
      </c>
      <c r="AL69">
        <v>20</v>
      </c>
      <c r="AM69">
        <v>26.308365109712799</v>
      </c>
      <c r="AN69">
        <f t="shared" si="17"/>
        <v>1.2033527785588461E-8</v>
      </c>
      <c r="AO69">
        <f>AN69/AVERAGE('[1]PCR Raw Data'!$K$13:$K$14)</f>
        <v>1.5348092542559718E-3</v>
      </c>
      <c r="AP69" s="27">
        <f>AVERAGE(AO69:AO70)</f>
        <v>2.0486177215459367E-3</v>
      </c>
    </row>
    <row r="70" spans="2:42" x14ac:dyDescent="0.25">
      <c r="B70" s="72" t="s">
        <v>466</v>
      </c>
      <c r="C70">
        <v>24</v>
      </c>
      <c r="D70">
        <v>35.219669332530799</v>
      </c>
      <c r="E70">
        <f t="shared" si="18"/>
        <v>2.4993270729900382E-11</v>
      </c>
      <c r="F70">
        <f t="shared" si="12"/>
        <v>4.7406858430158127E-5</v>
      </c>
      <c r="G70" s="27"/>
      <c r="I70" s="72" t="s">
        <v>466</v>
      </c>
      <c r="J70">
        <v>7</v>
      </c>
      <c r="K70">
        <v>34.823429585846803</v>
      </c>
      <c r="L70">
        <f t="shared" si="2"/>
        <v>3.2892974076874463E-11</v>
      </c>
      <c r="M70">
        <f t="shared" si="13"/>
        <v>1.0194893336666498E-4</v>
      </c>
      <c r="N70" s="27"/>
      <c r="P70" s="72" t="s">
        <v>466</v>
      </c>
      <c r="Q70">
        <v>1</v>
      </c>
      <c r="R70" t="s">
        <v>417</v>
      </c>
      <c r="S70" t="e">
        <f t="shared" si="3"/>
        <v>#VALUE!</v>
      </c>
      <c r="T70" t="e">
        <f t="shared" si="14"/>
        <v>#VALUE!</v>
      </c>
      <c r="U70" s="27"/>
      <c r="W70" s="72" t="s">
        <v>466</v>
      </c>
      <c r="X70">
        <v>1</v>
      </c>
      <c r="Y70" t="s">
        <v>417</v>
      </c>
      <c r="Z70" t="e">
        <f t="shared" si="4"/>
        <v>#VALUE!</v>
      </c>
      <c r="AA70" t="e">
        <f t="shared" si="15"/>
        <v>#VALUE!</v>
      </c>
      <c r="AB70" s="27"/>
      <c r="AD70" s="72" t="s">
        <v>466</v>
      </c>
      <c r="AE70">
        <v>9</v>
      </c>
      <c r="AF70" t="s">
        <v>417</v>
      </c>
      <c r="AG70" t="e">
        <f t="shared" si="5"/>
        <v>#VALUE!</v>
      </c>
      <c r="AH70" t="e">
        <f t="shared" si="16"/>
        <v>#VALUE!</v>
      </c>
      <c r="AI70" s="27"/>
      <c r="AK70" s="72" t="s">
        <v>486</v>
      </c>
      <c r="AL70">
        <v>20</v>
      </c>
      <c r="AM70">
        <v>25.568914030521299</v>
      </c>
      <c r="AN70">
        <f t="shared" si="17"/>
        <v>2.0090461831899911E-8</v>
      </c>
      <c r="AO70">
        <f>AN70/AVERAGE('[1]PCR Raw Data'!$K$13:$K$14)</f>
        <v>2.5624261888359018E-3</v>
      </c>
      <c r="AP70" s="27"/>
    </row>
    <row r="71" spans="2:42" x14ac:dyDescent="0.25">
      <c r="B71" s="72" t="s">
        <v>467</v>
      </c>
      <c r="C71">
        <v>24</v>
      </c>
      <c r="D71">
        <v>29.033328393177801</v>
      </c>
      <c r="E71">
        <f t="shared" si="18"/>
        <v>1.8201085077314907E-9</v>
      </c>
      <c r="F71">
        <f t="shared" si="12"/>
        <v>3.4523543271320002E-3</v>
      </c>
      <c r="G71" s="27"/>
      <c r="I71" s="72" t="s">
        <v>467</v>
      </c>
      <c r="J71">
        <v>7</v>
      </c>
      <c r="K71">
        <v>30.151457974750102</v>
      </c>
      <c r="L71">
        <f t="shared" si="2"/>
        <v>8.3850708509967193E-10</v>
      </c>
      <c r="M71">
        <f t="shared" si="13"/>
        <v>2.5988803185298904E-3</v>
      </c>
      <c r="N71" s="27"/>
      <c r="P71" s="72" t="s">
        <v>467</v>
      </c>
      <c r="Q71">
        <v>1</v>
      </c>
      <c r="R71" t="s">
        <v>417</v>
      </c>
      <c r="S71" t="e">
        <f t="shared" si="3"/>
        <v>#VALUE!</v>
      </c>
      <c r="T71" t="e">
        <f t="shared" si="14"/>
        <v>#VALUE!</v>
      </c>
      <c r="U71" s="27"/>
      <c r="W71" s="72" t="s">
        <v>467</v>
      </c>
      <c r="X71">
        <v>1</v>
      </c>
      <c r="Y71" t="s">
        <v>417</v>
      </c>
      <c r="Z71" t="e">
        <f t="shared" si="4"/>
        <v>#VALUE!</v>
      </c>
      <c r="AA71" t="e">
        <f t="shared" si="15"/>
        <v>#VALUE!</v>
      </c>
      <c r="AB71" s="27"/>
      <c r="AD71" s="72" t="s">
        <v>467</v>
      </c>
      <c r="AE71">
        <v>9</v>
      </c>
      <c r="AF71" t="s">
        <v>417</v>
      </c>
      <c r="AG71" t="e">
        <f t="shared" si="5"/>
        <v>#VALUE!</v>
      </c>
      <c r="AH71" t="e">
        <f t="shared" si="16"/>
        <v>#VALUE!</v>
      </c>
      <c r="AI71" s="27"/>
      <c r="AK71" s="72" t="s">
        <v>486</v>
      </c>
      <c r="AL71">
        <v>30</v>
      </c>
      <c r="AM71">
        <v>28.165640921553202</v>
      </c>
      <c r="AN71">
        <f t="shared" si="17"/>
        <v>3.3212168720784527E-9</v>
      </c>
      <c r="AO71">
        <f>AN71/AVERAGE('[1]PCR Raw Data'!$K$5:$K$6)</f>
        <v>6.5165804241578687E-4</v>
      </c>
      <c r="AP71" s="27">
        <f>AVERAGE(AO71:AO72)</f>
        <v>7.1309315832146633E-4</v>
      </c>
    </row>
    <row r="72" spans="2:42" x14ac:dyDescent="0.25">
      <c r="B72" s="72" t="s">
        <v>468</v>
      </c>
      <c r="C72">
        <v>24</v>
      </c>
      <c r="D72">
        <v>30.132972244198498</v>
      </c>
      <c r="E72">
        <f t="shared" si="18"/>
        <v>8.4932028338218728E-10</v>
      </c>
      <c r="F72">
        <f t="shared" si="12"/>
        <v>1.61097788565913E-3</v>
      </c>
      <c r="G72" s="27"/>
      <c r="I72" s="72" t="s">
        <v>468</v>
      </c>
      <c r="J72">
        <v>7</v>
      </c>
      <c r="K72">
        <v>30.861870758845399</v>
      </c>
      <c r="L72">
        <f t="shared" si="2"/>
        <v>5.1244962455460213E-10</v>
      </c>
      <c r="M72">
        <f t="shared" si="13"/>
        <v>1.5882933694408544E-3</v>
      </c>
      <c r="N72" s="27"/>
      <c r="P72" s="72" t="s">
        <v>468</v>
      </c>
      <c r="Q72">
        <v>1</v>
      </c>
      <c r="R72" t="s">
        <v>417</v>
      </c>
      <c r="S72" t="e">
        <f t="shared" si="3"/>
        <v>#VALUE!</v>
      </c>
      <c r="T72" t="e">
        <f t="shared" si="14"/>
        <v>#VALUE!</v>
      </c>
      <c r="U72" s="27"/>
      <c r="W72" s="72" t="s">
        <v>468</v>
      </c>
      <c r="X72">
        <v>1</v>
      </c>
      <c r="Y72" t="s">
        <v>417</v>
      </c>
      <c r="Z72" t="e">
        <f t="shared" si="4"/>
        <v>#VALUE!</v>
      </c>
      <c r="AA72" t="e">
        <f t="shared" si="15"/>
        <v>#VALUE!</v>
      </c>
      <c r="AB72" s="27"/>
      <c r="AD72" s="72" t="s">
        <v>468</v>
      </c>
      <c r="AE72">
        <v>9</v>
      </c>
      <c r="AF72" t="s">
        <v>417</v>
      </c>
      <c r="AG72" t="e">
        <f t="shared" si="5"/>
        <v>#VALUE!</v>
      </c>
      <c r="AH72" t="e">
        <f t="shared" si="16"/>
        <v>#VALUE!</v>
      </c>
      <c r="AI72" s="27"/>
      <c r="AK72" s="72" t="s">
        <v>486</v>
      </c>
      <c r="AL72">
        <v>30</v>
      </c>
      <c r="AM72">
        <v>27.916438124597299</v>
      </c>
      <c r="AN72">
        <f t="shared" si="17"/>
        <v>3.9474328632987436E-9</v>
      </c>
      <c r="AO72">
        <f>AN72/AVERAGE('[1]PCR Raw Data'!$K$5:$K$6)</f>
        <v>7.745282742271459E-4</v>
      </c>
      <c r="AP72" s="27"/>
    </row>
    <row r="73" spans="2:42" x14ac:dyDescent="0.25">
      <c r="B73" s="72" t="s">
        <v>486</v>
      </c>
      <c r="C73">
        <v>24</v>
      </c>
      <c r="D73">
        <v>25.168992314766498</v>
      </c>
      <c r="E73">
        <f t="shared" si="18"/>
        <v>2.6508084884188711E-8</v>
      </c>
      <c r="F73">
        <f t="shared" si="12"/>
        <v>5.0280135038746794E-2</v>
      </c>
      <c r="G73" s="27"/>
      <c r="I73" s="72" t="s">
        <v>486</v>
      </c>
      <c r="J73">
        <v>7</v>
      </c>
      <c r="K73">
        <v>26.073311978626801</v>
      </c>
      <c r="L73">
        <f t="shared" si="2"/>
        <v>1.4162861498846801E-8</v>
      </c>
      <c r="M73">
        <f t="shared" si="13"/>
        <v>4.3896566478078644E-2</v>
      </c>
      <c r="N73" s="27"/>
      <c r="P73" s="72" t="s">
        <v>486</v>
      </c>
      <c r="Q73">
        <v>1</v>
      </c>
      <c r="R73">
        <v>35.5171207462732</v>
      </c>
      <c r="S73">
        <f t="shared" si="3"/>
        <v>2.033673810027924E-11</v>
      </c>
      <c r="T73">
        <f t="shared" si="14"/>
        <v>0.47539076273484926</v>
      </c>
      <c r="U73" s="27"/>
      <c r="W73" s="72" t="s">
        <v>486</v>
      </c>
      <c r="X73">
        <v>1</v>
      </c>
      <c r="Y73">
        <v>36.493135080746399</v>
      </c>
      <c r="Z73">
        <f t="shared" si="4"/>
        <v>1.0338837392706216E-11</v>
      </c>
      <c r="AA73">
        <f t="shared" si="15"/>
        <v>5.8749706550787463E-2</v>
      </c>
      <c r="AB73" s="27"/>
      <c r="AD73" s="72" t="s">
        <v>486</v>
      </c>
      <c r="AE73">
        <v>9</v>
      </c>
      <c r="AF73" t="s">
        <v>417</v>
      </c>
      <c r="AG73" t="e">
        <f t="shared" si="5"/>
        <v>#VALUE!</v>
      </c>
      <c r="AH73" t="e">
        <f t="shared" si="16"/>
        <v>#VALUE!</v>
      </c>
      <c r="AI73" s="27"/>
      <c r="AK73" s="72" t="s">
        <v>486</v>
      </c>
      <c r="AL73">
        <v>37</v>
      </c>
      <c r="AM73">
        <v>25.532171274984599</v>
      </c>
      <c r="AN73">
        <f t="shared" si="17"/>
        <v>2.0608699739935583E-8</v>
      </c>
      <c r="AO73">
        <f>AN73/AVERAGE('[1]PCR Raw Data'!$E$9:$E$10)</f>
        <v>1.4883066324491753E-4</v>
      </c>
      <c r="AP73" s="27">
        <f>AVERAGE(AO73:AO74)</f>
        <v>1.6956105499956294E-4</v>
      </c>
    </row>
    <row r="74" spans="2:42" ht="15.75" thickBot="1" x14ac:dyDescent="0.3">
      <c r="B74" s="73" t="s">
        <v>470</v>
      </c>
      <c r="C74" s="2">
        <v>24</v>
      </c>
      <c r="D74" s="2">
        <v>32.728142551288499</v>
      </c>
      <c r="E74" s="2">
        <f t="shared" si="18"/>
        <v>1.4055535283432842E-10</v>
      </c>
      <c r="F74" s="2">
        <f t="shared" si="12"/>
        <v>2.6660327035334325E-4</v>
      </c>
      <c r="G74" s="8"/>
      <c r="I74" s="73" t="s">
        <v>470</v>
      </c>
      <c r="J74" s="2">
        <v>7</v>
      </c>
      <c r="K74" s="2">
        <v>32.142135366079799</v>
      </c>
      <c r="L74" s="2">
        <f t="shared" si="2"/>
        <v>2.1098575297570391E-10</v>
      </c>
      <c r="M74" s="2">
        <f t="shared" si="13"/>
        <v>6.5393212608762577E-4</v>
      </c>
      <c r="N74" s="8"/>
      <c r="P74" s="73" t="s">
        <v>470</v>
      </c>
      <c r="Q74" s="2">
        <v>1</v>
      </c>
      <c r="R74" s="2">
        <v>33.917098717200197</v>
      </c>
      <c r="S74" s="2">
        <f t="shared" si="3"/>
        <v>6.1650403051603981E-11</v>
      </c>
      <c r="T74" s="2">
        <f t="shared" si="14"/>
        <v>1.4411373144059161</v>
      </c>
      <c r="U74" s="8"/>
      <c r="W74" s="73" t="s">
        <v>470</v>
      </c>
      <c r="X74" s="2">
        <v>1</v>
      </c>
      <c r="Y74" s="2">
        <v>34.467097463115103</v>
      </c>
      <c r="Z74" s="2">
        <f t="shared" si="4"/>
        <v>4.2108502810267288E-11</v>
      </c>
      <c r="AA74" s="2">
        <f t="shared" si="15"/>
        <v>0.23927856580290727</v>
      </c>
      <c r="AB74" s="8"/>
      <c r="AD74" s="73" t="s">
        <v>470</v>
      </c>
      <c r="AE74" s="2">
        <v>9</v>
      </c>
      <c r="AF74" s="2" t="s">
        <v>417</v>
      </c>
      <c r="AG74" s="2" t="e">
        <f t="shared" si="5"/>
        <v>#VALUE!</v>
      </c>
      <c r="AH74" s="2" t="e">
        <f t="shared" si="16"/>
        <v>#VALUE!</v>
      </c>
      <c r="AI74" s="8"/>
      <c r="AK74" s="72" t="s">
        <v>486</v>
      </c>
      <c r="AL74">
        <v>37</v>
      </c>
      <c r="AM74">
        <v>25.177632350633601</v>
      </c>
      <c r="AN74">
        <f t="shared" si="17"/>
        <v>2.6349807248939621E-8</v>
      </c>
      <c r="AO74">
        <f>AN74/AVERAGE('[1]PCR Raw Data'!$E$9:$E$10)</f>
        <v>1.9029144675420835E-4</v>
      </c>
      <c r="AP74" s="27"/>
    </row>
    <row r="75" spans="2:42" x14ac:dyDescent="0.25">
      <c r="B75" s="71" t="s">
        <v>452</v>
      </c>
      <c r="C75" s="50">
        <v>4</v>
      </c>
      <c r="D75" s="50">
        <v>30.971978824595102</v>
      </c>
      <c r="E75" s="50">
        <f t="shared" si="18"/>
        <v>4.7479413842251106E-10</v>
      </c>
      <c r="F75" s="50"/>
      <c r="G75" s="25"/>
      <c r="I75" s="71" t="s">
        <v>452</v>
      </c>
      <c r="J75" s="50">
        <v>8</v>
      </c>
      <c r="K75" s="50">
        <v>31.124631332463899</v>
      </c>
      <c r="L75" s="50">
        <f t="shared" si="2"/>
        <v>4.2712241651150121E-10</v>
      </c>
      <c r="M75" s="50"/>
      <c r="N75" s="25"/>
      <c r="P75" s="71" t="s">
        <v>452</v>
      </c>
      <c r="Q75" s="50">
        <v>2</v>
      </c>
      <c r="R75" s="50" t="s">
        <v>417</v>
      </c>
      <c r="S75" s="50" t="e">
        <f t="shared" ref="S75:S138" si="19">2^(-R75)</f>
        <v>#VALUE!</v>
      </c>
      <c r="T75" s="50"/>
      <c r="U75" s="25"/>
      <c r="W75" s="71" t="s">
        <v>452</v>
      </c>
      <c r="X75" s="50">
        <v>2</v>
      </c>
      <c r="Y75" s="50">
        <v>34.027126376680798</v>
      </c>
      <c r="Z75" s="50">
        <f t="shared" si="4"/>
        <v>5.7123432292205567E-11</v>
      </c>
      <c r="AA75" s="50"/>
      <c r="AB75" s="25"/>
      <c r="AD75" s="71" t="s">
        <v>452</v>
      </c>
      <c r="AE75" s="50">
        <v>12</v>
      </c>
      <c r="AF75" s="50" t="s">
        <v>417</v>
      </c>
      <c r="AG75" s="50" t="e">
        <f t="shared" si="5"/>
        <v>#VALUE!</v>
      </c>
      <c r="AH75" s="50"/>
      <c r="AI75" s="25"/>
      <c r="AK75" s="72" t="s">
        <v>486</v>
      </c>
      <c r="AL75">
        <v>56</v>
      </c>
      <c r="AM75">
        <v>32.594112521656903</v>
      </c>
      <c r="AN75">
        <f t="shared" si="17"/>
        <v>1.5423908810901195E-10</v>
      </c>
      <c r="AO75">
        <f>AN75/AVERAGE('[1]PCR Raw Data'!$BY$13:$BY$14)</f>
        <v>4.7740777215963967E-4</v>
      </c>
      <c r="AP75" s="27">
        <f>AVERAGE(AO75:AO76)</f>
        <v>8.4575115806621534E-4</v>
      </c>
    </row>
    <row r="76" spans="2:42" x14ac:dyDescent="0.25">
      <c r="B76" s="72" t="s">
        <v>454</v>
      </c>
      <c r="C76">
        <v>4</v>
      </c>
      <c r="D76">
        <v>35.241096705704997</v>
      </c>
      <c r="E76">
        <f t="shared" si="18"/>
        <v>2.4624805647230536E-11</v>
      </c>
      <c r="F76">
        <f>E76/$E$75</f>
        <v>5.1864173658600118E-2</v>
      </c>
      <c r="G76" s="27">
        <f>AVERAGE(F76,F94)</f>
        <v>5.1864173658600118E-2</v>
      </c>
      <c r="I76" s="72" t="s">
        <v>454</v>
      </c>
      <c r="J76">
        <v>8</v>
      </c>
      <c r="K76" t="s">
        <v>417</v>
      </c>
      <c r="L76" t="e">
        <f t="shared" si="2"/>
        <v>#VALUE!</v>
      </c>
      <c r="M76" t="e">
        <f>L76/$L$75</f>
        <v>#VALUE!</v>
      </c>
      <c r="N76" s="27" t="e">
        <f>_xlfn.AGGREGATE(1,6,(M76,M94))</f>
        <v>#DIV/0!</v>
      </c>
      <c r="P76" s="72" t="s">
        <v>454</v>
      </c>
      <c r="Q76">
        <v>2</v>
      </c>
      <c r="R76">
        <v>34.6379159126082</v>
      </c>
      <c r="S76">
        <f t="shared" si="19"/>
        <v>3.7406607525912802E-11</v>
      </c>
      <c r="T76">
        <f>S76/$S$93</f>
        <v>1.2222789646014887</v>
      </c>
      <c r="U76" s="27">
        <f>_xlfn.AGGREGATE(1,6,(T76,T94))</f>
        <v>1.2222789646014887</v>
      </c>
      <c r="W76" s="72" t="s">
        <v>454</v>
      </c>
      <c r="X76">
        <v>2</v>
      </c>
      <c r="Y76">
        <v>33.179484143834898</v>
      </c>
      <c r="Z76">
        <f t="shared" si="4"/>
        <v>1.0279690331742348E-10</v>
      </c>
      <c r="AA76">
        <f>Z76/$Z$75</f>
        <v>1.7995575404429962</v>
      </c>
      <c r="AB76" s="27">
        <f>_xlfn.AGGREGATE(1,6,(AA76,AA94))</f>
        <v>1.2154366368916643</v>
      </c>
      <c r="AD76" s="72" t="s">
        <v>454</v>
      </c>
      <c r="AE76">
        <v>12</v>
      </c>
      <c r="AF76" t="s">
        <v>417</v>
      </c>
      <c r="AG76" t="e">
        <f t="shared" si="5"/>
        <v>#VALUE!</v>
      </c>
      <c r="AH76" t="e">
        <f>AG76/$Z$75</f>
        <v>#VALUE!</v>
      </c>
      <c r="AI76" s="27">
        <f>_xlfn.AGGREGATE(1,6,(AH76,AH94))</f>
        <v>6.5275085993511811E-2</v>
      </c>
      <c r="AK76" s="72" t="s">
        <v>486</v>
      </c>
      <c r="AL76">
        <v>56</v>
      </c>
      <c r="AM76">
        <v>31.247525708818898</v>
      </c>
      <c r="AN76">
        <f t="shared" si="17"/>
        <v>3.9224504974726746E-10</v>
      </c>
      <c r="AO76">
        <f>AN76/AVERAGE('[1]PCR Raw Data'!$BY$13:$BY$14)</f>
        <v>1.2140945439727911E-3</v>
      </c>
      <c r="AP76" s="27"/>
    </row>
    <row r="77" spans="2:42" x14ac:dyDescent="0.25">
      <c r="B77" s="72" t="s">
        <v>455</v>
      </c>
      <c r="C77">
        <v>4</v>
      </c>
      <c r="D77" t="s">
        <v>417</v>
      </c>
      <c r="E77" t="e">
        <f t="shared" si="18"/>
        <v>#VALUE!</v>
      </c>
      <c r="G77" s="27" t="e">
        <f t="shared" ref="G77:G92" si="20">AVERAGE(F77,F95)</f>
        <v>#DIV/0!</v>
      </c>
      <c r="I77" s="72" t="s">
        <v>455</v>
      </c>
      <c r="J77">
        <v>8</v>
      </c>
      <c r="K77" t="s">
        <v>417</v>
      </c>
      <c r="L77" t="e">
        <f t="shared" si="2"/>
        <v>#VALUE!</v>
      </c>
      <c r="M77" t="e">
        <f t="shared" ref="M77:M92" si="21">L77/$L$75</f>
        <v>#VALUE!</v>
      </c>
      <c r="N77" s="27">
        <f>_xlfn.AGGREGATE(1,6,(M77,M95))</f>
        <v>4.6640963339795831E-4</v>
      </c>
      <c r="P77" s="72" t="s">
        <v>455</v>
      </c>
      <c r="Q77">
        <v>2</v>
      </c>
      <c r="R77" t="s">
        <v>417</v>
      </c>
      <c r="S77" t="e">
        <f t="shared" si="19"/>
        <v>#VALUE!</v>
      </c>
      <c r="T77" t="e">
        <f t="shared" ref="T77:T92" si="22">S77/$S$93</f>
        <v>#VALUE!</v>
      </c>
      <c r="U77" s="27" t="e">
        <f>_xlfn.AGGREGATE(1,6,(T77,T95))</f>
        <v>#DIV/0!</v>
      </c>
      <c r="W77" s="72" t="s">
        <v>455</v>
      </c>
      <c r="X77">
        <v>2</v>
      </c>
      <c r="Y77" t="s">
        <v>417</v>
      </c>
      <c r="Z77" t="e">
        <f t="shared" si="4"/>
        <v>#VALUE!</v>
      </c>
      <c r="AA77" t="e">
        <f t="shared" ref="AA77:AA92" si="23">Z77/$Z$75</f>
        <v>#VALUE!</v>
      </c>
      <c r="AB77" s="27" t="e">
        <f>_xlfn.AGGREGATE(1,6,(AA77,AA95))</f>
        <v>#DIV/0!</v>
      </c>
      <c r="AD77" s="72" t="s">
        <v>455</v>
      </c>
      <c r="AE77">
        <v>12</v>
      </c>
      <c r="AF77" t="s">
        <v>417</v>
      </c>
      <c r="AG77" t="e">
        <f t="shared" si="5"/>
        <v>#VALUE!</v>
      </c>
      <c r="AH77" t="e">
        <f t="shared" ref="AH77:AH92" si="24">AG77/$Z$75</f>
        <v>#VALUE!</v>
      </c>
      <c r="AI77" s="27" t="e">
        <f>_xlfn.AGGREGATE(1,6,(AH77,AH95))</f>
        <v>#DIV/0!</v>
      </c>
      <c r="AK77" s="72" t="s">
        <v>486</v>
      </c>
      <c r="AL77">
        <v>57</v>
      </c>
      <c r="AM77">
        <v>31.2815416426584</v>
      </c>
      <c r="AN77">
        <f t="shared" si="17"/>
        <v>3.8310485430799979E-10</v>
      </c>
      <c r="AO77">
        <f>AN77/AVERAGE('[1]PCR Raw Data'!$CE$7:$CE$8)</f>
        <v>5.4025846557443909E-4</v>
      </c>
      <c r="AP77" s="27">
        <f>AVERAGE(AO77:AO78)</f>
        <v>7.3509733900071648E-4</v>
      </c>
    </row>
    <row r="78" spans="2:42" x14ac:dyDescent="0.25">
      <c r="B78" s="72" t="s">
        <v>481</v>
      </c>
      <c r="C78">
        <v>4</v>
      </c>
      <c r="D78">
        <v>31.792384344579101</v>
      </c>
      <c r="E78">
        <f t="shared" si="18"/>
        <v>2.6886772880885081E-10</v>
      </c>
      <c r="F78">
        <f t="shared" ref="F78:F91" si="25">E78/$E$75</f>
        <v>0.56628274667028444</v>
      </c>
      <c r="G78" s="27">
        <f t="shared" si="20"/>
        <v>0.47504575098289248</v>
      </c>
      <c r="I78" s="72" t="s">
        <v>481</v>
      </c>
      <c r="J78">
        <v>8</v>
      </c>
      <c r="K78">
        <v>32.070923477075297</v>
      </c>
      <c r="L78">
        <f t="shared" si="2"/>
        <v>2.216613861534914E-10</v>
      </c>
      <c r="M78">
        <f t="shared" si="21"/>
        <v>0.51896453472027659</v>
      </c>
      <c r="N78" s="27">
        <f>_xlfn.AGGREGATE(1,6,(M78,M96))</f>
        <v>0.48872494747350748</v>
      </c>
      <c r="P78" s="72" t="s">
        <v>481</v>
      </c>
      <c r="Q78">
        <v>2</v>
      </c>
      <c r="R78">
        <v>31.128278348639199</v>
      </c>
      <c r="S78">
        <f t="shared" si="19"/>
        <v>4.2604404923510485E-10</v>
      </c>
      <c r="T78">
        <f t="shared" si="22"/>
        <v>13.921195045901248</v>
      </c>
      <c r="U78" s="27">
        <f>_xlfn.AGGREGATE(1,6,(T78,T96))</f>
        <v>10.567676930708345</v>
      </c>
      <c r="W78" s="72" t="s">
        <v>481</v>
      </c>
      <c r="X78">
        <v>2</v>
      </c>
      <c r="Y78">
        <v>26.342924973124202</v>
      </c>
      <c r="Z78">
        <f t="shared" si="4"/>
        <v>1.1748689049650075E-8</v>
      </c>
      <c r="AA78">
        <f t="shared" si="23"/>
        <v>205.67197344780649</v>
      </c>
      <c r="AB78" s="27">
        <f>_xlfn.AGGREGATE(1,6,(AA78,AA96))</f>
        <v>147.27576465653522</v>
      </c>
      <c r="AD78" s="72" t="s">
        <v>481</v>
      </c>
      <c r="AE78">
        <v>12</v>
      </c>
      <c r="AF78">
        <v>34.061690060911701</v>
      </c>
      <c r="AG78">
        <f t="shared" si="5"/>
        <v>5.5771148578214456E-11</v>
      </c>
      <c r="AH78">
        <f t="shared" si="24"/>
        <v>0.97632698772241622</v>
      </c>
      <c r="AI78" s="27">
        <f>_xlfn.AGGREGATE(1,6,(AH78,AH96))</f>
        <v>0.89738825944281042</v>
      </c>
      <c r="AK78" s="72" t="s">
        <v>486</v>
      </c>
      <c r="AL78">
        <v>57</v>
      </c>
      <c r="AM78">
        <v>30.498059656092899</v>
      </c>
      <c r="AN78">
        <f t="shared" si="17"/>
        <v>6.5943080928639186E-10</v>
      </c>
      <c r="AO78">
        <f>AN78/AVERAGE('[1]PCR Raw Data'!$CE$7:$CE$8)</f>
        <v>9.2993621242699377E-4</v>
      </c>
      <c r="AP78" s="27"/>
    </row>
    <row r="79" spans="2:42" x14ac:dyDescent="0.25">
      <c r="B79" s="72" t="s">
        <v>457</v>
      </c>
      <c r="C79">
        <v>4</v>
      </c>
      <c r="D79" t="s">
        <v>417</v>
      </c>
      <c r="E79" t="e">
        <f t="shared" si="18"/>
        <v>#VALUE!</v>
      </c>
      <c r="G79" s="27" t="e">
        <f t="shared" si="20"/>
        <v>#DIV/0!</v>
      </c>
      <c r="I79" s="72" t="s">
        <v>457</v>
      </c>
      <c r="J79">
        <v>8</v>
      </c>
      <c r="K79" t="s">
        <v>417</v>
      </c>
      <c r="L79" t="e">
        <f t="shared" si="2"/>
        <v>#VALUE!</v>
      </c>
      <c r="M79" t="e">
        <f t="shared" si="21"/>
        <v>#VALUE!</v>
      </c>
      <c r="N79" s="27" t="e">
        <f>_xlfn.AGGREGATE(1,6,(M79,M97))</f>
        <v>#DIV/0!</v>
      </c>
      <c r="P79" s="72" t="s">
        <v>457</v>
      </c>
      <c r="Q79">
        <v>2</v>
      </c>
      <c r="R79" t="s">
        <v>417</v>
      </c>
      <c r="S79" t="e">
        <f t="shared" si="19"/>
        <v>#VALUE!</v>
      </c>
      <c r="T79" t="e">
        <f t="shared" si="22"/>
        <v>#VALUE!</v>
      </c>
      <c r="U79" s="27" t="e">
        <f>_xlfn.AGGREGATE(1,6,(T79,T97))</f>
        <v>#DIV/0!</v>
      </c>
      <c r="W79" s="72" t="s">
        <v>457</v>
      </c>
      <c r="X79">
        <v>2</v>
      </c>
      <c r="Y79" t="s">
        <v>417</v>
      </c>
      <c r="Z79" t="e">
        <f t="shared" si="4"/>
        <v>#VALUE!</v>
      </c>
      <c r="AA79" t="e">
        <f t="shared" si="23"/>
        <v>#VALUE!</v>
      </c>
      <c r="AB79" s="27" t="e">
        <f>_xlfn.AGGREGATE(1,6,(AA79,AA97))</f>
        <v>#DIV/0!</v>
      </c>
      <c r="AD79" s="72" t="s">
        <v>457</v>
      </c>
      <c r="AE79">
        <v>12</v>
      </c>
      <c r="AF79" t="s">
        <v>417</v>
      </c>
      <c r="AG79" t="e">
        <f t="shared" si="5"/>
        <v>#VALUE!</v>
      </c>
      <c r="AH79" t="e">
        <f t="shared" si="24"/>
        <v>#VALUE!</v>
      </c>
      <c r="AI79" s="27" t="e">
        <f>_xlfn.AGGREGATE(1,6,(AH79,AH97))</f>
        <v>#DIV/0!</v>
      </c>
      <c r="AK79" s="72" t="s">
        <v>486</v>
      </c>
      <c r="AL79">
        <v>52</v>
      </c>
      <c r="AM79">
        <v>31.540918488925101</v>
      </c>
      <c r="AN79">
        <f t="shared" si="17"/>
        <v>3.2006445361506709E-10</v>
      </c>
      <c r="AO79">
        <f>AN79/AVERAGE('[1]PCR Raw Data'!$CE$13:$CE$14)</f>
        <v>3.7322513604540262E-4</v>
      </c>
      <c r="AP79" s="27">
        <f>AVERAGE(AO79:AO80)</f>
        <v>6.1854529729770465E-4</v>
      </c>
    </row>
    <row r="80" spans="2:42" x14ac:dyDescent="0.25">
      <c r="B80" s="72" t="s">
        <v>458</v>
      </c>
      <c r="C80">
        <v>4</v>
      </c>
      <c r="D80">
        <v>34.8652444633165</v>
      </c>
      <c r="E80">
        <f t="shared" si="18"/>
        <v>3.1953292164177054E-11</v>
      </c>
      <c r="F80">
        <f t="shared" si="25"/>
        <v>6.7299255779232833E-2</v>
      </c>
      <c r="G80" s="27">
        <f t="shared" si="20"/>
        <v>7.672262019262166E-2</v>
      </c>
      <c r="I80" s="72" t="s">
        <v>458</v>
      </c>
      <c r="J80">
        <v>8</v>
      </c>
      <c r="K80">
        <v>36.639683519176302</v>
      </c>
      <c r="L80">
        <f t="shared" si="2"/>
        <v>9.3402011461834646E-12</v>
      </c>
      <c r="M80">
        <f t="shared" si="21"/>
        <v>2.186773811234035E-2</v>
      </c>
      <c r="N80" s="27">
        <f>_xlfn.AGGREGATE(1,6,(M80,M98))</f>
        <v>4.8810770497714179E-2</v>
      </c>
      <c r="P80" s="72" t="s">
        <v>458</v>
      </c>
      <c r="Q80">
        <v>2</v>
      </c>
      <c r="R80">
        <v>33.550471392755703</v>
      </c>
      <c r="S80">
        <f t="shared" si="19"/>
        <v>7.9488031533839564E-11</v>
      </c>
      <c r="T80">
        <f t="shared" si="22"/>
        <v>2.5973098152268506</v>
      </c>
      <c r="U80" s="27">
        <f>_xlfn.AGGREGATE(1,6,(T80,T98))</f>
        <v>1.6583014461428311</v>
      </c>
      <c r="W80" s="72" t="s">
        <v>458</v>
      </c>
      <c r="X80">
        <v>2</v>
      </c>
      <c r="Y80">
        <v>33.300490214205901</v>
      </c>
      <c r="Z80">
        <f t="shared" si="4"/>
        <v>9.4526499453525046E-11</v>
      </c>
      <c r="AA80">
        <f t="shared" si="23"/>
        <v>1.6547762566155026</v>
      </c>
      <c r="AB80" s="27">
        <f>_xlfn.AGGREGATE(1,6,(AA80,AA98))</f>
        <v>1.2202550187561003</v>
      </c>
      <c r="AD80" s="72" t="s">
        <v>458</v>
      </c>
      <c r="AE80">
        <v>12</v>
      </c>
      <c r="AF80">
        <v>36.023861822281397</v>
      </c>
      <c r="AG80">
        <f t="shared" si="5"/>
        <v>1.4313209625883816E-11</v>
      </c>
      <c r="AH80">
        <f t="shared" si="24"/>
        <v>0.25056634469488692</v>
      </c>
      <c r="AI80" s="27">
        <f>_xlfn.AGGREGATE(1,6,(AH80,AH98))</f>
        <v>0.25056634469488692</v>
      </c>
      <c r="AK80" s="72" t="s">
        <v>486</v>
      </c>
      <c r="AL80">
        <v>52</v>
      </c>
      <c r="AM80">
        <v>30.330158001842001</v>
      </c>
      <c r="AN80">
        <f t="shared" si="17"/>
        <v>7.4081994829550306E-10</v>
      </c>
      <c r="AO80">
        <f>AN80/AVERAGE('[1]PCR Raw Data'!$CE$13:$CE$14)</f>
        <v>8.6386545855000668E-4</v>
      </c>
      <c r="AP80" s="27"/>
    </row>
    <row r="81" spans="2:42" x14ac:dyDescent="0.25">
      <c r="B81" s="72" t="s">
        <v>459</v>
      </c>
      <c r="C81">
        <v>4</v>
      </c>
      <c r="D81">
        <v>31.061161736960301</v>
      </c>
      <c r="E81">
        <f t="shared" si="18"/>
        <v>4.4633260849528334E-10</v>
      </c>
      <c r="F81">
        <f t="shared" si="25"/>
        <v>0.9400550099001006</v>
      </c>
      <c r="G81" s="27">
        <f t="shared" si="20"/>
        <v>0.8427273805062574</v>
      </c>
      <c r="I81" s="72" t="s">
        <v>459</v>
      </c>
      <c r="J81">
        <v>8</v>
      </c>
      <c r="K81">
        <v>33.211466133689001</v>
      </c>
      <c r="L81">
        <f t="shared" si="2"/>
        <v>1.0054315145914991E-10</v>
      </c>
      <c r="M81">
        <f t="shared" si="21"/>
        <v>0.235396569162374</v>
      </c>
      <c r="N81" s="27">
        <f>_xlfn.AGGREGATE(1,6,(M81,M99))</f>
        <v>0.36979462131753038</v>
      </c>
      <c r="P81" s="72" t="s">
        <v>482</v>
      </c>
      <c r="Q81">
        <v>2</v>
      </c>
      <c r="R81">
        <v>35.525931615643998</v>
      </c>
      <c r="S81">
        <f t="shared" si="19"/>
        <v>2.021291546970641E-11</v>
      </c>
      <c r="T81">
        <f t="shared" si="22"/>
        <v>0.66046677381196939</v>
      </c>
      <c r="U81" s="27">
        <f>_xlfn.AGGREGATE(1,6,(T81,T99))</f>
        <v>0.83864075464253995</v>
      </c>
      <c r="W81" s="72" t="s">
        <v>459</v>
      </c>
      <c r="X81">
        <v>2</v>
      </c>
      <c r="Y81">
        <v>33.814476531829499</v>
      </c>
      <c r="Z81">
        <f t="shared" si="4"/>
        <v>6.6195470938779088E-11</v>
      </c>
      <c r="AA81">
        <f t="shared" si="23"/>
        <v>1.1588146629594487</v>
      </c>
      <c r="AB81" s="27">
        <f>_xlfn.AGGREGATE(1,6,(AA81,AA99))</f>
        <v>1.1790367240057225</v>
      </c>
      <c r="AD81" s="72" t="s">
        <v>459</v>
      </c>
      <c r="AE81">
        <v>12</v>
      </c>
      <c r="AF81" t="s">
        <v>417</v>
      </c>
      <c r="AG81" t="e">
        <f t="shared" si="5"/>
        <v>#VALUE!</v>
      </c>
      <c r="AH81" t="e">
        <f t="shared" si="24"/>
        <v>#VALUE!</v>
      </c>
      <c r="AI81" s="27" t="e">
        <f>_xlfn.AGGREGATE(1,6,(AH81,AH99))</f>
        <v>#DIV/0!</v>
      </c>
      <c r="AK81" s="72" t="s">
        <v>486</v>
      </c>
      <c r="AL81">
        <v>59</v>
      </c>
      <c r="AM81">
        <v>32.233495751593502</v>
      </c>
      <c r="AN81">
        <f t="shared" si="17"/>
        <v>1.9803908617174187E-10</v>
      </c>
      <c r="AO81">
        <f>AN81/AVERAGE('[1]PCR Raw Data'!$BY$5:$BY$6)</f>
        <v>3.8030566099096536E-4</v>
      </c>
      <c r="AP81" s="27">
        <f>AVERAGE(AO81:AO82)</f>
        <v>5.504314308068882E-4</v>
      </c>
    </row>
    <row r="82" spans="2:42" x14ac:dyDescent="0.25">
      <c r="B82" s="72" t="s">
        <v>460</v>
      </c>
      <c r="C82">
        <v>4</v>
      </c>
      <c r="D82" t="s">
        <v>417</v>
      </c>
      <c r="E82" t="e">
        <f t="shared" si="18"/>
        <v>#VALUE!</v>
      </c>
      <c r="G82" s="27" t="e">
        <f t="shared" si="20"/>
        <v>#DIV/0!</v>
      </c>
      <c r="I82" s="72" t="s">
        <v>460</v>
      </c>
      <c r="J82">
        <v>8</v>
      </c>
      <c r="K82" t="s">
        <v>417</v>
      </c>
      <c r="L82" t="e">
        <f t="shared" si="2"/>
        <v>#VALUE!</v>
      </c>
      <c r="M82" t="e">
        <f t="shared" si="21"/>
        <v>#VALUE!</v>
      </c>
      <c r="N82" s="27" t="e">
        <f>_xlfn.AGGREGATE(1,6,(M82,M100))</f>
        <v>#DIV/0!</v>
      </c>
      <c r="P82" s="72" t="s">
        <v>483</v>
      </c>
      <c r="Q82">
        <v>2</v>
      </c>
      <c r="R82">
        <v>37.168476256005903</v>
      </c>
      <c r="S82">
        <f t="shared" si="19"/>
        <v>6.4740157827555124E-12</v>
      </c>
      <c r="T82">
        <f t="shared" si="22"/>
        <v>0.21154159201094269</v>
      </c>
      <c r="U82" s="27">
        <f>_xlfn.AGGREGATE(1,6,(T82,T100))</f>
        <v>0.40379928722985692</v>
      </c>
      <c r="W82" s="72" t="s">
        <v>460</v>
      </c>
      <c r="X82">
        <v>2</v>
      </c>
      <c r="Y82">
        <v>36.9795572840153</v>
      </c>
      <c r="Z82">
        <f t="shared" si="4"/>
        <v>7.3797904666638813E-12</v>
      </c>
      <c r="AA82">
        <f t="shared" si="23"/>
        <v>0.12919024943938542</v>
      </c>
      <c r="AB82" s="27">
        <f>_xlfn.AGGREGATE(1,6,(AA82,AA100))</f>
        <v>0.12919024943938542</v>
      </c>
      <c r="AD82" s="72" t="s">
        <v>460</v>
      </c>
      <c r="AE82">
        <v>12</v>
      </c>
      <c r="AF82" t="s">
        <v>417</v>
      </c>
      <c r="AG82" t="e">
        <f t="shared" si="5"/>
        <v>#VALUE!</v>
      </c>
      <c r="AH82" t="e">
        <f t="shared" si="24"/>
        <v>#VALUE!</v>
      </c>
      <c r="AI82" s="27" t="e">
        <f>_xlfn.AGGREGATE(1,6,(AH82,AH100))</f>
        <v>#DIV/0!</v>
      </c>
      <c r="AK82" s="72" t="s">
        <v>486</v>
      </c>
      <c r="AL82">
        <v>59</v>
      </c>
      <c r="AM82">
        <v>31.3115422041042</v>
      </c>
      <c r="AN82">
        <f t="shared" si="17"/>
        <v>3.7522052439077407E-10</v>
      </c>
      <c r="AO82">
        <f>AN82/AVERAGE('[1]PCR Raw Data'!$BY$5:$BY$6)</f>
        <v>7.2055720062281104E-4</v>
      </c>
      <c r="AP82" s="27"/>
    </row>
    <row r="83" spans="2:42" x14ac:dyDescent="0.25">
      <c r="B83" s="72" t="s">
        <v>461</v>
      </c>
      <c r="C83">
        <v>4</v>
      </c>
      <c r="D83" t="s">
        <v>417</v>
      </c>
      <c r="E83" t="e">
        <f t="shared" si="18"/>
        <v>#VALUE!</v>
      </c>
      <c r="G83" s="27" t="e">
        <f t="shared" si="20"/>
        <v>#DIV/0!</v>
      </c>
      <c r="I83" s="72" t="s">
        <v>461</v>
      </c>
      <c r="J83">
        <v>8</v>
      </c>
      <c r="K83" t="s">
        <v>417</v>
      </c>
      <c r="L83" t="e">
        <f t="shared" si="2"/>
        <v>#VALUE!</v>
      </c>
      <c r="M83" t="e">
        <f t="shared" si="21"/>
        <v>#VALUE!</v>
      </c>
      <c r="N83" s="27" t="e">
        <f>_xlfn.AGGREGATE(1,6,(M83,M101))</f>
        <v>#DIV/0!</v>
      </c>
      <c r="P83" s="72" t="s">
        <v>484</v>
      </c>
      <c r="Q83">
        <v>2</v>
      </c>
      <c r="R83" t="s">
        <v>417</v>
      </c>
      <c r="S83" t="e">
        <f t="shared" si="19"/>
        <v>#VALUE!</v>
      </c>
      <c r="T83" t="e">
        <f t="shared" si="22"/>
        <v>#VALUE!</v>
      </c>
      <c r="U83" s="27" t="e">
        <f>_xlfn.AGGREGATE(1,6,(T83,T101))</f>
        <v>#DIV/0!</v>
      </c>
      <c r="W83" s="72" t="s">
        <v>461</v>
      </c>
      <c r="X83">
        <v>2</v>
      </c>
      <c r="Y83" t="s">
        <v>417</v>
      </c>
      <c r="Z83" t="e">
        <f t="shared" si="4"/>
        <v>#VALUE!</v>
      </c>
      <c r="AA83" t="e">
        <f t="shared" si="23"/>
        <v>#VALUE!</v>
      </c>
      <c r="AB83" s="27" t="e">
        <f>_xlfn.AGGREGATE(1,6,(AA83,AA101))</f>
        <v>#DIV/0!</v>
      </c>
      <c r="AD83" s="72" t="s">
        <v>461</v>
      </c>
      <c r="AE83">
        <v>12</v>
      </c>
      <c r="AF83" t="s">
        <v>417</v>
      </c>
      <c r="AG83" t="e">
        <f t="shared" si="5"/>
        <v>#VALUE!</v>
      </c>
      <c r="AH83" t="e">
        <f t="shared" si="24"/>
        <v>#VALUE!</v>
      </c>
      <c r="AI83" s="27" t="e">
        <f>_xlfn.AGGREGATE(1,6,(AH83,AH101))</f>
        <v>#DIV/0!</v>
      </c>
      <c r="AK83" s="72" t="s">
        <v>486</v>
      </c>
      <c r="AL83">
        <v>58</v>
      </c>
      <c r="AM83">
        <v>31.049085734058401</v>
      </c>
      <c r="AN83">
        <f t="shared" si="17"/>
        <v>4.5008429183049537E-10</v>
      </c>
      <c r="AO83">
        <f>AN83/AVERAGE('[1]PCR Raw Data'!$CE$5:$CE$6)</f>
        <v>3.0391505094672284E-4</v>
      </c>
      <c r="AP83" s="27">
        <f>AVERAGE(AO83:AO84)</f>
        <v>3.8805442022124537E-4</v>
      </c>
    </row>
    <row r="84" spans="2:42" x14ac:dyDescent="0.25">
      <c r="B84" s="72" t="s">
        <v>462</v>
      </c>
      <c r="C84">
        <v>4</v>
      </c>
      <c r="D84" t="s">
        <v>417</v>
      </c>
      <c r="E84" t="e">
        <f t="shared" si="18"/>
        <v>#VALUE!</v>
      </c>
      <c r="G84" s="27" t="e">
        <f t="shared" si="20"/>
        <v>#DIV/0!</v>
      </c>
      <c r="I84" s="72" t="s">
        <v>462</v>
      </c>
      <c r="J84">
        <v>8</v>
      </c>
      <c r="K84" t="s">
        <v>417</v>
      </c>
      <c r="L84" t="e">
        <f t="shared" si="2"/>
        <v>#VALUE!</v>
      </c>
      <c r="M84" t="e">
        <f t="shared" si="21"/>
        <v>#VALUE!</v>
      </c>
      <c r="N84" s="27" t="e">
        <f>_xlfn.AGGREGATE(1,6,(M84,M102))</f>
        <v>#DIV/0!</v>
      </c>
      <c r="P84" s="72" t="s">
        <v>485</v>
      </c>
      <c r="Q84">
        <v>2</v>
      </c>
      <c r="R84">
        <v>38.516539999999999</v>
      </c>
      <c r="S84">
        <f t="shared" si="19"/>
        <v>2.5431157690588776E-12</v>
      </c>
      <c r="T84">
        <f t="shared" si="22"/>
        <v>8.3097535827426044E-2</v>
      </c>
      <c r="U84" s="27">
        <f>_xlfn.AGGREGATE(1,6,(T84,T102))</f>
        <v>8.3097535827426044E-2</v>
      </c>
      <c r="W84" s="72" t="s">
        <v>462</v>
      </c>
      <c r="X84">
        <v>2</v>
      </c>
      <c r="Y84" t="s">
        <v>417</v>
      </c>
      <c r="Z84" t="e">
        <f t="shared" si="4"/>
        <v>#VALUE!</v>
      </c>
      <c r="AA84" t="e">
        <f t="shared" si="23"/>
        <v>#VALUE!</v>
      </c>
      <c r="AB84" s="27" t="e">
        <f>_xlfn.AGGREGATE(1,6,(AA84,AA102))</f>
        <v>#DIV/0!</v>
      </c>
      <c r="AD84" s="72" t="s">
        <v>462</v>
      </c>
      <c r="AE84">
        <v>12</v>
      </c>
      <c r="AF84" t="s">
        <v>417</v>
      </c>
      <c r="AG84" t="e">
        <f t="shared" si="5"/>
        <v>#VALUE!</v>
      </c>
      <c r="AH84" t="e">
        <f t="shared" si="24"/>
        <v>#VALUE!</v>
      </c>
      <c r="AI84" s="27" t="e">
        <f>_xlfn.AGGREGATE(1,6,(AH84,AH102))</f>
        <v>#DIV/0!</v>
      </c>
      <c r="AK84" s="72" t="s">
        <v>486</v>
      </c>
      <c r="AL84">
        <v>58</v>
      </c>
      <c r="AM84">
        <v>30.4133747913218</v>
      </c>
      <c r="AN84">
        <f t="shared" si="17"/>
        <v>6.9929740791026921E-10</v>
      </c>
      <c r="AO84">
        <f>AN84/AVERAGE('[1]PCR Raw Data'!$CE$5:$CE$6)</f>
        <v>4.721937894957679E-4</v>
      </c>
      <c r="AP84" s="27"/>
    </row>
    <row r="85" spans="2:42" x14ac:dyDescent="0.25">
      <c r="B85" s="72" t="s">
        <v>463</v>
      </c>
      <c r="C85">
        <v>4</v>
      </c>
      <c r="D85">
        <v>34.322482106881203</v>
      </c>
      <c r="E85">
        <f t="shared" si="18"/>
        <v>4.654825021846169E-11</v>
      </c>
      <c r="F85">
        <f t="shared" si="25"/>
        <v>9.8038805561325632E-2</v>
      </c>
      <c r="G85" s="27">
        <f t="shared" si="20"/>
        <v>6.6902311238231787E-2</v>
      </c>
      <c r="I85" s="72" t="s">
        <v>463</v>
      </c>
      <c r="J85">
        <v>8</v>
      </c>
      <c r="K85" t="s">
        <v>417</v>
      </c>
      <c r="L85" t="e">
        <f t="shared" si="2"/>
        <v>#VALUE!</v>
      </c>
      <c r="M85" t="e">
        <f t="shared" si="21"/>
        <v>#VALUE!</v>
      </c>
      <c r="N85" s="27" t="e">
        <f>_xlfn.AGGREGATE(1,6,(M85,M103))</f>
        <v>#DIV/0!</v>
      </c>
      <c r="P85" s="72" t="s">
        <v>463</v>
      </c>
      <c r="Q85">
        <v>2</v>
      </c>
      <c r="R85">
        <v>37.851260000000003</v>
      </c>
      <c r="S85">
        <f t="shared" si="19"/>
        <v>4.0330663449922823E-12</v>
      </c>
      <c r="T85">
        <f t="shared" si="22"/>
        <v>0.13178239039483669</v>
      </c>
      <c r="U85" s="27">
        <f>_xlfn.AGGREGATE(1,6,(T85,T103))</f>
        <v>0.13178239039483669</v>
      </c>
      <c r="W85" s="72" t="s">
        <v>463</v>
      </c>
      <c r="X85">
        <v>2</v>
      </c>
      <c r="Y85" t="s">
        <v>417</v>
      </c>
      <c r="Z85" t="e">
        <f t="shared" si="4"/>
        <v>#VALUE!</v>
      </c>
      <c r="AA85" t="e">
        <f t="shared" si="23"/>
        <v>#VALUE!</v>
      </c>
      <c r="AB85" s="27" t="e">
        <f>_xlfn.AGGREGATE(1,6,(AA85,AA103))</f>
        <v>#DIV/0!</v>
      </c>
      <c r="AD85" s="72" t="s">
        <v>463</v>
      </c>
      <c r="AE85">
        <v>12</v>
      </c>
      <c r="AF85" t="s">
        <v>417</v>
      </c>
      <c r="AG85" t="e">
        <f t="shared" si="5"/>
        <v>#VALUE!</v>
      </c>
      <c r="AH85" t="e">
        <f t="shared" si="24"/>
        <v>#VALUE!</v>
      </c>
      <c r="AI85" s="27" t="e">
        <f>_xlfn.AGGREGATE(1,6,(AH85,AH103))</f>
        <v>#DIV/0!</v>
      </c>
      <c r="AK85" s="72" t="s">
        <v>486</v>
      </c>
      <c r="AL85">
        <v>51</v>
      </c>
      <c r="AM85">
        <v>33.7409477300262</v>
      </c>
      <c r="AN85">
        <f t="shared" si="17"/>
        <v>6.9656660753965505E-11</v>
      </c>
      <c r="AO85">
        <f>AN85/AVERAGE('[1]PCR Raw Data'!$BS$9:$BS$10)</f>
        <v>3.4551060918429154E-2</v>
      </c>
      <c r="AP85" s="27">
        <f>AVERAGE(AO85:AO86)</f>
        <v>4.8169461598468244E-2</v>
      </c>
    </row>
    <row r="86" spans="2:42" ht="15.75" thickBot="1" x14ac:dyDescent="0.3">
      <c r="B86" s="72" t="s">
        <v>464</v>
      </c>
      <c r="C86">
        <v>4</v>
      </c>
      <c r="D86">
        <v>34.5188428642495</v>
      </c>
      <c r="E86">
        <f t="shared" si="18"/>
        <v>4.0624954001651545E-11</v>
      </c>
      <c r="F86">
        <f t="shared" si="25"/>
        <v>8.5563301469194011E-2</v>
      </c>
      <c r="G86" s="27">
        <f t="shared" si="20"/>
        <v>8.6207773329177992E-2</v>
      </c>
      <c r="I86" s="72" t="s">
        <v>464</v>
      </c>
      <c r="J86">
        <v>8</v>
      </c>
      <c r="K86">
        <v>34.206061356958003</v>
      </c>
      <c r="L86">
        <f t="shared" si="2"/>
        <v>5.0460261639799971E-11</v>
      </c>
      <c r="M86">
        <f t="shared" si="21"/>
        <v>0.11814004531050226</v>
      </c>
      <c r="N86" s="27">
        <f>_xlfn.AGGREGATE(1,6,(M86,M104))</f>
        <v>0.14657532992041078</v>
      </c>
      <c r="P86" s="72" t="s">
        <v>464</v>
      </c>
      <c r="Q86">
        <v>2</v>
      </c>
      <c r="R86">
        <v>33.856205451832103</v>
      </c>
      <c r="S86">
        <f t="shared" si="19"/>
        <v>6.4308239369751537E-11</v>
      </c>
      <c r="T86">
        <f t="shared" si="22"/>
        <v>2.1013027759267922</v>
      </c>
      <c r="U86" s="27">
        <f>_xlfn.AGGREGATE(1,6,(T86,T104))</f>
        <v>2.575295250806926</v>
      </c>
      <c r="W86" s="72" t="s">
        <v>464</v>
      </c>
      <c r="X86">
        <v>2</v>
      </c>
      <c r="Y86">
        <v>27.6027206557985</v>
      </c>
      <c r="Z86">
        <f t="shared" si="4"/>
        <v>4.9062889363867492E-9</v>
      </c>
      <c r="AA86">
        <f t="shared" si="23"/>
        <v>85.88925314027756</v>
      </c>
      <c r="AB86" s="27">
        <f>_xlfn.AGGREGATE(1,6,(AA86,AA104))</f>
        <v>63.332837061571283</v>
      </c>
      <c r="AD86" s="72" t="s">
        <v>464</v>
      </c>
      <c r="AE86">
        <v>12</v>
      </c>
      <c r="AF86">
        <v>33.726087758206098</v>
      </c>
      <c r="AG86">
        <f t="shared" si="5"/>
        <v>7.0377842401666008E-11</v>
      </c>
      <c r="AH86">
        <f t="shared" si="24"/>
        <v>1.2320310523649853</v>
      </c>
      <c r="AI86" s="27">
        <f>_xlfn.AGGREGATE(1,6,(AH86,AH104))</f>
        <v>0.79301314804490364</v>
      </c>
      <c r="AK86" s="73" t="s">
        <v>486</v>
      </c>
      <c r="AL86" s="2">
        <v>51</v>
      </c>
      <c r="AM86" s="2">
        <v>32.902354280153801</v>
      </c>
      <c r="AN86" s="2">
        <f t="shared" si="17"/>
        <v>1.245674097130562E-10</v>
      </c>
      <c r="AO86" s="2">
        <f>AN86/AVERAGE('[1]PCR Raw Data'!$BS$9:$BS$10)</f>
        <v>6.1787862278507341E-2</v>
      </c>
      <c r="AP86" s="8"/>
    </row>
    <row r="87" spans="2:42" x14ac:dyDescent="0.25">
      <c r="B87" s="72" t="s">
        <v>465</v>
      </c>
      <c r="C87">
        <v>4</v>
      </c>
      <c r="D87" t="s">
        <v>417</v>
      </c>
      <c r="E87" t="e">
        <f t="shared" si="18"/>
        <v>#VALUE!</v>
      </c>
      <c r="G87" s="27" t="e">
        <f t="shared" si="20"/>
        <v>#DIV/0!</v>
      </c>
      <c r="I87" s="72" t="s">
        <v>465</v>
      </c>
      <c r="J87">
        <v>8</v>
      </c>
      <c r="K87" t="s">
        <v>417</v>
      </c>
      <c r="L87" t="e">
        <f t="shared" si="2"/>
        <v>#VALUE!</v>
      </c>
      <c r="M87" t="e">
        <f t="shared" si="21"/>
        <v>#VALUE!</v>
      </c>
      <c r="N87" s="27" t="e">
        <f>_xlfn.AGGREGATE(1,6,(M87,M105))</f>
        <v>#DIV/0!</v>
      </c>
      <c r="P87" s="72" t="s">
        <v>465</v>
      </c>
      <c r="Q87">
        <v>2</v>
      </c>
      <c r="R87">
        <v>36.430722438010299</v>
      </c>
      <c r="S87">
        <f t="shared" si="19"/>
        <v>1.0795923101488813E-11</v>
      </c>
      <c r="T87">
        <f t="shared" si="22"/>
        <v>0.35276200070439395</v>
      </c>
      <c r="U87" s="27">
        <f>_xlfn.AGGREGATE(1,6,(T87,T105))</f>
        <v>0.40957482874501361</v>
      </c>
      <c r="W87" s="72" t="s">
        <v>465</v>
      </c>
      <c r="X87">
        <v>2</v>
      </c>
      <c r="Y87">
        <v>36.616237155088598</v>
      </c>
      <c r="Z87">
        <f t="shared" si="4"/>
        <v>9.4932362292660183E-12</v>
      </c>
      <c r="AA87">
        <f t="shared" si="23"/>
        <v>0.16618812715428097</v>
      </c>
      <c r="AB87" s="27">
        <f>_xlfn.AGGREGATE(1,6,(AA87,AA105))</f>
        <v>0.10966101792218481</v>
      </c>
      <c r="AD87" s="72" t="s">
        <v>465</v>
      </c>
      <c r="AE87">
        <v>12</v>
      </c>
      <c r="AF87" t="s">
        <v>417</v>
      </c>
      <c r="AG87" t="e">
        <f t="shared" si="5"/>
        <v>#VALUE!</v>
      </c>
      <c r="AH87" t="e">
        <f t="shared" si="24"/>
        <v>#VALUE!</v>
      </c>
      <c r="AI87" s="27">
        <f>_xlfn.AGGREGATE(1,6,(AH87,AH105))</f>
        <v>3.1444455270710041E-2</v>
      </c>
    </row>
    <row r="88" spans="2:42" x14ac:dyDescent="0.25">
      <c r="B88" s="72" t="s">
        <v>466</v>
      </c>
      <c r="C88">
        <v>4</v>
      </c>
      <c r="D88" t="s">
        <v>417</v>
      </c>
      <c r="E88" t="e">
        <f t="shared" si="18"/>
        <v>#VALUE!</v>
      </c>
      <c r="G88" s="27" t="e">
        <f t="shared" si="20"/>
        <v>#DIV/0!</v>
      </c>
      <c r="I88" s="72" t="s">
        <v>466</v>
      </c>
      <c r="J88">
        <v>8</v>
      </c>
      <c r="K88" t="s">
        <v>417</v>
      </c>
      <c r="L88" t="e">
        <f t="shared" si="2"/>
        <v>#VALUE!</v>
      </c>
      <c r="M88" t="e">
        <f t="shared" si="21"/>
        <v>#VALUE!</v>
      </c>
      <c r="N88" s="27" t="e">
        <f>_xlfn.AGGREGATE(1,6,(M88,M106))</f>
        <v>#DIV/0!</v>
      </c>
      <c r="P88" s="72" t="s">
        <v>466</v>
      </c>
      <c r="Q88">
        <v>2</v>
      </c>
      <c r="R88" t="s">
        <v>417</v>
      </c>
      <c r="S88" t="e">
        <f t="shared" si="19"/>
        <v>#VALUE!</v>
      </c>
      <c r="T88" t="e">
        <f t="shared" si="22"/>
        <v>#VALUE!</v>
      </c>
      <c r="U88" s="27" t="e">
        <f>_xlfn.AGGREGATE(1,6,(T88,T106))</f>
        <v>#DIV/0!</v>
      </c>
      <c r="W88" s="72" t="s">
        <v>466</v>
      </c>
      <c r="X88">
        <v>2</v>
      </c>
      <c r="Y88" t="s">
        <v>417</v>
      </c>
      <c r="Z88" t="e">
        <f t="shared" si="4"/>
        <v>#VALUE!</v>
      </c>
      <c r="AA88" t="e">
        <f t="shared" si="23"/>
        <v>#VALUE!</v>
      </c>
      <c r="AB88" s="27" t="e">
        <f>_xlfn.AGGREGATE(1,6,(AA88,AA106))</f>
        <v>#DIV/0!</v>
      </c>
      <c r="AD88" s="72" t="s">
        <v>466</v>
      </c>
      <c r="AE88">
        <v>12</v>
      </c>
      <c r="AF88" t="s">
        <v>417</v>
      </c>
      <c r="AG88" t="e">
        <f t="shared" si="5"/>
        <v>#VALUE!</v>
      </c>
      <c r="AH88" t="e">
        <f t="shared" si="24"/>
        <v>#VALUE!</v>
      </c>
      <c r="AI88" s="27" t="e">
        <f>_xlfn.AGGREGATE(1,6,(AH88,AH106))</f>
        <v>#DIV/0!</v>
      </c>
    </row>
    <row r="89" spans="2:42" x14ac:dyDescent="0.25">
      <c r="B89" s="72" t="s">
        <v>467</v>
      </c>
      <c r="C89">
        <v>4</v>
      </c>
      <c r="D89" t="s">
        <v>417</v>
      </c>
      <c r="E89" t="e">
        <f t="shared" si="18"/>
        <v>#VALUE!</v>
      </c>
      <c r="G89" s="27" t="e">
        <f t="shared" si="20"/>
        <v>#DIV/0!</v>
      </c>
      <c r="I89" s="72" t="s">
        <v>467</v>
      </c>
      <c r="J89">
        <v>8</v>
      </c>
      <c r="K89" t="s">
        <v>417</v>
      </c>
      <c r="L89" t="e">
        <f t="shared" si="2"/>
        <v>#VALUE!</v>
      </c>
      <c r="M89" t="e">
        <f t="shared" si="21"/>
        <v>#VALUE!</v>
      </c>
      <c r="N89" s="27" t="e">
        <f>_xlfn.AGGREGATE(1,6,(M89,M107))</f>
        <v>#DIV/0!</v>
      </c>
      <c r="P89" s="72" t="s">
        <v>467</v>
      </c>
      <c r="Q89">
        <v>2</v>
      </c>
      <c r="R89" t="s">
        <v>417</v>
      </c>
      <c r="S89" t="e">
        <f t="shared" si="19"/>
        <v>#VALUE!</v>
      </c>
      <c r="T89" t="e">
        <f t="shared" si="22"/>
        <v>#VALUE!</v>
      </c>
      <c r="U89" s="27" t="e">
        <f>_xlfn.AGGREGATE(1,6,(T89,T107))</f>
        <v>#DIV/0!</v>
      </c>
      <c r="W89" s="72" t="s">
        <v>467</v>
      </c>
      <c r="X89">
        <v>2</v>
      </c>
      <c r="Y89" t="s">
        <v>417</v>
      </c>
      <c r="Z89" t="e">
        <f t="shared" si="4"/>
        <v>#VALUE!</v>
      </c>
      <c r="AA89" t="e">
        <f t="shared" si="23"/>
        <v>#VALUE!</v>
      </c>
      <c r="AB89" s="27" t="e">
        <f>_xlfn.AGGREGATE(1,6,(AA89,AA107))</f>
        <v>#DIV/0!</v>
      </c>
      <c r="AD89" s="72" t="s">
        <v>467</v>
      </c>
      <c r="AE89">
        <v>12</v>
      </c>
      <c r="AF89" t="s">
        <v>417</v>
      </c>
      <c r="AG89" t="e">
        <f t="shared" si="5"/>
        <v>#VALUE!</v>
      </c>
      <c r="AH89" t="e">
        <f t="shared" si="24"/>
        <v>#VALUE!</v>
      </c>
      <c r="AI89" s="27" t="e">
        <f>_xlfn.AGGREGATE(1,6,(AH89,AH107))</f>
        <v>#DIV/0!</v>
      </c>
    </row>
    <row r="90" spans="2:42" x14ac:dyDescent="0.25">
      <c r="B90" s="72" t="s">
        <v>468</v>
      </c>
      <c r="C90">
        <v>4</v>
      </c>
      <c r="D90" t="s">
        <v>417</v>
      </c>
      <c r="E90" t="e">
        <f t="shared" si="18"/>
        <v>#VALUE!</v>
      </c>
      <c r="G90" s="27" t="e">
        <f t="shared" si="20"/>
        <v>#DIV/0!</v>
      </c>
      <c r="I90" s="72" t="s">
        <v>468</v>
      </c>
      <c r="J90">
        <v>8</v>
      </c>
      <c r="K90" t="s">
        <v>417</v>
      </c>
      <c r="L90" t="e">
        <f t="shared" si="2"/>
        <v>#VALUE!</v>
      </c>
      <c r="M90" t="e">
        <f t="shared" si="21"/>
        <v>#VALUE!</v>
      </c>
      <c r="N90" s="27" t="e">
        <f>_xlfn.AGGREGATE(1,6,(M90,M108))</f>
        <v>#DIV/0!</v>
      </c>
      <c r="P90" s="72" t="s">
        <v>468</v>
      </c>
      <c r="Q90">
        <v>2</v>
      </c>
      <c r="R90" t="s">
        <v>417</v>
      </c>
      <c r="S90" t="e">
        <f t="shared" si="19"/>
        <v>#VALUE!</v>
      </c>
      <c r="T90" t="e">
        <f t="shared" si="22"/>
        <v>#VALUE!</v>
      </c>
      <c r="U90" s="27" t="e">
        <f>_xlfn.AGGREGATE(1,6,(T90,T108))</f>
        <v>#DIV/0!</v>
      </c>
      <c r="W90" s="72" t="s">
        <v>468</v>
      </c>
      <c r="X90">
        <v>2</v>
      </c>
      <c r="Y90" t="s">
        <v>417</v>
      </c>
      <c r="Z90" t="e">
        <f t="shared" si="4"/>
        <v>#VALUE!</v>
      </c>
      <c r="AA90" t="e">
        <f t="shared" si="23"/>
        <v>#VALUE!</v>
      </c>
      <c r="AB90" s="27" t="e">
        <f>_xlfn.AGGREGATE(1,6,(AA90,AA108))</f>
        <v>#DIV/0!</v>
      </c>
      <c r="AD90" s="72" t="s">
        <v>468</v>
      </c>
      <c r="AE90">
        <v>12</v>
      </c>
      <c r="AF90" t="s">
        <v>417</v>
      </c>
      <c r="AG90" t="e">
        <f t="shared" si="5"/>
        <v>#VALUE!</v>
      </c>
      <c r="AH90" t="e">
        <f t="shared" si="24"/>
        <v>#VALUE!</v>
      </c>
      <c r="AI90" s="27" t="e">
        <f>_xlfn.AGGREGATE(1,6,(AH90,AH108))</f>
        <v>#DIV/0!</v>
      </c>
    </row>
    <row r="91" spans="2:42" x14ac:dyDescent="0.25">
      <c r="B91" s="72" t="s">
        <v>486</v>
      </c>
      <c r="C91">
        <v>4</v>
      </c>
      <c r="D91">
        <v>35.417211037877003</v>
      </c>
      <c r="E91">
        <f t="shared" si="18"/>
        <v>2.1795012118833576E-11</v>
      </c>
      <c r="F91">
        <f t="shared" si="25"/>
        <v>4.5904130559081532E-2</v>
      </c>
      <c r="G91" s="27">
        <f t="shared" si="20"/>
        <v>3.6656269427216913E-2</v>
      </c>
      <c r="I91" s="72" t="s">
        <v>486</v>
      </c>
      <c r="J91">
        <v>8</v>
      </c>
      <c r="K91">
        <v>34.346974957890303</v>
      </c>
      <c r="L91">
        <f t="shared" si="2"/>
        <v>4.5764663915297652E-11</v>
      </c>
      <c r="M91">
        <f t="shared" si="21"/>
        <v>0.10714648106994248</v>
      </c>
      <c r="N91" s="27">
        <f>_xlfn.AGGREGATE(1,6,(M91,M109))</f>
        <v>9.1871352207533175E-2</v>
      </c>
      <c r="P91" s="72" t="s">
        <v>486</v>
      </c>
      <c r="Q91">
        <v>2</v>
      </c>
      <c r="R91" t="s">
        <v>417</v>
      </c>
      <c r="S91" t="e">
        <f t="shared" si="19"/>
        <v>#VALUE!</v>
      </c>
      <c r="T91" t="e">
        <f t="shared" si="22"/>
        <v>#VALUE!</v>
      </c>
      <c r="U91" s="27" t="e">
        <f>_xlfn.AGGREGATE(1,6,(T91,T109))</f>
        <v>#DIV/0!</v>
      </c>
      <c r="W91" s="72" t="s">
        <v>486</v>
      </c>
      <c r="X91">
        <v>2</v>
      </c>
      <c r="Y91">
        <v>33.467448846872401</v>
      </c>
      <c r="Z91">
        <f t="shared" si="4"/>
        <v>8.4196496168755557E-11</v>
      </c>
      <c r="AA91">
        <f t="shared" si="23"/>
        <v>1.4739397264867098</v>
      </c>
      <c r="AB91" s="27">
        <f>_xlfn.AGGREGATE(1,6,(AA91,AA109))</f>
        <v>0.87726700537380609</v>
      </c>
      <c r="AD91" s="72" t="s">
        <v>486</v>
      </c>
      <c r="AE91">
        <v>12</v>
      </c>
      <c r="AF91" t="s">
        <v>417</v>
      </c>
      <c r="AG91" t="e">
        <f t="shared" si="5"/>
        <v>#VALUE!</v>
      </c>
      <c r="AH91" t="e">
        <f t="shared" si="24"/>
        <v>#VALUE!</v>
      </c>
      <c r="AI91" s="27" t="e">
        <f>_xlfn.AGGREGATE(1,6,(AH91,AH109))</f>
        <v>#DIV/0!</v>
      </c>
    </row>
    <row r="92" spans="2:42" x14ac:dyDescent="0.25">
      <c r="B92" s="212" t="s">
        <v>470</v>
      </c>
      <c r="C92" s="60">
        <v>4</v>
      </c>
      <c r="D92" s="60" t="s">
        <v>417</v>
      </c>
      <c r="E92" s="60" t="e">
        <f t="shared" si="18"/>
        <v>#VALUE!</v>
      </c>
      <c r="F92" s="60"/>
      <c r="G92" s="61" t="e">
        <f t="shared" si="20"/>
        <v>#DIV/0!</v>
      </c>
      <c r="I92" s="212" t="s">
        <v>470</v>
      </c>
      <c r="J92" s="60">
        <v>8</v>
      </c>
      <c r="K92" s="60" t="s">
        <v>417</v>
      </c>
      <c r="L92" s="60" t="e">
        <f t="shared" si="2"/>
        <v>#VALUE!</v>
      </c>
      <c r="M92" s="60" t="e">
        <f t="shared" si="21"/>
        <v>#VALUE!</v>
      </c>
      <c r="N92" s="61" t="e">
        <f>_xlfn.AGGREGATE(1,6,(M92,M110))</f>
        <v>#DIV/0!</v>
      </c>
      <c r="P92" s="212" t="s">
        <v>470</v>
      </c>
      <c r="Q92" s="60">
        <v>2</v>
      </c>
      <c r="R92" s="60" t="s">
        <v>417</v>
      </c>
      <c r="S92" s="60" t="e">
        <f t="shared" si="19"/>
        <v>#VALUE!</v>
      </c>
      <c r="T92" s="60" t="e">
        <f t="shared" si="22"/>
        <v>#VALUE!</v>
      </c>
      <c r="U92" s="61" t="e">
        <f>_xlfn.AGGREGATE(1,6,(T92,T110))</f>
        <v>#DIV/0!</v>
      </c>
      <c r="W92" s="212" t="s">
        <v>470</v>
      </c>
      <c r="X92" s="60">
        <v>2</v>
      </c>
      <c r="Y92" s="60" t="s">
        <v>417</v>
      </c>
      <c r="Z92" s="60" t="e">
        <f t="shared" si="4"/>
        <v>#VALUE!</v>
      </c>
      <c r="AA92" s="60" t="e">
        <f t="shared" si="23"/>
        <v>#VALUE!</v>
      </c>
      <c r="AB92" s="61" t="e">
        <f>_xlfn.AGGREGATE(1,6,(AA92,AA110))</f>
        <v>#DIV/0!</v>
      </c>
      <c r="AD92" s="212" t="s">
        <v>470</v>
      </c>
      <c r="AE92" s="60">
        <v>12</v>
      </c>
      <c r="AF92" s="60">
        <v>36.236441253467802</v>
      </c>
      <c r="AG92" s="60">
        <f t="shared" si="5"/>
        <v>1.2352198056999989E-11</v>
      </c>
      <c r="AH92" s="60">
        <f t="shared" si="24"/>
        <v>0.21623697248817861</v>
      </c>
      <c r="AI92" s="61">
        <f>_xlfn.AGGREGATE(1,6,(AH92,AH110))</f>
        <v>0.20434852391263236</v>
      </c>
    </row>
    <row r="93" spans="2:42" x14ac:dyDescent="0.25">
      <c r="B93" s="72" t="s">
        <v>452</v>
      </c>
      <c r="C93">
        <v>4</v>
      </c>
      <c r="D93">
        <v>30.4839044617692</v>
      </c>
      <c r="E93">
        <f t="shared" si="18"/>
        <v>6.6593274755502362E-10</v>
      </c>
      <c r="G93" s="27"/>
      <c r="I93" s="72" t="s">
        <v>452</v>
      </c>
      <c r="J93">
        <v>8</v>
      </c>
      <c r="K93">
        <v>31.081725207256401</v>
      </c>
      <c r="L93">
        <f t="shared" si="2"/>
        <v>4.4001592594190998E-10</v>
      </c>
      <c r="N93" s="27"/>
      <c r="P93" s="72" t="s">
        <v>452</v>
      </c>
      <c r="Q93">
        <v>2</v>
      </c>
      <c r="R93">
        <v>34.927489506206904</v>
      </c>
      <c r="S93">
        <f t="shared" si="19"/>
        <v>3.0603985349701929E-11</v>
      </c>
      <c r="U93" s="27"/>
      <c r="W93" s="72" t="s">
        <v>452</v>
      </c>
      <c r="X93">
        <v>2</v>
      </c>
      <c r="Y93">
        <v>32.466731543547098</v>
      </c>
      <c r="Z93">
        <f t="shared" si="4"/>
        <v>1.6847673760787564E-10</v>
      </c>
      <c r="AB93" s="27"/>
      <c r="AD93" s="72" t="s">
        <v>452</v>
      </c>
      <c r="AE93">
        <v>12</v>
      </c>
      <c r="AF93" t="s">
        <v>417</v>
      </c>
      <c r="AG93" t="e">
        <f t="shared" si="5"/>
        <v>#VALUE!</v>
      </c>
      <c r="AI93" s="27"/>
    </row>
    <row r="94" spans="2:42" x14ac:dyDescent="0.25">
      <c r="B94" s="72" t="s">
        <v>454</v>
      </c>
      <c r="C94">
        <v>4</v>
      </c>
      <c r="D94" t="s">
        <v>417</v>
      </c>
      <c r="E94" t="e">
        <f t="shared" si="18"/>
        <v>#VALUE!</v>
      </c>
      <c r="G94" s="27"/>
      <c r="I94" s="72" t="s">
        <v>454</v>
      </c>
      <c r="J94">
        <v>8</v>
      </c>
      <c r="K94" t="s">
        <v>417</v>
      </c>
      <c r="L94" t="e">
        <f t="shared" si="2"/>
        <v>#VALUE!</v>
      </c>
      <c r="M94" t="e">
        <f>L94/$L$93</f>
        <v>#VALUE!</v>
      </c>
      <c r="N94" s="27"/>
      <c r="P94" s="72" t="s">
        <v>454</v>
      </c>
      <c r="Q94">
        <v>2</v>
      </c>
      <c r="R94" t="s">
        <v>417</v>
      </c>
      <c r="S94" t="e">
        <f t="shared" si="19"/>
        <v>#VALUE!</v>
      </c>
      <c r="T94" t="e">
        <f>S94/$S$93</f>
        <v>#VALUE!</v>
      </c>
      <c r="U94" s="27"/>
      <c r="W94" s="72" t="s">
        <v>454</v>
      </c>
      <c r="X94">
        <v>2</v>
      </c>
      <c r="Y94">
        <v>33.130297932749002</v>
      </c>
      <c r="Z94">
        <f t="shared" si="4"/>
        <v>1.0636201515370271E-10</v>
      </c>
      <c r="AA94">
        <f>Z94/$Z$93</f>
        <v>0.63131573334033209</v>
      </c>
      <c r="AB94" s="27"/>
      <c r="AD94" s="72" t="s">
        <v>454</v>
      </c>
      <c r="AE94">
        <v>12</v>
      </c>
      <c r="AF94">
        <v>36.404055280173502</v>
      </c>
      <c r="AG94">
        <f t="shared" si="5"/>
        <v>1.0997333535260408E-11</v>
      </c>
      <c r="AH94">
        <f>AG94/$Z$93</f>
        <v>6.5275085993511811E-2</v>
      </c>
      <c r="AI94" s="27"/>
    </row>
    <row r="95" spans="2:42" x14ac:dyDescent="0.25">
      <c r="B95" s="72" t="s">
        <v>455</v>
      </c>
      <c r="C95">
        <v>4</v>
      </c>
      <c r="D95" t="s">
        <v>417</v>
      </c>
      <c r="E95" t="e">
        <f t="shared" si="18"/>
        <v>#VALUE!</v>
      </c>
      <c r="G95" s="27"/>
      <c r="I95" s="72" t="s">
        <v>455</v>
      </c>
      <c r="J95">
        <v>8</v>
      </c>
      <c r="K95">
        <v>42.147840000000002</v>
      </c>
      <c r="L95">
        <f t="shared" si="2"/>
        <v>2.0522766670782942E-13</v>
      </c>
      <c r="M95">
        <f t="shared" ref="M95:M110" si="26">L95/$L$93</f>
        <v>4.6640963339795831E-4</v>
      </c>
      <c r="N95" s="27"/>
      <c r="P95" s="72" t="s">
        <v>455</v>
      </c>
      <c r="Q95">
        <v>2</v>
      </c>
      <c r="R95" t="s">
        <v>417</v>
      </c>
      <c r="S95" t="e">
        <f t="shared" si="19"/>
        <v>#VALUE!</v>
      </c>
      <c r="T95" t="e">
        <f t="shared" ref="T95:T110" si="27">S95/$S$93</f>
        <v>#VALUE!</v>
      </c>
      <c r="U95" s="27"/>
      <c r="W95" s="72" t="s">
        <v>455</v>
      </c>
      <c r="X95">
        <v>2</v>
      </c>
      <c r="Y95" t="s">
        <v>417</v>
      </c>
      <c r="Z95" t="e">
        <f t="shared" si="4"/>
        <v>#VALUE!</v>
      </c>
      <c r="AA95" t="e">
        <f t="shared" ref="AA95:AA110" si="28">Z95/$Z$93</f>
        <v>#VALUE!</v>
      </c>
      <c r="AB95" s="27"/>
      <c r="AD95" s="72" t="s">
        <v>455</v>
      </c>
      <c r="AE95">
        <v>12</v>
      </c>
      <c r="AF95" t="s">
        <v>417</v>
      </c>
      <c r="AG95" t="e">
        <f t="shared" si="5"/>
        <v>#VALUE!</v>
      </c>
      <c r="AH95" t="e">
        <f t="shared" ref="AH95:AH110" si="29">AG95/$Z$93</f>
        <v>#VALUE!</v>
      </c>
      <c r="AI95" s="27"/>
    </row>
    <row r="96" spans="2:42" x14ac:dyDescent="0.25">
      <c r="B96" s="72" t="s">
        <v>481</v>
      </c>
      <c r="C96">
        <v>4</v>
      </c>
      <c r="D96">
        <v>31.8654449345518</v>
      </c>
      <c r="E96">
        <f t="shared" si="18"/>
        <v>2.5559081894960638E-10</v>
      </c>
      <c r="F96">
        <f t="shared" ref="F96:F109" si="30">E96/$E$93</f>
        <v>0.38380875529550051</v>
      </c>
      <c r="G96" s="27"/>
      <c r="I96" s="72" t="s">
        <v>481</v>
      </c>
      <c r="J96">
        <v>8</v>
      </c>
      <c r="K96">
        <v>32.206777633896998</v>
      </c>
      <c r="L96">
        <f t="shared" si="2"/>
        <v>2.0174086031097842E-10</v>
      </c>
      <c r="M96">
        <f t="shared" si="26"/>
        <v>0.45848536022673836</v>
      </c>
      <c r="N96" s="27"/>
      <c r="P96" s="72" t="s">
        <v>481</v>
      </c>
      <c r="Q96">
        <v>2</v>
      </c>
      <c r="R96">
        <v>32.0766583226386</v>
      </c>
      <c r="S96">
        <f t="shared" si="19"/>
        <v>2.2078201070045755E-10</v>
      </c>
      <c r="T96">
        <f t="shared" si="27"/>
        <v>7.2141588155154404</v>
      </c>
      <c r="U96" s="27"/>
      <c r="W96" s="72" t="s">
        <v>481</v>
      </c>
      <c r="X96">
        <v>2</v>
      </c>
      <c r="Y96">
        <v>25.992951841120199</v>
      </c>
      <c r="Z96">
        <f t="shared" si="4"/>
        <v>1.49741376122166E-8</v>
      </c>
      <c r="AA96">
        <f t="shared" si="28"/>
        <v>88.879555865263967</v>
      </c>
      <c r="AB96" s="27"/>
      <c r="AD96" s="72" t="s">
        <v>481</v>
      </c>
      <c r="AE96">
        <v>12</v>
      </c>
      <c r="AF96">
        <v>32.755766181277401</v>
      </c>
      <c r="AG96">
        <f t="shared" si="5"/>
        <v>1.3788970690707204E-10</v>
      </c>
      <c r="AH96">
        <f t="shared" si="29"/>
        <v>0.81844953116320451</v>
      </c>
      <c r="AI96" s="27"/>
    </row>
    <row r="97" spans="2:35" x14ac:dyDescent="0.25">
      <c r="B97" s="72" t="s">
        <v>457</v>
      </c>
      <c r="C97">
        <v>4</v>
      </c>
      <c r="D97" t="s">
        <v>417</v>
      </c>
      <c r="E97" t="e">
        <f t="shared" si="18"/>
        <v>#VALUE!</v>
      </c>
      <c r="G97" s="27"/>
      <c r="I97" s="72" t="s">
        <v>457</v>
      </c>
      <c r="J97">
        <v>8</v>
      </c>
      <c r="K97" t="s">
        <v>417</v>
      </c>
      <c r="L97" t="e">
        <f t="shared" si="2"/>
        <v>#VALUE!</v>
      </c>
      <c r="M97" t="e">
        <f t="shared" si="26"/>
        <v>#VALUE!</v>
      </c>
      <c r="N97" s="27"/>
      <c r="P97" s="72" t="s">
        <v>457</v>
      </c>
      <c r="Q97">
        <v>2</v>
      </c>
      <c r="R97" t="s">
        <v>417</v>
      </c>
      <c r="S97" t="e">
        <f t="shared" si="19"/>
        <v>#VALUE!</v>
      </c>
      <c r="T97" t="e">
        <f t="shared" si="27"/>
        <v>#VALUE!</v>
      </c>
      <c r="U97" s="27"/>
      <c r="W97" s="72" t="s">
        <v>457</v>
      </c>
      <c r="X97">
        <v>2</v>
      </c>
      <c r="Y97" t="s">
        <v>417</v>
      </c>
      <c r="Z97" t="e">
        <f t="shared" si="4"/>
        <v>#VALUE!</v>
      </c>
      <c r="AA97" t="e">
        <f t="shared" si="28"/>
        <v>#VALUE!</v>
      </c>
      <c r="AB97" s="27"/>
      <c r="AD97" s="72" t="s">
        <v>457</v>
      </c>
      <c r="AE97">
        <v>12</v>
      </c>
      <c r="AF97" t="s">
        <v>417</v>
      </c>
      <c r="AG97" t="e">
        <f t="shared" si="5"/>
        <v>#VALUE!</v>
      </c>
      <c r="AH97" t="e">
        <f t="shared" si="29"/>
        <v>#VALUE!</v>
      </c>
      <c r="AI97" s="27"/>
    </row>
    <row r="98" spans="2:35" x14ac:dyDescent="0.25">
      <c r="B98" s="72" t="s">
        <v>458</v>
      </c>
      <c r="C98">
        <v>4</v>
      </c>
      <c r="D98">
        <v>34.020977099713598</v>
      </c>
      <c r="E98">
        <f t="shared" si="18"/>
        <v>5.7367432219513335E-11</v>
      </c>
      <c r="F98">
        <f t="shared" si="30"/>
        <v>8.6145984606010487E-2</v>
      </c>
      <c r="G98" s="27"/>
      <c r="I98" s="72" t="s">
        <v>458</v>
      </c>
      <c r="J98">
        <v>8</v>
      </c>
      <c r="K98">
        <v>34.804263082533197</v>
      </c>
      <c r="L98">
        <f t="shared" si="2"/>
        <v>3.3332879719222897E-11</v>
      </c>
      <c r="M98">
        <f t="shared" si="26"/>
        <v>7.5753802883088001E-2</v>
      </c>
      <c r="N98" s="27"/>
      <c r="P98" s="72" t="s">
        <v>458</v>
      </c>
      <c r="Q98">
        <v>2</v>
      </c>
      <c r="R98">
        <v>35.402837882351598</v>
      </c>
      <c r="S98">
        <f t="shared" si="19"/>
        <v>2.2013234792449896E-11</v>
      </c>
      <c r="T98">
        <f t="shared" si="27"/>
        <v>0.71929307705881174</v>
      </c>
      <c r="U98" s="27"/>
      <c r="W98" s="72" t="s">
        <v>458</v>
      </c>
      <c r="X98">
        <v>2</v>
      </c>
      <c r="Y98">
        <v>32.814619051189503</v>
      </c>
      <c r="Z98">
        <f t="shared" si="4"/>
        <v>1.3237786403377701E-10</v>
      </c>
      <c r="AA98">
        <f t="shared" si="28"/>
        <v>0.78573378089669788</v>
      </c>
      <c r="AB98" s="27"/>
      <c r="AD98" s="72" t="s">
        <v>458</v>
      </c>
      <c r="AE98">
        <v>12</v>
      </c>
      <c r="AF98" t="s">
        <v>417</v>
      </c>
      <c r="AG98" t="e">
        <f t="shared" si="5"/>
        <v>#VALUE!</v>
      </c>
      <c r="AH98" t="e">
        <f t="shared" si="29"/>
        <v>#VALUE!</v>
      </c>
      <c r="AI98" s="27"/>
    </row>
    <row r="99" spans="2:35" x14ac:dyDescent="0.25">
      <c r="B99" s="72" t="s">
        <v>459</v>
      </c>
      <c r="C99">
        <v>4</v>
      </c>
      <c r="D99">
        <v>30.9078182193029</v>
      </c>
      <c r="E99">
        <f t="shared" si="18"/>
        <v>4.9638610428512073E-10</v>
      </c>
      <c r="F99">
        <f t="shared" si="30"/>
        <v>0.74539975111241419</v>
      </c>
      <c r="G99" s="27"/>
      <c r="I99" s="72" t="s">
        <v>459</v>
      </c>
      <c r="J99">
        <v>8</v>
      </c>
      <c r="K99">
        <v>32.069678147893001</v>
      </c>
      <c r="L99">
        <f t="shared" si="2"/>
        <v>2.218528060712113E-10</v>
      </c>
      <c r="M99">
        <f t="shared" si="26"/>
        <v>0.5041926734726867</v>
      </c>
      <c r="N99" s="27"/>
      <c r="P99" s="72" t="s">
        <v>482</v>
      </c>
      <c r="Q99">
        <v>2</v>
      </c>
      <c r="R99">
        <v>34.903432663355701</v>
      </c>
      <c r="S99">
        <f t="shared" si="19"/>
        <v>3.1118583267780118E-11</v>
      </c>
      <c r="T99">
        <f t="shared" si="27"/>
        <v>1.0168147354731105</v>
      </c>
      <c r="U99" s="27"/>
      <c r="W99" s="72" t="s">
        <v>459</v>
      </c>
      <c r="X99">
        <v>2</v>
      </c>
      <c r="Y99">
        <v>32.204588535648703</v>
      </c>
      <c r="Z99">
        <f t="shared" si="4"/>
        <v>2.0204720765314495E-10</v>
      </c>
      <c r="AA99">
        <f t="shared" si="28"/>
        <v>1.1992587850519965</v>
      </c>
      <c r="AB99" s="27"/>
      <c r="AD99" s="72" t="s">
        <v>459</v>
      </c>
      <c r="AE99">
        <v>12</v>
      </c>
      <c r="AF99" t="s">
        <v>417</v>
      </c>
      <c r="AG99" t="e">
        <f t="shared" si="5"/>
        <v>#VALUE!</v>
      </c>
      <c r="AH99" t="e">
        <f t="shared" si="29"/>
        <v>#VALUE!</v>
      </c>
      <c r="AI99" s="27"/>
    </row>
    <row r="100" spans="2:35" x14ac:dyDescent="0.25">
      <c r="B100" s="72" t="s">
        <v>460</v>
      </c>
      <c r="C100">
        <v>4</v>
      </c>
      <c r="D100" t="s">
        <v>417</v>
      </c>
      <c r="E100" t="e">
        <f t="shared" si="18"/>
        <v>#VALUE!</v>
      </c>
      <c r="G100" s="27"/>
      <c r="I100" s="72" t="s">
        <v>460</v>
      </c>
      <c r="J100">
        <v>8</v>
      </c>
      <c r="K100" t="s">
        <v>417</v>
      </c>
      <c r="L100" t="e">
        <f t="shared" si="2"/>
        <v>#VALUE!</v>
      </c>
      <c r="M100" t="e">
        <f t="shared" si="26"/>
        <v>#VALUE!</v>
      </c>
      <c r="N100" s="27"/>
      <c r="P100" s="72" t="s">
        <v>483</v>
      </c>
      <c r="Q100">
        <v>2</v>
      </c>
      <c r="R100">
        <v>35.6739673436172</v>
      </c>
      <c r="S100">
        <f t="shared" si="19"/>
        <v>1.8241719158449733E-11</v>
      </c>
      <c r="T100">
        <f t="shared" si="27"/>
        <v>0.59605698244877114</v>
      </c>
      <c r="U100" s="27"/>
      <c r="W100" s="72" t="s">
        <v>460</v>
      </c>
      <c r="X100">
        <v>2</v>
      </c>
      <c r="Y100" t="s">
        <v>417</v>
      </c>
      <c r="Z100" t="e">
        <f t="shared" si="4"/>
        <v>#VALUE!</v>
      </c>
      <c r="AA100" t="e">
        <f t="shared" si="28"/>
        <v>#VALUE!</v>
      </c>
      <c r="AB100" s="27"/>
      <c r="AD100" s="72" t="s">
        <v>460</v>
      </c>
      <c r="AE100">
        <v>12</v>
      </c>
      <c r="AF100" t="s">
        <v>417</v>
      </c>
      <c r="AG100" t="e">
        <f t="shared" si="5"/>
        <v>#VALUE!</v>
      </c>
      <c r="AH100" t="e">
        <f t="shared" si="29"/>
        <v>#VALUE!</v>
      </c>
      <c r="AI100" s="27"/>
    </row>
    <row r="101" spans="2:35" x14ac:dyDescent="0.25">
      <c r="B101" s="72" t="s">
        <v>461</v>
      </c>
      <c r="C101">
        <v>4</v>
      </c>
      <c r="D101" t="s">
        <v>417</v>
      </c>
      <c r="E101" t="e">
        <f t="shared" si="18"/>
        <v>#VALUE!</v>
      </c>
      <c r="G101" s="27"/>
      <c r="I101" s="72" t="s">
        <v>461</v>
      </c>
      <c r="J101">
        <v>8</v>
      </c>
      <c r="K101" t="s">
        <v>417</v>
      </c>
      <c r="L101" t="e">
        <f t="shared" si="2"/>
        <v>#VALUE!</v>
      </c>
      <c r="M101" t="e">
        <f t="shared" si="26"/>
        <v>#VALUE!</v>
      </c>
      <c r="N101" s="27"/>
      <c r="P101" s="72" t="s">
        <v>484</v>
      </c>
      <c r="Q101">
        <v>2</v>
      </c>
      <c r="R101" t="s">
        <v>417</v>
      </c>
      <c r="S101" t="e">
        <f t="shared" si="19"/>
        <v>#VALUE!</v>
      </c>
      <c r="T101" t="e">
        <f t="shared" si="27"/>
        <v>#VALUE!</v>
      </c>
      <c r="U101" s="27"/>
      <c r="W101" s="72" t="s">
        <v>461</v>
      </c>
      <c r="X101">
        <v>2</v>
      </c>
      <c r="Y101" t="s">
        <v>417</v>
      </c>
      <c r="Z101" t="e">
        <f t="shared" si="4"/>
        <v>#VALUE!</v>
      </c>
      <c r="AA101" t="e">
        <f t="shared" si="28"/>
        <v>#VALUE!</v>
      </c>
      <c r="AB101" s="27"/>
      <c r="AD101" s="72" t="s">
        <v>461</v>
      </c>
      <c r="AE101">
        <v>12</v>
      </c>
      <c r="AF101" t="s">
        <v>417</v>
      </c>
      <c r="AG101" t="e">
        <f t="shared" si="5"/>
        <v>#VALUE!</v>
      </c>
      <c r="AH101" t="e">
        <f t="shared" si="29"/>
        <v>#VALUE!</v>
      </c>
      <c r="AI101" s="27"/>
    </row>
    <row r="102" spans="2:35" x14ac:dyDescent="0.25">
      <c r="B102" s="72" t="s">
        <v>462</v>
      </c>
      <c r="C102">
        <v>4</v>
      </c>
      <c r="D102" t="s">
        <v>417</v>
      </c>
      <c r="E102" t="e">
        <f t="shared" si="18"/>
        <v>#VALUE!</v>
      </c>
      <c r="G102" s="27"/>
      <c r="I102" s="72" t="s">
        <v>462</v>
      </c>
      <c r="J102">
        <v>8</v>
      </c>
      <c r="K102" t="s">
        <v>417</v>
      </c>
      <c r="L102" t="e">
        <f t="shared" si="2"/>
        <v>#VALUE!</v>
      </c>
      <c r="M102" t="e">
        <f t="shared" si="26"/>
        <v>#VALUE!</v>
      </c>
      <c r="N102" s="27"/>
      <c r="P102" s="72" t="s">
        <v>485</v>
      </c>
      <c r="Q102">
        <v>2</v>
      </c>
      <c r="R102" t="s">
        <v>417</v>
      </c>
      <c r="S102" t="e">
        <f t="shared" si="19"/>
        <v>#VALUE!</v>
      </c>
      <c r="T102" t="e">
        <f t="shared" si="27"/>
        <v>#VALUE!</v>
      </c>
      <c r="U102" s="27"/>
      <c r="W102" s="72" t="s">
        <v>462</v>
      </c>
      <c r="X102">
        <v>2</v>
      </c>
      <c r="Y102" t="s">
        <v>417</v>
      </c>
      <c r="Z102" t="e">
        <f t="shared" si="4"/>
        <v>#VALUE!</v>
      </c>
      <c r="AA102" t="e">
        <f t="shared" si="28"/>
        <v>#VALUE!</v>
      </c>
      <c r="AB102" s="27"/>
      <c r="AD102" s="72" t="s">
        <v>462</v>
      </c>
      <c r="AE102">
        <v>12</v>
      </c>
      <c r="AF102" t="s">
        <v>417</v>
      </c>
      <c r="AG102" t="e">
        <f t="shared" si="5"/>
        <v>#VALUE!</v>
      </c>
      <c r="AH102" t="e">
        <f t="shared" si="29"/>
        <v>#VALUE!</v>
      </c>
      <c r="AI102" s="27"/>
    </row>
    <row r="103" spans="2:35" x14ac:dyDescent="0.25">
      <c r="B103" s="72" t="s">
        <v>463</v>
      </c>
      <c r="C103">
        <v>4</v>
      </c>
      <c r="D103">
        <v>35.289179257524097</v>
      </c>
      <c r="E103">
        <f t="shared" si="18"/>
        <v>2.3817628726847759E-11</v>
      </c>
      <c r="F103">
        <f t="shared" si="30"/>
        <v>3.5765816915137957E-2</v>
      </c>
      <c r="G103" s="27"/>
      <c r="I103" s="72" t="s">
        <v>463</v>
      </c>
      <c r="J103">
        <v>8</v>
      </c>
      <c r="K103" t="s">
        <v>417</v>
      </c>
      <c r="L103" t="e">
        <f t="shared" ref="L103:L166" si="31">2^(-K103)</f>
        <v>#VALUE!</v>
      </c>
      <c r="M103" t="e">
        <f t="shared" si="26"/>
        <v>#VALUE!</v>
      </c>
      <c r="N103" s="27"/>
      <c r="P103" s="72" t="s">
        <v>463</v>
      </c>
      <c r="Q103">
        <v>2</v>
      </c>
      <c r="R103" t="s">
        <v>417</v>
      </c>
      <c r="S103" t="e">
        <f t="shared" si="19"/>
        <v>#VALUE!</v>
      </c>
      <c r="T103" t="e">
        <f t="shared" si="27"/>
        <v>#VALUE!</v>
      </c>
      <c r="U103" s="27"/>
      <c r="W103" s="72" t="s">
        <v>463</v>
      </c>
      <c r="X103">
        <v>2</v>
      </c>
      <c r="Y103" t="s">
        <v>417</v>
      </c>
      <c r="Z103" t="e">
        <f t="shared" ref="Z103:Z166" si="32">2^(-Y103)</f>
        <v>#VALUE!</v>
      </c>
      <c r="AA103" t="e">
        <f t="shared" si="28"/>
        <v>#VALUE!</v>
      </c>
      <c r="AB103" s="27"/>
      <c r="AD103" s="72" t="s">
        <v>463</v>
      </c>
      <c r="AE103">
        <v>12</v>
      </c>
      <c r="AF103" t="s">
        <v>417</v>
      </c>
      <c r="AG103" t="e">
        <f t="shared" ref="AG103:AG166" si="33">2^(-AF103)</f>
        <v>#VALUE!</v>
      </c>
      <c r="AH103" t="e">
        <f t="shared" si="29"/>
        <v>#VALUE!</v>
      </c>
      <c r="AI103" s="27"/>
    </row>
    <row r="104" spans="2:35" x14ac:dyDescent="0.25">
      <c r="B104" s="72" t="s">
        <v>464</v>
      </c>
      <c r="C104">
        <v>4</v>
      </c>
      <c r="D104">
        <v>34.009197507485602</v>
      </c>
      <c r="E104">
        <f t="shared" si="18"/>
        <v>5.7837754270141213E-11</v>
      </c>
      <c r="F104">
        <f t="shared" si="30"/>
        <v>8.6852245189161972E-2</v>
      </c>
      <c r="G104" s="27"/>
      <c r="I104" s="72" t="s">
        <v>464</v>
      </c>
      <c r="J104">
        <v>8</v>
      </c>
      <c r="K104">
        <v>33.596210876852702</v>
      </c>
      <c r="L104">
        <f t="shared" si="31"/>
        <v>7.7007457602221142E-11</v>
      </c>
      <c r="M104">
        <f t="shared" si="26"/>
        <v>0.17501061453031933</v>
      </c>
      <c r="N104" s="27"/>
      <c r="P104" s="72" t="s">
        <v>464</v>
      </c>
      <c r="Q104">
        <v>2</v>
      </c>
      <c r="R104">
        <v>33.319017219146502</v>
      </c>
      <c r="S104">
        <f t="shared" si="19"/>
        <v>9.3320356883952699E-11</v>
      </c>
      <c r="T104">
        <f t="shared" si="27"/>
        <v>3.0492877256870599</v>
      </c>
      <c r="U104" s="27"/>
      <c r="W104" s="72" t="s">
        <v>464</v>
      </c>
      <c r="X104">
        <v>2</v>
      </c>
      <c r="Y104">
        <v>27.117068295592301</v>
      </c>
      <c r="Z104">
        <f t="shared" si="32"/>
        <v>6.869878378518422E-9</v>
      </c>
      <c r="AA104">
        <f t="shared" si="28"/>
        <v>40.776420982865005</v>
      </c>
      <c r="AB104" s="27"/>
      <c r="AD104" s="72" t="s">
        <v>464</v>
      </c>
      <c r="AE104">
        <v>12</v>
      </c>
      <c r="AF104">
        <v>33.964929662026499</v>
      </c>
      <c r="AG104">
        <f t="shared" si="33"/>
        <v>5.9639963791462797E-11</v>
      </c>
      <c r="AH104">
        <f t="shared" si="29"/>
        <v>0.35399524372482183</v>
      </c>
      <c r="AI104" s="27"/>
    </row>
    <row r="105" spans="2:35" x14ac:dyDescent="0.25">
      <c r="B105" s="72" t="s">
        <v>465</v>
      </c>
      <c r="C105">
        <v>4</v>
      </c>
      <c r="D105" t="s">
        <v>417</v>
      </c>
      <c r="E105" t="e">
        <f t="shared" si="18"/>
        <v>#VALUE!</v>
      </c>
      <c r="G105" s="27"/>
      <c r="I105" s="72" t="s">
        <v>465</v>
      </c>
      <c r="J105">
        <v>8</v>
      </c>
      <c r="K105" t="s">
        <v>417</v>
      </c>
      <c r="L105" t="e">
        <f t="shared" si="31"/>
        <v>#VALUE!</v>
      </c>
      <c r="M105" t="e">
        <f t="shared" si="26"/>
        <v>#VALUE!</v>
      </c>
      <c r="N105" s="27"/>
      <c r="P105" s="72" t="s">
        <v>465</v>
      </c>
      <c r="Q105">
        <v>2</v>
      </c>
      <c r="R105">
        <v>36.0278879937947</v>
      </c>
      <c r="S105">
        <f t="shared" si="19"/>
        <v>1.427332101554933E-11</v>
      </c>
      <c r="T105">
        <f t="shared" si="27"/>
        <v>0.46638765678563321</v>
      </c>
      <c r="U105" s="27"/>
      <c r="W105" s="72" t="s">
        <v>465</v>
      </c>
      <c r="X105">
        <v>2</v>
      </c>
      <c r="Y105">
        <v>36.700954887621897</v>
      </c>
      <c r="Z105">
        <f t="shared" si="32"/>
        <v>8.951827592460889E-12</v>
      </c>
      <c r="AA105">
        <f t="shared" si="28"/>
        <v>5.3133908690088653E-2</v>
      </c>
      <c r="AB105" s="27"/>
      <c r="AD105" s="72" t="s">
        <v>465</v>
      </c>
      <c r="AE105">
        <v>12</v>
      </c>
      <c r="AF105">
        <v>37.457782090102398</v>
      </c>
      <c r="AG105">
        <f t="shared" si="33"/>
        <v>5.2976592398659977E-12</v>
      </c>
      <c r="AH105">
        <f t="shared" si="29"/>
        <v>3.1444455270710041E-2</v>
      </c>
      <c r="AI105" s="27"/>
    </row>
    <row r="106" spans="2:35" x14ac:dyDescent="0.25">
      <c r="B106" s="72" t="s">
        <v>466</v>
      </c>
      <c r="C106">
        <v>4</v>
      </c>
      <c r="D106" t="s">
        <v>417</v>
      </c>
      <c r="E106" t="e">
        <f t="shared" si="18"/>
        <v>#VALUE!</v>
      </c>
      <c r="G106" s="27"/>
      <c r="I106" s="72" t="s">
        <v>466</v>
      </c>
      <c r="J106">
        <v>8</v>
      </c>
      <c r="K106" t="s">
        <v>417</v>
      </c>
      <c r="L106" t="e">
        <f t="shared" si="31"/>
        <v>#VALUE!</v>
      </c>
      <c r="M106" t="e">
        <f t="shared" si="26"/>
        <v>#VALUE!</v>
      </c>
      <c r="N106" s="27"/>
      <c r="P106" s="72" t="s">
        <v>466</v>
      </c>
      <c r="Q106">
        <v>2</v>
      </c>
      <c r="R106" t="s">
        <v>417</v>
      </c>
      <c r="S106" t="e">
        <f t="shared" si="19"/>
        <v>#VALUE!</v>
      </c>
      <c r="T106" t="e">
        <f t="shared" si="27"/>
        <v>#VALUE!</v>
      </c>
      <c r="U106" s="27"/>
      <c r="W106" s="72" t="s">
        <v>466</v>
      </c>
      <c r="X106">
        <v>2</v>
      </c>
      <c r="Y106" t="s">
        <v>417</v>
      </c>
      <c r="Z106" t="e">
        <f t="shared" si="32"/>
        <v>#VALUE!</v>
      </c>
      <c r="AA106" t="e">
        <f t="shared" si="28"/>
        <v>#VALUE!</v>
      </c>
      <c r="AB106" s="27"/>
      <c r="AD106" s="72" t="s">
        <v>466</v>
      </c>
      <c r="AE106">
        <v>12</v>
      </c>
      <c r="AF106" t="s">
        <v>417</v>
      </c>
      <c r="AG106" t="e">
        <f t="shared" si="33"/>
        <v>#VALUE!</v>
      </c>
      <c r="AH106" t="e">
        <f t="shared" si="29"/>
        <v>#VALUE!</v>
      </c>
      <c r="AI106" s="27"/>
    </row>
    <row r="107" spans="2:35" x14ac:dyDescent="0.25">
      <c r="B107" s="72" t="s">
        <v>467</v>
      </c>
      <c r="C107">
        <v>4</v>
      </c>
      <c r="D107" t="s">
        <v>417</v>
      </c>
      <c r="E107" t="e">
        <f t="shared" si="18"/>
        <v>#VALUE!</v>
      </c>
      <c r="G107" s="27"/>
      <c r="I107" s="72" t="s">
        <v>467</v>
      </c>
      <c r="J107">
        <v>8</v>
      </c>
      <c r="K107" t="s">
        <v>417</v>
      </c>
      <c r="L107" t="e">
        <f t="shared" si="31"/>
        <v>#VALUE!</v>
      </c>
      <c r="M107" t="e">
        <f t="shared" si="26"/>
        <v>#VALUE!</v>
      </c>
      <c r="N107" s="27"/>
      <c r="P107" s="72" t="s">
        <v>467</v>
      </c>
      <c r="Q107">
        <v>2</v>
      </c>
      <c r="R107" t="s">
        <v>417</v>
      </c>
      <c r="S107" t="e">
        <f t="shared" si="19"/>
        <v>#VALUE!</v>
      </c>
      <c r="T107" t="e">
        <f t="shared" si="27"/>
        <v>#VALUE!</v>
      </c>
      <c r="U107" s="27"/>
      <c r="W107" s="72" t="s">
        <v>467</v>
      </c>
      <c r="X107">
        <v>2</v>
      </c>
      <c r="Y107" t="s">
        <v>417</v>
      </c>
      <c r="Z107" t="e">
        <f t="shared" si="32"/>
        <v>#VALUE!</v>
      </c>
      <c r="AA107" t="e">
        <f t="shared" si="28"/>
        <v>#VALUE!</v>
      </c>
      <c r="AB107" s="27"/>
      <c r="AD107" s="72" t="s">
        <v>467</v>
      </c>
      <c r="AE107">
        <v>12</v>
      </c>
      <c r="AF107" t="s">
        <v>417</v>
      </c>
      <c r="AG107" t="e">
        <f t="shared" si="33"/>
        <v>#VALUE!</v>
      </c>
      <c r="AH107" t="e">
        <f t="shared" si="29"/>
        <v>#VALUE!</v>
      </c>
      <c r="AI107" s="27"/>
    </row>
    <row r="108" spans="2:35" x14ac:dyDescent="0.25">
      <c r="B108" s="72" t="s">
        <v>468</v>
      </c>
      <c r="C108">
        <v>4</v>
      </c>
      <c r="D108" t="s">
        <v>417</v>
      </c>
      <c r="E108" t="e">
        <f t="shared" si="18"/>
        <v>#VALUE!</v>
      </c>
      <c r="G108" s="27"/>
      <c r="I108" s="72" t="s">
        <v>468</v>
      </c>
      <c r="J108">
        <v>8</v>
      </c>
      <c r="K108" t="s">
        <v>417</v>
      </c>
      <c r="L108" t="e">
        <f t="shared" si="31"/>
        <v>#VALUE!</v>
      </c>
      <c r="M108" t="e">
        <f t="shared" si="26"/>
        <v>#VALUE!</v>
      </c>
      <c r="N108" s="27"/>
      <c r="P108" s="72" t="s">
        <v>468</v>
      </c>
      <c r="Q108">
        <v>2</v>
      </c>
      <c r="R108" t="s">
        <v>417</v>
      </c>
      <c r="S108" t="e">
        <f t="shared" si="19"/>
        <v>#VALUE!</v>
      </c>
      <c r="T108" t="e">
        <f t="shared" si="27"/>
        <v>#VALUE!</v>
      </c>
      <c r="U108" s="27"/>
      <c r="W108" s="72" t="s">
        <v>468</v>
      </c>
      <c r="X108">
        <v>2</v>
      </c>
      <c r="Y108" t="s">
        <v>417</v>
      </c>
      <c r="Z108" t="e">
        <f t="shared" si="32"/>
        <v>#VALUE!</v>
      </c>
      <c r="AA108" t="e">
        <f t="shared" si="28"/>
        <v>#VALUE!</v>
      </c>
      <c r="AB108" s="27"/>
      <c r="AD108" s="72" t="s">
        <v>468</v>
      </c>
      <c r="AE108">
        <v>12</v>
      </c>
      <c r="AF108" t="s">
        <v>417</v>
      </c>
      <c r="AG108" t="e">
        <f t="shared" si="33"/>
        <v>#VALUE!</v>
      </c>
      <c r="AH108" t="e">
        <f t="shared" si="29"/>
        <v>#VALUE!</v>
      </c>
      <c r="AI108" s="27"/>
    </row>
    <row r="109" spans="2:35" x14ac:dyDescent="0.25">
      <c r="B109" s="72" t="s">
        <v>486</v>
      </c>
      <c r="C109">
        <v>4</v>
      </c>
      <c r="D109">
        <v>35.673142103426898</v>
      </c>
      <c r="E109">
        <f t="shared" si="18"/>
        <v>1.8252156642233854E-11</v>
      </c>
      <c r="F109">
        <f t="shared" si="30"/>
        <v>2.7408408295352293E-2</v>
      </c>
      <c r="G109" s="27"/>
      <c r="I109" s="72" t="s">
        <v>486</v>
      </c>
      <c r="J109">
        <v>8</v>
      </c>
      <c r="K109">
        <v>34.788308136677003</v>
      </c>
      <c r="L109">
        <f t="shared" si="31"/>
        <v>3.3703558138858011E-11</v>
      </c>
      <c r="M109">
        <f t="shared" si="26"/>
        <v>7.6596223345123851E-2</v>
      </c>
      <c r="N109" s="27"/>
      <c r="P109" s="72" t="s">
        <v>486</v>
      </c>
      <c r="Q109">
        <v>2</v>
      </c>
      <c r="R109" t="s">
        <v>417</v>
      </c>
      <c r="S109" t="e">
        <f t="shared" si="19"/>
        <v>#VALUE!</v>
      </c>
      <c r="T109" t="e">
        <f t="shared" si="27"/>
        <v>#VALUE!</v>
      </c>
      <c r="U109" s="27"/>
      <c r="W109" s="72" t="s">
        <v>486</v>
      </c>
      <c r="X109">
        <v>2</v>
      </c>
      <c r="Y109">
        <v>34.300174017047702</v>
      </c>
      <c r="Z109">
        <f t="shared" si="32"/>
        <v>4.7273609603693735E-11</v>
      </c>
      <c r="AA109">
        <f t="shared" si="28"/>
        <v>0.28059428426090249</v>
      </c>
      <c r="AB109" s="27"/>
      <c r="AD109" s="72" t="s">
        <v>486</v>
      </c>
      <c r="AE109">
        <v>12</v>
      </c>
      <c r="AF109" t="s">
        <v>417</v>
      </c>
      <c r="AG109" t="e">
        <f t="shared" si="33"/>
        <v>#VALUE!</v>
      </c>
      <c r="AH109" t="e">
        <f t="shared" si="29"/>
        <v>#VALUE!</v>
      </c>
      <c r="AI109" s="27"/>
    </row>
    <row r="110" spans="2:35" ht="15.75" thickBot="1" x14ac:dyDescent="0.3">
      <c r="B110" s="73" t="s">
        <v>470</v>
      </c>
      <c r="C110" s="2">
        <v>4</v>
      </c>
      <c r="D110" s="2" t="s">
        <v>417</v>
      </c>
      <c r="E110" s="2" t="e">
        <f t="shared" si="18"/>
        <v>#VALUE!</v>
      </c>
      <c r="F110" s="2"/>
      <c r="G110" s="8"/>
      <c r="I110" s="73" t="s">
        <v>470</v>
      </c>
      <c r="J110" s="2">
        <v>8</v>
      </c>
      <c r="K110" s="2" t="s">
        <v>417</v>
      </c>
      <c r="L110" s="2" t="e">
        <f t="shared" si="31"/>
        <v>#VALUE!</v>
      </c>
      <c r="M110" s="2" t="e">
        <f t="shared" si="26"/>
        <v>#VALUE!</v>
      </c>
      <c r="N110" s="8"/>
      <c r="P110" s="73" t="s">
        <v>470</v>
      </c>
      <c r="Q110" s="2">
        <v>2</v>
      </c>
      <c r="R110" s="2" t="s">
        <v>417</v>
      </c>
      <c r="S110" s="2" t="e">
        <f t="shared" si="19"/>
        <v>#VALUE!</v>
      </c>
      <c r="T110" s="2" t="e">
        <f t="shared" si="27"/>
        <v>#VALUE!</v>
      </c>
      <c r="U110" s="8"/>
      <c r="W110" s="73" t="s">
        <v>470</v>
      </c>
      <c r="X110" s="2">
        <v>2</v>
      </c>
      <c r="Y110" s="2" t="s">
        <v>417</v>
      </c>
      <c r="Z110" s="2" t="e">
        <f t="shared" si="32"/>
        <v>#VALUE!</v>
      </c>
      <c r="AA110" t="e">
        <f t="shared" si="28"/>
        <v>#VALUE!</v>
      </c>
      <c r="AB110" s="8"/>
      <c r="AD110" s="73" t="s">
        <v>470</v>
      </c>
      <c r="AE110" s="2">
        <v>12</v>
      </c>
      <c r="AF110" s="2">
        <v>34.844100439832502</v>
      </c>
      <c r="AG110" s="2">
        <f t="shared" si="33"/>
        <v>3.2425045612558238E-11</v>
      </c>
      <c r="AH110">
        <f t="shared" si="29"/>
        <v>0.19246007533708615</v>
      </c>
      <c r="AI110" s="8"/>
    </row>
    <row r="111" spans="2:35" x14ac:dyDescent="0.25">
      <c r="B111" s="71" t="s">
        <v>452</v>
      </c>
      <c r="C111" s="50">
        <v>8</v>
      </c>
      <c r="D111" s="50">
        <v>24.538529965558599</v>
      </c>
      <c r="E111" s="50">
        <f t="shared" si="18"/>
        <v>4.1036133203411611E-8</v>
      </c>
      <c r="F111" s="50"/>
      <c r="G111" s="25"/>
      <c r="I111" s="71" t="s">
        <v>452</v>
      </c>
      <c r="J111" s="50">
        <v>9</v>
      </c>
      <c r="K111" s="50">
        <v>26.4883432940821</v>
      </c>
      <c r="L111" s="50">
        <f t="shared" si="31"/>
        <v>1.0622191653936048E-8</v>
      </c>
      <c r="M111" s="50"/>
      <c r="N111" s="25"/>
      <c r="P111" s="71" t="s">
        <v>452</v>
      </c>
      <c r="Q111" s="50">
        <v>3</v>
      </c>
      <c r="R111" s="50">
        <v>35.187863394668902</v>
      </c>
      <c r="S111" s="50">
        <f t="shared" si="19"/>
        <v>2.5550395959992221E-11</v>
      </c>
      <c r="T111" s="50"/>
      <c r="U111" s="25"/>
      <c r="W111" s="71" t="s">
        <v>452</v>
      </c>
      <c r="X111" s="50">
        <v>4</v>
      </c>
      <c r="Y111" s="50">
        <v>24.389176704119699</v>
      </c>
      <c r="Z111" s="50">
        <f t="shared" si="32"/>
        <v>4.5512033717996231E-8</v>
      </c>
      <c r="AA111" s="50"/>
      <c r="AB111" s="25"/>
      <c r="AD111" s="71" t="s">
        <v>452</v>
      </c>
      <c r="AE111" s="50">
        <v>3</v>
      </c>
      <c r="AF111" s="50">
        <v>36.596647213949097</v>
      </c>
      <c r="AG111" s="50">
        <f t="shared" si="33"/>
        <v>9.623021317456061E-12</v>
      </c>
      <c r="AH111" s="50"/>
      <c r="AI111" s="25"/>
    </row>
    <row r="112" spans="2:35" x14ac:dyDescent="0.25">
      <c r="B112" s="72" t="s">
        <v>454</v>
      </c>
      <c r="C112">
        <v>8</v>
      </c>
      <c r="D112">
        <v>30.753913042511101</v>
      </c>
      <c r="E112">
        <f t="shared" si="18"/>
        <v>5.5226775900315745E-10</v>
      </c>
      <c r="F112">
        <f>E112/$E$111</f>
        <v>1.3458084763143417E-2</v>
      </c>
      <c r="G112" s="27">
        <f>AVERAGE(F112,F130)</f>
        <v>1.1930486496245594E-2</v>
      </c>
      <c r="I112" s="72" t="s">
        <v>454</v>
      </c>
      <c r="J112">
        <v>9</v>
      </c>
      <c r="K112">
        <v>32.759658190868798</v>
      </c>
      <c r="L112">
        <f t="shared" si="31"/>
        <v>1.3751821826745476E-10</v>
      </c>
      <c r="M112">
        <f>L112/$L$111</f>
        <v>1.2946313034796115E-2</v>
      </c>
      <c r="N112" s="27">
        <f>_xlfn.AGGREGATE(1,6,(M112,M130))</f>
        <v>1.4432073818409625E-2</v>
      </c>
      <c r="P112" s="72" t="s">
        <v>454</v>
      </c>
      <c r="Q112">
        <v>3</v>
      </c>
      <c r="R112" t="s">
        <v>417</v>
      </c>
      <c r="S112" t="e">
        <f t="shared" si="19"/>
        <v>#VALUE!</v>
      </c>
      <c r="T112" t="e">
        <f>S112/$S$111</f>
        <v>#VALUE!</v>
      </c>
      <c r="U112" s="27">
        <f>_xlfn.AGGREGATE(1,6,(T112,T130))</f>
        <v>0.25151029383031387</v>
      </c>
      <c r="W112" s="72" t="s">
        <v>454</v>
      </c>
      <c r="X112">
        <v>4</v>
      </c>
      <c r="Y112">
        <v>32.515868592190401</v>
      </c>
      <c r="Z112">
        <f t="shared" si="32"/>
        <v>1.6283517254286037E-10</v>
      </c>
      <c r="AA112">
        <f>Z112/$Z$111</f>
        <v>3.5778487411005891E-3</v>
      </c>
      <c r="AB112" s="27">
        <f>_xlfn.AGGREGATE(1,6,(AA112,AA130))</f>
        <v>2.5565101354609529E-3</v>
      </c>
      <c r="AD112" s="72" t="s">
        <v>454</v>
      </c>
      <c r="AE112">
        <v>3</v>
      </c>
      <c r="AF112" t="s">
        <v>417</v>
      </c>
      <c r="AG112" t="e">
        <f t="shared" si="33"/>
        <v>#VALUE!</v>
      </c>
      <c r="AH112" t="e">
        <f>AG112/$Z$111</f>
        <v>#VALUE!</v>
      </c>
      <c r="AI112" s="27" t="e">
        <f>_xlfn.AGGREGATE(1,6,(AH112,AH130))</f>
        <v>#DIV/0!</v>
      </c>
    </row>
    <row r="113" spans="2:35" x14ac:dyDescent="0.25">
      <c r="B113" s="72" t="s">
        <v>455</v>
      </c>
      <c r="C113">
        <v>8</v>
      </c>
      <c r="D113" t="s">
        <v>417</v>
      </c>
      <c r="E113" t="e">
        <f t="shared" si="18"/>
        <v>#VALUE!</v>
      </c>
      <c r="G113" s="27">
        <f t="shared" ref="G113:G128" si="34">AVERAGE(F113,F131)</f>
        <v>4.0278821739145874E-4</v>
      </c>
      <c r="I113" s="72" t="s">
        <v>455</v>
      </c>
      <c r="J113">
        <v>9</v>
      </c>
      <c r="K113" t="s">
        <v>417</v>
      </c>
      <c r="L113" t="e">
        <f t="shared" si="31"/>
        <v>#VALUE!</v>
      </c>
      <c r="M113" t="e">
        <f t="shared" ref="M113:M128" si="35">L113/$L$111</f>
        <v>#VALUE!</v>
      </c>
      <c r="N113" s="27" t="e">
        <f>_xlfn.AGGREGATE(1,6,(M113,M131))</f>
        <v>#DIV/0!</v>
      </c>
      <c r="P113" s="72" t="s">
        <v>455</v>
      </c>
      <c r="Q113">
        <v>3</v>
      </c>
      <c r="R113" t="s">
        <v>417</v>
      </c>
      <c r="S113" t="e">
        <f t="shared" si="19"/>
        <v>#VALUE!</v>
      </c>
      <c r="T113" t="e">
        <f t="shared" ref="T113:T128" si="36">S113/$S$111</f>
        <v>#VALUE!</v>
      </c>
      <c r="U113" s="27">
        <f>_xlfn.AGGREGATE(1,6,(T113,T131))</f>
        <v>6.0639742349570619E-2</v>
      </c>
      <c r="W113" s="72" t="s">
        <v>455</v>
      </c>
      <c r="X113">
        <v>4</v>
      </c>
      <c r="Y113">
        <v>35.237110000000001</v>
      </c>
      <c r="Z113">
        <f t="shared" si="32"/>
        <v>2.469294729752155E-11</v>
      </c>
      <c r="AA113">
        <f t="shared" ref="AA113:AA128" si="37">Z113/$Z$111</f>
        <v>5.4255864395173227E-4</v>
      </c>
      <c r="AB113" s="27">
        <f>_xlfn.AGGREGATE(1,6,(AA113,AA131))</f>
        <v>5.4255864395173227E-4</v>
      </c>
      <c r="AD113" s="72" t="s">
        <v>455</v>
      </c>
      <c r="AE113">
        <v>3</v>
      </c>
      <c r="AF113" t="s">
        <v>417</v>
      </c>
      <c r="AG113" t="e">
        <f t="shared" si="33"/>
        <v>#VALUE!</v>
      </c>
      <c r="AH113" t="e">
        <f t="shared" ref="AH113:AH128" si="38">AG113/$Z$111</f>
        <v>#VALUE!</v>
      </c>
      <c r="AI113" s="27" t="e">
        <f>_xlfn.AGGREGATE(1,6,(AH113,AH131))</f>
        <v>#DIV/0!</v>
      </c>
    </row>
    <row r="114" spans="2:35" x14ac:dyDescent="0.25">
      <c r="B114" s="72" t="s">
        <v>481</v>
      </c>
      <c r="C114">
        <v>8</v>
      </c>
      <c r="D114">
        <v>23.320365606789998</v>
      </c>
      <c r="E114">
        <f t="shared" si="18"/>
        <v>9.5470773783940287E-8</v>
      </c>
      <c r="F114">
        <f t="shared" ref="F114:F128" si="39">E114/$E$111</f>
        <v>2.3265051146681421</v>
      </c>
      <c r="G114" s="27">
        <f t="shared" si="34"/>
        <v>1.855474344824283</v>
      </c>
      <c r="I114" s="72" t="s">
        <v>481</v>
      </c>
      <c r="J114">
        <v>9</v>
      </c>
      <c r="K114">
        <v>25.337733798380899</v>
      </c>
      <c r="L114">
        <f t="shared" si="31"/>
        <v>2.3582079793741354E-8</v>
      </c>
      <c r="M114">
        <f t="shared" si="35"/>
        <v>2.2200766623339003</v>
      </c>
      <c r="N114" s="27">
        <f>_xlfn.AGGREGATE(1,6,(M114,M132))</f>
        <v>2.0892286783917258</v>
      </c>
      <c r="P114" s="72" t="s">
        <v>481</v>
      </c>
      <c r="Q114">
        <v>3</v>
      </c>
      <c r="R114">
        <v>30.418113465846002</v>
      </c>
      <c r="S114">
        <f t="shared" si="19"/>
        <v>6.9700426451300625E-10</v>
      </c>
      <c r="T114">
        <f t="shared" si="36"/>
        <v>27.279587588560346</v>
      </c>
      <c r="U114" s="27">
        <f>_xlfn.AGGREGATE(1,6,(T114,T132))</f>
        <v>16.156398663943918</v>
      </c>
      <c r="W114" s="72" t="s">
        <v>481</v>
      </c>
      <c r="X114">
        <v>4</v>
      </c>
      <c r="Y114">
        <v>25.115589265625299</v>
      </c>
      <c r="Z114">
        <f t="shared" si="32"/>
        <v>2.7507699557037103E-8</v>
      </c>
      <c r="AA114">
        <f t="shared" si="37"/>
        <v>0.60440497402250981</v>
      </c>
      <c r="AB114" s="27">
        <f>_xlfn.AGGREGATE(1,6,(AA114,AA132))</f>
        <v>0.54181143817698074</v>
      </c>
      <c r="AD114" s="72" t="s">
        <v>481</v>
      </c>
      <c r="AE114">
        <v>3</v>
      </c>
      <c r="AF114">
        <v>30.5054358850747</v>
      </c>
      <c r="AG114">
        <f t="shared" si="33"/>
        <v>6.5606786768969077E-10</v>
      </c>
      <c r="AH114">
        <f t="shared" si="38"/>
        <v>1.4415261505448182E-2</v>
      </c>
      <c r="AI114" s="27">
        <f>_xlfn.AGGREGATE(1,6,(AH114,AH132))</f>
        <v>1.0251579181099837E-2</v>
      </c>
    </row>
    <row r="115" spans="2:35" x14ac:dyDescent="0.25">
      <c r="B115" s="72" t="s">
        <v>457</v>
      </c>
      <c r="C115">
        <v>8</v>
      </c>
      <c r="D115">
        <v>34.099403633002701</v>
      </c>
      <c r="E115">
        <f t="shared" si="18"/>
        <v>5.4332122626208816E-11</v>
      </c>
      <c r="F115">
        <f t="shared" si="39"/>
        <v>1.3240068784475974E-3</v>
      </c>
      <c r="G115" s="27">
        <f t="shared" si="34"/>
        <v>1.6309596491374668E-3</v>
      </c>
      <c r="I115" s="72" t="s">
        <v>457</v>
      </c>
      <c r="J115">
        <v>9</v>
      </c>
      <c r="K115" t="s">
        <v>417</v>
      </c>
      <c r="L115" t="e">
        <f t="shared" si="31"/>
        <v>#VALUE!</v>
      </c>
      <c r="M115" t="e">
        <f t="shared" si="35"/>
        <v>#VALUE!</v>
      </c>
      <c r="N115" s="27">
        <f>_xlfn.AGGREGATE(1,6,(M115,M133))</f>
        <v>2.1716970426500196E-3</v>
      </c>
      <c r="P115" s="72" t="s">
        <v>457</v>
      </c>
      <c r="Q115">
        <v>3</v>
      </c>
      <c r="R115" t="s">
        <v>417</v>
      </c>
      <c r="S115" t="e">
        <f t="shared" si="19"/>
        <v>#VALUE!</v>
      </c>
      <c r="T115" t="e">
        <f t="shared" si="36"/>
        <v>#VALUE!</v>
      </c>
      <c r="U115" s="27" t="e">
        <f>_xlfn.AGGREGATE(1,6,(T115,T133))</f>
        <v>#DIV/0!</v>
      </c>
      <c r="W115" s="72" t="s">
        <v>457</v>
      </c>
      <c r="X115">
        <v>4</v>
      </c>
      <c r="Y115">
        <v>32.448206615592497</v>
      </c>
      <c r="Z115">
        <f t="shared" si="32"/>
        <v>1.7065401215687849E-10</v>
      </c>
      <c r="AA115">
        <f t="shared" si="37"/>
        <v>3.7496459335193142E-3</v>
      </c>
      <c r="AB115" s="27">
        <f>_xlfn.AGGREGATE(1,6,(AA115,AA133))</f>
        <v>2.6441249938482948E-3</v>
      </c>
      <c r="AD115" s="72" t="s">
        <v>457</v>
      </c>
      <c r="AE115">
        <v>3</v>
      </c>
      <c r="AF115" t="s">
        <v>417</v>
      </c>
      <c r="AG115" t="e">
        <f t="shared" si="33"/>
        <v>#VALUE!</v>
      </c>
      <c r="AH115" t="e">
        <f t="shared" si="38"/>
        <v>#VALUE!</v>
      </c>
      <c r="AI115" s="27" t="e">
        <f>_xlfn.AGGREGATE(1,6,(AH115,AH133))</f>
        <v>#DIV/0!</v>
      </c>
    </row>
    <row r="116" spans="2:35" x14ac:dyDescent="0.25">
      <c r="B116" s="72" t="s">
        <v>458</v>
      </c>
      <c r="C116">
        <v>8</v>
      </c>
      <c r="D116">
        <v>26.461176986027301</v>
      </c>
      <c r="E116">
        <f t="shared" si="18"/>
        <v>1.0824105252171914E-8</v>
      </c>
      <c r="F116">
        <f t="shared" si="39"/>
        <v>0.26377010715210453</v>
      </c>
      <c r="G116" s="27">
        <f t="shared" si="34"/>
        <v>0.28079173004422331</v>
      </c>
      <c r="I116" s="72" t="s">
        <v>458</v>
      </c>
      <c r="J116">
        <v>9</v>
      </c>
      <c r="K116">
        <v>29.754018260380999</v>
      </c>
      <c r="L116">
        <f t="shared" si="31"/>
        <v>1.1044549655449101E-9</v>
      </c>
      <c r="M116">
        <f t="shared" si="35"/>
        <v>0.10397618509694795</v>
      </c>
      <c r="N116" s="27">
        <f>_xlfn.AGGREGATE(1,6,(M116,M134))</f>
        <v>0.14114193369705708</v>
      </c>
      <c r="P116" s="72" t="s">
        <v>458</v>
      </c>
      <c r="Q116">
        <v>3</v>
      </c>
      <c r="R116">
        <v>35.875786200612197</v>
      </c>
      <c r="S116">
        <f t="shared" si="19"/>
        <v>1.5860330595567838E-11</v>
      </c>
      <c r="T116">
        <f t="shared" si="36"/>
        <v>0.6207469590844128</v>
      </c>
      <c r="U116" s="27">
        <f>_xlfn.AGGREGATE(1,6,(T116,T134))</f>
        <v>0.55328968026231518</v>
      </c>
      <c r="W116" s="72" t="s">
        <v>458</v>
      </c>
      <c r="X116">
        <v>4</v>
      </c>
      <c r="Y116">
        <v>25.368392117917001</v>
      </c>
      <c r="Z116">
        <f t="shared" si="32"/>
        <v>2.3086230673702954E-8</v>
      </c>
      <c r="AA116">
        <f t="shared" si="37"/>
        <v>0.50725552755455672</v>
      </c>
      <c r="AB116" s="27">
        <f>_xlfn.AGGREGATE(1,6,(AA116,AA134))</f>
        <v>0.42007822620759444</v>
      </c>
      <c r="AD116" s="72" t="s">
        <v>458</v>
      </c>
      <c r="AE116">
        <v>3</v>
      </c>
      <c r="AF116" t="s">
        <v>417</v>
      </c>
      <c r="AG116" t="e">
        <f t="shared" si="33"/>
        <v>#VALUE!</v>
      </c>
      <c r="AH116" t="e">
        <f t="shared" si="38"/>
        <v>#VALUE!</v>
      </c>
      <c r="AI116" s="27" t="e">
        <f>_xlfn.AGGREGATE(1,6,(AH116,AH134))</f>
        <v>#DIV/0!</v>
      </c>
    </row>
    <row r="117" spans="2:35" x14ac:dyDescent="0.25">
      <c r="B117" s="72" t="s">
        <v>459</v>
      </c>
      <c r="C117">
        <v>8</v>
      </c>
      <c r="D117">
        <v>21.515255646583402</v>
      </c>
      <c r="E117">
        <f t="shared" si="18"/>
        <v>3.3362814902316673E-7</v>
      </c>
      <c r="F117">
        <f t="shared" si="39"/>
        <v>8.1301068833510364</v>
      </c>
      <c r="G117" s="27">
        <f t="shared" si="34"/>
        <v>6.5611045073018452</v>
      </c>
      <c r="I117" s="72" t="s">
        <v>459</v>
      </c>
      <c r="J117">
        <v>9</v>
      </c>
      <c r="K117">
        <v>24.206928472713699</v>
      </c>
      <c r="L117">
        <f t="shared" si="31"/>
        <v>5.1640260787316696E-8</v>
      </c>
      <c r="M117">
        <f t="shared" si="35"/>
        <v>4.8615448176536544</v>
      </c>
      <c r="N117" s="27">
        <f>_xlfn.AGGREGATE(1,6,(M117,M135))</f>
        <v>4.9376119377879295</v>
      </c>
      <c r="P117" s="72" t="s">
        <v>482</v>
      </c>
      <c r="Q117">
        <v>3</v>
      </c>
      <c r="R117">
        <v>34.5555514504195</v>
      </c>
      <c r="S117">
        <f t="shared" si="19"/>
        <v>3.960431414476307E-11</v>
      </c>
      <c r="T117">
        <f t="shared" si="36"/>
        <v>1.5500469819245466</v>
      </c>
      <c r="U117" s="27">
        <f>_xlfn.AGGREGATE(1,6,(T117,T135))</f>
        <v>1.1657828503583387</v>
      </c>
      <c r="W117" s="72" t="s">
        <v>459</v>
      </c>
      <c r="X117">
        <v>4</v>
      </c>
      <c r="Y117">
        <v>23.900486694050301</v>
      </c>
      <c r="Z117">
        <f t="shared" si="32"/>
        <v>6.3861129289043955E-8</v>
      </c>
      <c r="AA117">
        <f t="shared" si="37"/>
        <v>1.4031701963648393</v>
      </c>
      <c r="AB117" s="27">
        <f>_xlfn.AGGREGATE(1,6,(AA117,AA135))</f>
        <v>1.4641704666237421</v>
      </c>
      <c r="AD117" s="72" t="s">
        <v>459</v>
      </c>
      <c r="AE117">
        <v>3</v>
      </c>
      <c r="AF117" t="s">
        <v>417</v>
      </c>
      <c r="AG117" t="e">
        <f t="shared" si="33"/>
        <v>#VALUE!</v>
      </c>
      <c r="AH117" t="e">
        <f t="shared" si="38"/>
        <v>#VALUE!</v>
      </c>
      <c r="AI117" s="27" t="e">
        <f>_xlfn.AGGREGATE(1,6,(AH117,AH135))</f>
        <v>#DIV/0!</v>
      </c>
    </row>
    <row r="118" spans="2:35" x14ac:dyDescent="0.25">
      <c r="B118" s="72" t="s">
        <v>460</v>
      </c>
      <c r="C118">
        <v>8</v>
      </c>
      <c r="D118">
        <v>26.126476241313998</v>
      </c>
      <c r="E118">
        <f t="shared" si="18"/>
        <v>1.3650450057232004E-8</v>
      </c>
      <c r="F118">
        <f t="shared" si="39"/>
        <v>0.3326446473299085</v>
      </c>
      <c r="G118" s="27">
        <f t="shared" si="34"/>
        <v>0.36302049168102318</v>
      </c>
      <c r="I118" s="72" t="s">
        <v>460</v>
      </c>
      <c r="J118">
        <v>9</v>
      </c>
      <c r="K118">
        <v>29.718361536959499</v>
      </c>
      <c r="L118">
        <f t="shared" si="31"/>
        <v>1.1320920885051597E-9</v>
      </c>
      <c r="M118">
        <f t="shared" si="35"/>
        <v>0.10657801378359272</v>
      </c>
      <c r="N118" s="27">
        <f>_xlfn.AGGREGATE(1,6,(M118,M136))</f>
        <v>0.12266972241145356</v>
      </c>
      <c r="P118" s="72" t="s">
        <v>483</v>
      </c>
      <c r="Q118">
        <v>3</v>
      </c>
      <c r="R118" t="s">
        <v>417</v>
      </c>
      <c r="S118" t="e">
        <f t="shared" si="19"/>
        <v>#VALUE!</v>
      </c>
      <c r="T118" t="e">
        <f t="shared" si="36"/>
        <v>#VALUE!</v>
      </c>
      <c r="U118" s="27" t="e">
        <f>_xlfn.AGGREGATE(1,6,(T118,T136))</f>
        <v>#DIV/0!</v>
      </c>
      <c r="W118" s="72" t="s">
        <v>460</v>
      </c>
      <c r="X118">
        <v>4</v>
      </c>
      <c r="Y118">
        <v>25.981961545860301</v>
      </c>
      <c r="Z118">
        <f t="shared" si="32"/>
        <v>1.5088644575018953E-8</v>
      </c>
      <c r="AA118">
        <f t="shared" si="37"/>
        <v>0.33153087969023559</v>
      </c>
      <c r="AB118" s="27">
        <f>_xlfn.AGGREGATE(1,6,(AA118,AA136))</f>
        <v>0.2815993364613103</v>
      </c>
      <c r="AD118" s="72" t="s">
        <v>460</v>
      </c>
      <c r="AE118">
        <v>3</v>
      </c>
      <c r="AF118" t="s">
        <v>417</v>
      </c>
      <c r="AG118" t="e">
        <f t="shared" si="33"/>
        <v>#VALUE!</v>
      </c>
      <c r="AH118" t="e">
        <f t="shared" si="38"/>
        <v>#VALUE!</v>
      </c>
      <c r="AI118" s="27" t="e">
        <f>_xlfn.AGGREGATE(1,6,(AH118,AH136))</f>
        <v>#DIV/0!</v>
      </c>
    </row>
    <row r="119" spans="2:35" x14ac:dyDescent="0.25">
      <c r="B119" s="72" t="s">
        <v>461</v>
      </c>
      <c r="C119">
        <v>8</v>
      </c>
      <c r="D119">
        <v>37.574883262173699</v>
      </c>
      <c r="E119">
        <f t="shared" si="18"/>
        <v>4.884645544505633E-12</v>
      </c>
      <c r="F119">
        <f t="shared" si="39"/>
        <v>1.1903279288750187E-4</v>
      </c>
      <c r="G119" s="27">
        <f t="shared" si="34"/>
        <v>1.1903279288750187E-4</v>
      </c>
      <c r="I119" s="72" t="s">
        <v>461</v>
      </c>
      <c r="J119">
        <v>9</v>
      </c>
      <c r="K119" t="s">
        <v>417</v>
      </c>
      <c r="L119" t="e">
        <f t="shared" si="31"/>
        <v>#VALUE!</v>
      </c>
      <c r="M119" t="e">
        <f t="shared" si="35"/>
        <v>#VALUE!</v>
      </c>
      <c r="N119" s="27" t="e">
        <f>_xlfn.AGGREGATE(1,6,(M119,M137))</f>
        <v>#DIV/0!</v>
      </c>
      <c r="P119" s="72" t="s">
        <v>484</v>
      </c>
      <c r="Q119">
        <v>3</v>
      </c>
      <c r="R119" t="s">
        <v>417</v>
      </c>
      <c r="S119" t="e">
        <f t="shared" si="19"/>
        <v>#VALUE!</v>
      </c>
      <c r="T119" t="e">
        <f t="shared" si="36"/>
        <v>#VALUE!</v>
      </c>
      <c r="U119" s="27" t="e">
        <f>_xlfn.AGGREGATE(1,6,(T119,T137))</f>
        <v>#DIV/0!</v>
      </c>
      <c r="W119" s="72" t="s">
        <v>461</v>
      </c>
      <c r="X119">
        <v>4</v>
      </c>
      <c r="Y119">
        <v>37.073665425025702</v>
      </c>
      <c r="Z119">
        <f t="shared" si="32"/>
        <v>6.9137657026824444E-12</v>
      </c>
      <c r="AA119">
        <f t="shared" si="37"/>
        <v>1.5191071762518546E-4</v>
      </c>
      <c r="AB119" s="27">
        <f>_xlfn.AGGREGATE(1,6,(AA119,AA137))</f>
        <v>2.6319146103940844E-4</v>
      </c>
      <c r="AD119" s="72" t="s">
        <v>461</v>
      </c>
      <c r="AE119">
        <v>3</v>
      </c>
      <c r="AF119" t="s">
        <v>417</v>
      </c>
      <c r="AG119" t="e">
        <f t="shared" si="33"/>
        <v>#VALUE!</v>
      </c>
      <c r="AH119" t="e">
        <f t="shared" si="38"/>
        <v>#VALUE!</v>
      </c>
      <c r="AI119" s="27" t="e">
        <f>_xlfn.AGGREGATE(1,6,(AH119,AH137))</f>
        <v>#DIV/0!</v>
      </c>
    </row>
    <row r="120" spans="2:35" x14ac:dyDescent="0.25">
      <c r="B120" s="72" t="s">
        <v>462</v>
      </c>
      <c r="C120">
        <v>8</v>
      </c>
      <c r="D120">
        <v>36.692959342719497</v>
      </c>
      <c r="E120">
        <f t="shared" si="18"/>
        <v>9.001577152243723E-12</v>
      </c>
      <c r="F120">
        <f t="shared" si="39"/>
        <v>2.1935734314010272E-4</v>
      </c>
      <c r="G120" s="27">
        <f t="shared" si="34"/>
        <v>3.4713982190971054E-4</v>
      </c>
      <c r="I120" s="72" t="s">
        <v>462</v>
      </c>
      <c r="J120">
        <v>9</v>
      </c>
      <c r="K120">
        <v>36.246315167315402</v>
      </c>
      <c r="L120">
        <f t="shared" si="31"/>
        <v>1.2267947318434349E-11</v>
      </c>
      <c r="M120">
        <f t="shared" si="35"/>
        <v>1.1549356025682767E-3</v>
      </c>
      <c r="N120" s="27">
        <f>_xlfn.AGGREGATE(1,6,(M120,M138))</f>
        <v>1.1068467190734515E-3</v>
      </c>
      <c r="P120" s="72" t="s">
        <v>485</v>
      </c>
      <c r="Q120">
        <v>3</v>
      </c>
      <c r="R120" t="s">
        <v>417</v>
      </c>
      <c r="S120" t="e">
        <f t="shared" si="19"/>
        <v>#VALUE!</v>
      </c>
      <c r="T120" t="e">
        <f t="shared" si="36"/>
        <v>#VALUE!</v>
      </c>
      <c r="U120" s="27" t="e">
        <f>_xlfn.AGGREGATE(1,6,(T120,T138))</f>
        <v>#DIV/0!</v>
      </c>
      <c r="W120" s="72" t="s">
        <v>462</v>
      </c>
      <c r="X120">
        <v>4</v>
      </c>
      <c r="Y120">
        <v>36.949136497305197</v>
      </c>
      <c r="Z120">
        <f t="shared" si="32"/>
        <v>7.5370535417986845E-12</v>
      </c>
      <c r="AA120">
        <f t="shared" si="37"/>
        <v>1.6560572943191519E-4</v>
      </c>
      <c r="AB120" s="27">
        <f>_xlfn.AGGREGATE(1,6,(AA120,AA138))</f>
        <v>1.8326545660406562E-4</v>
      </c>
      <c r="AD120" s="72" t="s">
        <v>462</v>
      </c>
      <c r="AE120">
        <v>3</v>
      </c>
      <c r="AF120" t="s">
        <v>417</v>
      </c>
      <c r="AG120" t="e">
        <f t="shared" si="33"/>
        <v>#VALUE!</v>
      </c>
      <c r="AH120" t="e">
        <f t="shared" si="38"/>
        <v>#VALUE!</v>
      </c>
      <c r="AI120" s="27" t="e">
        <f>_xlfn.AGGREGATE(1,6,(AH120,AH138))</f>
        <v>#DIV/0!</v>
      </c>
    </row>
    <row r="121" spans="2:35" x14ac:dyDescent="0.25">
      <c r="B121" s="72" t="s">
        <v>463</v>
      </c>
      <c r="C121">
        <v>8</v>
      </c>
      <c r="D121">
        <v>28.555895607578499</v>
      </c>
      <c r="E121">
        <f t="shared" si="18"/>
        <v>2.5340715264290858E-9</v>
      </c>
      <c r="F121">
        <f t="shared" si="39"/>
        <v>6.1752200526983651E-2</v>
      </c>
      <c r="G121" s="27">
        <f t="shared" si="34"/>
        <v>5.491171920995605E-2</v>
      </c>
      <c r="I121" s="72" t="s">
        <v>463</v>
      </c>
      <c r="J121">
        <v>9</v>
      </c>
      <c r="K121">
        <v>31.291580681142602</v>
      </c>
      <c r="L121">
        <f t="shared" si="31"/>
        <v>3.8044826093201156E-10</v>
      </c>
      <c r="M121">
        <f t="shared" si="35"/>
        <v>3.5816361945515893E-2</v>
      </c>
      <c r="N121" s="27">
        <f>_xlfn.AGGREGATE(1,6,(M121,M139))</f>
        <v>3.0724647041341306E-2</v>
      </c>
      <c r="P121" s="72" t="s">
        <v>463</v>
      </c>
      <c r="Q121">
        <v>3</v>
      </c>
      <c r="R121" t="s">
        <v>417</v>
      </c>
      <c r="S121" t="e">
        <f t="shared" si="19"/>
        <v>#VALUE!</v>
      </c>
      <c r="T121" t="e">
        <f t="shared" si="36"/>
        <v>#VALUE!</v>
      </c>
      <c r="U121" s="27" t="e">
        <f>_xlfn.AGGREGATE(1,6,(T121,T139))</f>
        <v>#DIV/0!</v>
      </c>
      <c r="W121" s="72" t="s">
        <v>463</v>
      </c>
      <c r="X121">
        <v>4</v>
      </c>
      <c r="Y121">
        <v>29.304980882952801</v>
      </c>
      <c r="Z121">
        <f t="shared" si="32"/>
        <v>1.5077235968382869E-9</v>
      </c>
      <c r="AA121">
        <f t="shared" si="37"/>
        <v>3.3128020737998955E-2</v>
      </c>
      <c r="AB121" s="27">
        <f>_xlfn.AGGREGATE(1,6,(AA121,AA139))</f>
        <v>2.6024089100408147E-2</v>
      </c>
      <c r="AD121" s="72" t="s">
        <v>463</v>
      </c>
      <c r="AE121">
        <v>3</v>
      </c>
      <c r="AF121" t="s">
        <v>417</v>
      </c>
      <c r="AG121" t="e">
        <f t="shared" si="33"/>
        <v>#VALUE!</v>
      </c>
      <c r="AH121" t="e">
        <f t="shared" si="38"/>
        <v>#VALUE!</v>
      </c>
      <c r="AI121" s="27" t="e">
        <f>_xlfn.AGGREGATE(1,6,(AH121,AH139))</f>
        <v>#DIV/0!</v>
      </c>
    </row>
    <row r="122" spans="2:35" x14ac:dyDescent="0.25">
      <c r="B122" s="72" t="s">
        <v>464</v>
      </c>
      <c r="C122">
        <v>8</v>
      </c>
      <c r="D122">
        <v>26.599764843763602</v>
      </c>
      <c r="E122">
        <f t="shared" si="18"/>
        <v>9.832702616583296E-9</v>
      </c>
      <c r="F122">
        <f t="shared" si="39"/>
        <v>0.23961084656401879</v>
      </c>
      <c r="G122" s="27">
        <f t="shared" si="34"/>
        <v>0.20899716833382131</v>
      </c>
      <c r="I122" s="72" t="s">
        <v>464</v>
      </c>
      <c r="J122">
        <v>9</v>
      </c>
      <c r="K122">
        <v>28.8757157521175</v>
      </c>
      <c r="L122">
        <f t="shared" si="31"/>
        <v>2.0302214519121724E-9</v>
      </c>
      <c r="M122">
        <f t="shared" si="35"/>
        <v>0.19113018462248088</v>
      </c>
      <c r="N122" s="27">
        <f>_xlfn.AGGREGATE(1,6,(M122,M140))</f>
        <v>0.19614670224746922</v>
      </c>
      <c r="P122" s="72" t="s">
        <v>464</v>
      </c>
      <c r="Q122">
        <v>3</v>
      </c>
      <c r="R122">
        <v>32.8660911446093</v>
      </c>
      <c r="S122">
        <f t="shared" si="19"/>
        <v>1.2773818034171304E-10</v>
      </c>
      <c r="T122">
        <f t="shared" si="36"/>
        <v>4.9994599121567562</v>
      </c>
      <c r="U122" s="27">
        <f>_xlfn.AGGREGATE(1,6,(T122,T140))</f>
        <v>2.9859138721038927</v>
      </c>
      <c r="W122" s="72" t="s">
        <v>464</v>
      </c>
      <c r="X122">
        <v>4</v>
      </c>
      <c r="Y122">
        <v>24.790916471821799</v>
      </c>
      <c r="Z122">
        <f t="shared" si="32"/>
        <v>3.4450102783325396E-8</v>
      </c>
      <c r="AA122">
        <f t="shared" si="37"/>
        <v>0.75694492135391522</v>
      </c>
      <c r="AB122" s="27">
        <f>_xlfn.AGGREGATE(1,6,(AA122,AA140))</f>
        <v>0.64121606812689369</v>
      </c>
      <c r="AD122" s="72" t="s">
        <v>464</v>
      </c>
      <c r="AE122">
        <v>3</v>
      </c>
      <c r="AF122">
        <v>32.346539825154203</v>
      </c>
      <c r="AG122">
        <f t="shared" si="33"/>
        <v>1.8311387649791616E-10</v>
      </c>
      <c r="AH122">
        <f t="shared" si="38"/>
        <v>4.023416699691665E-3</v>
      </c>
      <c r="AI122" s="27">
        <f>_xlfn.AGGREGATE(1,6,(AH122,AH140))</f>
        <v>2.4426550852093298E-3</v>
      </c>
    </row>
    <row r="123" spans="2:35" x14ac:dyDescent="0.25">
      <c r="B123" s="72" t="s">
        <v>465</v>
      </c>
      <c r="C123">
        <v>8</v>
      </c>
      <c r="D123">
        <v>30.189896432936902</v>
      </c>
      <c r="E123">
        <f t="shared" si="18"/>
        <v>8.1646130668061657E-10</v>
      </c>
      <c r="F123">
        <f t="shared" si="39"/>
        <v>1.9896155971458312E-2</v>
      </c>
      <c r="G123" s="27">
        <f t="shared" si="34"/>
        <v>1.8480179152357723E-2</v>
      </c>
      <c r="I123" s="72" t="s">
        <v>465</v>
      </c>
      <c r="J123">
        <v>9</v>
      </c>
      <c r="K123">
        <v>34.289519472419201</v>
      </c>
      <c r="L123">
        <f t="shared" si="31"/>
        <v>4.7624025479549148E-11</v>
      </c>
      <c r="M123">
        <f t="shared" si="35"/>
        <v>4.4834462633614874E-3</v>
      </c>
      <c r="N123" s="27">
        <f>_xlfn.AGGREGATE(1,6,(M123,M141))</f>
        <v>3.3520106286399984E-3</v>
      </c>
      <c r="P123" s="72" t="s">
        <v>465</v>
      </c>
      <c r="Q123">
        <v>3</v>
      </c>
      <c r="R123" t="s">
        <v>417</v>
      </c>
      <c r="S123" t="e">
        <f t="shared" si="19"/>
        <v>#VALUE!</v>
      </c>
      <c r="T123" t="e">
        <f t="shared" si="36"/>
        <v>#VALUE!</v>
      </c>
      <c r="U123" s="27">
        <f>_xlfn.AGGREGATE(1,6,(T123,T141))</f>
        <v>6.4640460331374952E-2</v>
      </c>
      <c r="W123" s="72" t="s">
        <v>465</v>
      </c>
      <c r="X123">
        <v>4</v>
      </c>
      <c r="Y123">
        <v>30.065826536667199</v>
      </c>
      <c r="Z123">
        <f t="shared" si="32"/>
        <v>8.8978354104233624E-10</v>
      </c>
      <c r="AA123">
        <f t="shared" si="37"/>
        <v>1.9550511553837698E-2</v>
      </c>
      <c r="AB123" s="27">
        <f>_xlfn.AGGREGATE(1,6,(AA123,AA141))</f>
        <v>1.8294936009932074E-2</v>
      </c>
      <c r="AD123" s="72" t="s">
        <v>465</v>
      </c>
      <c r="AE123">
        <v>3</v>
      </c>
      <c r="AF123" t="s">
        <v>417</v>
      </c>
      <c r="AG123" t="e">
        <f t="shared" si="33"/>
        <v>#VALUE!</v>
      </c>
      <c r="AH123" t="e">
        <f t="shared" si="38"/>
        <v>#VALUE!</v>
      </c>
      <c r="AI123" s="27" t="e">
        <f>_xlfn.AGGREGATE(1,6,(AH123,AH141))</f>
        <v>#DIV/0!</v>
      </c>
    </row>
    <row r="124" spans="2:35" x14ac:dyDescent="0.25">
      <c r="B124" s="72" t="s">
        <v>466</v>
      </c>
      <c r="C124">
        <v>8</v>
      </c>
      <c r="D124" t="s">
        <v>417</v>
      </c>
      <c r="E124" t="e">
        <f t="shared" si="18"/>
        <v>#VALUE!</v>
      </c>
      <c r="G124" s="27">
        <f t="shared" si="34"/>
        <v>4.2700056326461174E-4</v>
      </c>
      <c r="I124" s="72" t="s">
        <v>466</v>
      </c>
      <c r="J124">
        <v>9</v>
      </c>
      <c r="K124" t="s">
        <v>417</v>
      </c>
      <c r="L124" t="e">
        <f t="shared" si="31"/>
        <v>#VALUE!</v>
      </c>
      <c r="M124" t="e">
        <f t="shared" si="35"/>
        <v>#VALUE!</v>
      </c>
      <c r="N124" s="27" t="e">
        <f>_xlfn.AGGREGATE(1,6,(M124,M142))</f>
        <v>#DIV/0!</v>
      </c>
      <c r="P124" s="72" t="s">
        <v>466</v>
      </c>
      <c r="Q124">
        <v>3</v>
      </c>
      <c r="R124" t="s">
        <v>417</v>
      </c>
      <c r="S124" t="e">
        <f t="shared" si="19"/>
        <v>#VALUE!</v>
      </c>
      <c r="T124" t="e">
        <f t="shared" si="36"/>
        <v>#VALUE!</v>
      </c>
      <c r="U124" s="27" t="e">
        <f>_xlfn.AGGREGATE(1,6,(T124,T142))</f>
        <v>#DIV/0!</v>
      </c>
      <c r="W124" s="72" t="s">
        <v>466</v>
      </c>
      <c r="X124">
        <v>4</v>
      </c>
      <c r="Y124">
        <v>37.191624769301598</v>
      </c>
      <c r="Z124">
        <f t="shared" si="32"/>
        <v>6.3709670206635571E-12</v>
      </c>
      <c r="AA124">
        <f t="shared" si="37"/>
        <v>1.3998423054745559E-4</v>
      </c>
      <c r="AB124" s="27">
        <f>_xlfn.AGGREGATE(1,6,(AA124,AA142))</f>
        <v>1.2128868187530274E-4</v>
      </c>
      <c r="AD124" s="72" t="s">
        <v>466</v>
      </c>
      <c r="AE124">
        <v>3</v>
      </c>
      <c r="AF124" t="s">
        <v>417</v>
      </c>
      <c r="AG124" t="e">
        <f t="shared" si="33"/>
        <v>#VALUE!</v>
      </c>
      <c r="AH124" t="e">
        <f t="shared" si="38"/>
        <v>#VALUE!</v>
      </c>
      <c r="AI124" s="27" t="e">
        <f>_xlfn.AGGREGATE(1,6,(AH124,AH142))</f>
        <v>#DIV/0!</v>
      </c>
    </row>
    <row r="125" spans="2:35" x14ac:dyDescent="0.25">
      <c r="B125" s="72" t="s">
        <v>467</v>
      </c>
      <c r="C125">
        <v>8</v>
      </c>
      <c r="D125">
        <v>35.254452789227301</v>
      </c>
      <c r="E125">
        <f t="shared" si="18"/>
        <v>2.4397887797891445E-11</v>
      </c>
      <c r="F125">
        <f t="shared" si="39"/>
        <v>5.9454646169885921E-4</v>
      </c>
      <c r="G125" s="27">
        <f t="shared" si="34"/>
        <v>4.8082137565496832E-4</v>
      </c>
      <c r="I125" s="72" t="s">
        <v>467</v>
      </c>
      <c r="J125">
        <v>9</v>
      </c>
      <c r="K125">
        <v>35.533858549961998</v>
      </c>
      <c r="L125">
        <f t="shared" si="31"/>
        <v>2.0102159510081994E-11</v>
      </c>
      <c r="M125">
        <f t="shared" si="35"/>
        <v>1.8924681614677088E-3</v>
      </c>
      <c r="N125" s="27">
        <f>_xlfn.AGGREGATE(1,6,(M125,M143))</f>
        <v>1.8924681614677088E-3</v>
      </c>
      <c r="P125" s="72" t="s">
        <v>467</v>
      </c>
      <c r="Q125">
        <v>3</v>
      </c>
      <c r="R125" t="s">
        <v>417</v>
      </c>
      <c r="S125" t="e">
        <f t="shared" si="19"/>
        <v>#VALUE!</v>
      </c>
      <c r="T125" t="e">
        <f t="shared" si="36"/>
        <v>#VALUE!</v>
      </c>
      <c r="U125" s="27" t="e">
        <f>_xlfn.AGGREGATE(1,6,(T125,T143))</f>
        <v>#DIV/0!</v>
      </c>
      <c r="W125" s="72" t="s">
        <v>467</v>
      </c>
      <c r="X125">
        <v>4</v>
      </c>
      <c r="Y125">
        <v>31.612824370134799</v>
      </c>
      <c r="Z125">
        <f t="shared" si="32"/>
        <v>3.0450302890181727E-10</v>
      </c>
      <c r="AA125">
        <f t="shared" si="37"/>
        <v>6.6906047483747495E-3</v>
      </c>
      <c r="AB125" s="27">
        <f>_xlfn.AGGREGATE(1,6,(AA125,AA143))</f>
        <v>7.3080190983887874E-3</v>
      </c>
      <c r="AD125" s="72" t="s">
        <v>467</v>
      </c>
      <c r="AE125">
        <v>3</v>
      </c>
      <c r="AF125" t="s">
        <v>417</v>
      </c>
      <c r="AG125" t="e">
        <f t="shared" si="33"/>
        <v>#VALUE!</v>
      </c>
      <c r="AH125" t="e">
        <f t="shared" si="38"/>
        <v>#VALUE!</v>
      </c>
      <c r="AI125" s="27" t="e">
        <f>_xlfn.AGGREGATE(1,6,(AH125,AH143))</f>
        <v>#DIV/0!</v>
      </c>
    </row>
    <row r="126" spans="2:35" x14ac:dyDescent="0.25">
      <c r="B126" s="72" t="s">
        <v>468</v>
      </c>
      <c r="C126">
        <v>8</v>
      </c>
      <c r="D126">
        <v>32.927200789013497</v>
      </c>
      <c r="E126">
        <f t="shared" si="18"/>
        <v>1.2244044215801515E-10</v>
      </c>
      <c r="F126">
        <f t="shared" si="39"/>
        <v>2.9837226999700804E-3</v>
      </c>
      <c r="G126" s="27">
        <f t="shared" si="34"/>
        <v>2.3616230967535082E-3</v>
      </c>
      <c r="I126" s="72" t="s">
        <v>468</v>
      </c>
      <c r="J126">
        <v>9</v>
      </c>
      <c r="K126">
        <v>34.618946418171397</v>
      </c>
      <c r="L126">
        <f t="shared" si="31"/>
        <v>3.790170175308744E-11</v>
      </c>
      <c r="M126">
        <f t="shared" si="35"/>
        <v>3.568162107020822E-3</v>
      </c>
      <c r="N126" s="27">
        <f>_xlfn.AGGREGATE(1,6,(M126,M144))</f>
        <v>4.8706329933589972E-3</v>
      </c>
      <c r="P126" s="72" t="s">
        <v>468</v>
      </c>
      <c r="Q126">
        <v>3</v>
      </c>
      <c r="R126" t="s">
        <v>417</v>
      </c>
      <c r="S126" t="e">
        <f t="shared" si="19"/>
        <v>#VALUE!</v>
      </c>
      <c r="T126" t="e">
        <f t="shared" si="36"/>
        <v>#VALUE!</v>
      </c>
      <c r="U126" s="27" t="e">
        <f>_xlfn.AGGREGATE(1,6,(T126,T144))</f>
        <v>#DIV/0!</v>
      </c>
      <c r="W126" s="72" t="s">
        <v>468</v>
      </c>
      <c r="X126">
        <v>4</v>
      </c>
      <c r="Y126">
        <v>32.787551650872302</v>
      </c>
      <c r="Z126">
        <f t="shared" si="32"/>
        <v>1.3488494174429027E-10</v>
      </c>
      <c r="AA126">
        <f t="shared" si="37"/>
        <v>2.9637203773417507E-3</v>
      </c>
      <c r="AB126" s="27">
        <f>_xlfn.AGGREGATE(1,6,(AA126,AA144))</f>
        <v>2.3791108607633775E-3</v>
      </c>
      <c r="AD126" s="72" t="s">
        <v>468</v>
      </c>
      <c r="AE126">
        <v>3</v>
      </c>
      <c r="AF126" t="s">
        <v>417</v>
      </c>
      <c r="AG126" t="e">
        <f t="shared" si="33"/>
        <v>#VALUE!</v>
      </c>
      <c r="AH126" t="e">
        <f t="shared" si="38"/>
        <v>#VALUE!</v>
      </c>
      <c r="AI126" s="27" t="e">
        <f>_xlfn.AGGREGATE(1,6,(AH126,AH144))</f>
        <v>#DIV/0!</v>
      </c>
    </row>
    <row r="127" spans="2:35" x14ac:dyDescent="0.25">
      <c r="B127" s="72" t="s">
        <v>486</v>
      </c>
      <c r="C127">
        <v>8</v>
      </c>
      <c r="D127">
        <v>28.604517041777399</v>
      </c>
      <c r="E127">
        <f t="shared" si="18"/>
        <v>2.4500918120472705E-9</v>
      </c>
      <c r="F127">
        <f t="shared" si="39"/>
        <v>5.97057183702576E-2</v>
      </c>
      <c r="G127" s="27">
        <f t="shared" si="34"/>
        <v>6.3525138836848016E-2</v>
      </c>
      <c r="I127" s="72" t="s">
        <v>486</v>
      </c>
      <c r="J127">
        <v>9</v>
      </c>
      <c r="K127">
        <v>31.639684572585701</v>
      </c>
      <c r="L127">
        <f t="shared" si="31"/>
        <v>2.9888621844071156E-10</v>
      </c>
      <c r="M127">
        <f t="shared" si="35"/>
        <v>2.8137904886131423E-2</v>
      </c>
      <c r="N127" s="27">
        <f>_xlfn.AGGREGATE(1,6,(M127,M145))</f>
        <v>3.431853045041279E-2</v>
      </c>
      <c r="P127" s="72" t="s">
        <v>486</v>
      </c>
      <c r="Q127">
        <v>3</v>
      </c>
      <c r="R127" t="s">
        <v>417</v>
      </c>
      <c r="S127" t="e">
        <f t="shared" si="19"/>
        <v>#VALUE!</v>
      </c>
      <c r="T127" t="e">
        <f t="shared" si="36"/>
        <v>#VALUE!</v>
      </c>
      <c r="U127" s="27" t="e">
        <f>_xlfn.AGGREGATE(1,6,(T127,T145))</f>
        <v>#DIV/0!</v>
      </c>
      <c r="W127" s="72" t="s">
        <v>486</v>
      </c>
      <c r="X127">
        <v>4</v>
      </c>
      <c r="Y127">
        <v>29.120043306242199</v>
      </c>
      <c r="Z127">
        <f t="shared" si="32"/>
        <v>1.7139316149333743E-9</v>
      </c>
      <c r="AA127">
        <f t="shared" si="37"/>
        <v>3.7658866785723458E-2</v>
      </c>
      <c r="AB127" s="27">
        <f>_xlfn.AGGREGATE(1,6,(AA127,AA145))</f>
        <v>3.2848365282426774E-2</v>
      </c>
      <c r="AD127" s="72" t="s">
        <v>486</v>
      </c>
      <c r="AE127">
        <v>3</v>
      </c>
      <c r="AF127" t="s">
        <v>417</v>
      </c>
      <c r="AG127" t="e">
        <f t="shared" si="33"/>
        <v>#VALUE!</v>
      </c>
      <c r="AH127" t="e">
        <f t="shared" si="38"/>
        <v>#VALUE!</v>
      </c>
      <c r="AI127" s="27" t="e">
        <f>_xlfn.AGGREGATE(1,6,(AH127,AH145))</f>
        <v>#DIV/0!</v>
      </c>
    </row>
    <row r="128" spans="2:35" x14ac:dyDescent="0.25">
      <c r="B128" s="212" t="s">
        <v>470</v>
      </c>
      <c r="C128" s="60">
        <v>8</v>
      </c>
      <c r="D128" s="60">
        <v>33.784681288851502</v>
      </c>
      <c r="E128" s="60">
        <f t="shared" si="18"/>
        <v>6.7576786860849248E-11</v>
      </c>
      <c r="F128" s="60">
        <f t="shared" si="39"/>
        <v>1.646763025304517E-3</v>
      </c>
      <c r="G128" s="61">
        <f t="shared" si="34"/>
        <v>1.1301975579843966E-3</v>
      </c>
      <c r="I128" s="212" t="s">
        <v>470</v>
      </c>
      <c r="J128" s="60">
        <v>9</v>
      </c>
      <c r="K128" s="60" t="s">
        <v>417</v>
      </c>
      <c r="L128" s="60" t="e">
        <f t="shared" si="31"/>
        <v>#VALUE!</v>
      </c>
      <c r="M128" s="60" t="e">
        <f t="shared" si="35"/>
        <v>#VALUE!</v>
      </c>
      <c r="N128" s="61" t="e">
        <f>_xlfn.AGGREGATE(1,6,(M128,M146))</f>
        <v>#DIV/0!</v>
      </c>
      <c r="P128" s="212" t="s">
        <v>470</v>
      </c>
      <c r="Q128" s="60">
        <v>3</v>
      </c>
      <c r="R128" s="60" t="s">
        <v>417</v>
      </c>
      <c r="S128" s="60" t="e">
        <f t="shared" si="19"/>
        <v>#VALUE!</v>
      </c>
      <c r="T128" s="60" t="e">
        <f t="shared" si="36"/>
        <v>#VALUE!</v>
      </c>
      <c r="U128" s="61">
        <f>_xlfn.AGGREGATE(1,6,(T128,T146))</f>
        <v>0.11455132941865065</v>
      </c>
      <c r="W128" s="212" t="s">
        <v>470</v>
      </c>
      <c r="X128" s="60">
        <v>4</v>
      </c>
      <c r="Y128" s="60">
        <v>32.478153214902598</v>
      </c>
      <c r="Z128" s="60">
        <f t="shared" si="32"/>
        <v>1.671481901695685E-10</v>
      </c>
      <c r="AA128">
        <f t="shared" si="37"/>
        <v>3.6726152736935433E-3</v>
      </c>
      <c r="AB128" s="61">
        <f>_xlfn.AGGREGATE(1,6,(AA128,AA146))</f>
        <v>4.3464379077080657E-3</v>
      </c>
      <c r="AD128" s="212" t="s">
        <v>470</v>
      </c>
      <c r="AE128" s="60">
        <v>3</v>
      </c>
      <c r="AF128" s="60" t="s">
        <v>417</v>
      </c>
      <c r="AG128" s="60" t="e">
        <f t="shared" si="33"/>
        <v>#VALUE!</v>
      </c>
      <c r="AH128" t="e">
        <f t="shared" si="38"/>
        <v>#VALUE!</v>
      </c>
      <c r="AI128" s="61" t="e">
        <f>_xlfn.AGGREGATE(1,6,(AH128,AH146))</f>
        <v>#DIV/0!</v>
      </c>
    </row>
    <row r="129" spans="2:35" x14ac:dyDescent="0.25">
      <c r="B129" s="72" t="s">
        <v>452</v>
      </c>
      <c r="C129">
        <v>8</v>
      </c>
      <c r="D129">
        <v>23.480845925784099</v>
      </c>
      <c r="E129">
        <f t="shared" si="18"/>
        <v>8.5420292214919424E-8</v>
      </c>
      <c r="G129" s="27"/>
      <c r="I129" s="72" t="s">
        <v>452</v>
      </c>
      <c r="J129">
        <v>9</v>
      </c>
      <c r="K129">
        <v>26.185528122483699</v>
      </c>
      <c r="L129">
        <f t="shared" si="31"/>
        <v>1.310299522724922E-8</v>
      </c>
      <c r="N129" s="27"/>
      <c r="P129" s="72" t="s">
        <v>452</v>
      </c>
      <c r="Q129">
        <v>3</v>
      </c>
      <c r="R129">
        <v>33.2007333453138</v>
      </c>
      <c r="S129">
        <f t="shared" si="19"/>
        <v>1.0129392155908396E-10</v>
      </c>
      <c r="U129" s="27"/>
      <c r="W129" s="72" t="s">
        <v>452</v>
      </c>
      <c r="X129">
        <v>4</v>
      </c>
      <c r="Y129">
        <v>22.7919441076513</v>
      </c>
      <c r="Z129">
        <f t="shared" si="32"/>
        <v>1.3770229045385046E-7</v>
      </c>
      <c r="AB129" s="27"/>
      <c r="AD129" s="72" t="s">
        <v>452</v>
      </c>
      <c r="AE129">
        <v>3</v>
      </c>
      <c r="AF129">
        <v>34.080659828610699</v>
      </c>
      <c r="AG129">
        <f t="shared" si="33"/>
        <v>5.5042622744871404E-11</v>
      </c>
      <c r="AI129" s="27"/>
    </row>
    <row r="130" spans="2:35" x14ac:dyDescent="0.25">
      <c r="B130" s="72" t="s">
        <v>454</v>
      </c>
      <c r="C130">
        <v>8</v>
      </c>
      <c r="D130">
        <v>30.0677179856858</v>
      </c>
      <c r="E130">
        <f t="shared" si="18"/>
        <v>8.8861775243003215E-10</v>
      </c>
      <c r="F130">
        <f>E130/$E$129</f>
        <v>1.0402888229347769E-2</v>
      </c>
      <c r="G130" s="27"/>
      <c r="I130" s="72" t="s">
        <v>454</v>
      </c>
      <c r="J130">
        <v>9</v>
      </c>
      <c r="K130">
        <v>32.1587402214398</v>
      </c>
      <c r="L130">
        <f t="shared" si="31"/>
        <v>2.0857131081845161E-10</v>
      </c>
      <c r="M130">
        <f>L130/$L$129</f>
        <v>1.5917834602023135E-2</v>
      </c>
      <c r="N130" s="27"/>
      <c r="P130" s="72" t="s">
        <v>454</v>
      </c>
      <c r="Q130">
        <v>3</v>
      </c>
      <c r="R130">
        <v>35.1920439922418</v>
      </c>
      <c r="S130">
        <f t="shared" si="19"/>
        <v>2.5476463974549969E-11</v>
      </c>
      <c r="T130">
        <f>S130/$S$129</f>
        <v>0.25151029383031387</v>
      </c>
      <c r="U130" s="27"/>
      <c r="W130" s="72" t="s">
        <v>454</v>
      </c>
      <c r="X130">
        <v>4</v>
      </c>
      <c r="Y130">
        <v>32.139328530596103</v>
      </c>
      <c r="Z130">
        <f t="shared" si="32"/>
        <v>2.1139663589593686E-10</v>
      </c>
      <c r="AA130">
        <f>Z130/$Z$129</f>
        <v>1.5351715298213165E-3</v>
      </c>
      <c r="AB130" s="27"/>
      <c r="AD130" s="72" t="s">
        <v>454</v>
      </c>
      <c r="AE130">
        <v>3</v>
      </c>
      <c r="AF130" t="s">
        <v>417</v>
      </c>
      <c r="AG130" t="e">
        <f t="shared" si="33"/>
        <v>#VALUE!</v>
      </c>
      <c r="AH130" t="e">
        <f>AG130/$Z$129</f>
        <v>#VALUE!</v>
      </c>
      <c r="AI130" s="27"/>
    </row>
    <row r="131" spans="2:35" x14ac:dyDescent="0.25">
      <c r="B131" s="72" t="s">
        <v>455</v>
      </c>
      <c r="C131">
        <v>8</v>
      </c>
      <c r="D131">
        <v>34.758536823973799</v>
      </c>
      <c r="E131">
        <f t="shared" si="18"/>
        <v>3.4406287230304895E-11</v>
      </c>
      <c r="F131">
        <f t="shared" ref="F131:F146" si="40">E131/$E$129</f>
        <v>4.0278821739145874E-4</v>
      </c>
      <c r="G131" s="27"/>
      <c r="I131" s="72" t="s">
        <v>455</v>
      </c>
      <c r="J131">
        <v>9</v>
      </c>
      <c r="K131" t="s">
        <v>417</v>
      </c>
      <c r="L131" t="e">
        <f t="shared" si="31"/>
        <v>#VALUE!</v>
      </c>
      <c r="M131" t="e">
        <f t="shared" ref="M131:M146" si="41">L131/$L$129</f>
        <v>#VALUE!</v>
      </c>
      <c r="N131" s="27"/>
      <c r="P131" s="72" t="s">
        <v>455</v>
      </c>
      <c r="Q131">
        <v>3</v>
      </c>
      <c r="R131">
        <v>37.2443259113913</v>
      </c>
      <c r="S131">
        <f t="shared" si="19"/>
        <v>6.1424373049204676E-12</v>
      </c>
      <c r="T131">
        <f t="shared" ref="T131:T146" si="42">S131/$S$129</f>
        <v>6.0639742349570619E-2</v>
      </c>
      <c r="U131" s="27"/>
      <c r="W131" s="72" t="s">
        <v>455</v>
      </c>
      <c r="X131">
        <v>4</v>
      </c>
      <c r="Y131" t="s">
        <v>417</v>
      </c>
      <c r="Z131" t="e">
        <f t="shared" si="32"/>
        <v>#VALUE!</v>
      </c>
      <c r="AA131" t="e">
        <f t="shared" ref="AA131:AA146" si="43">Z131/$Z$129</f>
        <v>#VALUE!</v>
      </c>
      <c r="AB131" s="27"/>
      <c r="AD131" s="72" t="s">
        <v>455</v>
      </c>
      <c r="AE131">
        <v>3</v>
      </c>
      <c r="AF131" t="s">
        <v>417</v>
      </c>
      <c r="AG131" t="e">
        <f t="shared" si="33"/>
        <v>#VALUE!</v>
      </c>
      <c r="AH131" t="e">
        <f t="shared" ref="AH131:AH146" si="44">AG131/$Z$129</f>
        <v>#VALUE!</v>
      </c>
      <c r="AI131" s="27"/>
    </row>
    <row r="132" spans="2:35" x14ac:dyDescent="0.25">
      <c r="B132" s="72" t="s">
        <v>481</v>
      </c>
      <c r="C132">
        <v>8</v>
      </c>
      <c r="D132">
        <v>23.011539670024199</v>
      </c>
      <c r="E132">
        <f t="shared" ref="E132:E182" si="45">2^(-D132)</f>
        <v>1.182595747298955E-7</v>
      </c>
      <c r="F132">
        <f t="shared" si="40"/>
        <v>1.3844435749804236</v>
      </c>
      <c r="G132" s="27"/>
      <c r="I132" s="72" t="s">
        <v>481</v>
      </c>
      <c r="J132">
        <v>9</v>
      </c>
      <c r="K132">
        <v>25.215866881235499</v>
      </c>
      <c r="L132">
        <f t="shared" si="31"/>
        <v>2.5660652892509483E-8</v>
      </c>
      <c r="M132">
        <f t="shared" si="41"/>
        <v>1.9583806944495512</v>
      </c>
      <c r="N132" s="27"/>
      <c r="P132" s="72" t="s">
        <v>481</v>
      </c>
      <c r="Q132">
        <v>3</v>
      </c>
      <c r="R132">
        <v>30.8692546275539</v>
      </c>
      <c r="S132">
        <f t="shared" si="19"/>
        <v>5.0983355252585636E-10</v>
      </c>
      <c r="T132">
        <f t="shared" si="42"/>
        <v>5.0332097393274919</v>
      </c>
      <c r="U132" s="27"/>
      <c r="W132" s="72" t="s">
        <v>481</v>
      </c>
      <c r="X132">
        <v>4</v>
      </c>
      <c r="Y132">
        <v>23.8531903980798</v>
      </c>
      <c r="Z132">
        <f t="shared" si="32"/>
        <v>6.5989402777530518E-8</v>
      </c>
      <c r="AA132">
        <f t="shared" si="43"/>
        <v>0.47921790233145178</v>
      </c>
      <c r="AB132" s="27"/>
      <c r="AD132" s="72" t="s">
        <v>481</v>
      </c>
      <c r="AE132">
        <v>3</v>
      </c>
      <c r="AF132">
        <v>30.151784475901898</v>
      </c>
      <c r="AG132">
        <f t="shared" si="33"/>
        <v>8.3831734122147724E-10</v>
      </c>
      <c r="AH132">
        <f t="shared" si="44"/>
        <v>6.0878968567514924E-3</v>
      </c>
      <c r="AI132" s="27"/>
    </row>
    <row r="133" spans="2:35" x14ac:dyDescent="0.25">
      <c r="B133" s="72" t="s">
        <v>457</v>
      </c>
      <c r="C133">
        <v>8</v>
      </c>
      <c r="D133">
        <v>32.4921268380089</v>
      </c>
      <c r="E133">
        <f t="shared" si="45"/>
        <v>1.655370451885727E-10</v>
      </c>
      <c r="F133">
        <f t="shared" si="40"/>
        <v>1.9379124198273365E-3</v>
      </c>
      <c r="G133" s="27"/>
      <c r="I133" s="72" t="s">
        <v>457</v>
      </c>
      <c r="J133">
        <v>9</v>
      </c>
      <c r="K133">
        <v>35.032489549653398</v>
      </c>
      <c r="L133">
        <f t="shared" si="31"/>
        <v>2.8455735984874455E-11</v>
      </c>
      <c r="M133">
        <f t="shared" si="41"/>
        <v>2.1716970426500196E-3</v>
      </c>
      <c r="N133" s="27"/>
      <c r="P133" s="72" t="s">
        <v>457</v>
      </c>
      <c r="Q133">
        <v>3</v>
      </c>
      <c r="R133" t="s">
        <v>417</v>
      </c>
      <c r="S133" t="e">
        <f t="shared" si="19"/>
        <v>#VALUE!</v>
      </c>
      <c r="T133" t="e">
        <f t="shared" si="42"/>
        <v>#VALUE!</v>
      </c>
      <c r="U133" s="27"/>
      <c r="W133" s="72" t="s">
        <v>457</v>
      </c>
      <c r="X133">
        <v>4</v>
      </c>
      <c r="Y133">
        <v>32.136106377391201</v>
      </c>
      <c r="Z133">
        <f t="shared" si="32"/>
        <v>2.1186930236179103E-10</v>
      </c>
      <c r="AA133">
        <f t="shared" si="43"/>
        <v>1.5386040541772751E-3</v>
      </c>
      <c r="AB133" s="27"/>
      <c r="AD133" s="72" t="s">
        <v>457</v>
      </c>
      <c r="AE133">
        <v>3</v>
      </c>
      <c r="AF133" t="s">
        <v>417</v>
      </c>
      <c r="AG133" t="e">
        <f t="shared" si="33"/>
        <v>#VALUE!</v>
      </c>
      <c r="AH133" t="e">
        <f t="shared" si="44"/>
        <v>#VALUE!</v>
      </c>
      <c r="AI133" s="27"/>
    </row>
    <row r="134" spans="2:35" x14ac:dyDescent="0.25">
      <c r="B134" s="72" t="s">
        <v>458</v>
      </c>
      <c r="C134">
        <v>8</v>
      </c>
      <c r="D134">
        <v>25.228365579769701</v>
      </c>
      <c r="E134">
        <f t="shared" si="45"/>
        <v>2.5439303633327273E-8</v>
      </c>
      <c r="F134">
        <f t="shared" si="40"/>
        <v>0.29781335293634209</v>
      </c>
      <c r="G134" s="27"/>
      <c r="I134" s="72" t="s">
        <v>458</v>
      </c>
      <c r="J134">
        <v>9</v>
      </c>
      <c r="K134">
        <v>28.673087355275999</v>
      </c>
      <c r="L134">
        <f t="shared" si="31"/>
        <v>2.3363647101216395E-9</v>
      </c>
      <c r="M134">
        <f t="shared" si="41"/>
        <v>0.17830768229716623</v>
      </c>
      <c r="N134" s="27"/>
      <c r="P134" s="72" t="s">
        <v>458</v>
      </c>
      <c r="Q134">
        <v>3</v>
      </c>
      <c r="R134">
        <v>34.2422027298933</v>
      </c>
      <c r="S134">
        <f t="shared" si="19"/>
        <v>4.9211869162346794E-11</v>
      </c>
      <c r="T134">
        <f t="shared" si="42"/>
        <v>0.48583240144021761</v>
      </c>
      <c r="U134" s="27"/>
      <c r="W134" s="72" t="s">
        <v>458</v>
      </c>
      <c r="X134">
        <v>4</v>
      </c>
      <c r="Y134">
        <v>24.378779323980002</v>
      </c>
      <c r="Z134">
        <f t="shared" si="32"/>
        <v>4.5841219847514221E-8</v>
      </c>
      <c r="AA134">
        <f t="shared" si="43"/>
        <v>0.33290092486063216</v>
      </c>
      <c r="AB134" s="27"/>
      <c r="AD134" s="72" t="s">
        <v>458</v>
      </c>
      <c r="AE134">
        <v>3</v>
      </c>
      <c r="AF134" t="s">
        <v>417</v>
      </c>
      <c r="AG134" t="e">
        <f t="shared" si="33"/>
        <v>#VALUE!</v>
      </c>
      <c r="AH134" t="e">
        <f t="shared" si="44"/>
        <v>#VALUE!</v>
      </c>
      <c r="AI134" s="27"/>
    </row>
    <row r="135" spans="2:35" x14ac:dyDescent="0.25">
      <c r="B135" s="72" t="s">
        <v>459</v>
      </c>
      <c r="C135">
        <v>8</v>
      </c>
      <c r="D135">
        <v>21.161198475809801</v>
      </c>
      <c r="E135">
        <f t="shared" si="45"/>
        <v>4.2642682281832377E-7</v>
      </c>
      <c r="F135">
        <f t="shared" si="40"/>
        <v>4.9921021312526541</v>
      </c>
      <c r="G135" s="27"/>
      <c r="I135" s="72" t="s">
        <v>459</v>
      </c>
      <c r="J135">
        <v>9</v>
      </c>
      <c r="K135">
        <v>23.859658475008199</v>
      </c>
      <c r="L135">
        <f t="shared" si="31"/>
        <v>6.5694212766914001E-8</v>
      </c>
      <c r="M135">
        <f t="shared" si="41"/>
        <v>5.0136790579222037</v>
      </c>
      <c r="N135" s="27"/>
      <c r="P135" s="72" t="s">
        <v>482</v>
      </c>
      <c r="Q135">
        <v>3</v>
      </c>
      <c r="R135">
        <v>33.556381011397001</v>
      </c>
      <c r="S135">
        <f t="shared" si="19"/>
        <v>7.9163095798285912E-11</v>
      </c>
      <c r="T135">
        <f t="shared" si="42"/>
        <v>0.78151871879213097</v>
      </c>
      <c r="U135" s="27"/>
      <c r="W135" s="72" t="s">
        <v>459</v>
      </c>
      <c r="X135">
        <v>4</v>
      </c>
      <c r="Y135">
        <v>22.182973351883302</v>
      </c>
      <c r="Z135">
        <f t="shared" si="32"/>
        <v>2.1001950380192706E-7</v>
      </c>
      <c r="AA135">
        <f t="shared" si="43"/>
        <v>1.5251707368826446</v>
      </c>
      <c r="AB135" s="27"/>
      <c r="AD135" s="72" t="s">
        <v>459</v>
      </c>
      <c r="AE135">
        <v>3</v>
      </c>
      <c r="AF135" t="s">
        <v>417</v>
      </c>
      <c r="AG135" t="e">
        <f t="shared" si="33"/>
        <v>#VALUE!</v>
      </c>
      <c r="AH135" t="e">
        <f t="shared" si="44"/>
        <v>#VALUE!</v>
      </c>
      <c r="AI135" s="27"/>
    </row>
    <row r="136" spans="2:35" x14ac:dyDescent="0.25">
      <c r="B136" s="72" t="s">
        <v>460</v>
      </c>
      <c r="C136">
        <v>8</v>
      </c>
      <c r="D136">
        <v>24.8267904997934</v>
      </c>
      <c r="E136">
        <f t="shared" si="45"/>
        <v>3.3604029980143851E-8</v>
      </c>
      <c r="F136">
        <f t="shared" si="40"/>
        <v>0.39339633603213786</v>
      </c>
      <c r="G136" s="27"/>
      <c r="I136" s="72" t="s">
        <v>460</v>
      </c>
      <c r="J136">
        <v>9</v>
      </c>
      <c r="K136">
        <v>29.034849593119599</v>
      </c>
      <c r="L136">
        <f t="shared" si="31"/>
        <v>1.8181903686344085E-9</v>
      </c>
      <c r="M136">
        <f t="shared" si="41"/>
        <v>0.1387614310393144</v>
      </c>
      <c r="N136" s="27"/>
      <c r="P136" s="72" t="s">
        <v>483</v>
      </c>
      <c r="Q136">
        <v>3</v>
      </c>
      <c r="R136" t="s">
        <v>417</v>
      </c>
      <c r="S136" t="e">
        <f t="shared" si="19"/>
        <v>#VALUE!</v>
      </c>
      <c r="T136" t="e">
        <f t="shared" si="42"/>
        <v>#VALUE!</v>
      </c>
      <c r="U136" s="27"/>
      <c r="W136" s="72" t="s">
        <v>460</v>
      </c>
      <c r="X136">
        <v>4</v>
      </c>
      <c r="Y136">
        <v>24.901814709797101</v>
      </c>
      <c r="Z136">
        <f t="shared" si="32"/>
        <v>3.1901185752488452E-8</v>
      </c>
      <c r="AA136">
        <f t="shared" si="43"/>
        <v>0.23166779323238501</v>
      </c>
      <c r="AB136" s="27"/>
      <c r="AD136" s="72" t="s">
        <v>460</v>
      </c>
      <c r="AE136">
        <v>3</v>
      </c>
      <c r="AF136" t="s">
        <v>417</v>
      </c>
      <c r="AG136" t="e">
        <f t="shared" si="33"/>
        <v>#VALUE!</v>
      </c>
      <c r="AH136" t="e">
        <f t="shared" si="44"/>
        <v>#VALUE!</v>
      </c>
      <c r="AI136" s="27"/>
    </row>
    <row r="137" spans="2:35" x14ac:dyDescent="0.25">
      <c r="B137" s="72" t="s">
        <v>461</v>
      </c>
      <c r="C137">
        <v>8</v>
      </c>
      <c r="D137" t="s">
        <v>417</v>
      </c>
      <c r="E137" t="e">
        <f t="shared" si="45"/>
        <v>#VALUE!</v>
      </c>
      <c r="G137" s="27"/>
      <c r="I137" s="72" t="s">
        <v>461</v>
      </c>
      <c r="J137">
        <v>9</v>
      </c>
      <c r="K137" t="s">
        <v>417</v>
      </c>
      <c r="L137" t="e">
        <f t="shared" si="31"/>
        <v>#VALUE!</v>
      </c>
      <c r="M137" t="e">
        <f t="shared" si="41"/>
        <v>#VALUE!</v>
      </c>
      <c r="N137" s="27"/>
      <c r="P137" s="72" t="s">
        <v>484</v>
      </c>
      <c r="Q137">
        <v>3</v>
      </c>
      <c r="R137" t="s">
        <v>417</v>
      </c>
      <c r="S137" t="e">
        <f t="shared" si="19"/>
        <v>#VALUE!</v>
      </c>
      <c r="T137" t="e">
        <f t="shared" si="42"/>
        <v>#VALUE!</v>
      </c>
      <c r="U137" s="27"/>
      <c r="W137" s="72" t="s">
        <v>461</v>
      </c>
      <c r="X137">
        <v>4</v>
      </c>
      <c r="Y137">
        <v>34.174797849918903</v>
      </c>
      <c r="Z137">
        <f t="shared" si="32"/>
        <v>5.1565680264567622E-11</v>
      </c>
      <c r="AA137">
        <f t="shared" si="43"/>
        <v>3.7447220445363137E-4</v>
      </c>
      <c r="AB137" s="27"/>
      <c r="AD137" s="72" t="s">
        <v>461</v>
      </c>
      <c r="AE137">
        <v>3</v>
      </c>
      <c r="AF137" t="s">
        <v>417</v>
      </c>
      <c r="AG137" t="e">
        <f t="shared" si="33"/>
        <v>#VALUE!</v>
      </c>
      <c r="AH137" t="e">
        <f t="shared" si="44"/>
        <v>#VALUE!</v>
      </c>
      <c r="AI137" s="27"/>
    </row>
    <row r="138" spans="2:35" x14ac:dyDescent="0.25">
      <c r="B138" s="72" t="s">
        <v>462</v>
      </c>
      <c r="C138">
        <v>8</v>
      </c>
      <c r="D138">
        <v>34.5208668036665</v>
      </c>
      <c r="E138">
        <f t="shared" si="45"/>
        <v>4.0568001703409201E-11</v>
      </c>
      <c r="F138">
        <f t="shared" si="40"/>
        <v>4.7492230067931838E-4</v>
      </c>
      <c r="G138" s="27"/>
      <c r="I138" s="72" t="s">
        <v>462</v>
      </c>
      <c r="J138">
        <v>9</v>
      </c>
      <c r="K138">
        <v>36.068939760555402</v>
      </c>
      <c r="L138">
        <f t="shared" si="31"/>
        <v>1.3872898866399454E-11</v>
      </c>
      <c r="M138">
        <f t="shared" si="41"/>
        <v>1.0587578355786263E-3</v>
      </c>
      <c r="N138" s="27"/>
      <c r="P138" s="72" t="s">
        <v>485</v>
      </c>
      <c r="Q138">
        <v>3</v>
      </c>
      <c r="R138" t="s">
        <v>417</v>
      </c>
      <c r="S138" t="e">
        <f t="shared" si="19"/>
        <v>#VALUE!</v>
      </c>
      <c r="T138" t="e">
        <f t="shared" si="42"/>
        <v>#VALUE!</v>
      </c>
      <c r="U138" s="27"/>
      <c r="W138" s="72" t="s">
        <v>462</v>
      </c>
      <c r="X138">
        <v>4</v>
      </c>
      <c r="Y138">
        <v>35.072998085737702</v>
      </c>
      <c r="Z138">
        <f t="shared" si="32"/>
        <v>2.7667858015845786E-11</v>
      </c>
      <c r="AA138">
        <f t="shared" si="43"/>
        <v>2.0092518377621605E-4</v>
      </c>
      <c r="AB138" s="27"/>
      <c r="AD138" s="72" t="s">
        <v>462</v>
      </c>
      <c r="AE138">
        <v>3</v>
      </c>
      <c r="AF138" t="s">
        <v>417</v>
      </c>
      <c r="AG138" t="e">
        <f t="shared" si="33"/>
        <v>#VALUE!</v>
      </c>
      <c r="AH138" t="e">
        <f t="shared" si="44"/>
        <v>#VALUE!</v>
      </c>
      <c r="AI138" s="27"/>
    </row>
    <row r="139" spans="2:35" x14ac:dyDescent="0.25">
      <c r="B139" s="72" t="s">
        <v>463</v>
      </c>
      <c r="C139">
        <v>8</v>
      </c>
      <c r="D139">
        <v>27.8595281604501</v>
      </c>
      <c r="E139">
        <f t="shared" si="45"/>
        <v>4.1062591879468564E-9</v>
      </c>
      <c r="F139">
        <f t="shared" si="40"/>
        <v>4.8071237892928456E-2</v>
      </c>
      <c r="G139" s="27"/>
      <c r="I139" s="72" t="s">
        <v>463</v>
      </c>
      <c r="J139">
        <v>9</v>
      </c>
      <c r="K139">
        <v>31.471385795088299</v>
      </c>
      <c r="L139">
        <f t="shared" si="31"/>
        <v>3.3586818745369871E-10</v>
      </c>
      <c r="M139">
        <f t="shared" si="41"/>
        <v>2.5632932137166723E-2</v>
      </c>
      <c r="N139" s="27"/>
      <c r="P139" s="72" t="s">
        <v>463</v>
      </c>
      <c r="Q139">
        <v>3</v>
      </c>
      <c r="R139" t="s">
        <v>417</v>
      </c>
      <c r="S139" t="e">
        <f t="shared" ref="S139:S202" si="46">2^(-R139)</f>
        <v>#VALUE!</v>
      </c>
      <c r="T139" t="e">
        <f t="shared" si="42"/>
        <v>#VALUE!</v>
      </c>
      <c r="U139" s="27"/>
      <c r="W139" s="72" t="s">
        <v>463</v>
      </c>
      <c r="X139">
        <v>4</v>
      </c>
      <c r="Y139">
        <v>28.515876201884002</v>
      </c>
      <c r="Z139">
        <f t="shared" si="32"/>
        <v>2.6053490183774601E-9</v>
      </c>
      <c r="AA139">
        <f t="shared" si="43"/>
        <v>1.8920157462817343E-2</v>
      </c>
      <c r="AB139" s="27"/>
      <c r="AD139" s="72" t="s">
        <v>463</v>
      </c>
      <c r="AE139">
        <v>3</v>
      </c>
      <c r="AF139" t="s">
        <v>417</v>
      </c>
      <c r="AG139" t="e">
        <f t="shared" si="33"/>
        <v>#VALUE!</v>
      </c>
      <c r="AH139" t="e">
        <f t="shared" si="44"/>
        <v>#VALUE!</v>
      </c>
      <c r="AI139" s="27"/>
    </row>
    <row r="140" spans="2:35" x14ac:dyDescent="0.25">
      <c r="B140" s="72" t="s">
        <v>464</v>
      </c>
      <c r="C140">
        <v>8</v>
      </c>
      <c r="D140">
        <v>25.9677919247397</v>
      </c>
      <c r="E140">
        <f t="shared" si="45"/>
        <v>1.5237569850968734E-8</v>
      </c>
      <c r="F140">
        <f t="shared" si="40"/>
        <v>0.17838349010362384</v>
      </c>
      <c r="G140" s="27"/>
      <c r="I140" s="72" t="s">
        <v>464</v>
      </c>
      <c r="J140">
        <v>9</v>
      </c>
      <c r="K140">
        <v>28.499089666493099</v>
      </c>
      <c r="L140">
        <f t="shared" si="31"/>
        <v>2.6358407098868966E-9</v>
      </c>
      <c r="M140">
        <f t="shared" si="41"/>
        <v>0.20116321987245753</v>
      </c>
      <c r="N140" s="27"/>
      <c r="P140" s="72" t="s">
        <v>464</v>
      </c>
      <c r="Q140">
        <v>3</v>
      </c>
      <c r="R140">
        <v>33.241159273395702</v>
      </c>
      <c r="S140">
        <f t="shared" si="46"/>
        <v>9.8494950906353509E-11</v>
      </c>
      <c r="T140">
        <f t="shared" si="42"/>
        <v>0.9723678320510295</v>
      </c>
      <c r="U140" s="27"/>
      <c r="W140" s="72" t="s">
        <v>464</v>
      </c>
      <c r="X140">
        <v>4</v>
      </c>
      <c r="Y140">
        <v>23.720216538684099</v>
      </c>
      <c r="Z140">
        <f t="shared" si="32"/>
        <v>7.2360793095927142E-8</v>
      </c>
      <c r="AA140">
        <f t="shared" si="43"/>
        <v>0.52548721489987227</v>
      </c>
      <c r="AB140" s="27"/>
      <c r="AD140" s="72" t="s">
        <v>464</v>
      </c>
      <c r="AE140">
        <v>3</v>
      </c>
      <c r="AF140">
        <v>32.9721469227024</v>
      </c>
      <c r="AG140">
        <f t="shared" si="33"/>
        <v>1.1868470504632583E-10</v>
      </c>
      <c r="AH140">
        <f t="shared" si="44"/>
        <v>8.6189347072699435E-4</v>
      </c>
      <c r="AI140" s="27"/>
    </row>
    <row r="141" spans="2:35" x14ac:dyDescent="0.25">
      <c r="B141" s="72" t="s">
        <v>465</v>
      </c>
      <c r="C141">
        <v>8</v>
      </c>
      <c r="D141">
        <v>29.3537291383767</v>
      </c>
      <c r="E141">
        <f t="shared" si="45"/>
        <v>1.4576291497213342E-9</v>
      </c>
      <c r="F141">
        <f t="shared" si="40"/>
        <v>1.7064202333257134E-2</v>
      </c>
      <c r="G141" s="27"/>
      <c r="I141" s="72" t="s">
        <v>465</v>
      </c>
      <c r="J141">
        <v>9</v>
      </c>
      <c r="K141">
        <v>35.0003791118924</v>
      </c>
      <c r="L141">
        <f t="shared" si="31"/>
        <v>2.9096183547063196E-11</v>
      </c>
      <c r="M141">
        <f t="shared" si="41"/>
        <v>2.2205749939185095E-3</v>
      </c>
      <c r="N141" s="27"/>
      <c r="P141" s="72" t="s">
        <v>465</v>
      </c>
      <c r="Q141">
        <v>3</v>
      </c>
      <c r="R141">
        <v>37.152152062935897</v>
      </c>
      <c r="S141">
        <f t="shared" si="46"/>
        <v>6.547685718349372E-12</v>
      </c>
      <c r="T141">
        <f t="shared" si="42"/>
        <v>6.4640460331374952E-2</v>
      </c>
      <c r="U141" s="27"/>
      <c r="W141" s="72" t="s">
        <v>465</v>
      </c>
      <c r="X141">
        <v>4</v>
      </c>
      <c r="Y141">
        <v>28.6669291091514</v>
      </c>
      <c r="Z141">
        <f t="shared" si="32"/>
        <v>2.3463589640406314E-9</v>
      </c>
      <c r="AA141">
        <f t="shared" si="43"/>
        <v>1.7039360466026453E-2</v>
      </c>
      <c r="AB141" s="27"/>
      <c r="AD141" s="72" t="s">
        <v>465</v>
      </c>
      <c r="AE141">
        <v>3</v>
      </c>
      <c r="AF141" t="s">
        <v>417</v>
      </c>
      <c r="AG141" t="e">
        <f t="shared" si="33"/>
        <v>#VALUE!</v>
      </c>
      <c r="AH141" t="e">
        <f t="shared" si="44"/>
        <v>#VALUE!</v>
      </c>
      <c r="AI141" s="27"/>
    </row>
    <row r="142" spans="2:35" x14ac:dyDescent="0.25">
      <c r="B142" s="72" t="s">
        <v>466</v>
      </c>
      <c r="C142">
        <v>8</v>
      </c>
      <c r="D142">
        <v>34.674320332399901</v>
      </c>
      <c r="E142">
        <f t="shared" si="45"/>
        <v>3.6474512889998322E-11</v>
      </c>
      <c r="F142">
        <f t="shared" si="40"/>
        <v>4.2700056326461174E-4</v>
      </c>
      <c r="G142" s="27"/>
      <c r="I142" s="72" t="s">
        <v>466</v>
      </c>
      <c r="J142">
        <v>9</v>
      </c>
      <c r="K142" t="s">
        <v>417</v>
      </c>
      <c r="L142" t="e">
        <f t="shared" si="31"/>
        <v>#VALUE!</v>
      </c>
      <c r="M142" t="e">
        <f t="shared" si="41"/>
        <v>#VALUE!</v>
      </c>
      <c r="N142" s="27"/>
      <c r="P142" s="72" t="s">
        <v>466</v>
      </c>
      <c r="Q142">
        <v>3</v>
      </c>
      <c r="R142" t="s">
        <v>417</v>
      </c>
      <c r="S142" t="e">
        <f t="shared" si="46"/>
        <v>#VALUE!</v>
      </c>
      <c r="T142" t="e">
        <f t="shared" si="42"/>
        <v>#VALUE!</v>
      </c>
      <c r="U142" s="27"/>
      <c r="W142" s="72" t="s">
        <v>466</v>
      </c>
      <c r="X142">
        <v>4</v>
      </c>
      <c r="Y142">
        <v>36.042722315956503</v>
      </c>
      <c r="Z142">
        <f t="shared" si="32"/>
        <v>1.4127309426910715E-11</v>
      </c>
      <c r="AA142">
        <f t="shared" si="43"/>
        <v>1.0259313320314988E-4</v>
      </c>
      <c r="AB142" s="27"/>
      <c r="AD142" s="72" t="s">
        <v>466</v>
      </c>
      <c r="AE142">
        <v>3</v>
      </c>
      <c r="AF142" t="s">
        <v>417</v>
      </c>
      <c r="AG142" t="e">
        <f t="shared" si="33"/>
        <v>#VALUE!</v>
      </c>
      <c r="AH142" t="e">
        <f t="shared" si="44"/>
        <v>#VALUE!</v>
      </c>
      <c r="AI142" s="27"/>
    </row>
    <row r="143" spans="2:35" x14ac:dyDescent="0.25">
      <c r="B143" s="72" t="s">
        <v>467</v>
      </c>
      <c r="C143">
        <v>8</v>
      </c>
      <c r="D143">
        <v>34.892399772717802</v>
      </c>
      <c r="E143">
        <f t="shared" si="45"/>
        <v>3.1357472329590926E-11</v>
      </c>
      <c r="F143">
        <f t="shared" si="40"/>
        <v>3.6709628961107744E-4</v>
      </c>
      <c r="G143" s="27"/>
      <c r="I143" s="72" t="s">
        <v>467</v>
      </c>
      <c r="J143">
        <v>9</v>
      </c>
      <c r="K143" t="s">
        <v>417</v>
      </c>
      <c r="L143" t="e">
        <f t="shared" si="31"/>
        <v>#VALUE!</v>
      </c>
      <c r="M143" t="e">
        <f t="shared" si="41"/>
        <v>#VALUE!</v>
      </c>
      <c r="N143" s="27"/>
      <c r="P143" s="72" t="s">
        <v>467</v>
      </c>
      <c r="Q143">
        <v>3</v>
      </c>
      <c r="R143" t="s">
        <v>417</v>
      </c>
      <c r="S143" t="e">
        <f t="shared" si="46"/>
        <v>#VALUE!</v>
      </c>
      <c r="T143" t="e">
        <f t="shared" si="42"/>
        <v>#VALUE!</v>
      </c>
      <c r="U143" s="27"/>
      <c r="W143" s="72" t="s">
        <v>467</v>
      </c>
      <c r="X143">
        <v>4</v>
      </c>
      <c r="Y143">
        <v>29.7712385527382</v>
      </c>
      <c r="Z143">
        <f t="shared" si="32"/>
        <v>1.0913503386846273E-9</v>
      </c>
      <c r="AA143">
        <f t="shared" si="43"/>
        <v>7.9254334484028244E-3</v>
      </c>
      <c r="AB143" s="27"/>
      <c r="AD143" s="72" t="s">
        <v>467</v>
      </c>
      <c r="AE143">
        <v>3</v>
      </c>
      <c r="AF143" t="s">
        <v>417</v>
      </c>
      <c r="AG143" t="e">
        <f t="shared" si="33"/>
        <v>#VALUE!</v>
      </c>
      <c r="AH143" t="e">
        <f t="shared" si="44"/>
        <v>#VALUE!</v>
      </c>
      <c r="AI143" s="27"/>
    </row>
    <row r="144" spans="2:35" x14ac:dyDescent="0.25">
      <c r="B144" s="72" t="s">
        <v>468</v>
      </c>
      <c r="C144">
        <v>8</v>
      </c>
      <c r="D144">
        <v>32.6479380467052</v>
      </c>
      <c r="E144">
        <f t="shared" si="45"/>
        <v>1.4859060513264261E-10</v>
      </c>
      <c r="F144">
        <f t="shared" si="40"/>
        <v>1.7395234935369363E-3</v>
      </c>
      <c r="G144" s="27"/>
      <c r="I144" s="72" t="s">
        <v>468</v>
      </c>
      <c r="J144">
        <v>9</v>
      </c>
      <c r="K144">
        <v>33.525316338211098</v>
      </c>
      <c r="L144">
        <f t="shared" si="31"/>
        <v>8.0886150672985699E-11</v>
      </c>
      <c r="M144">
        <f t="shared" si="41"/>
        <v>6.1731038796971728E-3</v>
      </c>
      <c r="N144" s="27"/>
      <c r="P144" s="72" t="s">
        <v>468</v>
      </c>
      <c r="Q144">
        <v>3</v>
      </c>
      <c r="R144" t="s">
        <v>417</v>
      </c>
      <c r="S144" t="e">
        <f t="shared" si="46"/>
        <v>#VALUE!</v>
      </c>
      <c r="T144" t="e">
        <f t="shared" si="42"/>
        <v>#VALUE!</v>
      </c>
      <c r="U144" s="27"/>
      <c r="W144" s="72" t="s">
        <v>468</v>
      </c>
      <c r="X144">
        <v>4</v>
      </c>
      <c r="Y144">
        <v>31.9141453884972</v>
      </c>
      <c r="Z144">
        <f t="shared" si="32"/>
        <v>2.4710694531678849E-10</v>
      </c>
      <c r="AA144">
        <f t="shared" si="43"/>
        <v>1.7945013441850038E-3</v>
      </c>
      <c r="AB144" s="27"/>
      <c r="AD144" s="72" t="s">
        <v>468</v>
      </c>
      <c r="AE144">
        <v>3</v>
      </c>
      <c r="AF144" t="s">
        <v>417</v>
      </c>
      <c r="AG144" t="e">
        <f t="shared" si="33"/>
        <v>#VALUE!</v>
      </c>
      <c r="AH144" t="e">
        <f t="shared" si="44"/>
        <v>#VALUE!</v>
      </c>
      <c r="AI144" s="27"/>
    </row>
    <row r="145" spans="2:35" x14ac:dyDescent="0.25">
      <c r="B145" s="72" t="s">
        <v>486</v>
      </c>
      <c r="C145">
        <v>8</v>
      </c>
      <c r="D145">
        <v>27.373140718987901</v>
      </c>
      <c r="E145">
        <f t="shared" si="45"/>
        <v>5.7525919347846819E-9</v>
      </c>
      <c r="F145">
        <f t="shared" si="40"/>
        <v>6.7344559303438439E-2</v>
      </c>
      <c r="G145" s="27"/>
      <c r="I145" s="72" t="s">
        <v>486</v>
      </c>
      <c r="J145">
        <v>9</v>
      </c>
      <c r="K145">
        <v>30.8114924691032</v>
      </c>
      <c r="L145">
        <f t="shared" si="31"/>
        <v>5.3066024796815923E-10</v>
      </c>
      <c r="M145">
        <f t="shared" si="41"/>
        <v>4.0499156014694164E-2</v>
      </c>
      <c r="N145" s="27"/>
      <c r="P145" s="72" t="s">
        <v>486</v>
      </c>
      <c r="Q145">
        <v>3</v>
      </c>
      <c r="R145" t="s">
        <v>417</v>
      </c>
      <c r="S145" t="e">
        <f t="shared" si="46"/>
        <v>#VALUE!</v>
      </c>
      <c r="T145" t="e">
        <f t="shared" si="42"/>
        <v>#VALUE!</v>
      </c>
      <c r="U145" s="27"/>
      <c r="W145" s="72" t="s">
        <v>486</v>
      </c>
      <c r="X145">
        <v>4</v>
      </c>
      <c r="Y145">
        <v>27.948423863650198</v>
      </c>
      <c r="Z145">
        <f t="shared" si="32"/>
        <v>3.8608780618192651E-9</v>
      </c>
      <c r="AA145">
        <f t="shared" si="43"/>
        <v>2.803786377913009E-2</v>
      </c>
      <c r="AB145" s="27"/>
      <c r="AD145" s="72" t="s">
        <v>486</v>
      </c>
      <c r="AE145">
        <v>3</v>
      </c>
      <c r="AF145" t="s">
        <v>417</v>
      </c>
      <c r="AG145" t="e">
        <f t="shared" si="33"/>
        <v>#VALUE!</v>
      </c>
      <c r="AH145" t="e">
        <f t="shared" si="44"/>
        <v>#VALUE!</v>
      </c>
      <c r="AI145" s="27"/>
    </row>
    <row r="146" spans="2:35" ht="15.75" thickBot="1" x14ac:dyDescent="0.3">
      <c r="B146" s="73" t="s">
        <v>470</v>
      </c>
      <c r="C146" s="2">
        <v>8</v>
      </c>
      <c r="D146" s="2">
        <v>34.151184372962703</v>
      </c>
      <c r="E146" s="2">
        <f t="shared" si="45"/>
        <v>5.2416632496994397E-11</v>
      </c>
      <c r="F146" s="2">
        <f t="shared" si="40"/>
        <v>6.1363209066427613E-4</v>
      </c>
      <c r="G146" s="8"/>
      <c r="I146" s="73" t="s">
        <v>470</v>
      </c>
      <c r="J146" s="2">
        <v>9</v>
      </c>
      <c r="K146" s="2" t="s">
        <v>417</v>
      </c>
      <c r="L146" s="2" t="e">
        <f t="shared" si="31"/>
        <v>#VALUE!</v>
      </c>
      <c r="M146" s="2" t="e">
        <f t="shared" si="41"/>
        <v>#VALUE!</v>
      </c>
      <c r="N146" s="8"/>
      <c r="P146" s="73" t="s">
        <v>470</v>
      </c>
      <c r="Q146" s="2">
        <v>3</v>
      </c>
      <c r="R146" s="2">
        <v>36.326667238349799</v>
      </c>
      <c r="S146" s="2">
        <f t="shared" si="46"/>
        <v>1.1603353376621586E-11</v>
      </c>
      <c r="T146" s="2">
        <f t="shared" si="42"/>
        <v>0.11455132941865065</v>
      </c>
      <c r="U146" s="8"/>
      <c r="W146" s="73" t="s">
        <v>470</v>
      </c>
      <c r="X146" s="2">
        <v>4</v>
      </c>
      <c r="Y146" s="2">
        <v>30.429966153137901</v>
      </c>
      <c r="Z146" s="2">
        <f t="shared" si="32"/>
        <v>6.9130137527028851E-10</v>
      </c>
      <c r="AA146" s="2">
        <f t="shared" si="43"/>
        <v>5.0202605417225881E-3</v>
      </c>
      <c r="AB146" s="8"/>
      <c r="AD146" s="73" t="s">
        <v>470</v>
      </c>
      <c r="AE146" s="2">
        <v>3</v>
      </c>
      <c r="AF146" s="2" t="s">
        <v>417</v>
      </c>
      <c r="AG146" s="2" t="e">
        <f t="shared" si="33"/>
        <v>#VALUE!</v>
      </c>
      <c r="AH146" s="2" t="e">
        <f t="shared" si="44"/>
        <v>#VALUE!</v>
      </c>
      <c r="AI146" s="8"/>
    </row>
    <row r="147" spans="2:35" x14ac:dyDescent="0.25">
      <c r="B147" s="71" t="s">
        <v>452</v>
      </c>
      <c r="C147" s="50">
        <v>22</v>
      </c>
      <c r="D147" s="50">
        <v>22.919187890553999</v>
      </c>
      <c r="E147" s="50">
        <f t="shared" si="45"/>
        <v>1.2607732004372291E-7</v>
      </c>
      <c r="F147" s="50"/>
      <c r="G147" s="25"/>
      <c r="I147" s="71" t="s">
        <v>452</v>
      </c>
      <c r="J147" s="50">
        <v>10</v>
      </c>
      <c r="K147" s="50">
        <v>34.078880970651497</v>
      </c>
      <c r="L147" s="50">
        <f t="shared" si="31"/>
        <v>5.5110532728258633E-11</v>
      </c>
      <c r="M147" s="50"/>
      <c r="N147" s="25"/>
      <c r="P147" s="71" t="s">
        <v>452</v>
      </c>
      <c r="Q147" s="50">
        <v>4</v>
      </c>
      <c r="R147" s="50" t="s">
        <v>417</v>
      </c>
      <c r="S147" s="50" t="e">
        <f t="shared" si="46"/>
        <v>#VALUE!</v>
      </c>
      <c r="T147" s="50"/>
      <c r="U147" s="25"/>
      <c r="W147" s="71" t="s">
        <v>452</v>
      </c>
      <c r="X147" s="50">
        <v>5</v>
      </c>
      <c r="Y147" s="50">
        <v>33.117128445886898</v>
      </c>
      <c r="Z147" s="50">
        <f t="shared" si="32"/>
        <v>1.0733737435314439E-10</v>
      </c>
      <c r="AA147" s="50"/>
      <c r="AB147" s="25"/>
      <c r="AD147" s="71" t="s">
        <v>452</v>
      </c>
      <c r="AE147" s="50">
        <v>8</v>
      </c>
      <c r="AF147" s="50">
        <v>38.133950092142399</v>
      </c>
      <c r="AG147" s="50">
        <f t="shared" si="33"/>
        <v>3.3154094354354371E-12</v>
      </c>
      <c r="AH147" s="50"/>
      <c r="AI147" s="25"/>
    </row>
    <row r="148" spans="2:35" x14ac:dyDescent="0.25">
      <c r="B148" s="72" t="s">
        <v>454</v>
      </c>
      <c r="C148">
        <v>22</v>
      </c>
      <c r="D148">
        <v>28.478722246566601</v>
      </c>
      <c r="E148">
        <f t="shared" si="45"/>
        <v>2.6733164180804862E-9</v>
      </c>
      <c r="F148">
        <f>E148/$E$147</f>
        <v>2.1203785241892793E-2</v>
      </c>
      <c r="G148" s="27">
        <f>AVERAGE(F148,F166)</f>
        <v>1.9578830166930697E-2</v>
      </c>
      <c r="I148" s="72" t="s">
        <v>454</v>
      </c>
      <c r="J148">
        <v>10</v>
      </c>
      <c r="K148" t="s">
        <v>417</v>
      </c>
      <c r="L148" t="e">
        <f t="shared" si="31"/>
        <v>#VALUE!</v>
      </c>
      <c r="M148" t="e">
        <f>L148/$L$147</f>
        <v>#VALUE!</v>
      </c>
      <c r="N148" s="27" t="e">
        <f>_xlfn.AGGREGATE(1,6,(M148,M166))</f>
        <v>#DIV/0!</v>
      </c>
      <c r="P148" s="72" t="s">
        <v>454</v>
      </c>
      <c r="Q148">
        <v>4</v>
      </c>
      <c r="R148" t="s">
        <v>417</v>
      </c>
      <c r="S148" t="e">
        <f t="shared" si="46"/>
        <v>#VALUE!</v>
      </c>
      <c r="T148" t="e">
        <f>S148/$S$165</f>
        <v>#VALUE!</v>
      </c>
      <c r="U148" s="27" t="e">
        <f>_xlfn.AGGREGATE(1,6,(T148,T166))</f>
        <v>#DIV/0!</v>
      </c>
      <c r="W148" s="72" t="s">
        <v>454</v>
      </c>
      <c r="X148">
        <v>5</v>
      </c>
      <c r="Y148">
        <v>35.6896691418548</v>
      </c>
      <c r="Z148">
        <f t="shared" si="32"/>
        <v>1.8044259034097499E-11</v>
      </c>
      <c r="AA148">
        <f>Z148/$Z$147</f>
        <v>0.16810788546709873</v>
      </c>
      <c r="AB148" s="27">
        <f>_xlfn.AGGREGATE(1,6,(AA148,AA166))</f>
        <v>0.1238782883686267</v>
      </c>
      <c r="AD148" s="72" t="s">
        <v>454</v>
      </c>
      <c r="AE148">
        <v>8</v>
      </c>
      <c r="AF148" t="s">
        <v>417</v>
      </c>
      <c r="AG148" t="e">
        <f t="shared" si="33"/>
        <v>#VALUE!</v>
      </c>
      <c r="AH148" t="e">
        <f>AG148/$Z$147</f>
        <v>#VALUE!</v>
      </c>
      <c r="AI148" s="27" t="e">
        <f>_xlfn.AGGREGATE(1,6,(AH148,AH166))</f>
        <v>#DIV/0!</v>
      </c>
    </row>
    <row r="149" spans="2:35" x14ac:dyDescent="0.25">
      <c r="B149" s="72" t="s">
        <v>455</v>
      </c>
      <c r="C149">
        <v>22</v>
      </c>
      <c r="D149" t="s">
        <v>417</v>
      </c>
      <c r="E149" t="e">
        <f t="shared" si="45"/>
        <v>#VALUE!</v>
      </c>
      <c r="G149" s="27">
        <f t="shared" ref="G149:G164" si="47">AVERAGE(F149,F167)</f>
        <v>5.3868388518073677E-5</v>
      </c>
      <c r="I149" s="72" t="s">
        <v>455</v>
      </c>
      <c r="J149">
        <v>10</v>
      </c>
      <c r="K149" t="s">
        <v>417</v>
      </c>
      <c r="L149" t="e">
        <f t="shared" si="31"/>
        <v>#VALUE!</v>
      </c>
      <c r="M149" t="e">
        <f t="shared" ref="M149:M164" si="48">L149/$L$147</f>
        <v>#VALUE!</v>
      </c>
      <c r="N149" s="27" t="e">
        <f>_xlfn.AGGREGATE(1,6,(M149,M167))</f>
        <v>#DIV/0!</v>
      </c>
      <c r="P149" s="72" t="s">
        <v>455</v>
      </c>
      <c r="Q149">
        <v>4</v>
      </c>
      <c r="R149" t="s">
        <v>417</v>
      </c>
      <c r="S149" t="e">
        <f t="shared" si="46"/>
        <v>#VALUE!</v>
      </c>
      <c r="T149" t="e">
        <f t="shared" ref="T149:T164" si="49">S149/$S$165</f>
        <v>#VALUE!</v>
      </c>
      <c r="U149" s="27" t="e">
        <f>_xlfn.AGGREGATE(1,6,(T149,T167))</f>
        <v>#DIV/0!</v>
      </c>
      <c r="W149" s="72" t="s">
        <v>455</v>
      </c>
      <c r="X149">
        <v>5</v>
      </c>
      <c r="Y149" t="s">
        <v>417</v>
      </c>
      <c r="Z149" t="e">
        <f t="shared" si="32"/>
        <v>#VALUE!</v>
      </c>
      <c r="AA149" t="e">
        <f t="shared" ref="AA149:AA164" si="50">Z149/$Z$147</f>
        <v>#VALUE!</v>
      </c>
      <c r="AB149" s="27" t="e">
        <f>_xlfn.AGGREGATE(1,6,(AA149,AA167))</f>
        <v>#DIV/0!</v>
      </c>
      <c r="AD149" s="72" t="s">
        <v>455</v>
      </c>
      <c r="AE149">
        <v>8</v>
      </c>
      <c r="AF149" t="s">
        <v>417</v>
      </c>
      <c r="AG149" t="e">
        <f t="shared" si="33"/>
        <v>#VALUE!</v>
      </c>
      <c r="AH149" t="e">
        <f t="shared" ref="AH149:AH164" si="51">AG149/$Z$147</f>
        <v>#VALUE!</v>
      </c>
      <c r="AI149" s="27" t="e">
        <f>_xlfn.AGGREGATE(1,6,(AH149,AH167))</f>
        <v>#DIV/0!</v>
      </c>
    </row>
    <row r="150" spans="2:35" x14ac:dyDescent="0.25">
      <c r="B150" s="72" t="s">
        <v>481</v>
      </c>
      <c r="C150">
        <v>22</v>
      </c>
      <c r="D150">
        <v>20.373393072186602</v>
      </c>
      <c r="E150">
        <f t="shared" si="45"/>
        <v>7.3620298130375867E-7</v>
      </c>
      <c r="F150">
        <f t="shared" ref="F150:F164" si="52">E150/$E$147</f>
        <v>5.8392975124189475</v>
      </c>
      <c r="G150" s="27">
        <f t="shared" si="47"/>
        <v>4.6511149272622196</v>
      </c>
      <c r="I150" s="72" t="s">
        <v>481</v>
      </c>
      <c r="J150">
        <v>10</v>
      </c>
      <c r="K150">
        <v>34.8747542457413</v>
      </c>
      <c r="L150">
        <f t="shared" si="31"/>
        <v>3.1743358989389436E-11</v>
      </c>
      <c r="M150">
        <f t="shared" si="48"/>
        <v>0.5759944137341394</v>
      </c>
      <c r="N150" s="27">
        <f>_xlfn.AGGREGATE(1,6,(M150,M168))</f>
        <v>0.92244223610023646</v>
      </c>
      <c r="P150" s="72" t="s">
        <v>481</v>
      </c>
      <c r="Q150">
        <v>4</v>
      </c>
      <c r="R150">
        <v>31.9225110534938</v>
      </c>
      <c r="S150">
        <f t="shared" si="46"/>
        <v>2.4567820818197309E-10</v>
      </c>
      <c r="T150">
        <f t="shared" si="49"/>
        <v>15.843031405615644</v>
      </c>
      <c r="U150" s="27">
        <f>_xlfn.AGGREGATE(1,6,(T150,T168))</f>
        <v>15.838454630224888</v>
      </c>
      <c r="W150" s="72" t="s">
        <v>481</v>
      </c>
      <c r="X150">
        <v>5</v>
      </c>
      <c r="Y150">
        <v>29.167417667159</v>
      </c>
      <c r="Z150">
        <f t="shared" si="32"/>
        <v>1.6585645788287516E-9</v>
      </c>
      <c r="AA150">
        <f t="shared" si="50"/>
        <v>15.45188326828273</v>
      </c>
      <c r="AB150" s="27">
        <f>_xlfn.AGGREGATE(1,6,(AA150,AA168))</f>
        <v>28.189134716205512</v>
      </c>
      <c r="AD150" s="72" t="s">
        <v>481</v>
      </c>
      <c r="AE150">
        <v>8</v>
      </c>
      <c r="AF150">
        <v>36.195202765945197</v>
      </c>
      <c r="AG150">
        <f t="shared" si="33"/>
        <v>1.2710372201489428E-11</v>
      </c>
      <c r="AH150">
        <f t="shared" si="51"/>
        <v>0.11841515854181209</v>
      </c>
      <c r="AI150" s="27">
        <f>_xlfn.AGGREGATE(1,6,(AH150,AH168))</f>
        <v>0.36586846060468076</v>
      </c>
    </row>
    <row r="151" spans="2:35" x14ac:dyDescent="0.25">
      <c r="B151" s="72" t="s">
        <v>457</v>
      </c>
      <c r="C151">
        <v>22</v>
      </c>
      <c r="D151">
        <v>35.128714988036798</v>
      </c>
      <c r="E151">
        <f t="shared" si="45"/>
        <v>2.6619695264236077E-11</v>
      </c>
      <c r="F151">
        <f t="shared" si="52"/>
        <v>2.1113785774479118E-4</v>
      </c>
      <c r="G151" s="27">
        <f t="shared" si="47"/>
        <v>2.0885301262655497E-4</v>
      </c>
      <c r="I151" s="72" t="s">
        <v>457</v>
      </c>
      <c r="J151">
        <v>10</v>
      </c>
      <c r="K151" t="s">
        <v>417</v>
      </c>
      <c r="L151" t="e">
        <f t="shared" si="31"/>
        <v>#VALUE!</v>
      </c>
      <c r="M151" t="e">
        <f t="shared" si="48"/>
        <v>#VALUE!</v>
      </c>
      <c r="N151" s="27" t="e">
        <f>_xlfn.AGGREGATE(1,6,(M151,M169))</f>
        <v>#DIV/0!</v>
      </c>
      <c r="P151" s="72" t="s">
        <v>457</v>
      </c>
      <c r="Q151">
        <v>4</v>
      </c>
      <c r="R151" t="s">
        <v>417</v>
      </c>
      <c r="S151" t="e">
        <f t="shared" si="46"/>
        <v>#VALUE!</v>
      </c>
      <c r="T151" t="e">
        <f t="shared" si="49"/>
        <v>#VALUE!</v>
      </c>
      <c r="U151" s="27" t="e">
        <f>_xlfn.AGGREGATE(1,6,(T151,T169))</f>
        <v>#DIV/0!</v>
      </c>
      <c r="W151" s="72" t="s">
        <v>457</v>
      </c>
      <c r="X151">
        <v>5</v>
      </c>
      <c r="Y151" t="s">
        <v>417</v>
      </c>
      <c r="Z151" t="e">
        <f t="shared" si="32"/>
        <v>#VALUE!</v>
      </c>
      <c r="AA151" t="e">
        <f t="shared" si="50"/>
        <v>#VALUE!</v>
      </c>
      <c r="AB151" s="27" t="e">
        <f>_xlfn.AGGREGATE(1,6,(AA151,AA169))</f>
        <v>#DIV/0!</v>
      </c>
      <c r="AD151" s="72" t="s">
        <v>457</v>
      </c>
      <c r="AE151">
        <v>8</v>
      </c>
      <c r="AF151" t="s">
        <v>417</v>
      </c>
      <c r="AG151" t="e">
        <f t="shared" si="33"/>
        <v>#VALUE!</v>
      </c>
      <c r="AH151" t="e">
        <f t="shared" si="51"/>
        <v>#VALUE!</v>
      </c>
      <c r="AI151" s="27" t="e">
        <f>_xlfn.AGGREGATE(1,6,(AH151,AH169))</f>
        <v>#DIV/0!</v>
      </c>
    </row>
    <row r="152" spans="2:35" x14ac:dyDescent="0.25">
      <c r="B152" s="72" t="s">
        <v>458</v>
      </c>
      <c r="C152">
        <v>22</v>
      </c>
      <c r="D152">
        <v>23.3766460264555</v>
      </c>
      <c r="E152">
        <f t="shared" si="45"/>
        <v>9.1818109807413557E-8</v>
      </c>
      <c r="F152">
        <f t="shared" si="52"/>
        <v>0.72826825455658128</v>
      </c>
      <c r="G152" s="27">
        <f t="shared" si="47"/>
        <v>0.6229567591489682</v>
      </c>
      <c r="I152" s="72" t="s">
        <v>458</v>
      </c>
      <c r="J152">
        <v>10</v>
      </c>
      <c r="K152">
        <v>36.800131603031197</v>
      </c>
      <c r="L152">
        <f t="shared" si="31"/>
        <v>8.3571181690932119E-12</v>
      </c>
      <c r="M152">
        <f t="shared" si="48"/>
        <v>0.15164284856945309</v>
      </c>
      <c r="N152" s="27">
        <f>_xlfn.AGGREGATE(1,6,(M152,M170))</f>
        <v>0.15484136051444763</v>
      </c>
      <c r="P152" s="72" t="s">
        <v>458</v>
      </c>
      <c r="Q152">
        <v>4</v>
      </c>
      <c r="R152" t="s">
        <v>417</v>
      </c>
      <c r="S152" t="e">
        <f t="shared" si="46"/>
        <v>#VALUE!</v>
      </c>
      <c r="T152" t="e">
        <f t="shared" si="49"/>
        <v>#VALUE!</v>
      </c>
      <c r="U152" s="27">
        <f>_xlfn.AGGREGATE(1,6,(T152,T170))</f>
        <v>1.6308658794237336</v>
      </c>
      <c r="W152" s="72" t="s">
        <v>458</v>
      </c>
      <c r="X152">
        <v>5</v>
      </c>
      <c r="Y152">
        <v>33.044889945577403</v>
      </c>
      <c r="Z152">
        <f t="shared" si="32"/>
        <v>1.1284879420129684E-10</v>
      </c>
      <c r="AA152">
        <f t="shared" si="50"/>
        <v>1.0513466989607894</v>
      </c>
      <c r="AB152" s="27">
        <f>_xlfn.AGGREGATE(1,6,(AA152,AA170))</f>
        <v>1.6345674278777238</v>
      </c>
      <c r="AD152" s="72" t="s">
        <v>458</v>
      </c>
      <c r="AE152">
        <v>8</v>
      </c>
      <c r="AF152" t="s">
        <v>417</v>
      </c>
      <c r="AG152" t="e">
        <f t="shared" si="33"/>
        <v>#VALUE!</v>
      </c>
      <c r="AH152" t="e">
        <f t="shared" si="51"/>
        <v>#VALUE!</v>
      </c>
      <c r="AI152" s="27" t="e">
        <f>_xlfn.AGGREGATE(1,6,(AH152,AH170))</f>
        <v>#DIV/0!</v>
      </c>
    </row>
    <row r="153" spans="2:35" x14ac:dyDescent="0.25">
      <c r="B153" s="72" t="s">
        <v>459</v>
      </c>
      <c r="C153">
        <v>22</v>
      </c>
      <c r="D153">
        <v>22.194402513234898</v>
      </c>
      <c r="E153">
        <f t="shared" si="45"/>
        <v>2.083622831814021E-7</v>
      </c>
      <c r="F153">
        <f t="shared" si="52"/>
        <v>1.6526547606591195</v>
      </c>
      <c r="G153" s="27">
        <f t="shared" si="47"/>
        <v>1.6526547606591195</v>
      </c>
      <c r="I153" s="72" t="s">
        <v>459</v>
      </c>
      <c r="J153">
        <v>10</v>
      </c>
      <c r="K153">
        <v>34.328138775477399</v>
      </c>
      <c r="L153">
        <f t="shared" si="31"/>
        <v>4.636609634044854E-11</v>
      </c>
      <c r="M153">
        <f t="shared" si="48"/>
        <v>0.84132912612317623</v>
      </c>
      <c r="N153" s="27">
        <f>_xlfn.AGGREGATE(1,6,(M153,M171))</f>
        <v>0.58523193584469235</v>
      </c>
      <c r="P153" s="72" t="s">
        <v>482</v>
      </c>
      <c r="Q153">
        <v>4</v>
      </c>
      <c r="R153" t="s">
        <v>417</v>
      </c>
      <c r="S153" t="e">
        <f t="shared" si="46"/>
        <v>#VALUE!</v>
      </c>
      <c r="T153" t="e">
        <f t="shared" si="49"/>
        <v>#VALUE!</v>
      </c>
      <c r="U153" s="27" t="e">
        <f>_xlfn.AGGREGATE(1,6,(T153,T171))</f>
        <v>#DIV/0!</v>
      </c>
      <c r="W153" s="72" t="s">
        <v>459</v>
      </c>
      <c r="X153">
        <v>5</v>
      </c>
      <c r="Y153">
        <v>34.467184449252898</v>
      </c>
      <c r="Z153">
        <f t="shared" si="32"/>
        <v>4.2105963988477704E-11</v>
      </c>
      <c r="AA153">
        <f t="shared" si="50"/>
        <v>0.39227682102552036</v>
      </c>
      <c r="AB153" s="27">
        <f>_xlfn.AGGREGATE(1,6,(AA153,AA171))</f>
        <v>1.0850025672775809</v>
      </c>
      <c r="AD153" s="72" t="s">
        <v>459</v>
      </c>
      <c r="AE153">
        <v>8</v>
      </c>
      <c r="AF153" t="s">
        <v>417</v>
      </c>
      <c r="AG153" t="e">
        <f t="shared" si="33"/>
        <v>#VALUE!</v>
      </c>
      <c r="AH153" t="e">
        <f t="shared" si="51"/>
        <v>#VALUE!</v>
      </c>
      <c r="AI153" s="27" t="e">
        <f>_xlfn.AGGREGATE(1,6,(AH153,AH171))</f>
        <v>#DIV/0!</v>
      </c>
    </row>
    <row r="154" spans="2:35" x14ac:dyDescent="0.25">
      <c r="B154" s="72" t="s">
        <v>460</v>
      </c>
      <c r="C154">
        <v>22</v>
      </c>
      <c r="D154">
        <v>23.227954469271399</v>
      </c>
      <c r="E154">
        <f t="shared" si="45"/>
        <v>1.0178621540943723E-7</v>
      </c>
      <c r="F154">
        <f t="shared" si="52"/>
        <v>0.80733168641384778</v>
      </c>
      <c r="G154" s="27">
        <f t="shared" si="47"/>
        <v>0.84415513876867543</v>
      </c>
      <c r="I154" s="72" t="s">
        <v>460</v>
      </c>
      <c r="J154">
        <v>10</v>
      </c>
      <c r="K154">
        <v>35.301692481599702</v>
      </c>
      <c r="L154">
        <f t="shared" si="31"/>
        <v>2.3611939693495544E-11</v>
      </c>
      <c r="M154">
        <f t="shared" si="48"/>
        <v>0.42844695060238858</v>
      </c>
      <c r="N154" s="27">
        <f>_xlfn.AGGREGATE(1,6,(M154,M172))</f>
        <v>0.30290626953957583</v>
      </c>
      <c r="P154" s="72" t="s">
        <v>483</v>
      </c>
      <c r="Q154">
        <v>4</v>
      </c>
      <c r="R154" t="s">
        <v>417</v>
      </c>
      <c r="S154" t="e">
        <f t="shared" si="46"/>
        <v>#VALUE!</v>
      </c>
      <c r="T154" t="e">
        <f t="shared" si="49"/>
        <v>#VALUE!</v>
      </c>
      <c r="U154" s="27" t="e">
        <f>_xlfn.AGGREGATE(1,6,(T154,T172))</f>
        <v>#DIV/0!</v>
      </c>
      <c r="W154" s="72" t="s">
        <v>460</v>
      </c>
      <c r="X154">
        <v>5</v>
      </c>
      <c r="Y154" t="s">
        <v>417</v>
      </c>
      <c r="Z154" t="e">
        <f t="shared" si="32"/>
        <v>#VALUE!</v>
      </c>
      <c r="AA154" t="e">
        <f t="shared" si="50"/>
        <v>#VALUE!</v>
      </c>
      <c r="AB154" s="27">
        <f>_xlfn.AGGREGATE(1,6,(AA154,AA172))</f>
        <v>0.14542422243309913</v>
      </c>
      <c r="AD154" s="72" t="s">
        <v>460</v>
      </c>
      <c r="AE154">
        <v>8</v>
      </c>
      <c r="AF154" t="s">
        <v>417</v>
      </c>
      <c r="AG154" t="e">
        <f t="shared" si="33"/>
        <v>#VALUE!</v>
      </c>
      <c r="AH154" t="e">
        <f t="shared" si="51"/>
        <v>#VALUE!</v>
      </c>
      <c r="AI154" s="27" t="e">
        <f>_xlfn.AGGREGATE(1,6,(AH154,AH172))</f>
        <v>#DIV/0!</v>
      </c>
    </row>
    <row r="155" spans="2:35" x14ac:dyDescent="0.25">
      <c r="B155" s="72" t="s">
        <v>461</v>
      </c>
      <c r="C155">
        <v>22</v>
      </c>
      <c r="D155">
        <v>36.794059589086103</v>
      </c>
      <c r="E155">
        <f t="shared" si="45"/>
        <v>8.392365725495705E-12</v>
      </c>
      <c r="F155">
        <f t="shared" si="52"/>
        <v>6.6565229357550432E-5</v>
      </c>
      <c r="G155" s="27">
        <f t="shared" si="47"/>
        <v>6.1225955142459046E-5</v>
      </c>
      <c r="I155" s="72" t="s">
        <v>461</v>
      </c>
      <c r="J155">
        <v>10</v>
      </c>
      <c r="K155" t="s">
        <v>417</v>
      </c>
      <c r="L155" t="e">
        <f t="shared" si="31"/>
        <v>#VALUE!</v>
      </c>
      <c r="M155" t="e">
        <f t="shared" si="48"/>
        <v>#VALUE!</v>
      </c>
      <c r="N155" s="27" t="e">
        <f>_xlfn.AGGREGATE(1,6,(M155,M173))</f>
        <v>#DIV/0!</v>
      </c>
      <c r="P155" s="72" t="s">
        <v>484</v>
      </c>
      <c r="Q155">
        <v>4</v>
      </c>
      <c r="R155" t="s">
        <v>417</v>
      </c>
      <c r="S155" t="e">
        <f t="shared" si="46"/>
        <v>#VALUE!</v>
      </c>
      <c r="T155" t="e">
        <f t="shared" si="49"/>
        <v>#VALUE!</v>
      </c>
      <c r="U155" s="27" t="e">
        <f>_xlfn.AGGREGATE(1,6,(T155,T173))</f>
        <v>#DIV/0!</v>
      </c>
      <c r="W155" s="72" t="s">
        <v>461</v>
      </c>
      <c r="X155">
        <v>5</v>
      </c>
      <c r="Y155" t="s">
        <v>417</v>
      </c>
      <c r="Z155" t="e">
        <f t="shared" si="32"/>
        <v>#VALUE!</v>
      </c>
      <c r="AA155" t="e">
        <f t="shared" si="50"/>
        <v>#VALUE!</v>
      </c>
      <c r="AB155" s="27" t="e">
        <f>_xlfn.AGGREGATE(1,6,(AA155,AA173))</f>
        <v>#DIV/0!</v>
      </c>
      <c r="AD155" s="72" t="s">
        <v>461</v>
      </c>
      <c r="AE155">
        <v>8</v>
      </c>
      <c r="AF155" t="s">
        <v>417</v>
      </c>
      <c r="AG155" t="e">
        <f t="shared" si="33"/>
        <v>#VALUE!</v>
      </c>
      <c r="AH155" t="e">
        <f t="shared" si="51"/>
        <v>#VALUE!</v>
      </c>
      <c r="AI155" s="27" t="e">
        <f>_xlfn.AGGREGATE(1,6,(AH155,AH173))</f>
        <v>#DIV/0!</v>
      </c>
    </row>
    <row r="156" spans="2:35" x14ac:dyDescent="0.25">
      <c r="B156" s="72" t="s">
        <v>462</v>
      </c>
      <c r="C156">
        <v>22</v>
      </c>
      <c r="D156">
        <v>33.800039040585702</v>
      </c>
      <c r="E156">
        <f t="shared" si="45"/>
        <v>6.6861234991728515E-11</v>
      </c>
      <c r="F156">
        <f t="shared" si="52"/>
        <v>5.303192911186676E-4</v>
      </c>
      <c r="G156" s="27">
        <f t="shared" si="47"/>
        <v>4.5626223132415441E-4</v>
      </c>
      <c r="I156" s="72" t="s">
        <v>462</v>
      </c>
      <c r="J156">
        <v>10</v>
      </c>
      <c r="K156" t="s">
        <v>417</v>
      </c>
      <c r="L156" t="e">
        <f t="shared" si="31"/>
        <v>#VALUE!</v>
      </c>
      <c r="M156" t="e">
        <f t="shared" si="48"/>
        <v>#VALUE!</v>
      </c>
      <c r="N156" s="27" t="e">
        <f>_xlfn.AGGREGATE(1,6,(M156,M174))</f>
        <v>#DIV/0!</v>
      </c>
      <c r="P156" s="72" t="s">
        <v>485</v>
      </c>
      <c r="Q156">
        <v>4</v>
      </c>
      <c r="R156">
        <v>37.035268043841299</v>
      </c>
      <c r="S156">
        <f t="shared" si="46"/>
        <v>7.1002464169530336E-12</v>
      </c>
      <c r="T156">
        <f t="shared" si="49"/>
        <v>0.45787303564212045</v>
      </c>
      <c r="U156" s="27">
        <f>_xlfn.AGGREGATE(1,6,(T156,T174))</f>
        <v>0.45439859606670552</v>
      </c>
      <c r="W156" s="72" t="s">
        <v>462</v>
      </c>
      <c r="X156">
        <v>5</v>
      </c>
      <c r="Y156" t="s">
        <v>417</v>
      </c>
      <c r="Z156" t="e">
        <f t="shared" si="32"/>
        <v>#VALUE!</v>
      </c>
      <c r="AA156" t="e">
        <f t="shared" si="50"/>
        <v>#VALUE!</v>
      </c>
      <c r="AB156" s="27" t="e">
        <f>_xlfn.AGGREGATE(1,6,(AA156,AA174))</f>
        <v>#DIV/0!</v>
      </c>
      <c r="AD156" s="72" t="s">
        <v>462</v>
      </c>
      <c r="AE156">
        <v>8</v>
      </c>
      <c r="AF156" t="s">
        <v>417</v>
      </c>
      <c r="AG156" t="e">
        <f t="shared" si="33"/>
        <v>#VALUE!</v>
      </c>
      <c r="AH156" t="e">
        <f t="shared" si="51"/>
        <v>#VALUE!</v>
      </c>
      <c r="AI156" s="27" t="e">
        <f>_xlfn.AGGREGATE(1,6,(AH156,AH174))</f>
        <v>#DIV/0!</v>
      </c>
    </row>
    <row r="157" spans="2:35" x14ac:dyDescent="0.25">
      <c r="B157" s="72" t="s">
        <v>463</v>
      </c>
      <c r="C157">
        <v>22</v>
      </c>
      <c r="D157">
        <v>28.352856042333599</v>
      </c>
      <c r="E157">
        <f t="shared" si="45"/>
        <v>2.9170231012592233E-9</v>
      </c>
      <c r="F157">
        <f t="shared" si="52"/>
        <v>2.3136779083245233E-2</v>
      </c>
      <c r="G157" s="27">
        <f t="shared" si="47"/>
        <v>1.8587237777343474E-2</v>
      </c>
      <c r="I157" s="72" t="s">
        <v>463</v>
      </c>
      <c r="J157">
        <v>10</v>
      </c>
      <c r="K157" t="s">
        <v>417</v>
      </c>
      <c r="L157" t="e">
        <f t="shared" si="31"/>
        <v>#VALUE!</v>
      </c>
      <c r="M157" t="e">
        <f t="shared" si="48"/>
        <v>#VALUE!</v>
      </c>
      <c r="N157" s="27" t="e">
        <f>_xlfn.AGGREGATE(1,6,(M157,M175))</f>
        <v>#DIV/0!</v>
      </c>
      <c r="P157" s="72" t="s">
        <v>463</v>
      </c>
      <c r="Q157">
        <v>4</v>
      </c>
      <c r="R157" t="s">
        <v>417</v>
      </c>
      <c r="S157" t="e">
        <f t="shared" si="46"/>
        <v>#VALUE!</v>
      </c>
      <c r="T157" t="e">
        <f t="shared" si="49"/>
        <v>#VALUE!</v>
      </c>
      <c r="U157" s="27" t="e">
        <f>_xlfn.AGGREGATE(1,6,(T157,T175))</f>
        <v>#DIV/0!</v>
      </c>
      <c r="W157" s="72" t="s">
        <v>463</v>
      </c>
      <c r="X157">
        <v>5</v>
      </c>
      <c r="Y157" t="s">
        <v>417</v>
      </c>
      <c r="Z157" t="e">
        <f t="shared" si="32"/>
        <v>#VALUE!</v>
      </c>
      <c r="AA157" t="e">
        <f t="shared" si="50"/>
        <v>#VALUE!</v>
      </c>
      <c r="AB157" s="27">
        <f>_xlfn.AGGREGATE(1,6,(AA157,AA175))</f>
        <v>9.5741945621848502E-3</v>
      </c>
      <c r="AD157" s="72" t="s">
        <v>463</v>
      </c>
      <c r="AE157">
        <v>8</v>
      </c>
      <c r="AF157" t="s">
        <v>417</v>
      </c>
      <c r="AG157" t="e">
        <f t="shared" si="33"/>
        <v>#VALUE!</v>
      </c>
      <c r="AH157" t="e">
        <f t="shared" si="51"/>
        <v>#VALUE!</v>
      </c>
      <c r="AI157" s="27" t="e">
        <f>_xlfn.AGGREGATE(1,6,(AH157,AH175))</f>
        <v>#DIV/0!</v>
      </c>
    </row>
    <row r="158" spans="2:35" x14ac:dyDescent="0.25">
      <c r="B158" s="72" t="s">
        <v>464</v>
      </c>
      <c r="C158">
        <v>22</v>
      </c>
      <c r="D158">
        <v>24.028812780030801</v>
      </c>
      <c r="E158">
        <f t="shared" si="45"/>
        <v>5.8426059011820681E-8</v>
      </c>
      <c r="F158">
        <f t="shared" si="52"/>
        <v>0.46341450620586516</v>
      </c>
      <c r="G158" s="27">
        <f t="shared" si="47"/>
        <v>0.42718541059121135</v>
      </c>
      <c r="I158" s="72" t="s">
        <v>464</v>
      </c>
      <c r="J158">
        <v>10</v>
      </c>
      <c r="K158">
        <v>37.634672553117099</v>
      </c>
      <c r="L158">
        <f t="shared" si="31"/>
        <v>4.6863496090394959E-12</v>
      </c>
      <c r="M158">
        <f t="shared" si="48"/>
        <v>8.5035461953292091E-2</v>
      </c>
      <c r="N158" s="27">
        <f>_xlfn.AGGREGATE(1,6,(M158,M176))</f>
        <v>9.3543213238326234E-2</v>
      </c>
      <c r="P158" s="72" t="s">
        <v>464</v>
      </c>
      <c r="Q158">
        <v>4</v>
      </c>
      <c r="R158">
        <v>32.958895033102401</v>
      </c>
      <c r="S158">
        <f t="shared" si="46"/>
        <v>1.197799068742145E-10</v>
      </c>
      <c r="T158">
        <f t="shared" si="49"/>
        <v>7.7242374910366243</v>
      </c>
      <c r="U158" s="27">
        <f>_xlfn.AGGREGATE(1,6,(T158,T176))</f>
        <v>5.9686502767198277</v>
      </c>
      <c r="W158" s="72" t="s">
        <v>464</v>
      </c>
      <c r="X158">
        <v>5</v>
      </c>
      <c r="Y158">
        <v>30.2635241493591</v>
      </c>
      <c r="Z158">
        <f t="shared" si="32"/>
        <v>7.7583873121978877E-10</v>
      </c>
      <c r="AA158">
        <f t="shared" si="50"/>
        <v>7.2280390301634112</v>
      </c>
      <c r="AB158" s="27">
        <f>_xlfn.AGGREGATE(1,6,(AA158,AA176))</f>
        <v>9.2994303467995554</v>
      </c>
      <c r="AD158" s="72" t="s">
        <v>464</v>
      </c>
      <c r="AE158">
        <v>8</v>
      </c>
      <c r="AF158">
        <v>34.666182530514803</v>
      </c>
      <c r="AG158">
        <f t="shared" si="33"/>
        <v>3.6680835827055069E-11</v>
      </c>
      <c r="AH158">
        <f t="shared" si="51"/>
        <v>0.34173405161163722</v>
      </c>
      <c r="AI158" s="27">
        <f>_xlfn.AGGREGATE(1,6,(AH158,AH176))</f>
        <v>0.35180559929061089</v>
      </c>
    </row>
    <row r="159" spans="2:35" x14ac:dyDescent="0.25">
      <c r="B159" s="72" t="s">
        <v>465</v>
      </c>
      <c r="C159">
        <v>22</v>
      </c>
      <c r="D159">
        <v>26.755652001137399</v>
      </c>
      <c r="E159">
        <f t="shared" si="45"/>
        <v>8.8256397076831828E-9</v>
      </c>
      <c r="F159">
        <f t="shared" si="52"/>
        <v>7.0001802898590329E-2</v>
      </c>
      <c r="G159" s="27">
        <f t="shared" si="47"/>
        <v>7.7278089653787865E-2</v>
      </c>
      <c r="I159" s="72" t="s">
        <v>465</v>
      </c>
      <c r="J159">
        <v>10</v>
      </c>
      <c r="K159" t="s">
        <v>417</v>
      </c>
      <c r="L159" t="e">
        <f t="shared" si="31"/>
        <v>#VALUE!</v>
      </c>
      <c r="M159" t="e">
        <f t="shared" si="48"/>
        <v>#VALUE!</v>
      </c>
      <c r="N159" s="27" t="e">
        <f>_xlfn.AGGREGATE(1,6,(M159,M177))</f>
        <v>#DIV/0!</v>
      </c>
      <c r="P159" s="72" t="s">
        <v>465</v>
      </c>
      <c r="Q159">
        <v>4</v>
      </c>
      <c r="R159">
        <v>36.046011817442398</v>
      </c>
      <c r="S159">
        <f t="shared" si="46"/>
        <v>1.4095134321364097E-11</v>
      </c>
      <c r="T159">
        <f t="shared" si="49"/>
        <v>0.90895182512214334</v>
      </c>
      <c r="U159" s="27">
        <f>_xlfn.AGGREGATE(1,6,(T159,T177))</f>
        <v>0.90895182512214334</v>
      </c>
      <c r="W159" s="72" t="s">
        <v>465</v>
      </c>
      <c r="X159">
        <v>5</v>
      </c>
      <c r="Y159">
        <v>37.0253492861547</v>
      </c>
      <c r="Z159">
        <f t="shared" si="32"/>
        <v>7.1492299312547518E-12</v>
      </c>
      <c r="AA159">
        <f t="shared" si="50"/>
        <v>6.6605224641824112E-2</v>
      </c>
      <c r="AB159" s="27">
        <f>_xlfn.AGGREGATE(1,6,(AA159,AA177))</f>
        <v>8.2390135449394164E-2</v>
      </c>
      <c r="AD159" s="72" t="s">
        <v>465</v>
      </c>
      <c r="AE159">
        <v>8</v>
      </c>
      <c r="AF159" t="s">
        <v>417</v>
      </c>
      <c r="AG159" t="e">
        <f t="shared" si="33"/>
        <v>#VALUE!</v>
      </c>
      <c r="AH159" t="e">
        <f t="shared" si="51"/>
        <v>#VALUE!</v>
      </c>
      <c r="AI159" s="27">
        <f>_xlfn.AGGREGATE(1,6,(AH159,AH177))</f>
        <v>4.795237136278558E-2</v>
      </c>
    </row>
    <row r="160" spans="2:35" x14ac:dyDescent="0.25">
      <c r="B160" s="72" t="s">
        <v>466</v>
      </c>
      <c r="C160">
        <v>22</v>
      </c>
      <c r="D160" t="s">
        <v>417</v>
      </c>
      <c r="E160" t="e">
        <f t="shared" si="45"/>
        <v>#VALUE!</v>
      </c>
      <c r="G160" s="27">
        <f t="shared" si="47"/>
        <v>3.9667537911698364E-5</v>
      </c>
      <c r="I160" s="72" t="s">
        <v>466</v>
      </c>
      <c r="J160">
        <v>10</v>
      </c>
      <c r="K160" t="s">
        <v>417</v>
      </c>
      <c r="L160" t="e">
        <f t="shared" si="31"/>
        <v>#VALUE!</v>
      </c>
      <c r="M160" t="e">
        <f t="shared" si="48"/>
        <v>#VALUE!</v>
      </c>
      <c r="N160" s="27" t="e">
        <f>_xlfn.AGGREGATE(1,6,(M160,M178))</f>
        <v>#DIV/0!</v>
      </c>
      <c r="P160" s="72" t="s">
        <v>466</v>
      </c>
      <c r="Q160">
        <v>4</v>
      </c>
      <c r="R160" t="s">
        <v>417</v>
      </c>
      <c r="S160" t="e">
        <f t="shared" si="46"/>
        <v>#VALUE!</v>
      </c>
      <c r="T160" t="e">
        <f t="shared" si="49"/>
        <v>#VALUE!</v>
      </c>
      <c r="U160" s="27" t="e">
        <f>_xlfn.AGGREGATE(1,6,(T160,T178))</f>
        <v>#DIV/0!</v>
      </c>
      <c r="W160" s="72" t="s">
        <v>466</v>
      </c>
      <c r="X160">
        <v>5</v>
      </c>
      <c r="Y160">
        <v>44.765470000000001</v>
      </c>
      <c r="Z160">
        <f t="shared" si="32"/>
        <v>3.3438805870674182E-14</v>
      </c>
      <c r="AA160">
        <f t="shared" si="50"/>
        <v>3.1152994073303054E-4</v>
      </c>
      <c r="AB160" s="27">
        <f>_xlfn.AGGREGATE(1,6,(AA160,AA178))</f>
        <v>3.1152994073303054E-4</v>
      </c>
      <c r="AD160" s="72" t="s">
        <v>466</v>
      </c>
      <c r="AE160">
        <v>8</v>
      </c>
      <c r="AF160" t="s">
        <v>417</v>
      </c>
      <c r="AG160" t="e">
        <f t="shared" si="33"/>
        <v>#VALUE!</v>
      </c>
      <c r="AH160" t="e">
        <f t="shared" si="51"/>
        <v>#VALUE!</v>
      </c>
      <c r="AI160" s="27" t="e">
        <f>_xlfn.AGGREGATE(1,6,(AH160,AH178))</f>
        <v>#DIV/0!</v>
      </c>
    </row>
    <row r="161" spans="2:35" x14ac:dyDescent="0.25">
      <c r="B161" s="72" t="s">
        <v>467</v>
      </c>
      <c r="C161">
        <v>22</v>
      </c>
      <c r="D161">
        <v>33.206756373967004</v>
      </c>
      <c r="E161">
        <f t="shared" si="45"/>
        <v>1.008719166193809E-10</v>
      </c>
      <c r="F161">
        <f t="shared" si="52"/>
        <v>8.0007979694047345E-4</v>
      </c>
      <c r="G161" s="27">
        <f t="shared" si="47"/>
        <v>6.5373145613533789E-4</v>
      </c>
      <c r="I161" s="72" t="s">
        <v>467</v>
      </c>
      <c r="J161">
        <v>10</v>
      </c>
      <c r="K161" t="s">
        <v>417</v>
      </c>
      <c r="L161" t="e">
        <f t="shared" si="31"/>
        <v>#VALUE!</v>
      </c>
      <c r="M161" t="e">
        <f t="shared" si="48"/>
        <v>#VALUE!</v>
      </c>
      <c r="N161" s="27" t="e">
        <f>_xlfn.AGGREGATE(1,6,(M161,M179))</f>
        <v>#DIV/0!</v>
      </c>
      <c r="P161" s="72" t="s">
        <v>467</v>
      </c>
      <c r="Q161">
        <v>4</v>
      </c>
      <c r="R161" t="s">
        <v>417</v>
      </c>
      <c r="S161" t="e">
        <f t="shared" si="46"/>
        <v>#VALUE!</v>
      </c>
      <c r="T161" t="e">
        <f t="shared" si="49"/>
        <v>#VALUE!</v>
      </c>
      <c r="U161" s="27" t="e">
        <f>_xlfn.AGGREGATE(1,6,(T161,T179))</f>
        <v>#DIV/0!</v>
      </c>
      <c r="W161" s="72" t="s">
        <v>467</v>
      </c>
      <c r="X161">
        <v>5</v>
      </c>
      <c r="Y161" t="s">
        <v>417</v>
      </c>
      <c r="Z161" t="e">
        <f t="shared" si="32"/>
        <v>#VALUE!</v>
      </c>
      <c r="AA161" t="e">
        <f t="shared" si="50"/>
        <v>#VALUE!</v>
      </c>
      <c r="AB161" s="27" t="e">
        <f>_xlfn.AGGREGATE(1,6,(AA161,AA179))</f>
        <v>#DIV/0!</v>
      </c>
      <c r="AD161" s="72" t="s">
        <v>467</v>
      </c>
      <c r="AE161">
        <v>8</v>
      </c>
      <c r="AF161" t="s">
        <v>417</v>
      </c>
      <c r="AG161" t="e">
        <f t="shared" si="33"/>
        <v>#VALUE!</v>
      </c>
      <c r="AH161" t="e">
        <f t="shared" si="51"/>
        <v>#VALUE!</v>
      </c>
      <c r="AI161" s="27" t="e">
        <f>_xlfn.AGGREGATE(1,6,(AH161,AH179))</f>
        <v>#DIV/0!</v>
      </c>
    </row>
    <row r="162" spans="2:35" x14ac:dyDescent="0.25">
      <c r="B162" s="72" t="s">
        <v>468</v>
      </c>
      <c r="C162">
        <v>22</v>
      </c>
      <c r="D162">
        <v>31.042893959815199</v>
      </c>
      <c r="E162">
        <f t="shared" si="45"/>
        <v>4.5202011961370714E-10</v>
      </c>
      <c r="F162">
        <f t="shared" si="52"/>
        <v>3.5852611671706625E-3</v>
      </c>
      <c r="G162" s="27">
        <f t="shared" si="47"/>
        <v>3.1605123614751734E-3</v>
      </c>
      <c r="I162" s="72" t="s">
        <v>468</v>
      </c>
      <c r="J162">
        <v>10</v>
      </c>
      <c r="K162" t="s">
        <v>417</v>
      </c>
      <c r="L162" t="e">
        <f t="shared" si="31"/>
        <v>#VALUE!</v>
      </c>
      <c r="M162" t="e">
        <f t="shared" si="48"/>
        <v>#VALUE!</v>
      </c>
      <c r="N162" s="27" t="e">
        <f>_xlfn.AGGREGATE(1,6,(M162,M180))</f>
        <v>#DIV/0!</v>
      </c>
      <c r="P162" s="72" t="s">
        <v>468</v>
      </c>
      <c r="Q162">
        <v>4</v>
      </c>
      <c r="R162" t="s">
        <v>417</v>
      </c>
      <c r="S162" t="e">
        <f t="shared" si="46"/>
        <v>#VALUE!</v>
      </c>
      <c r="T162" t="e">
        <f t="shared" si="49"/>
        <v>#VALUE!</v>
      </c>
      <c r="U162" s="27" t="e">
        <f>_xlfn.AGGREGATE(1,6,(T162,T180))</f>
        <v>#DIV/0!</v>
      </c>
      <c r="W162" s="72" t="s">
        <v>468</v>
      </c>
      <c r="X162">
        <v>5</v>
      </c>
      <c r="Y162" t="s">
        <v>417</v>
      </c>
      <c r="Z162" t="e">
        <f t="shared" si="32"/>
        <v>#VALUE!</v>
      </c>
      <c r="AA162" t="e">
        <f t="shared" si="50"/>
        <v>#VALUE!</v>
      </c>
      <c r="AB162" s="27" t="e">
        <f>_xlfn.AGGREGATE(1,6,(AA162,AA180))</f>
        <v>#DIV/0!</v>
      </c>
      <c r="AD162" s="72" t="s">
        <v>468</v>
      </c>
      <c r="AE162">
        <v>8</v>
      </c>
      <c r="AF162" t="s">
        <v>417</v>
      </c>
      <c r="AG162" t="e">
        <f t="shared" si="33"/>
        <v>#VALUE!</v>
      </c>
      <c r="AH162" t="e">
        <f t="shared" si="51"/>
        <v>#VALUE!</v>
      </c>
      <c r="AI162" s="27" t="e">
        <f>_xlfn.AGGREGATE(1,6,(AH162,AH180))</f>
        <v>#DIV/0!</v>
      </c>
    </row>
    <row r="163" spans="2:35" x14ac:dyDescent="0.25">
      <c r="B163" s="72" t="s">
        <v>486</v>
      </c>
      <c r="C163">
        <v>22</v>
      </c>
      <c r="D163">
        <v>26.907940167138999</v>
      </c>
      <c r="E163">
        <f t="shared" si="45"/>
        <v>7.9415063621386322E-9</v>
      </c>
      <c r="F163">
        <f t="shared" si="52"/>
        <v>6.2989174891919991E-2</v>
      </c>
      <c r="G163" s="27">
        <f t="shared" si="47"/>
        <v>6.3700737954707681E-2</v>
      </c>
      <c r="I163" s="72" t="s">
        <v>486</v>
      </c>
      <c r="J163">
        <v>10</v>
      </c>
      <c r="K163" t="s">
        <v>417</v>
      </c>
      <c r="L163" t="e">
        <f t="shared" si="31"/>
        <v>#VALUE!</v>
      </c>
      <c r="M163" t="e">
        <f t="shared" si="48"/>
        <v>#VALUE!</v>
      </c>
      <c r="N163" s="27" t="e">
        <f>_xlfn.AGGREGATE(1,6,(M163,M181))</f>
        <v>#DIV/0!</v>
      </c>
      <c r="P163" s="72" t="s">
        <v>486</v>
      </c>
      <c r="Q163">
        <v>4</v>
      </c>
      <c r="R163" t="s">
        <v>417</v>
      </c>
      <c r="S163" t="e">
        <f t="shared" si="46"/>
        <v>#VALUE!</v>
      </c>
      <c r="T163" t="e">
        <f t="shared" si="49"/>
        <v>#VALUE!</v>
      </c>
      <c r="U163" s="27" t="e">
        <f>_xlfn.AGGREGATE(1,6,(T163,T181))</f>
        <v>#DIV/0!</v>
      </c>
      <c r="W163" s="72" t="s">
        <v>486</v>
      </c>
      <c r="X163">
        <v>5</v>
      </c>
      <c r="Y163">
        <v>35.856852152381997</v>
      </c>
      <c r="Z163">
        <f t="shared" si="32"/>
        <v>1.6069854776078107E-11</v>
      </c>
      <c r="AA163">
        <f t="shared" si="50"/>
        <v>0.14971350727480645</v>
      </c>
      <c r="AB163" s="27">
        <f>_xlfn.AGGREGATE(1,6,(AA163,AA181))</f>
        <v>0.21684299471972246</v>
      </c>
      <c r="AD163" s="72" t="s">
        <v>486</v>
      </c>
      <c r="AE163">
        <v>8</v>
      </c>
      <c r="AF163" t="s">
        <v>417</v>
      </c>
      <c r="AG163" t="e">
        <f t="shared" si="33"/>
        <v>#VALUE!</v>
      </c>
      <c r="AH163" t="e">
        <f t="shared" si="51"/>
        <v>#VALUE!</v>
      </c>
      <c r="AI163" s="27" t="e">
        <f>_xlfn.AGGREGATE(1,6,(AH163,AH181))</f>
        <v>#DIV/0!</v>
      </c>
    </row>
    <row r="164" spans="2:35" x14ac:dyDescent="0.25">
      <c r="B164" s="212" t="s">
        <v>470</v>
      </c>
      <c r="C164" s="60">
        <v>22</v>
      </c>
      <c r="D164" s="60">
        <v>35.022908557780397</v>
      </c>
      <c r="E164" s="60">
        <f t="shared" si="45"/>
        <v>2.8645340483189135E-11</v>
      </c>
      <c r="F164" s="60">
        <f t="shared" si="52"/>
        <v>2.2720454775890773E-4</v>
      </c>
      <c r="G164" s="61">
        <f t="shared" si="47"/>
        <v>1.9068951824083085E-4</v>
      </c>
      <c r="I164" s="212" t="s">
        <v>470</v>
      </c>
      <c r="J164" s="60">
        <v>10</v>
      </c>
      <c r="K164" s="60" t="s">
        <v>417</v>
      </c>
      <c r="L164" s="60" t="e">
        <f t="shared" si="31"/>
        <v>#VALUE!</v>
      </c>
      <c r="M164" s="60" t="e">
        <f t="shared" si="48"/>
        <v>#VALUE!</v>
      </c>
      <c r="N164" s="61" t="e">
        <f>_xlfn.AGGREGATE(1,6,(M164,M182))</f>
        <v>#DIV/0!</v>
      </c>
      <c r="P164" s="212" t="s">
        <v>470</v>
      </c>
      <c r="Q164" s="60">
        <v>4</v>
      </c>
      <c r="R164" s="60" t="s">
        <v>417</v>
      </c>
      <c r="S164" s="60" t="e">
        <f t="shared" si="46"/>
        <v>#VALUE!</v>
      </c>
      <c r="T164" s="60" t="e">
        <f t="shared" si="49"/>
        <v>#VALUE!</v>
      </c>
      <c r="U164" s="61" t="e">
        <f>_xlfn.AGGREGATE(1,6,(T164,T182))</f>
        <v>#DIV/0!</v>
      </c>
      <c r="W164" s="212" t="s">
        <v>470</v>
      </c>
      <c r="X164" s="60">
        <v>5</v>
      </c>
      <c r="Y164" s="60" t="s">
        <v>417</v>
      </c>
      <c r="Z164" s="60" t="e">
        <f t="shared" si="32"/>
        <v>#VALUE!</v>
      </c>
      <c r="AA164" s="60" t="e">
        <f t="shared" si="50"/>
        <v>#VALUE!</v>
      </c>
      <c r="AB164" s="61" t="e">
        <f>_xlfn.AGGREGATE(1,6,(AA164,AA182))</f>
        <v>#DIV/0!</v>
      </c>
      <c r="AD164" s="212" t="s">
        <v>470</v>
      </c>
      <c r="AE164" s="60">
        <v>8</v>
      </c>
      <c r="AF164" s="60">
        <v>36.145453359578497</v>
      </c>
      <c r="AG164" s="60">
        <f t="shared" si="33"/>
        <v>1.3156317081167178E-11</v>
      </c>
      <c r="AH164" s="60">
        <f t="shared" si="51"/>
        <v>0.12256976808359735</v>
      </c>
      <c r="AI164" s="61">
        <f>_xlfn.AGGREGATE(1,6,(AH164,AH182))</f>
        <v>0.11508919201942372</v>
      </c>
    </row>
    <row r="165" spans="2:35" x14ac:dyDescent="0.25">
      <c r="B165" s="72" t="s">
        <v>452</v>
      </c>
      <c r="C165">
        <v>22</v>
      </c>
      <c r="D165">
        <v>22.0723072960077</v>
      </c>
      <c r="E165">
        <f t="shared" si="45"/>
        <v>2.267636456067088E-7</v>
      </c>
      <c r="G165" s="27"/>
      <c r="I165" s="72" t="s">
        <v>452</v>
      </c>
      <c r="J165">
        <v>10</v>
      </c>
      <c r="K165">
        <v>34.053451446219199</v>
      </c>
      <c r="L165">
        <f t="shared" si="31"/>
        <v>5.6090544868000309E-11</v>
      </c>
      <c r="N165" s="27"/>
      <c r="P165" s="72" t="s">
        <v>452</v>
      </c>
      <c r="Q165">
        <v>4</v>
      </c>
      <c r="R165">
        <v>35.908287555479198</v>
      </c>
      <c r="S165">
        <f t="shared" si="46"/>
        <v>1.5507020209206377E-11</v>
      </c>
      <c r="U165" s="27"/>
      <c r="W165" s="72" t="s">
        <v>452</v>
      </c>
      <c r="X165">
        <v>5</v>
      </c>
      <c r="Y165">
        <v>31.478525673548798</v>
      </c>
      <c r="Z165">
        <f t="shared" si="32"/>
        <v>3.3421008663006361E-10</v>
      </c>
      <c r="AB165" s="27"/>
      <c r="AD165" s="72" t="s">
        <v>452</v>
      </c>
      <c r="AE165">
        <v>8</v>
      </c>
      <c r="AF165" t="s">
        <v>417</v>
      </c>
      <c r="AG165" t="e">
        <f t="shared" si="33"/>
        <v>#VALUE!</v>
      </c>
      <c r="AI165" s="27"/>
    </row>
    <row r="166" spans="2:35" x14ac:dyDescent="0.25">
      <c r="B166" s="72" t="s">
        <v>454</v>
      </c>
      <c r="C166">
        <v>22</v>
      </c>
      <c r="D166">
        <v>27.871868222647802</v>
      </c>
      <c r="E166">
        <f t="shared" si="45"/>
        <v>4.0712861686222848E-9</v>
      </c>
      <c r="F166">
        <f>E166/$E$165</f>
        <v>1.7953875091968604E-2</v>
      </c>
      <c r="G166" s="27"/>
      <c r="I166" s="72" t="s">
        <v>454</v>
      </c>
      <c r="J166">
        <v>10</v>
      </c>
      <c r="K166" t="s">
        <v>417</v>
      </c>
      <c r="L166" t="e">
        <f t="shared" si="31"/>
        <v>#VALUE!</v>
      </c>
      <c r="M166" t="e">
        <f>L166/$L$165</f>
        <v>#VALUE!</v>
      </c>
      <c r="N166" s="27"/>
      <c r="P166" s="72" t="s">
        <v>454</v>
      </c>
      <c r="Q166">
        <v>4</v>
      </c>
      <c r="R166" t="s">
        <v>417</v>
      </c>
      <c r="S166" t="e">
        <f t="shared" si="46"/>
        <v>#VALUE!</v>
      </c>
      <c r="T166" t="e">
        <f>S166/$S$165</f>
        <v>#VALUE!</v>
      </c>
      <c r="U166" s="27"/>
      <c r="W166" s="72" t="s">
        <v>454</v>
      </c>
      <c r="X166">
        <v>5</v>
      </c>
      <c r="Y166">
        <v>35.128731206702497</v>
      </c>
      <c r="Z166">
        <f t="shared" si="32"/>
        <v>2.6619396009369586E-11</v>
      </c>
      <c r="AA166">
        <f>Z166/$Z$165</f>
        <v>7.964869127015467E-2</v>
      </c>
      <c r="AB166" s="27"/>
      <c r="AD166" s="72" t="s">
        <v>454</v>
      </c>
      <c r="AE166">
        <v>8</v>
      </c>
      <c r="AF166" t="s">
        <v>417</v>
      </c>
      <c r="AG166" t="e">
        <f t="shared" si="33"/>
        <v>#VALUE!</v>
      </c>
      <c r="AH166" t="e">
        <f>AG166/$Z$165</f>
        <v>#VALUE!</v>
      </c>
      <c r="AI166" s="27"/>
    </row>
    <row r="167" spans="2:35" x14ac:dyDescent="0.25">
      <c r="B167" s="72" t="s">
        <v>455</v>
      </c>
      <c r="C167">
        <v>22</v>
      </c>
      <c r="D167">
        <v>36.2525088630874</v>
      </c>
      <c r="E167">
        <f t="shared" si="45"/>
        <v>1.221539216331696E-11</v>
      </c>
      <c r="F167">
        <f t="shared" ref="F167:F182" si="53">E167/$E$165</f>
        <v>5.3868388518073677E-5</v>
      </c>
      <c r="G167" s="27"/>
      <c r="I167" s="72" t="s">
        <v>455</v>
      </c>
      <c r="J167">
        <v>10</v>
      </c>
      <c r="K167" t="s">
        <v>417</v>
      </c>
      <c r="L167" t="e">
        <f t="shared" ref="L167:L230" si="54">2^(-K167)</f>
        <v>#VALUE!</v>
      </c>
      <c r="M167" t="e">
        <f t="shared" ref="M167:M182" si="55">L167/$L$165</f>
        <v>#VALUE!</v>
      </c>
      <c r="N167" s="27"/>
      <c r="P167" s="72" t="s">
        <v>455</v>
      </c>
      <c r="Q167">
        <v>4</v>
      </c>
      <c r="R167" t="s">
        <v>417</v>
      </c>
      <c r="S167" t="e">
        <f t="shared" si="46"/>
        <v>#VALUE!</v>
      </c>
      <c r="T167" t="e">
        <f t="shared" ref="T167:T182" si="56">S167/$S$165</f>
        <v>#VALUE!</v>
      </c>
      <c r="U167" s="27"/>
      <c r="W167" s="72" t="s">
        <v>455</v>
      </c>
      <c r="X167">
        <v>5</v>
      </c>
      <c r="Y167" t="s">
        <v>417</v>
      </c>
      <c r="Z167" t="e">
        <f t="shared" ref="Z167:Z230" si="57">2^(-Y167)</f>
        <v>#VALUE!</v>
      </c>
      <c r="AA167" t="e">
        <f t="shared" ref="AA167:AA182" si="58">Z167/$S$129</f>
        <v>#VALUE!</v>
      </c>
      <c r="AB167" s="27"/>
      <c r="AD167" s="72" t="s">
        <v>455</v>
      </c>
      <c r="AE167">
        <v>8</v>
      </c>
      <c r="AF167" t="s">
        <v>417</v>
      </c>
      <c r="AG167" t="e">
        <f t="shared" ref="AG167:AG230" si="59">2^(-AF167)</f>
        <v>#VALUE!</v>
      </c>
      <c r="AH167" t="e">
        <f t="shared" ref="AH167:AH182" si="60">AG167/$S$129</f>
        <v>#VALUE!</v>
      </c>
      <c r="AI167" s="27"/>
    </row>
    <row r="168" spans="2:35" x14ac:dyDescent="0.25">
      <c r="B168" s="72" t="s">
        <v>481</v>
      </c>
      <c r="C168">
        <v>22</v>
      </c>
      <c r="D168">
        <v>20.280313095207301</v>
      </c>
      <c r="E168">
        <f t="shared" si="45"/>
        <v>7.8526716238521991E-7</v>
      </c>
      <c r="F168">
        <f t="shared" si="53"/>
        <v>3.4629323421054923</v>
      </c>
      <c r="G168" s="27"/>
      <c r="I168" s="72" t="s">
        <v>481</v>
      </c>
      <c r="J168">
        <v>10</v>
      </c>
      <c r="K168">
        <v>33.709884372293601</v>
      </c>
      <c r="L168">
        <f t="shared" si="54"/>
        <v>7.1172734756965425E-11</v>
      </c>
      <c r="M168">
        <f t="shared" si="55"/>
        <v>1.2688900584663336</v>
      </c>
      <c r="N168" s="27"/>
      <c r="P168" s="72" t="s">
        <v>481</v>
      </c>
      <c r="Q168">
        <v>4</v>
      </c>
      <c r="R168">
        <v>31.9233448332403</v>
      </c>
      <c r="S168">
        <f t="shared" si="46"/>
        <v>2.455362638850182E-10</v>
      </c>
      <c r="T168">
        <f t="shared" si="56"/>
        <v>15.833877854834132</v>
      </c>
      <c r="U168" s="27"/>
      <c r="W168" s="72" t="s">
        <v>481</v>
      </c>
      <c r="X168">
        <v>5</v>
      </c>
      <c r="Y168">
        <v>27.8457739692616</v>
      </c>
      <c r="Z168">
        <f t="shared" si="57"/>
        <v>4.1455941498059906E-9</v>
      </c>
      <c r="AA168">
        <f t="shared" si="58"/>
        <v>40.926386164128296</v>
      </c>
      <c r="AB168" s="27"/>
      <c r="AD168" s="72" t="s">
        <v>481</v>
      </c>
      <c r="AE168">
        <v>8</v>
      </c>
      <c r="AF168">
        <v>33.906017296762897</v>
      </c>
      <c r="AG168">
        <f t="shared" si="59"/>
        <v>6.2125766518125859E-11</v>
      </c>
      <c r="AH168">
        <f t="shared" si="60"/>
        <v>0.61332176266754945</v>
      </c>
      <c r="AI168" s="27"/>
    </row>
    <row r="169" spans="2:35" x14ac:dyDescent="0.25">
      <c r="B169" s="72" t="s">
        <v>457</v>
      </c>
      <c r="C169">
        <v>22</v>
      </c>
      <c r="D169">
        <v>34.313401725885797</v>
      </c>
      <c r="E169">
        <f t="shared" si="45"/>
        <v>4.6842150730483648E-11</v>
      </c>
      <c r="F169">
        <f t="shared" si="53"/>
        <v>2.0656816750831873E-4</v>
      </c>
      <c r="G169" s="27"/>
      <c r="I169" s="72" t="s">
        <v>457</v>
      </c>
      <c r="J169">
        <v>10</v>
      </c>
      <c r="K169" t="s">
        <v>417</v>
      </c>
      <c r="L169" t="e">
        <f t="shared" si="54"/>
        <v>#VALUE!</v>
      </c>
      <c r="M169" t="e">
        <f t="shared" si="55"/>
        <v>#VALUE!</v>
      </c>
      <c r="N169" s="27"/>
      <c r="P169" s="72" t="s">
        <v>457</v>
      </c>
      <c r="Q169">
        <v>4</v>
      </c>
      <c r="R169" t="s">
        <v>417</v>
      </c>
      <c r="S169" t="e">
        <f t="shared" si="46"/>
        <v>#VALUE!</v>
      </c>
      <c r="T169" t="e">
        <f t="shared" si="56"/>
        <v>#VALUE!</v>
      </c>
      <c r="U169" s="27"/>
      <c r="W169" s="72" t="s">
        <v>457</v>
      </c>
      <c r="X169">
        <v>5</v>
      </c>
      <c r="Y169" t="s">
        <v>417</v>
      </c>
      <c r="Z169" t="e">
        <f t="shared" si="57"/>
        <v>#VALUE!</v>
      </c>
      <c r="AA169" t="e">
        <f t="shared" si="58"/>
        <v>#VALUE!</v>
      </c>
      <c r="AB169" s="27"/>
      <c r="AD169" s="72" t="s">
        <v>457</v>
      </c>
      <c r="AE169">
        <v>8</v>
      </c>
      <c r="AF169" t="s">
        <v>417</v>
      </c>
      <c r="AG169" t="e">
        <f t="shared" si="59"/>
        <v>#VALUE!</v>
      </c>
      <c r="AH169" t="e">
        <f t="shared" si="60"/>
        <v>#VALUE!</v>
      </c>
      <c r="AI169" s="27"/>
    </row>
    <row r="170" spans="2:35" x14ac:dyDescent="0.25">
      <c r="B170" s="72" t="s">
        <v>458</v>
      </c>
      <c r="C170">
        <v>22</v>
      </c>
      <c r="D170">
        <v>23.022271616454798</v>
      </c>
      <c r="E170">
        <f t="shared" si="45"/>
        <v>1.1738312713703597E-7</v>
      </c>
      <c r="F170">
        <f t="shared" si="53"/>
        <v>0.51764526374135511</v>
      </c>
      <c r="G170" s="27"/>
      <c r="I170" s="72" t="s">
        <v>458</v>
      </c>
      <c r="J170">
        <v>10</v>
      </c>
      <c r="K170">
        <v>36.715090953954501</v>
      </c>
      <c r="L170">
        <f t="shared" si="54"/>
        <v>8.864542557119386E-12</v>
      </c>
      <c r="M170">
        <f t="shared" si="55"/>
        <v>0.15803987245944215</v>
      </c>
      <c r="N170" s="27"/>
      <c r="P170" s="72" t="s">
        <v>458</v>
      </c>
      <c r="Q170">
        <v>4</v>
      </c>
      <c r="R170">
        <v>35.202649414169102</v>
      </c>
      <c r="S170">
        <f t="shared" si="46"/>
        <v>2.5289870150728967E-11</v>
      </c>
      <c r="T170">
        <f t="shared" si="56"/>
        <v>1.6308658794237336</v>
      </c>
      <c r="U170" s="27"/>
      <c r="W170" s="72" t="s">
        <v>458</v>
      </c>
      <c r="X170">
        <v>5</v>
      </c>
      <c r="Y170">
        <v>32.051611779515703</v>
      </c>
      <c r="Z170">
        <f t="shared" si="57"/>
        <v>2.2464845958902352E-10</v>
      </c>
      <c r="AA170">
        <f t="shared" si="58"/>
        <v>2.2177881567946582</v>
      </c>
      <c r="AB170" s="27"/>
      <c r="AD170" s="72" t="s">
        <v>458</v>
      </c>
      <c r="AE170">
        <v>8</v>
      </c>
      <c r="AF170" t="s">
        <v>417</v>
      </c>
      <c r="AG170" t="e">
        <f t="shared" si="59"/>
        <v>#VALUE!</v>
      </c>
      <c r="AH170" t="e">
        <f t="shared" si="60"/>
        <v>#VALUE!</v>
      </c>
      <c r="AI170" s="27"/>
    </row>
    <row r="171" spans="2:35" x14ac:dyDescent="0.25">
      <c r="B171" s="72" t="s">
        <v>459</v>
      </c>
      <c r="C171">
        <v>22</v>
      </c>
      <c r="D171" t="s">
        <v>417</v>
      </c>
      <c r="E171" t="e">
        <f t="shared" si="45"/>
        <v>#VALUE!</v>
      </c>
      <c r="G171" s="27"/>
      <c r="I171" s="72" t="s">
        <v>459</v>
      </c>
      <c r="J171">
        <v>10</v>
      </c>
      <c r="K171">
        <v>35.6567012065006</v>
      </c>
      <c r="L171">
        <f t="shared" si="54"/>
        <v>1.8461347213799278E-11</v>
      </c>
      <c r="M171">
        <f t="shared" si="55"/>
        <v>0.32913474556620842</v>
      </c>
      <c r="N171" s="27"/>
      <c r="P171" s="72" t="s">
        <v>482</v>
      </c>
      <c r="Q171">
        <v>4</v>
      </c>
      <c r="R171" t="s">
        <v>417</v>
      </c>
      <c r="S171" t="e">
        <f t="shared" si="46"/>
        <v>#VALUE!</v>
      </c>
      <c r="T171" t="e">
        <f t="shared" si="56"/>
        <v>#VALUE!</v>
      </c>
      <c r="U171" s="27"/>
      <c r="W171" s="72" t="s">
        <v>459</v>
      </c>
      <c r="X171">
        <v>5</v>
      </c>
      <c r="Y171">
        <v>32.370698488341397</v>
      </c>
      <c r="Z171">
        <f t="shared" si="57"/>
        <v>1.800730723440341E-10</v>
      </c>
      <c r="AA171">
        <f t="shared" si="58"/>
        <v>1.7777283135296413</v>
      </c>
      <c r="AB171" s="27"/>
      <c r="AD171" s="72" t="s">
        <v>459</v>
      </c>
      <c r="AE171">
        <v>8</v>
      </c>
      <c r="AF171" t="s">
        <v>417</v>
      </c>
      <c r="AG171" t="e">
        <f t="shared" si="59"/>
        <v>#VALUE!</v>
      </c>
      <c r="AH171" t="e">
        <f t="shared" si="60"/>
        <v>#VALUE!</v>
      </c>
      <c r="AI171" s="27"/>
    </row>
    <row r="172" spans="2:35" x14ac:dyDescent="0.25">
      <c r="B172" s="72" t="s">
        <v>460</v>
      </c>
      <c r="C172">
        <v>22</v>
      </c>
      <c r="D172">
        <v>22.255128430608899</v>
      </c>
      <c r="E172">
        <f t="shared" si="45"/>
        <v>1.9977391702462766E-7</v>
      </c>
      <c r="F172">
        <f t="shared" si="53"/>
        <v>0.88097859112350307</v>
      </c>
      <c r="G172" s="27"/>
      <c r="I172" s="72" t="s">
        <v>460</v>
      </c>
      <c r="J172">
        <v>10</v>
      </c>
      <c r="K172">
        <v>36.548653408297199</v>
      </c>
      <c r="L172">
        <f t="shared" si="54"/>
        <v>9.9485324984951594E-12</v>
      </c>
      <c r="M172">
        <f t="shared" si="55"/>
        <v>0.17736558847676309</v>
      </c>
      <c r="N172" s="27"/>
      <c r="P172" s="72" t="s">
        <v>483</v>
      </c>
      <c r="Q172">
        <v>4</v>
      </c>
      <c r="R172" t="s">
        <v>417</v>
      </c>
      <c r="S172" t="e">
        <f t="shared" si="46"/>
        <v>#VALUE!</v>
      </c>
      <c r="T172" t="e">
        <f t="shared" si="56"/>
        <v>#VALUE!</v>
      </c>
      <c r="U172" s="27"/>
      <c r="W172" s="72" t="s">
        <v>460</v>
      </c>
      <c r="X172">
        <v>5</v>
      </c>
      <c r="Y172">
        <v>35.982393849942198</v>
      </c>
      <c r="Z172">
        <f t="shared" si="57"/>
        <v>1.473058977992912E-11</v>
      </c>
      <c r="AA172">
        <f t="shared" si="58"/>
        <v>0.14542422243309913</v>
      </c>
      <c r="AB172" s="27"/>
      <c r="AD172" s="72" t="s">
        <v>460</v>
      </c>
      <c r="AE172">
        <v>8</v>
      </c>
      <c r="AF172" t="s">
        <v>417</v>
      </c>
      <c r="AG172" t="e">
        <f t="shared" si="59"/>
        <v>#VALUE!</v>
      </c>
      <c r="AH172" t="e">
        <f t="shared" si="60"/>
        <v>#VALUE!</v>
      </c>
      <c r="AI172" s="27"/>
    </row>
    <row r="173" spans="2:35" x14ac:dyDescent="0.25">
      <c r="B173" s="72" t="s">
        <v>461</v>
      </c>
      <c r="C173">
        <v>22</v>
      </c>
      <c r="D173">
        <v>36.199443273593999</v>
      </c>
      <c r="E173">
        <f t="shared" si="45"/>
        <v>1.2673067507948813E-11</v>
      </c>
      <c r="F173">
        <f t="shared" si="53"/>
        <v>5.5886680927367666E-5</v>
      </c>
      <c r="G173" s="27"/>
      <c r="I173" s="72" t="s">
        <v>461</v>
      </c>
      <c r="J173">
        <v>10</v>
      </c>
      <c r="K173" t="s">
        <v>417</v>
      </c>
      <c r="L173" t="e">
        <f t="shared" si="54"/>
        <v>#VALUE!</v>
      </c>
      <c r="M173" t="e">
        <f t="shared" si="55"/>
        <v>#VALUE!</v>
      </c>
      <c r="N173" s="27"/>
      <c r="P173" s="72" t="s">
        <v>484</v>
      </c>
      <c r="Q173">
        <v>4</v>
      </c>
      <c r="R173" t="s">
        <v>417</v>
      </c>
      <c r="S173" t="e">
        <f t="shared" si="46"/>
        <v>#VALUE!</v>
      </c>
      <c r="T173" t="e">
        <f t="shared" si="56"/>
        <v>#VALUE!</v>
      </c>
      <c r="U173" s="27"/>
      <c r="W173" s="72" t="s">
        <v>461</v>
      </c>
      <c r="X173">
        <v>5</v>
      </c>
      <c r="Y173" t="s">
        <v>417</v>
      </c>
      <c r="Z173" t="e">
        <f t="shared" si="57"/>
        <v>#VALUE!</v>
      </c>
      <c r="AA173" t="e">
        <f t="shared" si="58"/>
        <v>#VALUE!</v>
      </c>
      <c r="AB173" s="27"/>
      <c r="AD173" s="72" t="s">
        <v>461</v>
      </c>
      <c r="AE173">
        <v>8</v>
      </c>
      <c r="AF173" t="s">
        <v>417</v>
      </c>
      <c r="AG173" t="e">
        <f t="shared" si="59"/>
        <v>#VALUE!</v>
      </c>
      <c r="AH173" t="e">
        <f t="shared" si="60"/>
        <v>#VALUE!</v>
      </c>
      <c r="AI173" s="27"/>
    </row>
    <row r="174" spans="2:35" x14ac:dyDescent="0.25">
      <c r="B174" s="72" t="s">
        <v>462</v>
      </c>
      <c r="C174">
        <v>22</v>
      </c>
      <c r="D174">
        <v>33.425672376337303</v>
      </c>
      <c r="E174">
        <f t="shared" si="45"/>
        <v>8.6670238065798914E-11</v>
      </c>
      <c r="F174">
        <f t="shared" si="53"/>
        <v>3.8220517152964123E-4</v>
      </c>
      <c r="G174" s="27"/>
      <c r="I174" s="72" t="s">
        <v>462</v>
      </c>
      <c r="J174">
        <v>10</v>
      </c>
      <c r="K174" t="s">
        <v>417</v>
      </c>
      <c r="L174" t="e">
        <f t="shared" si="54"/>
        <v>#VALUE!</v>
      </c>
      <c r="M174" t="e">
        <f t="shared" si="55"/>
        <v>#VALUE!</v>
      </c>
      <c r="N174" s="27"/>
      <c r="P174" s="72" t="s">
        <v>485</v>
      </c>
      <c r="Q174">
        <v>4</v>
      </c>
      <c r="R174">
        <v>37.057330851598302</v>
      </c>
      <c r="S174">
        <f t="shared" si="46"/>
        <v>6.9924900075297825E-12</v>
      </c>
      <c r="T174">
        <f t="shared" si="56"/>
        <v>0.45092415649129064</v>
      </c>
      <c r="U174" s="27"/>
      <c r="W174" s="72" t="s">
        <v>462</v>
      </c>
      <c r="X174">
        <v>5</v>
      </c>
      <c r="Y174" t="s">
        <v>417</v>
      </c>
      <c r="Z174" t="e">
        <f t="shared" si="57"/>
        <v>#VALUE!</v>
      </c>
      <c r="AA174" t="e">
        <f t="shared" si="58"/>
        <v>#VALUE!</v>
      </c>
      <c r="AB174" s="27"/>
      <c r="AD174" s="72" t="s">
        <v>462</v>
      </c>
      <c r="AE174">
        <v>8</v>
      </c>
      <c r="AF174" t="s">
        <v>417</v>
      </c>
      <c r="AG174" t="e">
        <f t="shared" si="59"/>
        <v>#VALUE!</v>
      </c>
      <c r="AH174" t="e">
        <f t="shared" si="60"/>
        <v>#VALUE!</v>
      </c>
      <c r="AI174" s="27"/>
    </row>
    <row r="175" spans="2:35" x14ac:dyDescent="0.25">
      <c r="B175" s="72" t="s">
        <v>463</v>
      </c>
      <c r="C175">
        <v>22</v>
      </c>
      <c r="D175">
        <v>28.226857271071701</v>
      </c>
      <c r="E175">
        <f t="shared" si="45"/>
        <v>3.1832392277845551E-9</v>
      </c>
      <c r="F175">
        <f t="shared" si="53"/>
        <v>1.4037696471441713E-2</v>
      </c>
      <c r="G175" s="27"/>
      <c r="I175" s="72" t="s">
        <v>463</v>
      </c>
      <c r="J175">
        <v>10</v>
      </c>
      <c r="K175" t="s">
        <v>417</v>
      </c>
      <c r="L175" t="e">
        <f t="shared" si="54"/>
        <v>#VALUE!</v>
      </c>
      <c r="M175" t="e">
        <f t="shared" si="55"/>
        <v>#VALUE!</v>
      </c>
      <c r="N175" s="27"/>
      <c r="P175" s="72" t="s">
        <v>463</v>
      </c>
      <c r="Q175">
        <v>4</v>
      </c>
      <c r="R175" t="s">
        <v>417</v>
      </c>
      <c r="S175" t="e">
        <f t="shared" si="46"/>
        <v>#VALUE!</v>
      </c>
      <c r="T175" t="e">
        <f t="shared" si="56"/>
        <v>#VALUE!</v>
      </c>
      <c r="U175" s="27"/>
      <c r="W175" s="72" t="s">
        <v>463</v>
      </c>
      <c r="X175">
        <v>5</v>
      </c>
      <c r="Y175">
        <v>39.907366505864402</v>
      </c>
      <c r="Z175">
        <f t="shared" si="57"/>
        <v>9.6980771297336034E-13</v>
      </c>
      <c r="AA175">
        <f t="shared" si="58"/>
        <v>9.5741945621848502E-3</v>
      </c>
      <c r="AB175" s="27"/>
      <c r="AD175" s="72" t="s">
        <v>463</v>
      </c>
      <c r="AE175">
        <v>8</v>
      </c>
      <c r="AF175" t="s">
        <v>417</v>
      </c>
      <c r="AG175" t="e">
        <f t="shared" si="59"/>
        <v>#VALUE!</v>
      </c>
      <c r="AH175" t="e">
        <f t="shared" si="60"/>
        <v>#VALUE!</v>
      </c>
      <c r="AI175" s="27"/>
    </row>
    <row r="176" spans="2:35" x14ac:dyDescent="0.25">
      <c r="B176" s="72" t="s">
        <v>464</v>
      </c>
      <c r="C176">
        <v>22</v>
      </c>
      <c r="D176">
        <v>23.427227979494599</v>
      </c>
      <c r="E176">
        <f t="shared" si="45"/>
        <v>8.8654679257048912E-8</v>
      </c>
      <c r="F176">
        <f t="shared" si="53"/>
        <v>0.39095631497655753</v>
      </c>
      <c r="G176" s="27"/>
      <c r="I176" s="72" t="s">
        <v>464</v>
      </c>
      <c r="J176">
        <v>10</v>
      </c>
      <c r="K176">
        <v>37.346089723199498</v>
      </c>
      <c r="L176">
        <f t="shared" si="54"/>
        <v>5.7240942044202542E-12</v>
      </c>
      <c r="M176">
        <f t="shared" si="55"/>
        <v>0.10205096452336039</v>
      </c>
      <c r="N176" s="27"/>
      <c r="P176" s="72" t="s">
        <v>464</v>
      </c>
      <c r="Q176">
        <v>4</v>
      </c>
      <c r="R176">
        <v>33.833418044721398</v>
      </c>
      <c r="S176">
        <f t="shared" si="46"/>
        <v>6.5332054051344696E-11</v>
      </c>
      <c r="T176">
        <f t="shared" si="56"/>
        <v>4.2130630624030303</v>
      </c>
      <c r="U176" s="27"/>
      <c r="W176" s="72" t="s">
        <v>464</v>
      </c>
      <c r="X176">
        <v>5</v>
      </c>
      <c r="Y176">
        <v>29.693468742288299</v>
      </c>
      <c r="Z176">
        <f t="shared" si="57"/>
        <v>1.1517951176383885E-9</v>
      </c>
      <c r="AA176">
        <f t="shared" si="58"/>
        <v>11.3708216634357</v>
      </c>
      <c r="AB176" s="27"/>
      <c r="AD176" s="72" t="s">
        <v>464</v>
      </c>
      <c r="AE176">
        <v>8</v>
      </c>
      <c r="AF176">
        <v>34.667161437753698</v>
      </c>
      <c r="AG176">
        <f t="shared" si="59"/>
        <v>3.6655955339162195E-11</v>
      </c>
      <c r="AH176">
        <f t="shared" si="60"/>
        <v>0.36187714696958456</v>
      </c>
      <c r="AI176" s="27"/>
    </row>
    <row r="177" spans="2:35" x14ac:dyDescent="0.25">
      <c r="B177" s="72" t="s">
        <v>465</v>
      </c>
      <c r="C177">
        <v>22</v>
      </c>
      <c r="D177">
        <v>25.6362840574613</v>
      </c>
      <c r="E177">
        <f t="shared" si="45"/>
        <v>1.9173858646503424E-8</v>
      </c>
      <c r="F177">
        <f t="shared" si="53"/>
        <v>8.4554376408985402E-2</v>
      </c>
      <c r="G177" s="27"/>
      <c r="I177" s="72" t="s">
        <v>465</v>
      </c>
      <c r="J177">
        <v>10</v>
      </c>
      <c r="K177" t="s">
        <v>417</v>
      </c>
      <c r="L177" t="e">
        <f t="shared" si="54"/>
        <v>#VALUE!</v>
      </c>
      <c r="M177" t="e">
        <f t="shared" si="55"/>
        <v>#VALUE!</v>
      </c>
      <c r="N177" s="27"/>
      <c r="P177" s="72" t="s">
        <v>465</v>
      </c>
      <c r="Q177">
        <v>4</v>
      </c>
      <c r="R177" t="s">
        <v>417</v>
      </c>
      <c r="S177" t="e">
        <f t="shared" si="46"/>
        <v>#VALUE!</v>
      </c>
      <c r="T177" t="e">
        <f t="shared" si="56"/>
        <v>#VALUE!</v>
      </c>
      <c r="U177" s="27"/>
      <c r="W177" s="72" t="s">
        <v>465</v>
      </c>
      <c r="X177">
        <v>5</v>
      </c>
      <c r="Y177">
        <v>36.549233162444601</v>
      </c>
      <c r="Z177">
        <f t="shared" si="57"/>
        <v>9.944535434612372E-12</v>
      </c>
      <c r="AA177">
        <f t="shared" si="58"/>
        <v>9.8175046256964216E-2</v>
      </c>
      <c r="AB177" s="27"/>
      <c r="AD177" s="72" t="s">
        <v>465</v>
      </c>
      <c r="AE177">
        <v>8</v>
      </c>
      <c r="AF177">
        <v>37.582987373260401</v>
      </c>
      <c r="AG177">
        <f t="shared" si="59"/>
        <v>4.8572837433940668E-12</v>
      </c>
      <c r="AH177">
        <f t="shared" si="60"/>
        <v>4.795237136278558E-2</v>
      </c>
      <c r="AI177" s="27"/>
    </row>
    <row r="178" spans="2:35" x14ac:dyDescent="0.25">
      <c r="B178" s="72" t="s">
        <v>466</v>
      </c>
      <c r="C178">
        <v>22</v>
      </c>
      <c r="D178">
        <v>36.693988915507703</v>
      </c>
      <c r="E178">
        <f t="shared" si="45"/>
        <v>8.9951555090990542E-12</v>
      </c>
      <c r="F178">
        <f t="shared" si="53"/>
        <v>3.9667537911698364E-5</v>
      </c>
      <c r="G178" s="27"/>
      <c r="I178" s="72" t="s">
        <v>466</v>
      </c>
      <c r="J178">
        <v>10</v>
      </c>
      <c r="K178" t="s">
        <v>417</v>
      </c>
      <c r="L178" t="e">
        <f t="shared" si="54"/>
        <v>#VALUE!</v>
      </c>
      <c r="M178" t="e">
        <f t="shared" si="55"/>
        <v>#VALUE!</v>
      </c>
      <c r="N178" s="27"/>
      <c r="P178" s="72" t="s">
        <v>466</v>
      </c>
      <c r="Q178">
        <v>4</v>
      </c>
      <c r="R178" t="s">
        <v>417</v>
      </c>
      <c r="S178" t="e">
        <f t="shared" si="46"/>
        <v>#VALUE!</v>
      </c>
      <c r="T178" t="e">
        <f t="shared" si="56"/>
        <v>#VALUE!</v>
      </c>
      <c r="U178" s="27"/>
      <c r="W178" s="72" t="s">
        <v>466</v>
      </c>
      <c r="X178">
        <v>5</v>
      </c>
      <c r="Y178" t="s">
        <v>417</v>
      </c>
      <c r="Z178" t="e">
        <f t="shared" si="57"/>
        <v>#VALUE!</v>
      </c>
      <c r="AA178" t="e">
        <f t="shared" si="58"/>
        <v>#VALUE!</v>
      </c>
      <c r="AB178" s="27"/>
      <c r="AD178" s="72" t="s">
        <v>466</v>
      </c>
      <c r="AE178">
        <v>8</v>
      </c>
      <c r="AF178" t="s">
        <v>417</v>
      </c>
      <c r="AG178" t="e">
        <f t="shared" si="59"/>
        <v>#VALUE!</v>
      </c>
      <c r="AH178" t="e">
        <f t="shared" si="60"/>
        <v>#VALUE!</v>
      </c>
      <c r="AI178" s="27"/>
    </row>
    <row r="179" spans="2:35" x14ac:dyDescent="0.25">
      <c r="B179" s="72" t="s">
        <v>467</v>
      </c>
      <c r="C179">
        <v>22</v>
      </c>
      <c r="D179">
        <v>33.016944165289502</v>
      </c>
      <c r="E179">
        <f t="shared" si="45"/>
        <v>1.1505604495156583E-10</v>
      </c>
      <c r="F179">
        <f t="shared" si="53"/>
        <v>5.0738311533020223E-4</v>
      </c>
      <c r="G179" s="27"/>
      <c r="I179" s="72" t="s">
        <v>467</v>
      </c>
      <c r="J179">
        <v>10</v>
      </c>
      <c r="K179" t="s">
        <v>417</v>
      </c>
      <c r="L179" t="e">
        <f t="shared" si="54"/>
        <v>#VALUE!</v>
      </c>
      <c r="M179" t="e">
        <f t="shared" si="55"/>
        <v>#VALUE!</v>
      </c>
      <c r="N179" s="27"/>
      <c r="P179" s="72" t="s">
        <v>467</v>
      </c>
      <c r="Q179">
        <v>4</v>
      </c>
      <c r="R179" t="s">
        <v>417</v>
      </c>
      <c r="S179" t="e">
        <f t="shared" si="46"/>
        <v>#VALUE!</v>
      </c>
      <c r="T179" t="e">
        <f t="shared" si="56"/>
        <v>#VALUE!</v>
      </c>
      <c r="U179" s="27"/>
      <c r="W179" s="72" t="s">
        <v>467</v>
      </c>
      <c r="X179">
        <v>5</v>
      </c>
      <c r="Y179" t="s">
        <v>417</v>
      </c>
      <c r="Z179" t="e">
        <f t="shared" si="57"/>
        <v>#VALUE!</v>
      </c>
      <c r="AA179" t="e">
        <f t="shared" si="58"/>
        <v>#VALUE!</v>
      </c>
      <c r="AB179" s="27"/>
      <c r="AD179" s="72" t="s">
        <v>467</v>
      </c>
      <c r="AE179">
        <v>8</v>
      </c>
      <c r="AF179" t="s">
        <v>417</v>
      </c>
      <c r="AG179" t="e">
        <f t="shared" si="59"/>
        <v>#VALUE!</v>
      </c>
      <c r="AH179" t="e">
        <f t="shared" si="60"/>
        <v>#VALUE!</v>
      </c>
      <c r="AI179" s="27"/>
    </row>
    <row r="180" spans="2:35" x14ac:dyDescent="0.25">
      <c r="B180" s="72" t="s">
        <v>468</v>
      </c>
      <c r="C180">
        <v>22</v>
      </c>
      <c r="D180">
        <v>30.5861480330646</v>
      </c>
      <c r="E180">
        <f t="shared" si="45"/>
        <v>6.2037171742657381E-10</v>
      </c>
      <c r="F180">
        <f t="shared" si="53"/>
        <v>2.735763555779684E-3</v>
      </c>
      <c r="G180" s="27"/>
      <c r="I180" s="72" t="s">
        <v>468</v>
      </c>
      <c r="J180">
        <v>10</v>
      </c>
      <c r="K180" t="s">
        <v>417</v>
      </c>
      <c r="L180" t="e">
        <f t="shared" si="54"/>
        <v>#VALUE!</v>
      </c>
      <c r="M180" t="e">
        <f t="shared" si="55"/>
        <v>#VALUE!</v>
      </c>
      <c r="N180" s="27"/>
      <c r="P180" s="72" t="s">
        <v>468</v>
      </c>
      <c r="Q180">
        <v>4</v>
      </c>
      <c r="R180" t="s">
        <v>417</v>
      </c>
      <c r="S180" t="e">
        <f t="shared" si="46"/>
        <v>#VALUE!</v>
      </c>
      <c r="T180" t="e">
        <f t="shared" si="56"/>
        <v>#VALUE!</v>
      </c>
      <c r="U180" s="27"/>
      <c r="W180" s="72" t="s">
        <v>468</v>
      </c>
      <c r="X180">
        <v>5</v>
      </c>
      <c r="Y180" t="s">
        <v>417</v>
      </c>
      <c r="Z180" t="e">
        <f t="shared" si="57"/>
        <v>#VALUE!</v>
      </c>
      <c r="AA180" t="e">
        <f t="shared" si="58"/>
        <v>#VALUE!</v>
      </c>
      <c r="AB180" s="27"/>
      <c r="AD180" s="72" t="s">
        <v>468</v>
      </c>
      <c r="AE180">
        <v>8</v>
      </c>
      <c r="AF180" t="s">
        <v>417</v>
      </c>
      <c r="AG180" t="e">
        <f t="shared" si="59"/>
        <v>#VALUE!</v>
      </c>
      <c r="AH180" t="e">
        <f t="shared" si="60"/>
        <v>#VALUE!</v>
      </c>
      <c r="AI180" s="27"/>
    </row>
    <row r="181" spans="2:35" x14ac:dyDescent="0.25">
      <c r="B181" s="72" t="s">
        <v>486</v>
      </c>
      <c r="C181">
        <v>22</v>
      </c>
      <c r="D181">
        <v>26.028827255171301</v>
      </c>
      <c r="E181">
        <f t="shared" si="45"/>
        <v>1.4606368200643969E-8</v>
      </c>
      <c r="F181">
        <f t="shared" si="53"/>
        <v>6.4412301017495371E-2</v>
      </c>
      <c r="G181" s="27"/>
      <c r="I181" s="72" t="s">
        <v>486</v>
      </c>
      <c r="J181">
        <v>10</v>
      </c>
      <c r="K181" t="s">
        <v>417</v>
      </c>
      <c r="L181" t="e">
        <f t="shared" si="54"/>
        <v>#VALUE!</v>
      </c>
      <c r="M181" t="e">
        <f t="shared" si="55"/>
        <v>#VALUE!</v>
      </c>
      <c r="N181" s="27"/>
      <c r="P181" s="72" t="s">
        <v>486</v>
      </c>
      <c r="Q181">
        <v>4</v>
      </c>
      <c r="R181" t="s">
        <v>417</v>
      </c>
      <c r="S181" t="e">
        <f t="shared" si="46"/>
        <v>#VALUE!</v>
      </c>
      <c r="T181" t="e">
        <f t="shared" si="56"/>
        <v>#VALUE!</v>
      </c>
      <c r="U181" s="27"/>
      <c r="W181" s="72" t="s">
        <v>486</v>
      </c>
      <c r="X181">
        <v>5</v>
      </c>
      <c r="Y181">
        <v>35.016910305429199</v>
      </c>
      <c r="Z181">
        <f t="shared" si="57"/>
        <v>2.8764686333323259E-11</v>
      </c>
      <c r="AA181">
        <f t="shared" si="58"/>
        <v>0.2839724821646385</v>
      </c>
      <c r="AB181" s="27"/>
      <c r="AD181" s="72" t="s">
        <v>486</v>
      </c>
      <c r="AE181">
        <v>8</v>
      </c>
      <c r="AF181" t="s">
        <v>417</v>
      </c>
      <c r="AG181" t="e">
        <f t="shared" si="59"/>
        <v>#VALUE!</v>
      </c>
      <c r="AH181" t="e">
        <f t="shared" si="60"/>
        <v>#VALUE!</v>
      </c>
      <c r="AI181" s="27"/>
    </row>
    <row r="182" spans="2:35" ht="15.75" thickBot="1" x14ac:dyDescent="0.3">
      <c r="B182" s="73" t="s">
        <v>470</v>
      </c>
      <c r="C182" s="2">
        <v>22</v>
      </c>
      <c r="D182" s="2">
        <v>34.735455613534199</v>
      </c>
      <c r="E182" s="2">
        <f t="shared" si="45"/>
        <v>3.4961169122322103E-11</v>
      </c>
      <c r="F182" s="2">
        <f t="shared" si="53"/>
        <v>1.5417448872275398E-4</v>
      </c>
      <c r="G182" s="8"/>
      <c r="I182" s="72" t="s">
        <v>470</v>
      </c>
      <c r="J182">
        <v>10</v>
      </c>
      <c r="K182" t="s">
        <v>417</v>
      </c>
      <c r="L182" s="2" t="e">
        <f t="shared" si="54"/>
        <v>#VALUE!</v>
      </c>
      <c r="M182" s="2" t="e">
        <f t="shared" si="55"/>
        <v>#VALUE!</v>
      </c>
      <c r="N182" s="8"/>
      <c r="P182" s="72" t="s">
        <v>470</v>
      </c>
      <c r="Q182">
        <v>4</v>
      </c>
      <c r="R182" t="s">
        <v>417</v>
      </c>
      <c r="S182" s="2" t="e">
        <f t="shared" si="46"/>
        <v>#VALUE!</v>
      </c>
      <c r="T182" s="2" t="e">
        <f t="shared" si="56"/>
        <v>#VALUE!</v>
      </c>
      <c r="U182" s="8"/>
      <c r="W182" s="72" t="s">
        <v>470</v>
      </c>
      <c r="X182">
        <v>5</v>
      </c>
      <c r="Y182" t="s">
        <v>417</v>
      </c>
      <c r="Z182" s="2" t="e">
        <f t="shared" si="57"/>
        <v>#VALUE!</v>
      </c>
      <c r="AA182" s="2" t="e">
        <f t="shared" si="58"/>
        <v>#VALUE!</v>
      </c>
      <c r="AB182" s="8"/>
      <c r="AD182" s="72" t="s">
        <v>470</v>
      </c>
      <c r="AE182">
        <v>8</v>
      </c>
      <c r="AF182">
        <v>36.416867844664701</v>
      </c>
      <c r="AG182" s="2">
        <f t="shared" si="59"/>
        <v>1.0900098703652694E-11</v>
      </c>
      <c r="AH182" s="2">
        <f t="shared" si="60"/>
        <v>0.10760861595525009</v>
      </c>
      <c r="AI182" s="8"/>
    </row>
    <row r="183" spans="2:35" x14ac:dyDescent="0.25">
      <c r="I183" s="71" t="s">
        <v>452</v>
      </c>
      <c r="J183" s="50">
        <v>11</v>
      </c>
      <c r="K183" s="50" t="s">
        <v>417</v>
      </c>
      <c r="L183" s="50" t="e">
        <f t="shared" si="54"/>
        <v>#VALUE!</v>
      </c>
      <c r="M183" s="50"/>
      <c r="N183" s="25"/>
      <c r="P183" s="71" t="s">
        <v>452</v>
      </c>
      <c r="Q183" s="50">
        <v>5</v>
      </c>
      <c r="R183" s="50">
        <v>35.4429252976581</v>
      </c>
      <c r="S183" s="50">
        <f t="shared" si="46"/>
        <v>2.14099844233418E-11</v>
      </c>
      <c r="T183" s="50"/>
      <c r="U183" s="25"/>
      <c r="V183" s="72"/>
      <c r="W183" s="71" t="s">
        <v>452</v>
      </c>
      <c r="X183" s="50">
        <v>6</v>
      </c>
      <c r="Y183" s="50">
        <v>24.352538515818502</v>
      </c>
      <c r="Z183" s="50">
        <f t="shared" si="57"/>
        <v>4.6682642994236375E-8</v>
      </c>
      <c r="AA183" s="50"/>
      <c r="AB183" s="25"/>
      <c r="AD183" s="71" t="s">
        <v>452</v>
      </c>
      <c r="AE183" s="50">
        <v>10</v>
      </c>
      <c r="AF183" s="50" t="s">
        <v>417</v>
      </c>
      <c r="AG183" s="50" t="e">
        <f t="shared" si="59"/>
        <v>#VALUE!</v>
      </c>
      <c r="AH183" s="50"/>
      <c r="AI183" s="25"/>
    </row>
    <row r="184" spans="2:35" x14ac:dyDescent="0.25">
      <c r="I184" s="72" t="s">
        <v>454</v>
      </c>
      <c r="J184">
        <v>11</v>
      </c>
      <c r="K184" t="s">
        <v>417</v>
      </c>
      <c r="L184" t="e">
        <f t="shared" si="54"/>
        <v>#VALUE!</v>
      </c>
      <c r="M184" t="e">
        <f>L184/$S$183</f>
        <v>#VALUE!</v>
      </c>
      <c r="N184" s="27" t="e">
        <f>_xlfn.AGGREGATE(1,6,(M184,M202))</f>
        <v>#DIV/0!</v>
      </c>
      <c r="P184" s="72" t="s">
        <v>454</v>
      </c>
      <c r="Q184">
        <v>5</v>
      </c>
      <c r="R184">
        <v>36.257588502893903</v>
      </c>
      <c r="S184">
        <f t="shared" si="46"/>
        <v>1.2172458153089094E-11</v>
      </c>
      <c r="T184">
        <f>S184/$S$183</f>
        <v>0.56854119612615495</v>
      </c>
      <c r="U184" s="27">
        <f>_xlfn.AGGREGATE(1,6,(T184,T202))</f>
        <v>0.56854119612615495</v>
      </c>
      <c r="V184" s="72"/>
      <c r="W184" s="72" t="s">
        <v>454</v>
      </c>
      <c r="X184">
        <v>6</v>
      </c>
      <c r="Y184">
        <v>34.375345419610802</v>
      </c>
      <c r="Z184">
        <f t="shared" si="57"/>
        <v>4.4873497194740481E-11</v>
      </c>
      <c r="AA184">
        <f>Z184/$Z$183</f>
        <v>9.6124585748670534E-4</v>
      </c>
      <c r="AB184" s="27">
        <f>_xlfn.AGGREGATE(1,6,(AA184,AA202))</f>
        <v>1.250982040168395E-3</v>
      </c>
      <c r="AD184" s="72" t="s">
        <v>454</v>
      </c>
      <c r="AE184">
        <v>10</v>
      </c>
      <c r="AF184" t="s">
        <v>417</v>
      </c>
      <c r="AG184" t="e">
        <f t="shared" si="59"/>
        <v>#VALUE!</v>
      </c>
      <c r="AH184" t="e">
        <f>AG184/$Z$183</f>
        <v>#VALUE!</v>
      </c>
      <c r="AI184" s="27" t="e">
        <f>_xlfn.AGGREGATE(1,6,(AH184,AH202))</f>
        <v>#DIV/0!</v>
      </c>
    </row>
    <row r="185" spans="2:35" x14ac:dyDescent="0.25">
      <c r="I185" s="72" t="s">
        <v>455</v>
      </c>
      <c r="J185">
        <v>11</v>
      </c>
      <c r="K185" t="s">
        <v>417</v>
      </c>
      <c r="L185" t="e">
        <f t="shared" si="54"/>
        <v>#VALUE!</v>
      </c>
      <c r="M185" t="e">
        <f t="shared" ref="M185:M200" si="61">L185/$S$183</f>
        <v>#VALUE!</v>
      </c>
      <c r="N185" s="27" t="e">
        <f>_xlfn.AGGREGATE(1,6,(M185,M203))</f>
        <v>#DIV/0!</v>
      </c>
      <c r="P185" s="72" t="s">
        <v>455</v>
      </c>
      <c r="Q185">
        <v>5</v>
      </c>
      <c r="R185" t="s">
        <v>417</v>
      </c>
      <c r="S185" t="e">
        <f t="shared" si="46"/>
        <v>#VALUE!</v>
      </c>
      <c r="T185" t="e">
        <f t="shared" ref="T185:T200" si="62">S185/$S$183</f>
        <v>#VALUE!</v>
      </c>
      <c r="U185" s="27">
        <f>_xlfn.AGGREGATE(1,6,(T185,T203))</f>
        <v>2.6118419075993372E-2</v>
      </c>
      <c r="V185" s="72"/>
      <c r="W185" s="72" t="s">
        <v>455</v>
      </c>
      <c r="X185">
        <v>6</v>
      </c>
      <c r="Y185" t="s">
        <v>417</v>
      </c>
      <c r="Z185" t="e">
        <f t="shared" si="57"/>
        <v>#VALUE!</v>
      </c>
      <c r="AA185" t="e">
        <f t="shared" ref="AA185:AA200" si="63">Z185/$Z$183</f>
        <v>#VALUE!</v>
      </c>
      <c r="AB185" s="27">
        <f>_xlfn.AGGREGATE(1,6,(AA185,AA203))</f>
        <v>6.9779789135953035E-4</v>
      </c>
      <c r="AD185" s="72" t="s">
        <v>455</v>
      </c>
      <c r="AE185">
        <v>10</v>
      </c>
      <c r="AF185" t="s">
        <v>417</v>
      </c>
      <c r="AG185" t="e">
        <f t="shared" si="59"/>
        <v>#VALUE!</v>
      </c>
      <c r="AH185" t="e">
        <f t="shared" ref="AH185:AH200" si="64">AG185/$Z$183</f>
        <v>#VALUE!</v>
      </c>
      <c r="AI185" s="27" t="e">
        <f>_xlfn.AGGREGATE(1,6,(AH185,AH203))</f>
        <v>#DIV/0!</v>
      </c>
    </row>
    <row r="186" spans="2:35" x14ac:dyDescent="0.25">
      <c r="I186" s="72" t="s">
        <v>481</v>
      </c>
      <c r="J186">
        <v>11</v>
      </c>
      <c r="K186" t="s">
        <v>417</v>
      </c>
      <c r="L186" t="e">
        <f t="shared" si="54"/>
        <v>#VALUE!</v>
      </c>
      <c r="M186" t="e">
        <f t="shared" si="61"/>
        <v>#VALUE!</v>
      </c>
      <c r="N186" s="27" t="e">
        <f>_xlfn.AGGREGATE(1,6,(M186,M204))</f>
        <v>#DIV/0!</v>
      </c>
      <c r="P186" s="72" t="s">
        <v>481</v>
      </c>
      <c r="Q186">
        <v>5</v>
      </c>
      <c r="R186">
        <v>28.145714350165601</v>
      </c>
      <c r="S186">
        <f t="shared" si="46"/>
        <v>3.3674079371124804E-9</v>
      </c>
      <c r="T186">
        <f t="shared" si="62"/>
        <v>157.28212924065616</v>
      </c>
      <c r="U186" s="27">
        <f>_xlfn.AGGREGATE(1,6,(T186,T204))</f>
        <v>98.471226336254162</v>
      </c>
      <c r="V186" s="72"/>
      <c r="W186" s="72" t="s">
        <v>481</v>
      </c>
      <c r="X186">
        <v>6</v>
      </c>
      <c r="Y186">
        <v>24.2939032709149</v>
      </c>
      <c r="Z186">
        <f t="shared" si="57"/>
        <v>4.8619042731592501E-8</v>
      </c>
      <c r="AA186">
        <f t="shared" si="63"/>
        <v>1.0414800793861478</v>
      </c>
      <c r="AB186" s="27">
        <f>_xlfn.AGGREGATE(1,6,(AA186,AA204))</f>
        <v>0.94170568115013831</v>
      </c>
      <c r="AD186" s="72" t="s">
        <v>481</v>
      </c>
      <c r="AE186">
        <v>10</v>
      </c>
      <c r="AF186">
        <v>32.271369723164703</v>
      </c>
      <c r="AG186">
        <f t="shared" si="59"/>
        <v>1.9290776623272199E-10</v>
      </c>
      <c r="AH186">
        <f t="shared" si="64"/>
        <v>4.1323231475248554E-3</v>
      </c>
      <c r="AI186" s="27">
        <f>_xlfn.AGGREGATE(1,6,(AH186,AH204))</f>
        <v>3.0645903465650343E-3</v>
      </c>
    </row>
    <row r="187" spans="2:35" x14ac:dyDescent="0.25">
      <c r="I187" s="72" t="s">
        <v>457</v>
      </c>
      <c r="J187">
        <v>11</v>
      </c>
      <c r="K187" t="s">
        <v>417</v>
      </c>
      <c r="L187" t="e">
        <f t="shared" si="54"/>
        <v>#VALUE!</v>
      </c>
      <c r="M187" t="e">
        <f t="shared" si="61"/>
        <v>#VALUE!</v>
      </c>
      <c r="N187" s="27" t="e">
        <f>_xlfn.AGGREGATE(1,6,(M187,M205))</f>
        <v>#DIV/0!</v>
      </c>
      <c r="P187" s="72" t="s">
        <v>457</v>
      </c>
      <c r="Q187">
        <v>5</v>
      </c>
      <c r="R187" t="s">
        <v>417</v>
      </c>
      <c r="S187" t="e">
        <f t="shared" si="46"/>
        <v>#VALUE!</v>
      </c>
      <c r="T187" t="e">
        <f t="shared" si="62"/>
        <v>#VALUE!</v>
      </c>
      <c r="U187" s="27" t="e">
        <f>_xlfn.AGGREGATE(1,6,(T187,T205))</f>
        <v>#DIV/0!</v>
      </c>
      <c r="V187" s="72"/>
      <c r="W187" s="72" t="s">
        <v>457</v>
      </c>
      <c r="X187">
        <v>6</v>
      </c>
      <c r="Y187">
        <v>30.2240765509429</v>
      </c>
      <c r="Z187">
        <f t="shared" si="57"/>
        <v>7.9734516840895566E-10</v>
      </c>
      <c r="AA187">
        <f t="shared" si="63"/>
        <v>1.7080120517328014E-2</v>
      </c>
      <c r="AB187" s="27">
        <f>_xlfn.AGGREGATE(1,6,(AA187,AA205))</f>
        <v>1.3968891096346248E-2</v>
      </c>
      <c r="AD187" s="72" t="s">
        <v>457</v>
      </c>
      <c r="AE187">
        <v>10</v>
      </c>
      <c r="AF187" t="s">
        <v>417</v>
      </c>
      <c r="AG187" t="e">
        <f t="shared" si="59"/>
        <v>#VALUE!</v>
      </c>
      <c r="AH187" t="e">
        <f t="shared" si="64"/>
        <v>#VALUE!</v>
      </c>
      <c r="AI187" s="27" t="e">
        <f>_xlfn.AGGREGATE(1,6,(AH187,AH205))</f>
        <v>#DIV/0!</v>
      </c>
    </row>
    <row r="188" spans="2:35" x14ac:dyDescent="0.25">
      <c r="I188" s="72" t="s">
        <v>458</v>
      </c>
      <c r="J188">
        <v>11</v>
      </c>
      <c r="K188" t="s">
        <v>417</v>
      </c>
      <c r="L188" t="e">
        <f t="shared" si="54"/>
        <v>#VALUE!</v>
      </c>
      <c r="M188" t="e">
        <f t="shared" si="61"/>
        <v>#VALUE!</v>
      </c>
      <c r="N188" s="27" t="e">
        <f>_xlfn.AGGREGATE(1,6,(M188,M206))</f>
        <v>#DIV/0!</v>
      </c>
      <c r="P188" s="72" t="s">
        <v>458</v>
      </c>
      <c r="Q188">
        <v>5</v>
      </c>
      <c r="R188">
        <v>37.805751748271703</v>
      </c>
      <c r="S188">
        <f t="shared" si="46"/>
        <v>4.1623128055879813E-12</v>
      </c>
      <c r="T188">
        <f t="shared" si="62"/>
        <v>0.19440989415434157</v>
      </c>
      <c r="U188" s="27">
        <f>_xlfn.AGGREGATE(1,6,(T188,T206))</f>
        <v>0.23225582164850597</v>
      </c>
      <c r="V188" s="72"/>
      <c r="W188" s="72" t="s">
        <v>458</v>
      </c>
      <c r="X188">
        <v>6</v>
      </c>
      <c r="Y188">
        <v>25.670620858868698</v>
      </c>
      <c r="Z188">
        <f t="shared" si="57"/>
        <v>1.8722899846788756E-8</v>
      </c>
      <c r="AA188">
        <f t="shared" si="63"/>
        <v>0.40106769124233949</v>
      </c>
      <c r="AB188" s="27">
        <f>_xlfn.AGGREGATE(1,6,(AA188,AA206))</f>
        <v>0.31463489310599674</v>
      </c>
      <c r="AD188" s="72" t="s">
        <v>458</v>
      </c>
      <c r="AE188">
        <v>10</v>
      </c>
      <c r="AF188" t="s">
        <v>417</v>
      </c>
      <c r="AG188" t="e">
        <f t="shared" si="59"/>
        <v>#VALUE!</v>
      </c>
      <c r="AH188" t="e">
        <f t="shared" si="64"/>
        <v>#VALUE!</v>
      </c>
      <c r="AI188" s="27">
        <f>_xlfn.AGGREGATE(1,6,(AH188,AH206))</f>
        <v>3.4971549355753469E-4</v>
      </c>
    </row>
    <row r="189" spans="2:35" x14ac:dyDescent="0.25">
      <c r="I189" s="72" t="s">
        <v>459</v>
      </c>
      <c r="J189">
        <v>11</v>
      </c>
      <c r="K189" t="s">
        <v>417</v>
      </c>
      <c r="L189" t="e">
        <f t="shared" si="54"/>
        <v>#VALUE!</v>
      </c>
      <c r="M189" t="e">
        <f t="shared" si="61"/>
        <v>#VALUE!</v>
      </c>
      <c r="N189" s="27" t="e">
        <f>_xlfn.AGGREGATE(1,6,(M189,M207))</f>
        <v>#DIV/0!</v>
      </c>
      <c r="P189" s="72" t="s">
        <v>482</v>
      </c>
      <c r="Q189">
        <v>5</v>
      </c>
      <c r="R189" t="s">
        <v>417</v>
      </c>
      <c r="S189" t="e">
        <f t="shared" si="46"/>
        <v>#VALUE!</v>
      </c>
      <c r="T189" t="e">
        <f t="shared" si="62"/>
        <v>#VALUE!</v>
      </c>
      <c r="U189" s="27" t="e">
        <f>_xlfn.AGGREGATE(1,6,(T189,T207))</f>
        <v>#DIV/0!</v>
      </c>
      <c r="V189" s="72"/>
      <c r="W189" s="72" t="s">
        <v>459</v>
      </c>
      <c r="X189">
        <v>6</v>
      </c>
      <c r="Y189">
        <v>25.0122067138307</v>
      </c>
      <c r="Z189">
        <f t="shared" si="57"/>
        <v>2.9551227231664716E-8</v>
      </c>
      <c r="AA189">
        <f t="shared" si="63"/>
        <v>0.63302386789268184</v>
      </c>
      <c r="AB189" s="27">
        <f>_xlfn.AGGREGATE(1,6,(AA189,AA207))</f>
        <v>0.56594156181416078</v>
      </c>
      <c r="AD189" s="72" t="s">
        <v>459</v>
      </c>
      <c r="AE189">
        <v>10</v>
      </c>
      <c r="AF189" t="s">
        <v>417</v>
      </c>
      <c r="AG189" t="e">
        <f t="shared" si="59"/>
        <v>#VALUE!</v>
      </c>
      <c r="AH189" t="e">
        <f t="shared" si="64"/>
        <v>#VALUE!</v>
      </c>
      <c r="AI189" s="27" t="e">
        <f>_xlfn.AGGREGATE(1,6,(AH189,AH207))</f>
        <v>#DIV/0!</v>
      </c>
    </row>
    <row r="190" spans="2:35" x14ac:dyDescent="0.25">
      <c r="I190" s="72" t="s">
        <v>460</v>
      </c>
      <c r="J190">
        <v>11</v>
      </c>
      <c r="K190" t="s">
        <v>417</v>
      </c>
      <c r="L190" t="e">
        <f t="shared" si="54"/>
        <v>#VALUE!</v>
      </c>
      <c r="M190" t="e">
        <f t="shared" si="61"/>
        <v>#VALUE!</v>
      </c>
      <c r="N190" s="27" t="e">
        <f>_xlfn.AGGREGATE(1,6,(M190,M208))</f>
        <v>#DIV/0!</v>
      </c>
      <c r="P190" s="72" t="s">
        <v>483</v>
      </c>
      <c r="Q190">
        <v>5</v>
      </c>
      <c r="R190" t="s">
        <v>417</v>
      </c>
      <c r="S190" t="e">
        <f t="shared" si="46"/>
        <v>#VALUE!</v>
      </c>
      <c r="T190" t="e">
        <f t="shared" si="62"/>
        <v>#VALUE!</v>
      </c>
      <c r="U190" s="27" t="e">
        <f>_xlfn.AGGREGATE(1,6,(T190,T208))</f>
        <v>#DIV/0!</v>
      </c>
      <c r="V190" s="72"/>
      <c r="W190" s="72" t="s">
        <v>460</v>
      </c>
      <c r="X190">
        <v>6</v>
      </c>
      <c r="Y190">
        <v>27.001043820984702</v>
      </c>
      <c r="Z190">
        <f t="shared" si="57"/>
        <v>7.4451918907915473E-9</v>
      </c>
      <c r="AA190">
        <f t="shared" si="63"/>
        <v>0.15948522648365818</v>
      </c>
      <c r="AB190" s="27">
        <f>_xlfn.AGGREGATE(1,6,(AA190,AA208))</f>
        <v>0.15214095862967142</v>
      </c>
      <c r="AD190" s="72" t="s">
        <v>460</v>
      </c>
      <c r="AE190">
        <v>10</v>
      </c>
      <c r="AF190" t="s">
        <v>417</v>
      </c>
      <c r="AG190" t="e">
        <f t="shared" si="59"/>
        <v>#VALUE!</v>
      </c>
      <c r="AH190" t="e">
        <f t="shared" si="64"/>
        <v>#VALUE!</v>
      </c>
      <c r="AI190" s="27" t="e">
        <f>_xlfn.AGGREGATE(1,6,(AH190,AH208))</f>
        <v>#DIV/0!</v>
      </c>
    </row>
    <row r="191" spans="2:35" x14ac:dyDescent="0.25">
      <c r="I191" s="72" t="s">
        <v>461</v>
      </c>
      <c r="J191">
        <v>11</v>
      </c>
      <c r="K191" t="s">
        <v>417</v>
      </c>
      <c r="L191" t="e">
        <f t="shared" si="54"/>
        <v>#VALUE!</v>
      </c>
      <c r="M191" t="e">
        <f t="shared" si="61"/>
        <v>#VALUE!</v>
      </c>
      <c r="N191" s="27" t="e">
        <f>_xlfn.AGGREGATE(1,6,(M191,M209))</f>
        <v>#DIV/0!</v>
      </c>
      <c r="P191" s="72" t="s">
        <v>484</v>
      </c>
      <c r="Q191">
        <v>5</v>
      </c>
      <c r="R191" t="s">
        <v>417</v>
      </c>
      <c r="S191" t="e">
        <f t="shared" si="46"/>
        <v>#VALUE!</v>
      </c>
      <c r="T191" t="e">
        <f t="shared" si="62"/>
        <v>#VALUE!</v>
      </c>
      <c r="U191" s="27" t="e">
        <f>_xlfn.AGGREGATE(1,6,(T191,T209))</f>
        <v>#DIV/0!</v>
      </c>
      <c r="V191" s="72"/>
      <c r="W191" s="72" t="s">
        <v>461</v>
      </c>
      <c r="X191">
        <v>6</v>
      </c>
      <c r="Y191">
        <v>36.033596444728801</v>
      </c>
      <c r="Z191">
        <f t="shared" si="57"/>
        <v>1.4216955972526326E-11</v>
      </c>
      <c r="AA191">
        <f t="shared" si="63"/>
        <v>3.0454479568094736E-4</v>
      </c>
      <c r="AB191" s="27">
        <f>_xlfn.AGGREGATE(1,6,(AA191,AA209))</f>
        <v>1.8632597697657618E-4</v>
      </c>
      <c r="AD191" s="72" t="s">
        <v>461</v>
      </c>
      <c r="AE191">
        <v>10</v>
      </c>
      <c r="AF191" t="s">
        <v>417</v>
      </c>
      <c r="AG191" t="e">
        <f t="shared" si="59"/>
        <v>#VALUE!</v>
      </c>
      <c r="AH191" t="e">
        <f t="shared" si="64"/>
        <v>#VALUE!</v>
      </c>
      <c r="AI191" s="27" t="e">
        <f>_xlfn.AGGREGATE(1,6,(AH191,AH209))</f>
        <v>#DIV/0!</v>
      </c>
    </row>
    <row r="192" spans="2:35" x14ac:dyDescent="0.25">
      <c r="I192" s="72" t="s">
        <v>462</v>
      </c>
      <c r="J192">
        <v>11</v>
      </c>
      <c r="K192" t="s">
        <v>417</v>
      </c>
      <c r="L192" t="e">
        <f t="shared" si="54"/>
        <v>#VALUE!</v>
      </c>
      <c r="M192" t="e">
        <f t="shared" si="61"/>
        <v>#VALUE!</v>
      </c>
      <c r="N192" s="27" t="e">
        <f>_xlfn.AGGREGATE(1,6,(M192,M210))</f>
        <v>#DIV/0!</v>
      </c>
      <c r="P192" s="72" t="s">
        <v>485</v>
      </c>
      <c r="Q192">
        <v>5</v>
      </c>
      <c r="R192" t="s">
        <v>417</v>
      </c>
      <c r="S192" t="e">
        <f t="shared" si="46"/>
        <v>#VALUE!</v>
      </c>
      <c r="T192" t="e">
        <f t="shared" si="62"/>
        <v>#VALUE!</v>
      </c>
      <c r="U192" s="27" t="e">
        <f>_xlfn.AGGREGATE(1,6,(T192,T210))</f>
        <v>#DIV/0!</v>
      </c>
      <c r="V192" s="72"/>
      <c r="W192" s="72" t="s">
        <v>462</v>
      </c>
      <c r="X192">
        <v>6</v>
      </c>
      <c r="Y192" t="s">
        <v>417</v>
      </c>
      <c r="Z192" t="e">
        <f t="shared" si="57"/>
        <v>#VALUE!</v>
      </c>
      <c r="AA192" t="e">
        <f t="shared" si="63"/>
        <v>#VALUE!</v>
      </c>
      <c r="AB192" s="27">
        <f>_xlfn.AGGREGATE(1,6,(AA192,AA210))</f>
        <v>6.2030897698073687E-5</v>
      </c>
      <c r="AD192" s="72" t="s">
        <v>462</v>
      </c>
      <c r="AE192">
        <v>10</v>
      </c>
      <c r="AF192" t="s">
        <v>417</v>
      </c>
      <c r="AG192" t="e">
        <f t="shared" si="59"/>
        <v>#VALUE!</v>
      </c>
      <c r="AH192" t="e">
        <f t="shared" si="64"/>
        <v>#VALUE!</v>
      </c>
      <c r="AI192" s="27" t="e">
        <f>_xlfn.AGGREGATE(1,6,(AH192,AH210))</f>
        <v>#DIV/0!</v>
      </c>
    </row>
    <row r="193" spans="9:35" x14ac:dyDescent="0.25">
      <c r="I193" s="72" t="s">
        <v>463</v>
      </c>
      <c r="J193">
        <v>11</v>
      </c>
      <c r="K193" t="s">
        <v>417</v>
      </c>
      <c r="L193" t="e">
        <f t="shared" si="54"/>
        <v>#VALUE!</v>
      </c>
      <c r="M193" t="e">
        <f t="shared" si="61"/>
        <v>#VALUE!</v>
      </c>
      <c r="N193" s="27" t="e">
        <f>_xlfn.AGGREGATE(1,6,(M193,M211))</f>
        <v>#DIV/0!</v>
      </c>
      <c r="P193" s="72" t="s">
        <v>463</v>
      </c>
      <c r="Q193">
        <v>5</v>
      </c>
      <c r="R193" t="s">
        <v>417</v>
      </c>
      <c r="S193" t="e">
        <f t="shared" si="46"/>
        <v>#VALUE!</v>
      </c>
      <c r="T193" t="e">
        <f t="shared" si="62"/>
        <v>#VALUE!</v>
      </c>
      <c r="U193" s="27" t="e">
        <f>_xlfn.AGGREGATE(1,6,(T193,T211))</f>
        <v>#DIV/0!</v>
      </c>
      <c r="V193" s="72"/>
      <c r="W193" s="72" t="s">
        <v>463</v>
      </c>
      <c r="X193">
        <v>6</v>
      </c>
      <c r="Y193">
        <v>28.010364088611698</v>
      </c>
      <c r="Z193">
        <f t="shared" si="57"/>
        <v>3.6986243102343905E-9</v>
      </c>
      <c r="AA193">
        <f t="shared" si="63"/>
        <v>7.9229111142893882E-2</v>
      </c>
      <c r="AB193" s="27">
        <f>_xlfn.AGGREGATE(1,6,(AA193,AA211))</f>
        <v>6.5158655904448984E-2</v>
      </c>
      <c r="AD193" s="72" t="s">
        <v>463</v>
      </c>
      <c r="AE193">
        <v>10</v>
      </c>
      <c r="AF193" t="s">
        <v>417</v>
      </c>
      <c r="AG193" t="e">
        <f t="shared" si="59"/>
        <v>#VALUE!</v>
      </c>
      <c r="AH193" t="e">
        <f t="shared" si="64"/>
        <v>#VALUE!</v>
      </c>
      <c r="AI193" s="27" t="e">
        <f>_xlfn.AGGREGATE(1,6,(AH193,AH211))</f>
        <v>#DIV/0!</v>
      </c>
    </row>
    <row r="194" spans="9:35" x14ac:dyDescent="0.25">
      <c r="I194" s="72" t="s">
        <v>464</v>
      </c>
      <c r="J194">
        <v>11</v>
      </c>
      <c r="K194" t="s">
        <v>417</v>
      </c>
      <c r="L194" t="e">
        <f t="shared" si="54"/>
        <v>#VALUE!</v>
      </c>
      <c r="M194" t="e">
        <f t="shared" si="61"/>
        <v>#VALUE!</v>
      </c>
      <c r="N194" s="27" t="e">
        <f>_xlfn.AGGREGATE(1,6,(M194,M212))</f>
        <v>#DIV/0!</v>
      </c>
      <c r="P194" s="72" t="s">
        <v>464</v>
      </c>
      <c r="Q194">
        <v>5</v>
      </c>
      <c r="R194">
        <v>30.750702861752501</v>
      </c>
      <c r="S194">
        <f t="shared" si="46"/>
        <v>5.534979935215631E-10</v>
      </c>
      <c r="T194">
        <f t="shared" si="62"/>
        <v>25.852330509784171</v>
      </c>
      <c r="U194" s="27">
        <f>_xlfn.AGGREGATE(1,6,(T194,T212))</f>
        <v>16.87866435811803</v>
      </c>
      <c r="V194" s="72"/>
      <c r="W194" s="72" t="s">
        <v>464</v>
      </c>
      <c r="X194">
        <v>6</v>
      </c>
      <c r="Y194">
        <v>25.4051895486703</v>
      </c>
      <c r="Z194">
        <f t="shared" si="57"/>
        <v>2.250483848106282E-8</v>
      </c>
      <c r="AA194">
        <f t="shared" si="63"/>
        <v>0.48208149833850145</v>
      </c>
      <c r="AB194" s="27">
        <f>_xlfn.AGGREGATE(1,6,(AA194,AA212))</f>
        <v>0.37893826917628037</v>
      </c>
      <c r="AD194" s="72" t="s">
        <v>464</v>
      </c>
      <c r="AE194">
        <v>10</v>
      </c>
      <c r="AF194">
        <v>33.705671714615697</v>
      </c>
      <c r="AG194">
        <f t="shared" si="59"/>
        <v>7.1380862275719962E-11</v>
      </c>
      <c r="AH194">
        <f t="shared" si="64"/>
        <v>1.5290664302047535E-3</v>
      </c>
      <c r="AI194" s="27">
        <f>_xlfn.AGGREGATE(1,6,(AH194,AH212))</f>
        <v>1.2649370956193825E-3</v>
      </c>
    </row>
    <row r="195" spans="9:35" x14ac:dyDescent="0.25">
      <c r="I195" s="72" t="s">
        <v>465</v>
      </c>
      <c r="J195">
        <v>11</v>
      </c>
      <c r="K195" t="s">
        <v>417</v>
      </c>
      <c r="L195" t="e">
        <f t="shared" si="54"/>
        <v>#VALUE!</v>
      </c>
      <c r="M195" t="e">
        <f t="shared" si="61"/>
        <v>#VALUE!</v>
      </c>
      <c r="N195" s="27" t="e">
        <f>_xlfn.AGGREGATE(1,6,(M195,M213))</f>
        <v>#DIV/0!</v>
      </c>
      <c r="P195" s="72" t="s">
        <v>465</v>
      </c>
      <c r="Q195">
        <v>5</v>
      </c>
      <c r="R195">
        <v>36.431158434458403</v>
      </c>
      <c r="S195">
        <f t="shared" si="46"/>
        <v>1.0792660961662736E-11</v>
      </c>
      <c r="T195">
        <f t="shared" si="62"/>
        <v>0.5040947601015654</v>
      </c>
      <c r="U195" s="27">
        <f>_xlfn.AGGREGATE(1,6,(T195,T213))</f>
        <v>0.2609779142468302</v>
      </c>
      <c r="V195" s="72"/>
      <c r="W195" s="72" t="s">
        <v>465</v>
      </c>
      <c r="X195">
        <v>6</v>
      </c>
      <c r="Y195">
        <v>33.954842805775002</v>
      </c>
      <c r="Z195">
        <f t="shared" si="57"/>
        <v>6.0058408202522942E-11</v>
      </c>
      <c r="AA195">
        <f t="shared" si="63"/>
        <v>1.2865254482257568E-3</v>
      </c>
      <c r="AB195" s="27">
        <f>_xlfn.AGGREGATE(1,6,(AA195,AA213))</f>
        <v>9.5180444302199398E-4</v>
      </c>
      <c r="AD195" s="72" t="s">
        <v>465</v>
      </c>
      <c r="AE195">
        <v>10</v>
      </c>
      <c r="AF195" t="s">
        <v>417</v>
      </c>
      <c r="AG195" t="e">
        <f t="shared" si="59"/>
        <v>#VALUE!</v>
      </c>
      <c r="AH195" t="e">
        <f t="shared" si="64"/>
        <v>#VALUE!</v>
      </c>
      <c r="AI195" s="27" t="e">
        <f>_xlfn.AGGREGATE(1,6,(AH195,AH213))</f>
        <v>#DIV/0!</v>
      </c>
    </row>
    <row r="196" spans="9:35" x14ac:dyDescent="0.25">
      <c r="I196" s="72" t="s">
        <v>466</v>
      </c>
      <c r="J196">
        <v>11</v>
      </c>
      <c r="K196" t="s">
        <v>417</v>
      </c>
      <c r="L196" t="e">
        <f t="shared" si="54"/>
        <v>#VALUE!</v>
      </c>
      <c r="M196" t="e">
        <f t="shared" si="61"/>
        <v>#VALUE!</v>
      </c>
      <c r="N196" s="27" t="e">
        <f>_xlfn.AGGREGATE(1,6,(M196,M214))</f>
        <v>#DIV/0!</v>
      </c>
      <c r="P196" s="72" t="s">
        <v>466</v>
      </c>
      <c r="Q196">
        <v>5</v>
      </c>
      <c r="R196" t="s">
        <v>417</v>
      </c>
      <c r="S196" t="e">
        <f t="shared" si="46"/>
        <v>#VALUE!</v>
      </c>
      <c r="T196" t="e">
        <f t="shared" si="62"/>
        <v>#VALUE!</v>
      </c>
      <c r="U196" s="27" t="e">
        <f>_xlfn.AGGREGATE(1,6,(T196,T214))</f>
        <v>#DIV/0!</v>
      </c>
      <c r="V196" s="72"/>
      <c r="W196" s="72" t="s">
        <v>466</v>
      </c>
      <c r="X196">
        <v>6</v>
      </c>
      <c r="Y196" t="s">
        <v>417</v>
      </c>
      <c r="Z196" t="e">
        <f t="shared" si="57"/>
        <v>#VALUE!</v>
      </c>
      <c r="AA196" t="e">
        <f t="shared" si="63"/>
        <v>#VALUE!</v>
      </c>
      <c r="AB196" s="27" t="e">
        <f>_xlfn.AGGREGATE(1,6,(AA196,AA214))</f>
        <v>#DIV/0!</v>
      </c>
      <c r="AD196" s="72" t="s">
        <v>466</v>
      </c>
      <c r="AE196">
        <v>10</v>
      </c>
      <c r="AF196" t="s">
        <v>417</v>
      </c>
      <c r="AG196" t="e">
        <f t="shared" si="59"/>
        <v>#VALUE!</v>
      </c>
      <c r="AH196" t="e">
        <f t="shared" si="64"/>
        <v>#VALUE!</v>
      </c>
      <c r="AI196" s="27" t="e">
        <f>_xlfn.AGGREGATE(1,6,(AH196,AH214))</f>
        <v>#DIV/0!</v>
      </c>
    </row>
    <row r="197" spans="9:35" x14ac:dyDescent="0.25">
      <c r="I197" s="72" t="s">
        <v>467</v>
      </c>
      <c r="J197">
        <v>11</v>
      </c>
      <c r="K197" t="s">
        <v>417</v>
      </c>
      <c r="L197" t="e">
        <f t="shared" si="54"/>
        <v>#VALUE!</v>
      </c>
      <c r="M197" t="e">
        <f t="shared" si="61"/>
        <v>#VALUE!</v>
      </c>
      <c r="N197" s="27" t="e">
        <f>_xlfn.AGGREGATE(1,6,(M197,M215))</f>
        <v>#DIV/0!</v>
      </c>
      <c r="P197" s="72" t="s">
        <v>467</v>
      </c>
      <c r="Q197">
        <v>5</v>
      </c>
      <c r="R197" t="s">
        <v>417</v>
      </c>
      <c r="S197" t="e">
        <f t="shared" si="46"/>
        <v>#VALUE!</v>
      </c>
      <c r="T197" t="e">
        <f t="shared" si="62"/>
        <v>#VALUE!</v>
      </c>
      <c r="U197" s="27" t="e">
        <f>_xlfn.AGGREGATE(1,6,(T197,T215))</f>
        <v>#DIV/0!</v>
      </c>
      <c r="V197" s="72"/>
      <c r="W197" s="72" t="s">
        <v>467</v>
      </c>
      <c r="X197">
        <v>6</v>
      </c>
      <c r="Y197">
        <v>32.753474540227799</v>
      </c>
      <c r="Z197">
        <f t="shared" si="57"/>
        <v>1.3810891110884849E-10</v>
      </c>
      <c r="AA197">
        <f t="shared" si="63"/>
        <v>2.9584638368890118E-3</v>
      </c>
      <c r="AB197" s="27">
        <f>_xlfn.AGGREGATE(1,6,(AA197,AA215))</f>
        <v>1.8839670620146385E-3</v>
      </c>
      <c r="AD197" s="72" t="s">
        <v>467</v>
      </c>
      <c r="AE197">
        <v>10</v>
      </c>
      <c r="AF197" t="s">
        <v>417</v>
      </c>
      <c r="AG197" t="e">
        <f t="shared" si="59"/>
        <v>#VALUE!</v>
      </c>
      <c r="AH197" t="e">
        <f t="shared" si="64"/>
        <v>#VALUE!</v>
      </c>
      <c r="AI197" s="27" t="e">
        <f>_xlfn.AGGREGATE(1,6,(AH197,AH215))</f>
        <v>#DIV/0!</v>
      </c>
    </row>
    <row r="198" spans="9:35" x14ac:dyDescent="0.25">
      <c r="I198" s="72" t="s">
        <v>468</v>
      </c>
      <c r="J198">
        <v>11</v>
      </c>
      <c r="K198" t="s">
        <v>417</v>
      </c>
      <c r="L198" t="e">
        <f t="shared" si="54"/>
        <v>#VALUE!</v>
      </c>
      <c r="M198" t="e">
        <f t="shared" si="61"/>
        <v>#VALUE!</v>
      </c>
      <c r="N198" s="27" t="e">
        <f>_xlfn.AGGREGATE(1,6,(M198,M216))</f>
        <v>#DIV/0!</v>
      </c>
      <c r="P198" s="72" t="s">
        <v>468</v>
      </c>
      <c r="Q198">
        <v>5</v>
      </c>
      <c r="R198">
        <v>32.456209999999999</v>
      </c>
      <c r="S198">
        <f t="shared" si="46"/>
        <v>1.6970992613269895E-10</v>
      </c>
      <c r="T198">
        <f t="shared" si="62"/>
        <v>7.9266720973265237</v>
      </c>
      <c r="U198" s="27">
        <f>_xlfn.AGGREGATE(1,6,(T198,T216))</f>
        <v>7.9266720973265237</v>
      </c>
      <c r="V198" s="72"/>
      <c r="W198" s="72" t="s">
        <v>468</v>
      </c>
      <c r="X198">
        <v>6</v>
      </c>
      <c r="Y198">
        <v>33.138724054293597</v>
      </c>
      <c r="Z198">
        <f t="shared" si="57"/>
        <v>1.0574261387578936E-10</v>
      </c>
      <c r="AA198">
        <f t="shared" si="63"/>
        <v>2.2651376848745425E-3</v>
      </c>
      <c r="AB198" s="27">
        <f>_xlfn.AGGREGATE(1,6,(AA198,AA216))</f>
        <v>1.6552209723936693E-3</v>
      </c>
      <c r="AD198" s="72" t="s">
        <v>468</v>
      </c>
      <c r="AE198">
        <v>10</v>
      </c>
      <c r="AF198" t="s">
        <v>417</v>
      </c>
      <c r="AG198" t="e">
        <f t="shared" si="59"/>
        <v>#VALUE!</v>
      </c>
      <c r="AH198" t="e">
        <f t="shared" si="64"/>
        <v>#VALUE!</v>
      </c>
      <c r="AI198" s="27" t="e">
        <f>_xlfn.AGGREGATE(1,6,(AH198,AH216))</f>
        <v>#DIV/0!</v>
      </c>
    </row>
    <row r="199" spans="9:35" x14ac:dyDescent="0.25">
      <c r="I199" s="72" t="s">
        <v>486</v>
      </c>
      <c r="J199">
        <v>11</v>
      </c>
      <c r="K199" t="s">
        <v>417</v>
      </c>
      <c r="L199" t="e">
        <f t="shared" si="54"/>
        <v>#VALUE!</v>
      </c>
      <c r="M199" t="e">
        <f t="shared" si="61"/>
        <v>#VALUE!</v>
      </c>
      <c r="N199" s="27" t="e">
        <f>_xlfn.AGGREGATE(1,6,(M199,M217))</f>
        <v>#DIV/0!</v>
      </c>
      <c r="P199" s="72" t="s">
        <v>486</v>
      </c>
      <c r="Q199">
        <v>5</v>
      </c>
      <c r="R199" t="s">
        <v>417</v>
      </c>
      <c r="S199" t="e">
        <f t="shared" si="46"/>
        <v>#VALUE!</v>
      </c>
      <c r="T199" t="e">
        <f t="shared" si="62"/>
        <v>#VALUE!</v>
      </c>
      <c r="U199" s="27">
        <f>_xlfn.AGGREGATE(1,6,(T199,T217))</f>
        <v>0.24791719458384057</v>
      </c>
      <c r="V199" s="72"/>
      <c r="W199" s="72" t="s">
        <v>486</v>
      </c>
      <c r="X199">
        <v>6</v>
      </c>
      <c r="Y199">
        <v>28.872195828759502</v>
      </c>
      <c r="Z199">
        <f t="shared" si="57"/>
        <v>2.0351808844808599E-9</v>
      </c>
      <c r="AA199">
        <f t="shared" si="63"/>
        <v>4.3596093835820977E-2</v>
      </c>
      <c r="AB199" s="27">
        <f>_xlfn.AGGREGATE(1,6,(AA199,AA217))</f>
        <v>3.5393868246514325E-2</v>
      </c>
      <c r="AD199" s="72" t="s">
        <v>486</v>
      </c>
      <c r="AE199">
        <v>10</v>
      </c>
      <c r="AF199">
        <v>36.689072898945398</v>
      </c>
      <c r="AG199">
        <f t="shared" si="59"/>
        <v>9.0258589902632141E-12</v>
      </c>
      <c r="AH199">
        <f t="shared" si="64"/>
        <v>1.9334507241540677E-4</v>
      </c>
      <c r="AI199" s="27">
        <f>_xlfn.AGGREGATE(1,6,(AH199,AH217))</f>
        <v>1.9334507241540677E-4</v>
      </c>
    </row>
    <row r="200" spans="9:35" x14ac:dyDescent="0.25">
      <c r="I200" s="72" t="s">
        <v>470</v>
      </c>
      <c r="J200">
        <v>11</v>
      </c>
      <c r="K200" t="s">
        <v>417</v>
      </c>
      <c r="L200" s="60" t="e">
        <f t="shared" si="54"/>
        <v>#VALUE!</v>
      </c>
      <c r="M200" s="60" t="e">
        <f t="shared" si="61"/>
        <v>#VALUE!</v>
      </c>
      <c r="N200" s="61" t="e">
        <f>_xlfn.AGGREGATE(1,6,(M200,M218))</f>
        <v>#DIV/0!</v>
      </c>
      <c r="P200" s="72" t="s">
        <v>470</v>
      </c>
      <c r="Q200">
        <v>5</v>
      </c>
      <c r="R200" t="s">
        <v>417</v>
      </c>
      <c r="S200" s="60" t="e">
        <f t="shared" si="46"/>
        <v>#VALUE!</v>
      </c>
      <c r="T200" s="60" t="e">
        <f t="shared" si="62"/>
        <v>#VALUE!</v>
      </c>
      <c r="U200" s="61" t="e">
        <f>_xlfn.AGGREGATE(1,6,(T200,T218))</f>
        <v>#DIV/0!</v>
      </c>
      <c r="V200" s="72"/>
      <c r="W200" s="72" t="s">
        <v>470</v>
      </c>
      <c r="X200">
        <v>6</v>
      </c>
      <c r="Y200">
        <v>35.3839475204582</v>
      </c>
      <c r="Z200" s="60">
        <f t="shared" si="57"/>
        <v>2.2303367031805594E-11</v>
      </c>
      <c r="AA200" s="60">
        <f t="shared" si="63"/>
        <v>4.7776573049986172E-4</v>
      </c>
      <c r="AB200" s="61">
        <f>_xlfn.AGGREGATE(1,6,(AA200,AA218))</f>
        <v>3.1720339630135854E-4</v>
      </c>
      <c r="AD200" s="72" t="s">
        <v>470</v>
      </c>
      <c r="AE200">
        <v>10</v>
      </c>
      <c r="AF200" t="s">
        <v>417</v>
      </c>
      <c r="AG200" s="60" t="e">
        <f t="shared" si="59"/>
        <v>#VALUE!</v>
      </c>
      <c r="AH200" s="60" t="e">
        <f t="shared" si="64"/>
        <v>#VALUE!</v>
      </c>
      <c r="AI200" s="61" t="e">
        <f>_xlfn.AGGREGATE(1,6,(AH200,AH218))</f>
        <v>#DIV/0!</v>
      </c>
    </row>
    <row r="201" spans="9:35" x14ac:dyDescent="0.25">
      <c r="I201" s="167" t="s">
        <v>452</v>
      </c>
      <c r="J201" s="164">
        <v>11</v>
      </c>
      <c r="K201" s="164" t="s">
        <v>417</v>
      </c>
      <c r="L201" t="e">
        <f t="shared" si="54"/>
        <v>#VALUE!</v>
      </c>
      <c r="N201" s="27"/>
      <c r="P201" s="167" t="s">
        <v>452</v>
      </c>
      <c r="Q201" s="164">
        <v>5</v>
      </c>
      <c r="R201" s="164">
        <v>33.878671035798497</v>
      </c>
      <c r="S201">
        <f t="shared" si="46"/>
        <v>6.3314590887926765E-11</v>
      </c>
      <c r="U201" s="27"/>
      <c r="V201" s="72"/>
      <c r="W201" s="167" t="s">
        <v>452</v>
      </c>
      <c r="X201" s="164">
        <v>6</v>
      </c>
      <c r="Y201" s="164">
        <v>23.1100274203176</v>
      </c>
      <c r="Z201">
        <f t="shared" si="57"/>
        <v>1.1045580518631674E-7</v>
      </c>
      <c r="AB201" s="27"/>
      <c r="AD201" s="167" t="s">
        <v>452</v>
      </c>
      <c r="AE201" s="164">
        <v>10</v>
      </c>
      <c r="AF201" s="164" t="s">
        <v>417</v>
      </c>
      <c r="AG201" t="e">
        <f t="shared" si="59"/>
        <v>#VALUE!</v>
      </c>
      <c r="AI201" s="27"/>
    </row>
    <row r="202" spans="9:35" x14ac:dyDescent="0.25">
      <c r="I202" s="72" t="s">
        <v>454</v>
      </c>
      <c r="J202">
        <v>11</v>
      </c>
      <c r="K202" t="s">
        <v>417</v>
      </c>
      <c r="L202" t="e">
        <f t="shared" si="54"/>
        <v>#VALUE!</v>
      </c>
      <c r="M202" t="e">
        <f>L202/$S$201</f>
        <v>#VALUE!</v>
      </c>
      <c r="N202" s="27"/>
      <c r="P202" s="72" t="s">
        <v>454</v>
      </c>
      <c r="Q202">
        <v>5</v>
      </c>
      <c r="R202" t="s">
        <v>417</v>
      </c>
      <c r="S202" t="e">
        <f t="shared" si="46"/>
        <v>#VALUE!</v>
      </c>
      <c r="T202" t="e">
        <f>S202/$S$201</f>
        <v>#VALUE!</v>
      </c>
      <c r="U202" s="27"/>
      <c r="V202" s="72"/>
      <c r="W202" s="72" t="s">
        <v>454</v>
      </c>
      <c r="X202">
        <v>6</v>
      </c>
      <c r="Y202">
        <v>32.452208668998502</v>
      </c>
      <c r="Z202">
        <f t="shared" si="57"/>
        <v>1.7018127187013708E-10</v>
      </c>
      <c r="AA202">
        <f>Z202/$Z$201</f>
        <v>1.5407182228500845E-3</v>
      </c>
      <c r="AB202" s="27"/>
      <c r="AD202" s="72" t="s">
        <v>454</v>
      </c>
      <c r="AE202">
        <v>10</v>
      </c>
      <c r="AF202" t="s">
        <v>417</v>
      </c>
      <c r="AG202" t="e">
        <f t="shared" si="59"/>
        <v>#VALUE!</v>
      </c>
      <c r="AH202" t="e">
        <f>AG202/$Z$201</f>
        <v>#VALUE!</v>
      </c>
      <c r="AI202" s="27"/>
    </row>
    <row r="203" spans="9:35" x14ac:dyDescent="0.25">
      <c r="I203" s="72" t="s">
        <v>455</v>
      </c>
      <c r="J203">
        <v>11</v>
      </c>
      <c r="K203" t="s">
        <v>417</v>
      </c>
      <c r="L203" t="e">
        <f t="shared" si="54"/>
        <v>#VALUE!</v>
      </c>
      <c r="M203" t="e">
        <f t="shared" ref="M203:M218" si="65">L203/$S$201</f>
        <v>#VALUE!</v>
      </c>
      <c r="N203" s="27"/>
      <c r="P203" s="72" t="s">
        <v>455</v>
      </c>
      <c r="Q203">
        <v>5</v>
      </c>
      <c r="R203">
        <v>39.137459651056801</v>
      </c>
      <c r="S203">
        <f t="shared" ref="S203:S254" si="66">2^(-R203)</f>
        <v>1.6536770184359426E-12</v>
      </c>
      <c r="T203">
        <f t="shared" ref="T203:T218" si="67">S203/$S$201</f>
        <v>2.6118419075993372E-2</v>
      </c>
      <c r="U203" s="27"/>
      <c r="V203" s="72"/>
      <c r="W203" s="72" t="s">
        <v>455</v>
      </c>
      <c r="X203">
        <v>6</v>
      </c>
      <c r="Y203">
        <v>33.594930561936003</v>
      </c>
      <c r="Z203">
        <f t="shared" si="57"/>
        <v>7.7075827947430904E-11</v>
      </c>
      <c r="AA203">
        <f t="shared" ref="AA203:AA218" si="68">Z203/$Z$201</f>
        <v>6.9779789135953035E-4</v>
      </c>
      <c r="AB203" s="27"/>
      <c r="AD203" s="72" t="s">
        <v>455</v>
      </c>
      <c r="AE203">
        <v>10</v>
      </c>
      <c r="AF203" t="s">
        <v>417</v>
      </c>
      <c r="AG203" t="e">
        <f t="shared" si="59"/>
        <v>#VALUE!</v>
      </c>
      <c r="AH203" t="e">
        <f t="shared" ref="AH203:AH218" si="69">AG203/$Z$201</f>
        <v>#VALUE!</v>
      </c>
      <c r="AI203" s="27"/>
    </row>
    <row r="204" spans="9:35" x14ac:dyDescent="0.25">
      <c r="I204" s="72" t="s">
        <v>481</v>
      </c>
      <c r="J204">
        <v>11</v>
      </c>
      <c r="K204" t="s">
        <v>417</v>
      </c>
      <c r="L204" t="e">
        <f t="shared" si="54"/>
        <v>#VALUE!</v>
      </c>
      <c r="M204" t="e">
        <f t="shared" si="65"/>
        <v>#VALUE!</v>
      </c>
      <c r="N204" s="27"/>
      <c r="P204" s="72" t="s">
        <v>481</v>
      </c>
      <c r="Q204">
        <v>5</v>
      </c>
      <c r="R204">
        <v>28.569046498048699</v>
      </c>
      <c r="S204">
        <f t="shared" si="66"/>
        <v>2.5110771525705757E-9</v>
      </c>
      <c r="T204">
        <f t="shared" si="67"/>
        <v>39.66032343185217</v>
      </c>
      <c r="U204" s="27"/>
      <c r="V204" s="72"/>
      <c r="W204" s="72" t="s">
        <v>481</v>
      </c>
      <c r="X204">
        <v>6</v>
      </c>
      <c r="Y204">
        <v>23.358253027572001</v>
      </c>
      <c r="Z204">
        <f t="shared" si="57"/>
        <v>9.299619776582874E-8</v>
      </c>
      <c r="AA204">
        <f t="shared" si="68"/>
        <v>0.84193128291412878</v>
      </c>
      <c r="AB204" s="27"/>
      <c r="AD204" s="72" t="s">
        <v>481</v>
      </c>
      <c r="AE204">
        <v>10</v>
      </c>
      <c r="AF204">
        <v>32.078080289363299</v>
      </c>
      <c r="AG204">
        <f t="shared" si="59"/>
        <v>2.2056450804219609E-10</v>
      </c>
      <c r="AH204">
        <f t="shared" si="69"/>
        <v>1.9968575456052137E-3</v>
      </c>
      <c r="AI204" s="27"/>
    </row>
    <row r="205" spans="9:35" x14ac:dyDescent="0.25">
      <c r="I205" s="72" t="s">
        <v>457</v>
      </c>
      <c r="J205">
        <v>11</v>
      </c>
      <c r="K205" t="s">
        <v>417</v>
      </c>
      <c r="L205" t="e">
        <f t="shared" si="54"/>
        <v>#VALUE!</v>
      </c>
      <c r="M205" t="e">
        <f t="shared" si="65"/>
        <v>#VALUE!</v>
      </c>
      <c r="N205" s="27"/>
      <c r="P205" s="72" t="s">
        <v>457</v>
      </c>
      <c r="Q205">
        <v>5</v>
      </c>
      <c r="R205" t="s">
        <v>417</v>
      </c>
      <c r="S205" t="e">
        <f t="shared" si="66"/>
        <v>#VALUE!</v>
      </c>
      <c r="T205" t="e">
        <f t="shared" si="67"/>
        <v>#VALUE!</v>
      </c>
      <c r="U205" s="27"/>
      <c r="V205" s="72"/>
      <c r="W205" s="72" t="s">
        <v>457</v>
      </c>
      <c r="X205">
        <v>6</v>
      </c>
      <c r="Y205">
        <v>29.635170174776</v>
      </c>
      <c r="Z205">
        <f t="shared" si="57"/>
        <v>1.1992917627929967E-9</v>
      </c>
      <c r="AA205">
        <f t="shared" si="68"/>
        <v>1.0857661675364482E-2</v>
      </c>
      <c r="AB205" s="27"/>
      <c r="AD205" s="72" t="s">
        <v>457</v>
      </c>
      <c r="AE205">
        <v>10</v>
      </c>
      <c r="AF205" t="s">
        <v>417</v>
      </c>
      <c r="AG205" t="e">
        <f t="shared" si="59"/>
        <v>#VALUE!</v>
      </c>
      <c r="AH205" t="e">
        <f t="shared" si="69"/>
        <v>#VALUE!</v>
      </c>
      <c r="AI205" s="27"/>
    </row>
    <row r="206" spans="9:35" x14ac:dyDescent="0.25">
      <c r="I206" s="72" t="s">
        <v>458</v>
      </c>
      <c r="J206">
        <v>11</v>
      </c>
      <c r="K206" t="s">
        <v>417</v>
      </c>
      <c r="L206" t="e">
        <f t="shared" si="54"/>
        <v>#VALUE!</v>
      </c>
      <c r="M206" t="e">
        <f t="shared" si="65"/>
        <v>#VALUE!</v>
      </c>
      <c r="N206" s="27"/>
      <c r="P206" s="72" t="s">
        <v>458</v>
      </c>
      <c r="Q206">
        <v>5</v>
      </c>
      <c r="R206">
        <v>35.767096148109303</v>
      </c>
      <c r="S206">
        <f t="shared" si="66"/>
        <v>1.7101381745081599E-11</v>
      </c>
      <c r="T206">
        <f t="shared" si="67"/>
        <v>0.27010174914267038</v>
      </c>
      <c r="U206" s="27"/>
      <c r="V206" s="72"/>
      <c r="W206" s="72" t="s">
        <v>458</v>
      </c>
      <c r="X206">
        <v>6</v>
      </c>
      <c r="Y206">
        <v>25.2416434791066</v>
      </c>
      <c r="Z206">
        <f t="shared" si="57"/>
        <v>2.5206246145077451E-8</v>
      </c>
      <c r="AA206">
        <f t="shared" si="68"/>
        <v>0.22820209496965396</v>
      </c>
      <c r="AB206" s="27"/>
      <c r="AD206" s="72" t="s">
        <v>458</v>
      </c>
      <c r="AE206">
        <v>10</v>
      </c>
      <c r="AF206">
        <v>34.591558086234997</v>
      </c>
      <c r="AG206">
        <f t="shared" si="59"/>
        <v>3.862810642702766E-11</v>
      </c>
      <c r="AH206">
        <f t="shared" si="69"/>
        <v>3.4971549355753469E-4</v>
      </c>
      <c r="AI206" s="27"/>
    </row>
    <row r="207" spans="9:35" x14ac:dyDescent="0.25">
      <c r="I207" s="72" t="s">
        <v>459</v>
      </c>
      <c r="J207">
        <v>11</v>
      </c>
      <c r="K207" t="s">
        <v>417</v>
      </c>
      <c r="L207" t="e">
        <f t="shared" si="54"/>
        <v>#VALUE!</v>
      </c>
      <c r="M207" t="e">
        <f t="shared" si="65"/>
        <v>#VALUE!</v>
      </c>
      <c r="N207" s="27"/>
      <c r="P207" s="72" t="s">
        <v>482</v>
      </c>
      <c r="Q207">
        <v>5</v>
      </c>
      <c r="R207" t="s">
        <v>417</v>
      </c>
      <c r="S207" t="e">
        <f t="shared" si="66"/>
        <v>#VALUE!</v>
      </c>
      <c r="T207" t="e">
        <f t="shared" si="67"/>
        <v>#VALUE!</v>
      </c>
      <c r="U207" s="27"/>
      <c r="V207" s="72"/>
      <c r="W207" s="72" t="s">
        <v>459</v>
      </c>
      <c r="X207">
        <v>6</v>
      </c>
      <c r="Y207">
        <v>24.1133226729754</v>
      </c>
      <c r="Z207">
        <f t="shared" si="57"/>
        <v>5.5101900766926779E-8</v>
      </c>
      <c r="AA207">
        <f t="shared" si="68"/>
        <v>0.49885925573563966</v>
      </c>
      <c r="AB207" s="27"/>
      <c r="AD207" s="72" t="s">
        <v>459</v>
      </c>
      <c r="AE207">
        <v>10</v>
      </c>
      <c r="AF207" t="s">
        <v>417</v>
      </c>
      <c r="AG207" t="e">
        <f t="shared" si="59"/>
        <v>#VALUE!</v>
      </c>
      <c r="AH207" t="e">
        <f t="shared" si="69"/>
        <v>#VALUE!</v>
      </c>
      <c r="AI207" s="27"/>
    </row>
    <row r="208" spans="9:35" x14ac:dyDescent="0.25">
      <c r="I208" s="72" t="s">
        <v>460</v>
      </c>
      <c r="J208">
        <v>11</v>
      </c>
      <c r="K208" t="s">
        <v>417</v>
      </c>
      <c r="L208" t="e">
        <f t="shared" si="54"/>
        <v>#VALUE!</v>
      </c>
      <c r="M208" t="e">
        <f t="shared" si="65"/>
        <v>#VALUE!</v>
      </c>
      <c r="N208" s="27"/>
      <c r="P208" s="72" t="s">
        <v>483</v>
      </c>
      <c r="Q208">
        <v>5</v>
      </c>
      <c r="R208" t="s">
        <v>417</v>
      </c>
      <c r="S208" t="e">
        <f t="shared" si="66"/>
        <v>#VALUE!</v>
      </c>
      <c r="T208" t="e">
        <f t="shared" si="67"/>
        <v>#VALUE!</v>
      </c>
      <c r="U208" s="27"/>
      <c r="V208" s="72"/>
      <c r="W208" s="72" t="s">
        <v>460</v>
      </c>
      <c r="X208">
        <v>6</v>
      </c>
      <c r="Y208">
        <v>25.8979268841655</v>
      </c>
      <c r="Z208">
        <f t="shared" si="57"/>
        <v>1.5993635067942376E-8</v>
      </c>
      <c r="AA208">
        <f t="shared" si="68"/>
        <v>0.14479669077568469</v>
      </c>
      <c r="AB208" s="27"/>
      <c r="AD208" s="72" t="s">
        <v>460</v>
      </c>
      <c r="AE208">
        <v>10</v>
      </c>
      <c r="AF208" t="s">
        <v>417</v>
      </c>
      <c r="AG208" t="e">
        <f t="shared" si="59"/>
        <v>#VALUE!</v>
      </c>
      <c r="AH208" t="e">
        <f t="shared" si="69"/>
        <v>#VALUE!</v>
      </c>
      <c r="AI208" s="27"/>
    </row>
    <row r="209" spans="9:35" x14ac:dyDescent="0.25">
      <c r="I209" s="72" t="s">
        <v>461</v>
      </c>
      <c r="J209">
        <v>11</v>
      </c>
      <c r="K209" t="s">
        <v>417</v>
      </c>
      <c r="L209" t="e">
        <f t="shared" si="54"/>
        <v>#VALUE!</v>
      </c>
      <c r="M209" t="e">
        <f t="shared" si="65"/>
        <v>#VALUE!</v>
      </c>
      <c r="N209" s="27"/>
      <c r="P209" s="72" t="s">
        <v>484</v>
      </c>
      <c r="Q209">
        <v>5</v>
      </c>
      <c r="R209" t="s">
        <v>417</v>
      </c>
      <c r="S209" t="e">
        <f t="shared" si="66"/>
        <v>#VALUE!</v>
      </c>
      <c r="T209" t="e">
        <f t="shared" si="67"/>
        <v>#VALUE!</v>
      </c>
      <c r="U209" s="27"/>
      <c r="V209" s="72"/>
      <c r="W209" s="72" t="s">
        <v>461</v>
      </c>
      <c r="X209">
        <v>6</v>
      </c>
      <c r="Y209">
        <v>36.951861456853599</v>
      </c>
      <c r="Z209">
        <f t="shared" si="57"/>
        <v>7.5228310059083148E-12</v>
      </c>
      <c r="AA209">
        <f t="shared" si="68"/>
        <v>6.8107158272204984E-5</v>
      </c>
      <c r="AB209" s="27"/>
      <c r="AD209" s="72" t="s">
        <v>461</v>
      </c>
      <c r="AE209">
        <v>10</v>
      </c>
      <c r="AF209" t="s">
        <v>417</v>
      </c>
      <c r="AG209" t="e">
        <f t="shared" si="59"/>
        <v>#VALUE!</v>
      </c>
      <c r="AH209" t="e">
        <f t="shared" si="69"/>
        <v>#VALUE!</v>
      </c>
      <c r="AI209" s="27"/>
    </row>
    <row r="210" spans="9:35" x14ac:dyDescent="0.25">
      <c r="I210" s="72" t="s">
        <v>462</v>
      </c>
      <c r="J210">
        <v>11</v>
      </c>
      <c r="K210" t="s">
        <v>417</v>
      </c>
      <c r="L210" t="e">
        <f t="shared" si="54"/>
        <v>#VALUE!</v>
      </c>
      <c r="M210" t="e">
        <f t="shared" si="65"/>
        <v>#VALUE!</v>
      </c>
      <c r="N210" s="27"/>
      <c r="P210" s="72" t="s">
        <v>485</v>
      </c>
      <c r="Q210">
        <v>5</v>
      </c>
      <c r="R210" t="s">
        <v>417</v>
      </c>
      <c r="S210" t="e">
        <f t="shared" si="66"/>
        <v>#VALUE!</v>
      </c>
      <c r="T210" t="e">
        <f t="shared" si="67"/>
        <v>#VALUE!</v>
      </c>
      <c r="U210" s="27"/>
      <c r="V210" s="72"/>
      <c r="W210" s="72" t="s">
        <v>462</v>
      </c>
      <c r="X210">
        <v>6</v>
      </c>
      <c r="Y210">
        <v>37.086680891315197</v>
      </c>
      <c r="Z210">
        <f t="shared" si="57"/>
        <v>6.8516727516707703E-12</v>
      </c>
      <c r="AA210">
        <f t="shared" si="68"/>
        <v>6.2030897698073687E-5</v>
      </c>
      <c r="AB210" s="27"/>
      <c r="AD210" s="72" t="s">
        <v>462</v>
      </c>
      <c r="AE210">
        <v>10</v>
      </c>
      <c r="AF210" t="s">
        <v>417</v>
      </c>
      <c r="AG210" t="e">
        <f t="shared" si="59"/>
        <v>#VALUE!</v>
      </c>
      <c r="AH210" t="e">
        <f t="shared" si="69"/>
        <v>#VALUE!</v>
      </c>
      <c r="AI210" s="27"/>
    </row>
    <row r="211" spans="9:35" x14ac:dyDescent="0.25">
      <c r="I211" s="72" t="s">
        <v>463</v>
      </c>
      <c r="J211">
        <v>11</v>
      </c>
      <c r="K211" t="s">
        <v>417</v>
      </c>
      <c r="L211" t="e">
        <f t="shared" si="54"/>
        <v>#VALUE!</v>
      </c>
      <c r="M211" t="e">
        <f t="shared" si="65"/>
        <v>#VALUE!</v>
      </c>
      <c r="N211" s="27"/>
      <c r="P211" s="72" t="s">
        <v>463</v>
      </c>
      <c r="Q211">
        <v>5</v>
      </c>
      <c r="R211" t="s">
        <v>417</v>
      </c>
      <c r="S211" t="e">
        <f t="shared" si="66"/>
        <v>#VALUE!</v>
      </c>
      <c r="T211" t="e">
        <f t="shared" si="67"/>
        <v>#VALUE!</v>
      </c>
      <c r="U211" s="27"/>
      <c r="V211" s="72"/>
      <c r="W211" s="72" t="s">
        <v>463</v>
      </c>
      <c r="X211">
        <v>6</v>
      </c>
      <c r="Y211">
        <v>27.400893485392999</v>
      </c>
      <c r="Z211">
        <f t="shared" si="57"/>
        <v>5.6429883400836042E-9</v>
      </c>
      <c r="AA211">
        <f t="shared" si="68"/>
        <v>5.1088200666004085E-2</v>
      </c>
      <c r="AB211" s="27"/>
      <c r="AD211" s="72" t="s">
        <v>463</v>
      </c>
      <c r="AE211">
        <v>10</v>
      </c>
      <c r="AF211" t="s">
        <v>417</v>
      </c>
      <c r="AG211" t="e">
        <f t="shared" si="59"/>
        <v>#VALUE!</v>
      </c>
      <c r="AH211" t="e">
        <f t="shared" si="69"/>
        <v>#VALUE!</v>
      </c>
      <c r="AI211" s="27"/>
    </row>
    <row r="212" spans="9:35" x14ac:dyDescent="0.25">
      <c r="I212" s="72" t="s">
        <v>464</v>
      </c>
      <c r="J212">
        <v>11</v>
      </c>
      <c r="K212" t="s">
        <v>417</v>
      </c>
      <c r="L212" t="e">
        <f t="shared" si="54"/>
        <v>#VALUE!</v>
      </c>
      <c r="M212" t="e">
        <f t="shared" si="65"/>
        <v>#VALUE!</v>
      </c>
      <c r="N212" s="27"/>
      <c r="P212" s="72" t="s">
        <v>464</v>
      </c>
      <c r="Q212">
        <v>5</v>
      </c>
      <c r="R212">
        <v>30.8959059005448</v>
      </c>
      <c r="S212">
        <f t="shared" si="66"/>
        <v>5.0050172741129633E-10</v>
      </c>
      <c r="T212">
        <f t="shared" si="67"/>
        <v>7.9049982064518911</v>
      </c>
      <c r="U212" s="27"/>
      <c r="V212" s="72"/>
      <c r="W212" s="72" t="s">
        <v>464</v>
      </c>
      <c r="X212">
        <v>6</v>
      </c>
      <c r="Y212">
        <v>24.9683590040074</v>
      </c>
      <c r="Z212">
        <f t="shared" si="57"/>
        <v>3.0463163211145364E-8</v>
      </c>
      <c r="AA212">
        <f t="shared" si="68"/>
        <v>0.2757950400140593</v>
      </c>
      <c r="AB212" s="27"/>
      <c r="AD212" s="72" t="s">
        <v>464</v>
      </c>
      <c r="AE212">
        <v>10</v>
      </c>
      <c r="AF212">
        <v>33.074646822551699</v>
      </c>
      <c r="AG212">
        <f t="shared" si="59"/>
        <v>1.105450270817266E-10</v>
      </c>
      <c r="AH212">
        <f t="shared" si="69"/>
        <v>1.0008077610340112E-3</v>
      </c>
      <c r="AI212" s="27"/>
    </row>
    <row r="213" spans="9:35" x14ac:dyDescent="0.25">
      <c r="I213" s="72" t="s">
        <v>465</v>
      </c>
      <c r="J213">
        <v>11</v>
      </c>
      <c r="K213" t="s">
        <v>417</v>
      </c>
      <c r="L213" t="e">
        <f t="shared" si="54"/>
        <v>#VALUE!</v>
      </c>
      <c r="M213" t="e">
        <f t="shared" si="65"/>
        <v>#VALUE!</v>
      </c>
      <c r="N213" s="27"/>
      <c r="P213" s="72" t="s">
        <v>465</v>
      </c>
      <c r="Q213">
        <v>5</v>
      </c>
      <c r="R213">
        <v>39.685708845120999</v>
      </c>
      <c r="S213">
        <f t="shared" si="66"/>
        <v>1.1308662380667751E-12</v>
      </c>
      <c r="T213">
        <f t="shared" si="67"/>
        <v>1.7861068392095003E-2</v>
      </c>
      <c r="U213" s="27"/>
      <c r="V213" s="72"/>
      <c r="W213" s="72" t="s">
        <v>465</v>
      </c>
      <c r="X213">
        <v>6</v>
      </c>
      <c r="Y213">
        <v>33.772274225908802</v>
      </c>
      <c r="Z213">
        <f t="shared" si="57"/>
        <v>6.8160447991353133E-11</v>
      </c>
      <c r="AA213">
        <f t="shared" si="68"/>
        <v>6.1708343781823104E-4</v>
      </c>
      <c r="AB213" s="27"/>
      <c r="AD213" s="72" t="s">
        <v>465</v>
      </c>
      <c r="AE213">
        <v>10</v>
      </c>
      <c r="AF213" t="s">
        <v>417</v>
      </c>
      <c r="AG213" t="e">
        <f t="shared" si="59"/>
        <v>#VALUE!</v>
      </c>
      <c r="AH213" t="e">
        <f t="shared" si="69"/>
        <v>#VALUE!</v>
      </c>
      <c r="AI213" s="27"/>
    </row>
    <row r="214" spans="9:35" x14ac:dyDescent="0.25">
      <c r="I214" s="72" t="s">
        <v>466</v>
      </c>
      <c r="J214">
        <v>11</v>
      </c>
      <c r="K214" t="s">
        <v>417</v>
      </c>
      <c r="L214" t="e">
        <f t="shared" si="54"/>
        <v>#VALUE!</v>
      </c>
      <c r="M214" t="e">
        <f t="shared" si="65"/>
        <v>#VALUE!</v>
      </c>
      <c r="N214" s="27"/>
      <c r="P214" s="72" t="s">
        <v>466</v>
      </c>
      <c r="Q214">
        <v>5</v>
      </c>
      <c r="R214" t="s">
        <v>417</v>
      </c>
      <c r="S214" t="e">
        <f t="shared" si="66"/>
        <v>#VALUE!</v>
      </c>
      <c r="T214" t="e">
        <f t="shared" si="67"/>
        <v>#VALUE!</v>
      </c>
      <c r="U214" s="27"/>
      <c r="V214" s="72"/>
      <c r="W214" s="72" t="s">
        <v>466</v>
      </c>
      <c r="X214">
        <v>6</v>
      </c>
      <c r="Y214" t="s">
        <v>417</v>
      </c>
      <c r="Z214" t="e">
        <f t="shared" si="57"/>
        <v>#VALUE!</v>
      </c>
      <c r="AA214" t="e">
        <f t="shared" si="68"/>
        <v>#VALUE!</v>
      </c>
      <c r="AB214" s="27"/>
      <c r="AD214" s="72" t="s">
        <v>466</v>
      </c>
      <c r="AE214">
        <v>10</v>
      </c>
      <c r="AF214" t="s">
        <v>417</v>
      </c>
      <c r="AG214" t="e">
        <f t="shared" si="59"/>
        <v>#VALUE!</v>
      </c>
      <c r="AH214" t="e">
        <f t="shared" si="69"/>
        <v>#VALUE!</v>
      </c>
      <c r="AI214" s="27"/>
    </row>
    <row r="215" spans="9:35" x14ac:dyDescent="0.25">
      <c r="I215" s="72" t="s">
        <v>467</v>
      </c>
      <c r="J215">
        <v>11</v>
      </c>
      <c r="K215" t="s">
        <v>417</v>
      </c>
      <c r="L215" t="e">
        <f t="shared" si="54"/>
        <v>#VALUE!</v>
      </c>
      <c r="M215" t="e">
        <f t="shared" si="65"/>
        <v>#VALUE!</v>
      </c>
      <c r="N215" s="27"/>
      <c r="P215" s="72" t="s">
        <v>467</v>
      </c>
      <c r="Q215">
        <v>5</v>
      </c>
      <c r="R215" t="s">
        <v>417</v>
      </c>
      <c r="S215" t="e">
        <f t="shared" si="66"/>
        <v>#VALUE!</v>
      </c>
      <c r="T215" t="e">
        <f t="shared" si="67"/>
        <v>#VALUE!</v>
      </c>
      <c r="U215" s="27"/>
      <c r="V215" s="72"/>
      <c r="W215" s="72" t="s">
        <v>467</v>
      </c>
      <c r="X215">
        <v>6</v>
      </c>
      <c r="Y215">
        <v>33.380761674721697</v>
      </c>
      <c r="Z215">
        <f t="shared" si="57"/>
        <v>8.941069234047703E-11</v>
      </c>
      <c r="AA215">
        <f t="shared" si="68"/>
        <v>8.0947028714026541E-4</v>
      </c>
      <c r="AB215" s="27"/>
      <c r="AD215" s="72" t="s">
        <v>467</v>
      </c>
      <c r="AE215">
        <v>10</v>
      </c>
      <c r="AF215" t="s">
        <v>417</v>
      </c>
      <c r="AG215" t="e">
        <f t="shared" si="59"/>
        <v>#VALUE!</v>
      </c>
      <c r="AH215" t="e">
        <f t="shared" si="69"/>
        <v>#VALUE!</v>
      </c>
      <c r="AI215" s="27"/>
    </row>
    <row r="216" spans="9:35" x14ac:dyDescent="0.25">
      <c r="I216" s="72" t="s">
        <v>468</v>
      </c>
      <c r="J216">
        <v>11</v>
      </c>
      <c r="K216" t="s">
        <v>417</v>
      </c>
      <c r="L216" t="e">
        <f t="shared" si="54"/>
        <v>#VALUE!</v>
      </c>
      <c r="M216" t="e">
        <f t="shared" si="65"/>
        <v>#VALUE!</v>
      </c>
      <c r="N216" s="27"/>
      <c r="P216" s="72" t="s">
        <v>468</v>
      </c>
      <c r="Q216">
        <v>5</v>
      </c>
      <c r="R216" t="s">
        <v>417</v>
      </c>
      <c r="S216" t="e">
        <f t="shared" si="66"/>
        <v>#VALUE!</v>
      </c>
      <c r="T216" t="e">
        <f t="shared" si="67"/>
        <v>#VALUE!</v>
      </c>
      <c r="U216" s="27"/>
      <c r="V216" s="72"/>
      <c r="W216" s="72" t="s">
        <v>468</v>
      </c>
      <c r="X216">
        <v>6</v>
      </c>
      <c r="Y216">
        <v>33.0118887718819</v>
      </c>
      <c r="Z216">
        <f t="shared" si="57"/>
        <v>1.1545992369335483E-10</v>
      </c>
      <c r="AA216">
        <f t="shared" si="68"/>
        <v>1.0453042599127963E-3</v>
      </c>
      <c r="AB216" s="27"/>
      <c r="AD216" s="72" t="s">
        <v>468</v>
      </c>
      <c r="AE216">
        <v>10</v>
      </c>
      <c r="AF216" t="s">
        <v>417</v>
      </c>
      <c r="AG216" t="e">
        <f t="shared" si="59"/>
        <v>#VALUE!</v>
      </c>
      <c r="AH216" t="e">
        <f t="shared" si="69"/>
        <v>#VALUE!</v>
      </c>
      <c r="AI216" s="27"/>
    </row>
    <row r="217" spans="9:35" x14ac:dyDescent="0.25">
      <c r="I217" s="72" t="s">
        <v>486</v>
      </c>
      <c r="J217">
        <v>11</v>
      </c>
      <c r="K217" t="s">
        <v>417</v>
      </c>
      <c r="L217" t="e">
        <f t="shared" si="54"/>
        <v>#VALUE!</v>
      </c>
      <c r="M217" t="e">
        <f t="shared" si="65"/>
        <v>#VALUE!</v>
      </c>
      <c r="N217" s="27"/>
      <c r="P217" s="72" t="s">
        <v>486</v>
      </c>
      <c r="Q217">
        <v>5</v>
      </c>
      <c r="R217">
        <v>35.890740796007599</v>
      </c>
      <c r="S217">
        <f t="shared" si="66"/>
        <v>1.5696775749158398E-11</v>
      </c>
      <c r="T217">
        <f t="shared" si="67"/>
        <v>0.24791719458384057</v>
      </c>
      <c r="U217" s="27"/>
      <c r="V217" s="72"/>
      <c r="W217" s="72" t="s">
        <v>486</v>
      </c>
      <c r="X217">
        <v>6</v>
      </c>
      <c r="Y217">
        <v>28.310720302355101</v>
      </c>
      <c r="Z217">
        <f t="shared" si="57"/>
        <v>3.0034747840404704E-9</v>
      </c>
      <c r="AA217">
        <f t="shared" si="68"/>
        <v>2.7191642657207669E-2</v>
      </c>
      <c r="AB217" s="27"/>
      <c r="AD217" s="72" t="s">
        <v>486</v>
      </c>
      <c r="AE217">
        <v>10</v>
      </c>
      <c r="AF217" t="s">
        <v>417</v>
      </c>
      <c r="AG217" t="e">
        <f t="shared" si="59"/>
        <v>#VALUE!</v>
      </c>
      <c r="AH217" t="e">
        <f t="shared" si="69"/>
        <v>#VALUE!</v>
      </c>
      <c r="AI217" s="27"/>
    </row>
    <row r="218" spans="9:35" ht="15.75" thickBot="1" x14ac:dyDescent="0.3">
      <c r="I218" s="73" t="s">
        <v>470</v>
      </c>
      <c r="J218" s="2">
        <v>11</v>
      </c>
      <c r="K218" s="2" t="s">
        <v>417</v>
      </c>
      <c r="L218" s="2" t="e">
        <f t="shared" si="54"/>
        <v>#VALUE!</v>
      </c>
      <c r="M218" s="2" t="e">
        <f t="shared" si="65"/>
        <v>#VALUE!</v>
      </c>
      <c r="N218" s="8"/>
      <c r="P218" s="73" t="s">
        <v>470</v>
      </c>
      <c r="Q218" s="2">
        <v>5</v>
      </c>
      <c r="R218" s="2" t="s">
        <v>417</v>
      </c>
      <c r="S218" s="2" t="e">
        <f t="shared" si="66"/>
        <v>#VALUE!</v>
      </c>
      <c r="T218" s="2" t="e">
        <f t="shared" si="67"/>
        <v>#VALUE!</v>
      </c>
      <c r="U218" s="8"/>
      <c r="V218" s="72"/>
      <c r="W218" s="73" t="s">
        <v>470</v>
      </c>
      <c r="X218" s="2">
        <v>6</v>
      </c>
      <c r="Y218" s="2">
        <v>35.750277347603102</v>
      </c>
      <c r="Z218" s="2">
        <f t="shared" si="57"/>
        <v>1.7301914639810737E-11</v>
      </c>
      <c r="AA218" s="2">
        <f t="shared" si="68"/>
        <v>1.5664106210285539E-4</v>
      </c>
      <c r="AB218" s="8"/>
      <c r="AD218" s="73" t="s">
        <v>470</v>
      </c>
      <c r="AE218" s="2">
        <v>10</v>
      </c>
      <c r="AF218" s="2" t="s">
        <v>417</v>
      </c>
      <c r="AG218" s="2" t="e">
        <f t="shared" si="59"/>
        <v>#VALUE!</v>
      </c>
      <c r="AH218" s="2" t="e">
        <f t="shared" si="69"/>
        <v>#VALUE!</v>
      </c>
      <c r="AI218" s="8"/>
    </row>
    <row r="219" spans="9:35" x14ac:dyDescent="0.25">
      <c r="I219" s="71" t="s">
        <v>452</v>
      </c>
      <c r="J219" s="50">
        <v>12</v>
      </c>
      <c r="K219" s="50" t="s">
        <v>417</v>
      </c>
      <c r="L219" s="50" t="e">
        <f t="shared" si="54"/>
        <v>#VALUE!</v>
      </c>
      <c r="M219" s="50"/>
      <c r="N219" s="25"/>
      <c r="P219" s="71" t="s">
        <v>452</v>
      </c>
      <c r="Q219" s="50">
        <v>6</v>
      </c>
      <c r="R219" s="50">
        <v>33.521240252141702</v>
      </c>
      <c r="S219" s="50">
        <f t="shared" si="66"/>
        <v>8.1115003684374553E-11</v>
      </c>
      <c r="T219" s="50"/>
      <c r="U219" s="25"/>
      <c r="V219" s="72"/>
      <c r="W219" s="71" t="s">
        <v>452</v>
      </c>
      <c r="X219" s="50">
        <v>7</v>
      </c>
      <c r="Y219" s="50" t="s">
        <v>417</v>
      </c>
      <c r="Z219" s="50" t="e">
        <f t="shared" si="57"/>
        <v>#VALUE!</v>
      </c>
      <c r="AA219" s="50"/>
      <c r="AB219" s="25"/>
      <c r="AD219" s="71" t="s">
        <v>452</v>
      </c>
      <c r="AE219" s="50">
        <v>11</v>
      </c>
      <c r="AF219" s="50" t="s">
        <v>417</v>
      </c>
      <c r="AG219" s="50" t="e">
        <f t="shared" si="59"/>
        <v>#VALUE!</v>
      </c>
      <c r="AH219" s="50"/>
      <c r="AI219" s="25"/>
    </row>
    <row r="220" spans="9:35" x14ac:dyDescent="0.25">
      <c r="I220" s="72" t="s">
        <v>454</v>
      </c>
      <c r="J220">
        <v>12</v>
      </c>
      <c r="K220" t="s">
        <v>417</v>
      </c>
      <c r="L220" t="e">
        <f t="shared" si="54"/>
        <v>#VALUE!</v>
      </c>
      <c r="M220" t="e">
        <f>L220/$S$219</f>
        <v>#VALUE!</v>
      </c>
      <c r="N220" s="27" t="e">
        <f>_xlfn.AGGREGATE(1,6,(M220,M238))</f>
        <v>#DIV/0!</v>
      </c>
      <c r="P220" s="72" t="s">
        <v>454</v>
      </c>
      <c r="Q220">
        <v>6</v>
      </c>
      <c r="R220">
        <v>35.4025258077058</v>
      </c>
      <c r="S220">
        <f t="shared" si="66"/>
        <v>2.2017997070909615E-11</v>
      </c>
      <c r="T220">
        <f>S220/$S$219</f>
        <v>0.27144173174895647</v>
      </c>
      <c r="U220" s="27">
        <f>_xlfn.AGGREGATE(1,6,(T220,T238))</f>
        <v>0.27144173174895647</v>
      </c>
      <c r="V220" s="72"/>
      <c r="W220" s="72" t="s">
        <v>454</v>
      </c>
      <c r="X220">
        <v>7</v>
      </c>
      <c r="Y220" t="s">
        <v>417</v>
      </c>
      <c r="Z220" t="e">
        <f t="shared" si="57"/>
        <v>#VALUE!</v>
      </c>
      <c r="AA220" t="e">
        <f>Z220/$Z$237</f>
        <v>#VALUE!</v>
      </c>
      <c r="AB220" s="27" t="e">
        <f>_xlfn.AGGREGATE(1,6,(AA220,AA238))</f>
        <v>#DIV/0!</v>
      </c>
      <c r="AD220" s="72" t="s">
        <v>454</v>
      </c>
      <c r="AE220">
        <v>11</v>
      </c>
      <c r="AF220">
        <v>36.492836823859903</v>
      </c>
      <c r="AG220">
        <f t="shared" si="59"/>
        <v>1.0340975022720718E-11</v>
      </c>
      <c r="AH220">
        <f>AG220/$Z$237</f>
        <v>0.9056219724578829</v>
      </c>
      <c r="AI220" s="27">
        <f>_xlfn.AGGREGATE(1,6,(AH220,AH238))</f>
        <v>0.86024154073680714</v>
      </c>
    </row>
    <row r="221" spans="9:35" x14ac:dyDescent="0.25">
      <c r="I221" s="72" t="s">
        <v>455</v>
      </c>
      <c r="J221">
        <v>12</v>
      </c>
      <c r="K221" t="s">
        <v>417</v>
      </c>
      <c r="L221" t="e">
        <f t="shared" si="54"/>
        <v>#VALUE!</v>
      </c>
      <c r="M221" t="e">
        <f t="shared" ref="M221:M236" si="70">L221/$S$219</f>
        <v>#VALUE!</v>
      </c>
      <c r="N221" s="27" t="e">
        <f>_xlfn.AGGREGATE(1,6,(M221,M239))</f>
        <v>#DIV/0!</v>
      </c>
      <c r="P221" s="72" t="s">
        <v>455</v>
      </c>
      <c r="Q221">
        <v>6</v>
      </c>
      <c r="R221" t="s">
        <v>417</v>
      </c>
      <c r="S221" t="e">
        <f t="shared" si="66"/>
        <v>#VALUE!</v>
      </c>
      <c r="T221" t="e">
        <f t="shared" ref="T221:T236" si="71">S221/$S$219</f>
        <v>#VALUE!</v>
      </c>
      <c r="U221" s="27">
        <f>_xlfn.AGGREGATE(1,6,(T221,T239))</f>
        <v>6.6814139987045343E-2</v>
      </c>
      <c r="V221" s="72"/>
      <c r="W221" s="72" t="s">
        <v>455</v>
      </c>
      <c r="X221">
        <v>7</v>
      </c>
      <c r="Y221" t="s">
        <v>417</v>
      </c>
      <c r="Z221" t="e">
        <f t="shared" si="57"/>
        <v>#VALUE!</v>
      </c>
      <c r="AA221" t="e">
        <f t="shared" ref="AA221:AA236" si="72">Z221/$Z$237</f>
        <v>#VALUE!</v>
      </c>
      <c r="AB221" s="27" t="e">
        <f>_xlfn.AGGREGATE(1,6,(AA221,AA239))</f>
        <v>#DIV/0!</v>
      </c>
      <c r="AD221" s="72" t="s">
        <v>455</v>
      </c>
      <c r="AE221">
        <v>11</v>
      </c>
      <c r="AF221" t="s">
        <v>417</v>
      </c>
      <c r="AG221" t="e">
        <f t="shared" si="59"/>
        <v>#VALUE!</v>
      </c>
      <c r="AH221" t="e">
        <f t="shared" ref="AH221:AH236" si="73">AG221/$Z$237</f>
        <v>#VALUE!</v>
      </c>
      <c r="AI221" s="27" t="e">
        <f>_xlfn.AGGREGATE(1,6,(AH221,AH239))</f>
        <v>#DIV/0!</v>
      </c>
    </row>
    <row r="222" spans="9:35" x14ac:dyDescent="0.25">
      <c r="I222" s="72" t="s">
        <v>481</v>
      </c>
      <c r="J222">
        <v>12</v>
      </c>
      <c r="K222" t="s">
        <v>417</v>
      </c>
      <c r="L222" t="e">
        <f t="shared" si="54"/>
        <v>#VALUE!</v>
      </c>
      <c r="M222" t="e">
        <f t="shared" si="70"/>
        <v>#VALUE!</v>
      </c>
      <c r="N222" s="27" t="e">
        <f>_xlfn.AGGREGATE(1,6,(M222,M240))</f>
        <v>#DIV/0!</v>
      </c>
      <c r="P222" s="72" t="s">
        <v>481</v>
      </c>
      <c r="Q222">
        <v>6</v>
      </c>
      <c r="R222">
        <v>31.201867078845801</v>
      </c>
      <c r="S222">
        <f t="shared" si="66"/>
        <v>4.0485740634841571E-10</v>
      </c>
      <c r="T222">
        <f t="shared" si="71"/>
        <v>4.9911531524272705</v>
      </c>
      <c r="U222" s="27">
        <f>_xlfn.AGGREGATE(1,6,(T222,T240))</f>
        <v>4.6179610066348467</v>
      </c>
      <c r="V222" s="72"/>
      <c r="W222" s="72" t="s">
        <v>481</v>
      </c>
      <c r="X222">
        <v>7</v>
      </c>
      <c r="Y222">
        <v>32.158880203690003</v>
      </c>
      <c r="Z222">
        <f t="shared" si="57"/>
        <v>2.085510744800696E-10</v>
      </c>
      <c r="AA222">
        <f t="shared" si="72"/>
        <v>18.264083900587554</v>
      </c>
      <c r="AB222" s="27">
        <f>_xlfn.AGGREGATE(1,6,(AA222,AA240))</f>
        <v>46.574269055740054</v>
      </c>
      <c r="AD222" s="72" t="s">
        <v>481</v>
      </c>
      <c r="AE222">
        <v>11</v>
      </c>
      <c r="AF222">
        <v>34.826055205434599</v>
      </c>
      <c r="AG222">
        <f t="shared" si="59"/>
        <v>3.2833165251610806E-11</v>
      </c>
      <c r="AH222">
        <f t="shared" si="73"/>
        <v>2.8753996418972347</v>
      </c>
      <c r="AI222" s="27">
        <f>_xlfn.AGGREGATE(1,6,(AH222,AH240))</f>
        <v>3.8999751929680415</v>
      </c>
    </row>
    <row r="223" spans="9:35" x14ac:dyDescent="0.25">
      <c r="I223" s="72" t="s">
        <v>457</v>
      </c>
      <c r="J223">
        <v>12</v>
      </c>
      <c r="K223" t="s">
        <v>417</v>
      </c>
      <c r="L223" t="e">
        <f t="shared" si="54"/>
        <v>#VALUE!</v>
      </c>
      <c r="M223" t="e">
        <f t="shared" si="70"/>
        <v>#VALUE!</v>
      </c>
      <c r="N223" s="27" t="e">
        <f>_xlfn.AGGREGATE(1,6,(M223,M241))</f>
        <v>#DIV/0!</v>
      </c>
      <c r="P223" s="72" t="s">
        <v>457</v>
      </c>
      <c r="Q223">
        <v>6</v>
      </c>
      <c r="R223" t="s">
        <v>417</v>
      </c>
      <c r="S223" t="e">
        <f t="shared" si="66"/>
        <v>#VALUE!</v>
      </c>
      <c r="T223" t="e">
        <f t="shared" si="71"/>
        <v>#VALUE!</v>
      </c>
      <c r="U223" s="27" t="e">
        <f>_xlfn.AGGREGATE(1,6,(T223,T241))</f>
        <v>#DIV/0!</v>
      </c>
      <c r="V223" s="72"/>
      <c r="W223" s="72" t="s">
        <v>457</v>
      </c>
      <c r="X223">
        <v>7</v>
      </c>
      <c r="Y223" t="s">
        <v>417</v>
      </c>
      <c r="Z223" t="e">
        <f t="shared" si="57"/>
        <v>#VALUE!</v>
      </c>
      <c r="AA223" t="e">
        <f t="shared" si="72"/>
        <v>#VALUE!</v>
      </c>
      <c r="AB223" s="27" t="e">
        <f>_xlfn.AGGREGATE(1,6,(AA223,AA241))</f>
        <v>#DIV/0!</v>
      </c>
      <c r="AD223" s="72" t="s">
        <v>457</v>
      </c>
      <c r="AE223">
        <v>11</v>
      </c>
      <c r="AF223" t="s">
        <v>417</v>
      </c>
      <c r="AG223" t="e">
        <f t="shared" si="59"/>
        <v>#VALUE!</v>
      </c>
      <c r="AH223" t="e">
        <f t="shared" si="73"/>
        <v>#VALUE!</v>
      </c>
      <c r="AI223" s="27" t="e">
        <f>_xlfn.AGGREGATE(1,6,(AH223,AH241))</f>
        <v>#DIV/0!</v>
      </c>
    </row>
    <row r="224" spans="9:35" x14ac:dyDescent="0.25">
      <c r="I224" s="72" t="s">
        <v>458</v>
      </c>
      <c r="J224">
        <v>12</v>
      </c>
      <c r="K224" t="s">
        <v>417</v>
      </c>
      <c r="L224" t="e">
        <f t="shared" si="54"/>
        <v>#VALUE!</v>
      </c>
      <c r="M224" t="e">
        <f t="shared" si="70"/>
        <v>#VALUE!</v>
      </c>
      <c r="N224" s="27" t="e">
        <f>_xlfn.AGGREGATE(1,6,(M224,M242))</f>
        <v>#DIV/0!</v>
      </c>
      <c r="P224" s="72" t="s">
        <v>458</v>
      </c>
      <c r="Q224">
        <v>6</v>
      </c>
      <c r="R224">
        <v>35.922483467947899</v>
      </c>
      <c r="S224">
        <f t="shared" si="66"/>
        <v>1.5355181612588813E-11</v>
      </c>
      <c r="T224">
        <f t="shared" si="71"/>
        <v>0.1893013735453572</v>
      </c>
      <c r="U224" s="27">
        <f>_xlfn.AGGREGATE(1,6,(T224,T242))</f>
        <v>0.20800139429831227</v>
      </c>
      <c r="V224" s="72"/>
      <c r="W224" s="72" t="s">
        <v>458</v>
      </c>
      <c r="X224">
        <v>7</v>
      </c>
      <c r="Y224" t="s">
        <v>417</v>
      </c>
      <c r="Z224" t="e">
        <f t="shared" si="57"/>
        <v>#VALUE!</v>
      </c>
      <c r="AA224" t="e">
        <f t="shared" si="72"/>
        <v>#VALUE!</v>
      </c>
      <c r="AB224" s="27" t="e">
        <f>_xlfn.AGGREGATE(1,6,(AA224,AA242))</f>
        <v>#DIV/0!</v>
      </c>
      <c r="AD224" s="72" t="s">
        <v>458</v>
      </c>
      <c r="AE224">
        <v>11</v>
      </c>
      <c r="AF224" t="s">
        <v>417</v>
      </c>
      <c r="AG224" t="e">
        <f t="shared" si="59"/>
        <v>#VALUE!</v>
      </c>
      <c r="AH224" t="e">
        <f t="shared" si="73"/>
        <v>#VALUE!</v>
      </c>
      <c r="AI224" s="27" t="e">
        <f>_xlfn.AGGREGATE(1,6,(AH224,AH242))</f>
        <v>#DIV/0!</v>
      </c>
    </row>
    <row r="225" spans="9:35" x14ac:dyDescent="0.25">
      <c r="I225" s="72" t="s">
        <v>459</v>
      </c>
      <c r="J225">
        <v>12</v>
      </c>
      <c r="K225" t="s">
        <v>417</v>
      </c>
      <c r="L225" t="e">
        <f t="shared" si="54"/>
        <v>#VALUE!</v>
      </c>
      <c r="M225" t="e">
        <f t="shared" si="70"/>
        <v>#VALUE!</v>
      </c>
      <c r="N225" s="27" t="e">
        <f>_xlfn.AGGREGATE(1,6,(M225,M243))</f>
        <v>#DIV/0!</v>
      </c>
      <c r="P225" s="72" t="s">
        <v>482</v>
      </c>
      <c r="Q225">
        <v>6</v>
      </c>
      <c r="R225" t="s">
        <v>417</v>
      </c>
      <c r="S225" t="e">
        <f t="shared" si="66"/>
        <v>#VALUE!</v>
      </c>
      <c r="T225" t="e">
        <f t="shared" si="71"/>
        <v>#VALUE!</v>
      </c>
      <c r="U225" s="27">
        <f>_xlfn.AGGREGATE(1,6,(T225,T243))</f>
        <v>0.20883499612902226</v>
      </c>
      <c r="V225" s="72"/>
      <c r="W225" s="72" t="s">
        <v>459</v>
      </c>
      <c r="X225">
        <v>7</v>
      </c>
      <c r="Y225" t="s">
        <v>417</v>
      </c>
      <c r="Z225" t="e">
        <f t="shared" si="57"/>
        <v>#VALUE!</v>
      </c>
      <c r="AA225" t="e">
        <f t="shared" si="72"/>
        <v>#VALUE!</v>
      </c>
      <c r="AB225" s="27">
        <f>_xlfn.AGGREGATE(1,6,(AA225,AA243))</f>
        <v>1.2289835497525319</v>
      </c>
      <c r="AD225" s="72" t="s">
        <v>459</v>
      </c>
      <c r="AE225">
        <v>11</v>
      </c>
      <c r="AF225" t="s">
        <v>417</v>
      </c>
      <c r="AG225" t="e">
        <f t="shared" si="59"/>
        <v>#VALUE!</v>
      </c>
      <c r="AH225" t="e">
        <f t="shared" si="73"/>
        <v>#VALUE!</v>
      </c>
      <c r="AI225" s="27" t="e">
        <f>_xlfn.AGGREGATE(1,6,(AH225,AH243))</f>
        <v>#DIV/0!</v>
      </c>
    </row>
    <row r="226" spans="9:35" x14ac:dyDescent="0.25">
      <c r="I226" s="72" t="s">
        <v>460</v>
      </c>
      <c r="J226">
        <v>12</v>
      </c>
      <c r="K226" t="s">
        <v>417</v>
      </c>
      <c r="L226" t="e">
        <f t="shared" si="54"/>
        <v>#VALUE!</v>
      </c>
      <c r="M226" t="e">
        <f t="shared" si="70"/>
        <v>#VALUE!</v>
      </c>
      <c r="N226" s="27" t="e">
        <f>_xlfn.AGGREGATE(1,6,(M226,M244))</f>
        <v>#DIV/0!</v>
      </c>
      <c r="P226" s="72" t="s">
        <v>483</v>
      </c>
      <c r="Q226">
        <v>6</v>
      </c>
      <c r="R226">
        <v>37.375650502189302</v>
      </c>
      <c r="S226">
        <f t="shared" si="66"/>
        <v>5.6080011160473105E-12</v>
      </c>
      <c r="T226">
        <f t="shared" si="71"/>
        <v>6.913642188649248E-2</v>
      </c>
      <c r="U226" s="27">
        <f>_xlfn.AGGREGATE(1,6,(T226,T244))</f>
        <v>0.14550990157354318</v>
      </c>
      <c r="V226" s="72"/>
      <c r="W226" s="72" t="s">
        <v>460</v>
      </c>
      <c r="X226">
        <v>7</v>
      </c>
      <c r="Y226" t="s">
        <v>417</v>
      </c>
      <c r="Z226" t="e">
        <f t="shared" si="57"/>
        <v>#VALUE!</v>
      </c>
      <c r="AA226" t="e">
        <f t="shared" si="72"/>
        <v>#VALUE!</v>
      </c>
      <c r="AB226" s="27" t="e">
        <f>_xlfn.AGGREGATE(1,6,(AA226,AA244))</f>
        <v>#DIV/0!</v>
      </c>
      <c r="AD226" s="72" t="s">
        <v>460</v>
      </c>
      <c r="AE226">
        <v>11</v>
      </c>
      <c r="AF226" t="s">
        <v>417</v>
      </c>
      <c r="AG226" t="e">
        <f t="shared" si="59"/>
        <v>#VALUE!</v>
      </c>
      <c r="AH226" t="e">
        <f t="shared" si="73"/>
        <v>#VALUE!</v>
      </c>
      <c r="AI226" s="27" t="e">
        <f>_xlfn.AGGREGATE(1,6,(AH226,AH244))</f>
        <v>#DIV/0!</v>
      </c>
    </row>
    <row r="227" spans="9:35" x14ac:dyDescent="0.25">
      <c r="I227" s="72" t="s">
        <v>461</v>
      </c>
      <c r="J227">
        <v>12</v>
      </c>
      <c r="K227" t="s">
        <v>417</v>
      </c>
      <c r="L227" t="e">
        <f t="shared" si="54"/>
        <v>#VALUE!</v>
      </c>
      <c r="M227" t="e">
        <f t="shared" si="70"/>
        <v>#VALUE!</v>
      </c>
      <c r="N227" s="27" t="e">
        <f>_xlfn.AGGREGATE(1,6,(M227,M245))</f>
        <v>#DIV/0!</v>
      </c>
      <c r="P227" s="72" t="s">
        <v>484</v>
      </c>
      <c r="Q227">
        <v>6</v>
      </c>
      <c r="R227" t="s">
        <v>417</v>
      </c>
      <c r="S227" t="e">
        <f t="shared" si="66"/>
        <v>#VALUE!</v>
      </c>
      <c r="T227" t="e">
        <f t="shared" si="71"/>
        <v>#VALUE!</v>
      </c>
      <c r="U227" s="27" t="e">
        <f>_xlfn.AGGREGATE(1,6,(T227,T245))</f>
        <v>#DIV/0!</v>
      </c>
      <c r="V227" s="72"/>
      <c r="W227" s="72" t="s">
        <v>461</v>
      </c>
      <c r="X227">
        <v>7</v>
      </c>
      <c r="Y227" t="s">
        <v>417</v>
      </c>
      <c r="Z227" t="e">
        <f t="shared" si="57"/>
        <v>#VALUE!</v>
      </c>
      <c r="AA227" t="e">
        <f t="shared" si="72"/>
        <v>#VALUE!</v>
      </c>
      <c r="AB227" s="27" t="e">
        <f>_xlfn.AGGREGATE(1,6,(AA227,AA245))</f>
        <v>#DIV/0!</v>
      </c>
      <c r="AD227" s="72" t="s">
        <v>461</v>
      </c>
      <c r="AE227">
        <v>11</v>
      </c>
      <c r="AF227" t="s">
        <v>417</v>
      </c>
      <c r="AG227" t="e">
        <f t="shared" si="59"/>
        <v>#VALUE!</v>
      </c>
      <c r="AH227" t="e">
        <f t="shared" si="73"/>
        <v>#VALUE!</v>
      </c>
      <c r="AI227" s="27" t="e">
        <f>_xlfn.AGGREGATE(1,6,(AH227,AH245))</f>
        <v>#DIV/0!</v>
      </c>
    </row>
    <row r="228" spans="9:35" x14ac:dyDescent="0.25">
      <c r="I228" s="72" t="s">
        <v>462</v>
      </c>
      <c r="J228">
        <v>12</v>
      </c>
      <c r="K228" t="s">
        <v>417</v>
      </c>
      <c r="L228" t="e">
        <f t="shared" si="54"/>
        <v>#VALUE!</v>
      </c>
      <c r="M228" t="e">
        <f t="shared" si="70"/>
        <v>#VALUE!</v>
      </c>
      <c r="N228" s="27" t="e">
        <f>_xlfn.AGGREGATE(1,6,(M228,M246))</f>
        <v>#DIV/0!</v>
      </c>
      <c r="P228" s="72" t="s">
        <v>485</v>
      </c>
      <c r="Q228">
        <v>6</v>
      </c>
      <c r="R228" t="s">
        <v>417</v>
      </c>
      <c r="S228" t="e">
        <f t="shared" si="66"/>
        <v>#VALUE!</v>
      </c>
      <c r="T228" t="e">
        <f t="shared" si="71"/>
        <v>#VALUE!</v>
      </c>
      <c r="U228" s="27" t="e">
        <f>_xlfn.AGGREGATE(1,6,(T228,T246))</f>
        <v>#DIV/0!</v>
      </c>
      <c r="V228" s="72"/>
      <c r="W228" s="72" t="s">
        <v>462</v>
      </c>
      <c r="X228">
        <v>7</v>
      </c>
      <c r="Y228" t="s">
        <v>417</v>
      </c>
      <c r="Z228" t="e">
        <f t="shared" si="57"/>
        <v>#VALUE!</v>
      </c>
      <c r="AA228" t="e">
        <f t="shared" si="72"/>
        <v>#VALUE!</v>
      </c>
      <c r="AB228" s="27" t="e">
        <f>_xlfn.AGGREGATE(1,6,(AA228,AA246))</f>
        <v>#DIV/0!</v>
      </c>
      <c r="AD228" s="72" t="s">
        <v>462</v>
      </c>
      <c r="AE228">
        <v>11</v>
      </c>
      <c r="AF228" t="s">
        <v>417</v>
      </c>
      <c r="AG228" t="e">
        <f t="shared" si="59"/>
        <v>#VALUE!</v>
      </c>
      <c r="AH228" t="e">
        <f t="shared" si="73"/>
        <v>#VALUE!</v>
      </c>
      <c r="AI228" s="27" t="e">
        <f>_xlfn.AGGREGATE(1,6,(AH228,AH246))</f>
        <v>#DIV/0!</v>
      </c>
    </row>
    <row r="229" spans="9:35" x14ac:dyDescent="0.25">
      <c r="I229" s="72" t="s">
        <v>463</v>
      </c>
      <c r="J229">
        <v>12</v>
      </c>
      <c r="K229" t="s">
        <v>417</v>
      </c>
      <c r="L229" t="e">
        <f t="shared" si="54"/>
        <v>#VALUE!</v>
      </c>
      <c r="M229" t="e">
        <f t="shared" si="70"/>
        <v>#VALUE!</v>
      </c>
      <c r="N229" s="27" t="e">
        <f>_xlfn.AGGREGATE(1,6,(M229,M247))</f>
        <v>#DIV/0!</v>
      </c>
      <c r="P229" s="72" t="s">
        <v>463</v>
      </c>
      <c r="Q229">
        <v>6</v>
      </c>
      <c r="R229" t="s">
        <v>417</v>
      </c>
      <c r="S229" t="e">
        <f t="shared" si="66"/>
        <v>#VALUE!</v>
      </c>
      <c r="T229" t="e">
        <f t="shared" si="71"/>
        <v>#VALUE!</v>
      </c>
      <c r="U229" s="27">
        <f>_xlfn.AGGREGATE(1,6,(T229,T247))</f>
        <v>0.11089688637476874</v>
      </c>
      <c r="V229" s="72"/>
      <c r="W229" s="72" t="s">
        <v>463</v>
      </c>
      <c r="X229">
        <v>7</v>
      </c>
      <c r="Y229" t="s">
        <v>417</v>
      </c>
      <c r="Z229" t="e">
        <f t="shared" si="57"/>
        <v>#VALUE!</v>
      </c>
      <c r="AA229" t="e">
        <f t="shared" si="72"/>
        <v>#VALUE!</v>
      </c>
      <c r="AB229" s="27" t="e">
        <f>_xlfn.AGGREGATE(1,6,(AA229,AA247))</f>
        <v>#DIV/0!</v>
      </c>
      <c r="AD229" s="72" t="s">
        <v>463</v>
      </c>
      <c r="AE229">
        <v>11</v>
      </c>
      <c r="AF229" t="s">
        <v>417</v>
      </c>
      <c r="AG229" t="e">
        <f t="shared" si="59"/>
        <v>#VALUE!</v>
      </c>
      <c r="AH229" t="e">
        <f t="shared" si="73"/>
        <v>#VALUE!</v>
      </c>
      <c r="AI229" s="27" t="e">
        <f>_xlfn.AGGREGATE(1,6,(AH229,AH247))</f>
        <v>#DIV/0!</v>
      </c>
    </row>
    <row r="230" spans="9:35" x14ac:dyDescent="0.25">
      <c r="I230" s="72" t="s">
        <v>464</v>
      </c>
      <c r="J230">
        <v>12</v>
      </c>
      <c r="K230" t="s">
        <v>417</v>
      </c>
      <c r="L230" t="e">
        <f t="shared" si="54"/>
        <v>#VALUE!</v>
      </c>
      <c r="M230" t="e">
        <f t="shared" si="70"/>
        <v>#VALUE!</v>
      </c>
      <c r="N230" s="27" t="e">
        <f>_xlfn.AGGREGATE(1,6,(M230,M248))</f>
        <v>#DIV/0!</v>
      </c>
      <c r="P230" s="72" t="s">
        <v>464</v>
      </c>
      <c r="Q230">
        <v>6</v>
      </c>
      <c r="R230">
        <v>32.791170451840898</v>
      </c>
      <c r="S230">
        <f t="shared" si="66"/>
        <v>1.3454702550932457E-10</v>
      </c>
      <c r="T230">
        <f t="shared" si="71"/>
        <v>1.6587193416505115</v>
      </c>
      <c r="U230" s="27">
        <f>_xlfn.AGGREGATE(1,6,(T230,T248))</f>
        <v>1.5972275227122272</v>
      </c>
      <c r="V230" s="72"/>
      <c r="W230" s="72" t="s">
        <v>464</v>
      </c>
      <c r="X230">
        <v>7</v>
      </c>
      <c r="Y230">
        <v>33.458933597441202</v>
      </c>
      <c r="Z230">
        <f t="shared" si="57"/>
        <v>8.4694920410571036E-11</v>
      </c>
      <c r="AA230">
        <f t="shared" si="72"/>
        <v>7.4172484423238174</v>
      </c>
      <c r="AB230" s="27">
        <f>_xlfn.AGGREGATE(1,6,(AA230,AA248))</f>
        <v>8.6299129525216607</v>
      </c>
      <c r="AD230" s="72" t="s">
        <v>464</v>
      </c>
      <c r="AE230">
        <v>11</v>
      </c>
      <c r="AF230">
        <v>35.609699136906897</v>
      </c>
      <c r="AG230">
        <f t="shared" si="59"/>
        <v>1.907271078302257E-11</v>
      </c>
      <c r="AH230">
        <f t="shared" si="73"/>
        <v>1.6703130915110924</v>
      </c>
      <c r="AI230" s="27">
        <f>_xlfn.AGGREGATE(1,6,(AH230,AH248))</f>
        <v>1.2271146176423737</v>
      </c>
    </row>
    <row r="231" spans="9:35" x14ac:dyDescent="0.25">
      <c r="I231" s="72" t="s">
        <v>465</v>
      </c>
      <c r="J231">
        <v>12</v>
      </c>
      <c r="K231" t="s">
        <v>417</v>
      </c>
      <c r="L231" t="e">
        <f t="shared" ref="L231:L254" si="74">2^(-K231)</f>
        <v>#VALUE!</v>
      </c>
      <c r="M231" t="e">
        <f t="shared" si="70"/>
        <v>#VALUE!</v>
      </c>
      <c r="N231" s="27" t="e">
        <f>_xlfn.AGGREGATE(1,6,(M231,M249))</f>
        <v>#DIV/0!</v>
      </c>
      <c r="P231" s="72" t="s">
        <v>465</v>
      </c>
      <c r="Q231">
        <v>6</v>
      </c>
      <c r="R231">
        <v>36.532616410840298</v>
      </c>
      <c r="S231">
        <f t="shared" si="66"/>
        <v>1.0059737312736152E-11</v>
      </c>
      <c r="T231">
        <f t="shared" si="71"/>
        <v>0.12401820693837917</v>
      </c>
      <c r="U231" s="27">
        <f>_xlfn.AGGREGATE(1,6,(T231,T249))</f>
        <v>9.606973902488164E-2</v>
      </c>
      <c r="V231" s="72"/>
      <c r="W231" s="72" t="s">
        <v>465</v>
      </c>
      <c r="X231">
        <v>7</v>
      </c>
      <c r="Y231" t="s">
        <v>417</v>
      </c>
      <c r="Z231" t="e">
        <f t="shared" ref="Z231:Z254" si="75">2^(-Y231)</f>
        <v>#VALUE!</v>
      </c>
      <c r="AA231" t="e">
        <f t="shared" si="72"/>
        <v>#VALUE!</v>
      </c>
      <c r="AB231" s="27">
        <f>_xlfn.AGGREGATE(1,6,(AA231,AA249))</f>
        <v>0.60313173040588164</v>
      </c>
      <c r="AD231" s="72" t="s">
        <v>465</v>
      </c>
      <c r="AE231">
        <v>11</v>
      </c>
      <c r="AF231" t="s">
        <v>417</v>
      </c>
      <c r="AG231" t="e">
        <f t="shared" ref="AG231:AG254" si="76">2^(-AF231)</f>
        <v>#VALUE!</v>
      </c>
      <c r="AH231" t="e">
        <f t="shared" si="73"/>
        <v>#VALUE!</v>
      </c>
      <c r="AI231" s="27" t="e">
        <f>_xlfn.AGGREGATE(1,6,(AH231,AH249))</f>
        <v>#DIV/0!</v>
      </c>
    </row>
    <row r="232" spans="9:35" x14ac:dyDescent="0.25">
      <c r="I232" s="72" t="s">
        <v>466</v>
      </c>
      <c r="J232">
        <v>12</v>
      </c>
      <c r="K232" t="s">
        <v>417</v>
      </c>
      <c r="L232" t="e">
        <f t="shared" si="74"/>
        <v>#VALUE!</v>
      </c>
      <c r="M232" t="e">
        <f t="shared" si="70"/>
        <v>#VALUE!</v>
      </c>
      <c r="N232" s="27" t="e">
        <f>_xlfn.AGGREGATE(1,6,(M232,M250))</f>
        <v>#DIV/0!</v>
      </c>
      <c r="P232" s="72" t="s">
        <v>466</v>
      </c>
      <c r="Q232">
        <v>6</v>
      </c>
      <c r="R232" t="s">
        <v>417</v>
      </c>
      <c r="S232" t="e">
        <f t="shared" si="66"/>
        <v>#VALUE!</v>
      </c>
      <c r="T232" t="e">
        <f t="shared" si="71"/>
        <v>#VALUE!</v>
      </c>
      <c r="U232" s="27" t="e">
        <f>_xlfn.AGGREGATE(1,6,(T232,T250))</f>
        <v>#DIV/0!</v>
      </c>
      <c r="V232" s="72"/>
      <c r="W232" s="72" t="s">
        <v>466</v>
      </c>
      <c r="X232">
        <v>7</v>
      </c>
      <c r="Y232" t="s">
        <v>417</v>
      </c>
      <c r="Z232" t="e">
        <f t="shared" si="75"/>
        <v>#VALUE!</v>
      </c>
      <c r="AA232" t="e">
        <f t="shared" si="72"/>
        <v>#VALUE!</v>
      </c>
      <c r="AB232" s="27" t="e">
        <f>_xlfn.AGGREGATE(1,6,(AA232,AA250))</f>
        <v>#DIV/0!</v>
      </c>
      <c r="AD232" s="72" t="s">
        <v>466</v>
      </c>
      <c r="AE232">
        <v>11</v>
      </c>
      <c r="AF232" t="s">
        <v>417</v>
      </c>
      <c r="AG232" t="e">
        <f t="shared" si="76"/>
        <v>#VALUE!</v>
      </c>
      <c r="AH232" t="e">
        <f t="shared" si="73"/>
        <v>#VALUE!</v>
      </c>
      <c r="AI232" s="27" t="e">
        <f>_xlfn.AGGREGATE(1,6,(AH232,AH250))</f>
        <v>#DIV/0!</v>
      </c>
    </row>
    <row r="233" spans="9:35" x14ac:dyDescent="0.25">
      <c r="I233" s="72" t="s">
        <v>467</v>
      </c>
      <c r="J233">
        <v>12</v>
      </c>
      <c r="K233" t="s">
        <v>417</v>
      </c>
      <c r="L233" t="e">
        <f t="shared" si="74"/>
        <v>#VALUE!</v>
      </c>
      <c r="M233" t="e">
        <f t="shared" si="70"/>
        <v>#VALUE!</v>
      </c>
      <c r="N233" s="27" t="e">
        <f>_xlfn.AGGREGATE(1,6,(M233,M251))</f>
        <v>#DIV/0!</v>
      </c>
      <c r="P233" s="72" t="s">
        <v>467</v>
      </c>
      <c r="Q233">
        <v>6</v>
      </c>
      <c r="R233" t="s">
        <v>417</v>
      </c>
      <c r="S233" t="e">
        <f t="shared" si="66"/>
        <v>#VALUE!</v>
      </c>
      <c r="T233" t="e">
        <f t="shared" si="71"/>
        <v>#VALUE!</v>
      </c>
      <c r="U233" s="27" t="e">
        <f>_xlfn.AGGREGATE(1,6,(T233,T251))</f>
        <v>#DIV/0!</v>
      </c>
      <c r="V233" s="72"/>
      <c r="W233" s="72" t="s">
        <v>467</v>
      </c>
      <c r="X233">
        <v>7</v>
      </c>
      <c r="Y233" t="s">
        <v>417</v>
      </c>
      <c r="Z233" t="e">
        <f t="shared" si="75"/>
        <v>#VALUE!</v>
      </c>
      <c r="AA233" t="e">
        <f t="shared" si="72"/>
        <v>#VALUE!</v>
      </c>
      <c r="AB233" s="27" t="e">
        <f>_xlfn.AGGREGATE(1,6,(AA233,AA251))</f>
        <v>#DIV/0!</v>
      </c>
      <c r="AD233" s="72" t="s">
        <v>467</v>
      </c>
      <c r="AE233">
        <v>11</v>
      </c>
      <c r="AF233" t="s">
        <v>417</v>
      </c>
      <c r="AG233" t="e">
        <f t="shared" si="76"/>
        <v>#VALUE!</v>
      </c>
      <c r="AH233" t="e">
        <f t="shared" si="73"/>
        <v>#VALUE!</v>
      </c>
      <c r="AI233" s="27" t="e">
        <f>_xlfn.AGGREGATE(1,6,(AH233,AH251))</f>
        <v>#DIV/0!</v>
      </c>
    </row>
    <row r="234" spans="9:35" x14ac:dyDescent="0.25">
      <c r="I234" s="72" t="s">
        <v>468</v>
      </c>
      <c r="J234">
        <v>12</v>
      </c>
      <c r="K234" t="s">
        <v>417</v>
      </c>
      <c r="L234" t="e">
        <f t="shared" si="74"/>
        <v>#VALUE!</v>
      </c>
      <c r="M234" t="e">
        <f t="shared" si="70"/>
        <v>#VALUE!</v>
      </c>
      <c r="N234" s="27" t="e">
        <f>_xlfn.AGGREGATE(1,6,(M234,M252))</f>
        <v>#DIV/0!</v>
      </c>
      <c r="P234" s="72" t="s">
        <v>468</v>
      </c>
      <c r="Q234">
        <v>6</v>
      </c>
      <c r="R234" t="s">
        <v>417</v>
      </c>
      <c r="S234" t="e">
        <f t="shared" si="66"/>
        <v>#VALUE!</v>
      </c>
      <c r="T234" t="e">
        <f t="shared" si="71"/>
        <v>#VALUE!</v>
      </c>
      <c r="U234" s="27" t="e">
        <f>_xlfn.AGGREGATE(1,6,(T234,T252))</f>
        <v>#DIV/0!</v>
      </c>
      <c r="V234" s="72"/>
      <c r="W234" s="72" t="s">
        <v>468</v>
      </c>
      <c r="X234">
        <v>7</v>
      </c>
      <c r="Y234" t="s">
        <v>417</v>
      </c>
      <c r="Z234" t="e">
        <f t="shared" si="75"/>
        <v>#VALUE!</v>
      </c>
      <c r="AA234" t="e">
        <f t="shared" si="72"/>
        <v>#VALUE!</v>
      </c>
      <c r="AB234" s="27" t="e">
        <f>_xlfn.AGGREGATE(1,6,(AA234,AA252))</f>
        <v>#DIV/0!</v>
      </c>
      <c r="AD234" s="72" t="s">
        <v>468</v>
      </c>
      <c r="AE234">
        <v>11</v>
      </c>
      <c r="AF234" t="s">
        <v>417</v>
      </c>
      <c r="AG234" t="e">
        <f t="shared" si="76"/>
        <v>#VALUE!</v>
      </c>
      <c r="AH234" t="e">
        <f t="shared" si="73"/>
        <v>#VALUE!</v>
      </c>
      <c r="AI234" s="27" t="e">
        <f>_xlfn.AGGREGATE(1,6,(AH234,AH252))</f>
        <v>#DIV/0!</v>
      </c>
    </row>
    <row r="235" spans="9:35" x14ac:dyDescent="0.25">
      <c r="I235" s="72" t="s">
        <v>486</v>
      </c>
      <c r="J235">
        <v>12</v>
      </c>
      <c r="K235" t="s">
        <v>417</v>
      </c>
      <c r="L235" t="e">
        <f t="shared" si="74"/>
        <v>#VALUE!</v>
      </c>
      <c r="M235" t="e">
        <f t="shared" si="70"/>
        <v>#VALUE!</v>
      </c>
      <c r="N235" s="27" t="e">
        <f>_xlfn.AGGREGATE(1,6,(M235,M253))</f>
        <v>#DIV/0!</v>
      </c>
      <c r="P235" s="72" t="s">
        <v>486</v>
      </c>
      <c r="Q235">
        <v>6</v>
      </c>
      <c r="R235" t="s">
        <v>417</v>
      </c>
      <c r="S235" t="e">
        <f t="shared" si="66"/>
        <v>#VALUE!</v>
      </c>
      <c r="T235" t="e">
        <f t="shared" si="71"/>
        <v>#VALUE!</v>
      </c>
      <c r="U235" s="27" t="e">
        <f>_xlfn.AGGREGATE(1,6,(T235,T253))</f>
        <v>#DIV/0!</v>
      </c>
      <c r="V235" s="72"/>
      <c r="W235" s="72" t="s">
        <v>486</v>
      </c>
      <c r="X235">
        <v>7</v>
      </c>
      <c r="Y235" t="s">
        <v>417</v>
      </c>
      <c r="Z235" t="e">
        <f t="shared" si="75"/>
        <v>#VALUE!</v>
      </c>
      <c r="AA235" t="e">
        <f t="shared" si="72"/>
        <v>#VALUE!</v>
      </c>
      <c r="AB235" s="27" t="e">
        <f>_xlfn.AGGREGATE(1,6,(AA235,AA253))</f>
        <v>#DIV/0!</v>
      </c>
      <c r="AD235" s="72" t="s">
        <v>486</v>
      </c>
      <c r="AE235">
        <v>11</v>
      </c>
      <c r="AF235">
        <v>36.458143532389798</v>
      </c>
      <c r="AG235">
        <f t="shared" si="76"/>
        <v>1.0592664338448461E-11</v>
      </c>
      <c r="AH235">
        <f t="shared" si="73"/>
        <v>0.92766393407708458</v>
      </c>
      <c r="AI235" s="27">
        <f>_xlfn.AGGREGATE(1,6,(AH235,AH253))</f>
        <v>0.92766393407708458</v>
      </c>
    </row>
    <row r="236" spans="9:35" x14ac:dyDescent="0.25">
      <c r="I236" s="72" t="s">
        <v>470</v>
      </c>
      <c r="J236">
        <v>12</v>
      </c>
      <c r="K236" t="s">
        <v>417</v>
      </c>
      <c r="L236" s="60" t="e">
        <f t="shared" si="74"/>
        <v>#VALUE!</v>
      </c>
      <c r="M236" s="60" t="e">
        <f t="shared" si="70"/>
        <v>#VALUE!</v>
      </c>
      <c r="N236" s="61" t="e">
        <f>_xlfn.AGGREGATE(1,6,(M236,M254))</f>
        <v>#DIV/0!</v>
      </c>
      <c r="P236" s="72" t="s">
        <v>470</v>
      </c>
      <c r="Q236">
        <v>6</v>
      </c>
      <c r="R236" t="s">
        <v>417</v>
      </c>
      <c r="S236" s="60" t="e">
        <f t="shared" si="66"/>
        <v>#VALUE!</v>
      </c>
      <c r="T236" s="60" t="e">
        <f t="shared" si="71"/>
        <v>#VALUE!</v>
      </c>
      <c r="U236" s="61" t="e">
        <f>_xlfn.AGGREGATE(1,6,(T236,T254))</f>
        <v>#DIV/0!</v>
      </c>
      <c r="V236" s="72"/>
      <c r="W236" s="72" t="s">
        <v>470</v>
      </c>
      <c r="X236">
        <v>7</v>
      </c>
      <c r="Y236" t="s">
        <v>417</v>
      </c>
      <c r="Z236" s="60" t="e">
        <f t="shared" si="75"/>
        <v>#VALUE!</v>
      </c>
      <c r="AA236" s="60" t="e">
        <f t="shared" si="72"/>
        <v>#VALUE!</v>
      </c>
      <c r="AB236" s="61" t="e">
        <f>_xlfn.AGGREGATE(1,6,(AA236,AA254))</f>
        <v>#DIV/0!</v>
      </c>
      <c r="AD236" s="72" t="s">
        <v>470</v>
      </c>
      <c r="AE236">
        <v>11</v>
      </c>
      <c r="AF236" t="s">
        <v>417</v>
      </c>
      <c r="AG236" s="60" t="e">
        <f t="shared" si="76"/>
        <v>#VALUE!</v>
      </c>
      <c r="AH236" s="60" t="e">
        <f t="shared" si="73"/>
        <v>#VALUE!</v>
      </c>
      <c r="AI236" s="61">
        <f>_xlfn.AGGREGATE(1,6,(AH236,AH254))</f>
        <v>0.93782639649854715</v>
      </c>
    </row>
    <row r="237" spans="9:35" x14ac:dyDescent="0.25">
      <c r="I237" s="167" t="s">
        <v>452</v>
      </c>
      <c r="J237" s="164">
        <v>12</v>
      </c>
      <c r="K237" s="164" t="s">
        <v>417</v>
      </c>
      <c r="L237" t="e">
        <f t="shared" si="74"/>
        <v>#VALUE!</v>
      </c>
      <c r="N237" s="27"/>
      <c r="P237" s="167" t="s">
        <v>452</v>
      </c>
      <c r="Q237" s="164">
        <v>6</v>
      </c>
      <c r="R237" s="164">
        <v>33.889190864317797</v>
      </c>
      <c r="S237">
        <f t="shared" si="66"/>
        <v>6.2854593361019776E-11</v>
      </c>
      <c r="U237" s="27"/>
      <c r="V237" s="72"/>
      <c r="W237" s="167" t="s">
        <v>452</v>
      </c>
      <c r="X237" s="164">
        <v>7</v>
      </c>
      <c r="Y237" s="164">
        <v>36.3498176906444</v>
      </c>
      <c r="Z237">
        <f t="shared" si="75"/>
        <v>1.1418644133219325E-11</v>
      </c>
      <c r="AB237" s="27"/>
      <c r="AD237" s="167" t="s">
        <v>452</v>
      </c>
      <c r="AE237" s="164">
        <v>11</v>
      </c>
      <c r="AF237" s="164" t="s">
        <v>417</v>
      </c>
      <c r="AG237" t="e">
        <f t="shared" si="76"/>
        <v>#VALUE!</v>
      </c>
      <c r="AI237" s="27"/>
    </row>
    <row r="238" spans="9:35" x14ac:dyDescent="0.25">
      <c r="I238" s="72" t="s">
        <v>454</v>
      </c>
      <c r="J238">
        <v>12</v>
      </c>
      <c r="K238" t="s">
        <v>417</v>
      </c>
      <c r="L238" t="e">
        <f t="shared" si="74"/>
        <v>#VALUE!</v>
      </c>
      <c r="M238" t="e">
        <f>L238/$S$237</f>
        <v>#VALUE!</v>
      </c>
      <c r="N238" s="27"/>
      <c r="P238" s="72" t="s">
        <v>454</v>
      </c>
      <c r="Q238">
        <v>6</v>
      </c>
      <c r="R238" t="s">
        <v>417</v>
      </c>
      <c r="S238" t="e">
        <f t="shared" si="66"/>
        <v>#VALUE!</v>
      </c>
      <c r="T238" t="e">
        <f>S238/$S$237</f>
        <v>#VALUE!</v>
      </c>
      <c r="U238" s="27"/>
      <c r="V238" s="72"/>
      <c r="W238" s="72" t="s">
        <v>454</v>
      </c>
      <c r="X238">
        <v>7</v>
      </c>
      <c r="Y238" t="s">
        <v>417</v>
      </c>
      <c r="Z238" t="e">
        <f t="shared" si="75"/>
        <v>#VALUE!</v>
      </c>
      <c r="AA238" t="e">
        <f>Z238/$Z$237</f>
        <v>#VALUE!</v>
      </c>
      <c r="AB238" s="27"/>
      <c r="AD238" s="72" t="s">
        <v>454</v>
      </c>
      <c r="AE238">
        <v>11</v>
      </c>
      <c r="AF238">
        <v>36.6451916088999</v>
      </c>
      <c r="AG238">
        <f t="shared" si="76"/>
        <v>9.3046090218510754E-12</v>
      </c>
      <c r="AH238">
        <f>AG238/$Z$237</f>
        <v>0.8148611090157315</v>
      </c>
      <c r="AI238" s="27"/>
    </row>
    <row r="239" spans="9:35" x14ac:dyDescent="0.25">
      <c r="I239" s="72" t="s">
        <v>455</v>
      </c>
      <c r="J239">
        <v>12</v>
      </c>
      <c r="K239" t="s">
        <v>417</v>
      </c>
      <c r="L239" t="e">
        <f t="shared" si="74"/>
        <v>#VALUE!</v>
      </c>
      <c r="M239" t="e">
        <f t="shared" ref="M239:M254" si="77">L239/$S$237</f>
        <v>#VALUE!</v>
      </c>
      <c r="N239" s="27"/>
      <c r="P239" s="72" t="s">
        <v>455</v>
      </c>
      <c r="Q239">
        <v>6</v>
      </c>
      <c r="R239">
        <v>37.792893599141301</v>
      </c>
      <c r="S239">
        <f t="shared" si="66"/>
        <v>4.199575599651986E-12</v>
      </c>
      <c r="T239">
        <f t="shared" ref="T239:T254" si="78">S239/$S$237</f>
        <v>6.6814139987045343E-2</v>
      </c>
      <c r="U239" s="27"/>
      <c r="V239" s="72"/>
      <c r="W239" s="72" t="s">
        <v>455</v>
      </c>
      <c r="X239">
        <v>7</v>
      </c>
      <c r="Y239" t="s">
        <v>417</v>
      </c>
      <c r="Z239" t="e">
        <f t="shared" si="75"/>
        <v>#VALUE!</v>
      </c>
      <c r="AA239" t="e">
        <f t="shared" ref="AA239:AA254" si="79">Z239/$Z$237</f>
        <v>#VALUE!</v>
      </c>
      <c r="AB239" s="27"/>
      <c r="AD239" s="72" t="s">
        <v>455</v>
      </c>
      <c r="AE239">
        <v>11</v>
      </c>
      <c r="AF239" t="s">
        <v>417</v>
      </c>
      <c r="AG239" t="e">
        <f t="shared" si="76"/>
        <v>#VALUE!</v>
      </c>
      <c r="AH239" t="e">
        <f t="shared" ref="AH239:AH254" si="80">AG239/$Z$237</f>
        <v>#VALUE!</v>
      </c>
      <c r="AI239" s="27"/>
    </row>
    <row r="240" spans="9:35" x14ac:dyDescent="0.25">
      <c r="I240" s="72" t="s">
        <v>481</v>
      </c>
      <c r="J240">
        <v>12</v>
      </c>
      <c r="K240" t="s">
        <v>417</v>
      </c>
      <c r="L240" t="e">
        <f t="shared" si="74"/>
        <v>#VALUE!</v>
      </c>
      <c r="M240" t="e">
        <f t="shared" si="77"/>
        <v>#VALUE!</v>
      </c>
      <c r="N240" s="27"/>
      <c r="P240" s="72" t="s">
        <v>481</v>
      </c>
      <c r="Q240">
        <v>6</v>
      </c>
      <c r="R240">
        <v>31.803504867051899</v>
      </c>
      <c r="S240">
        <f t="shared" si="66"/>
        <v>2.6680322065976957E-10</v>
      </c>
      <c r="T240">
        <f t="shared" si="78"/>
        <v>4.2447688608424219</v>
      </c>
      <c r="U240" s="27"/>
      <c r="V240" s="72"/>
      <c r="W240" s="72" t="s">
        <v>481</v>
      </c>
      <c r="X240">
        <v>7</v>
      </c>
      <c r="Y240">
        <v>30.123223345172701</v>
      </c>
      <c r="Z240">
        <f t="shared" si="75"/>
        <v>8.5507893374453951E-10</v>
      </c>
      <c r="AA240">
        <f t="shared" si="79"/>
        <v>74.884454210892557</v>
      </c>
      <c r="AB240" s="27"/>
      <c r="AD240" s="72" t="s">
        <v>481</v>
      </c>
      <c r="AE240">
        <v>11</v>
      </c>
      <c r="AF240">
        <v>34.049825573976001</v>
      </c>
      <c r="AG240">
        <f t="shared" si="76"/>
        <v>5.6231692462160061E-11</v>
      </c>
      <c r="AH240">
        <f t="shared" si="80"/>
        <v>4.9245507440388483</v>
      </c>
      <c r="AI240" s="27"/>
    </row>
    <row r="241" spans="9:35" x14ac:dyDescent="0.25">
      <c r="I241" s="72" t="s">
        <v>457</v>
      </c>
      <c r="J241">
        <v>12</v>
      </c>
      <c r="K241" t="s">
        <v>417</v>
      </c>
      <c r="L241" t="e">
        <f t="shared" si="74"/>
        <v>#VALUE!</v>
      </c>
      <c r="M241" t="e">
        <f t="shared" si="77"/>
        <v>#VALUE!</v>
      </c>
      <c r="N241" s="27"/>
      <c r="P241" s="72" t="s">
        <v>457</v>
      </c>
      <c r="Q241">
        <v>6</v>
      </c>
      <c r="R241" t="s">
        <v>417</v>
      </c>
      <c r="S241" t="e">
        <f t="shared" si="66"/>
        <v>#VALUE!</v>
      </c>
      <c r="T241" t="e">
        <f t="shared" si="78"/>
        <v>#VALUE!</v>
      </c>
      <c r="U241" s="27"/>
      <c r="V241" s="72"/>
      <c r="W241" s="72" t="s">
        <v>457</v>
      </c>
      <c r="X241">
        <v>7</v>
      </c>
      <c r="Y241" t="s">
        <v>417</v>
      </c>
      <c r="Z241" t="e">
        <f t="shared" si="75"/>
        <v>#VALUE!</v>
      </c>
      <c r="AA241" t="e">
        <f t="shared" si="79"/>
        <v>#VALUE!</v>
      </c>
      <c r="AB241" s="27"/>
      <c r="AD241" s="72" t="s">
        <v>457</v>
      </c>
      <c r="AE241">
        <v>11</v>
      </c>
      <c r="AF241" t="s">
        <v>417</v>
      </c>
      <c r="AG241" t="e">
        <f t="shared" si="76"/>
        <v>#VALUE!</v>
      </c>
      <c r="AH241" t="e">
        <f t="shared" si="80"/>
        <v>#VALUE!</v>
      </c>
      <c r="AI241" s="27"/>
    </row>
    <row r="242" spans="9:35" x14ac:dyDescent="0.25">
      <c r="I242" s="72" t="s">
        <v>458</v>
      </c>
      <c r="J242">
        <v>12</v>
      </c>
      <c r="K242" t="s">
        <v>417</v>
      </c>
      <c r="L242" t="e">
        <f t="shared" si="74"/>
        <v>#VALUE!</v>
      </c>
      <c r="M242" t="e">
        <f t="shared" si="77"/>
        <v>#VALUE!</v>
      </c>
      <c r="N242" s="27"/>
      <c r="P242" s="72" t="s">
        <v>458</v>
      </c>
      <c r="Q242">
        <v>6</v>
      </c>
      <c r="R242">
        <v>36.030325562916602</v>
      </c>
      <c r="S242">
        <f t="shared" si="66"/>
        <v>1.4249225257415175E-11</v>
      </c>
      <c r="T242">
        <f t="shared" si="78"/>
        <v>0.22670141505126731</v>
      </c>
      <c r="U242" s="27"/>
      <c r="V242" s="72"/>
      <c r="W242" s="72" t="s">
        <v>458</v>
      </c>
      <c r="X242">
        <v>7</v>
      </c>
      <c r="Y242" t="s">
        <v>417</v>
      </c>
      <c r="Z242" t="e">
        <f t="shared" si="75"/>
        <v>#VALUE!</v>
      </c>
      <c r="AA242" t="e">
        <f t="shared" si="79"/>
        <v>#VALUE!</v>
      </c>
      <c r="AB242" s="27"/>
      <c r="AD242" s="72" t="s">
        <v>458</v>
      </c>
      <c r="AE242">
        <v>11</v>
      </c>
      <c r="AF242" t="s">
        <v>417</v>
      </c>
      <c r="AG242" t="e">
        <f t="shared" si="76"/>
        <v>#VALUE!</v>
      </c>
      <c r="AH242" t="e">
        <f t="shared" si="80"/>
        <v>#VALUE!</v>
      </c>
      <c r="AI242" s="27"/>
    </row>
    <row r="243" spans="9:35" x14ac:dyDescent="0.25">
      <c r="I243" s="72" t="s">
        <v>459</v>
      </c>
      <c r="J243">
        <v>12</v>
      </c>
      <c r="K243" t="s">
        <v>417</v>
      </c>
      <c r="L243" t="e">
        <f t="shared" si="74"/>
        <v>#VALUE!</v>
      </c>
      <c r="M243" t="e">
        <f t="shared" si="77"/>
        <v>#VALUE!</v>
      </c>
      <c r="N243" s="27"/>
      <c r="P243" s="72" t="s">
        <v>482</v>
      </c>
      <c r="Q243">
        <v>6</v>
      </c>
      <c r="R243">
        <v>36.1487554632401</v>
      </c>
      <c r="S243">
        <f t="shared" si="66"/>
        <v>1.3126238761239833E-11</v>
      </c>
      <c r="T243">
        <f t="shared" si="78"/>
        <v>0.20883499612902226</v>
      </c>
      <c r="U243" s="27"/>
      <c r="V243" s="72"/>
      <c r="W243" s="72" t="s">
        <v>459</v>
      </c>
      <c r="X243">
        <v>7</v>
      </c>
      <c r="Y243">
        <v>36.052352085632997</v>
      </c>
      <c r="Z243">
        <f t="shared" si="75"/>
        <v>1.4033325800204808E-11</v>
      </c>
      <c r="AA243">
        <f t="shared" si="79"/>
        <v>1.2289835497525319</v>
      </c>
      <c r="AB243" s="27"/>
      <c r="AD243" s="72" t="s">
        <v>459</v>
      </c>
      <c r="AE243">
        <v>11</v>
      </c>
      <c r="AF243" t="s">
        <v>417</v>
      </c>
      <c r="AG243" t="e">
        <f t="shared" si="76"/>
        <v>#VALUE!</v>
      </c>
      <c r="AH243" t="e">
        <f t="shared" si="80"/>
        <v>#VALUE!</v>
      </c>
      <c r="AI243" s="27"/>
    </row>
    <row r="244" spans="9:35" x14ac:dyDescent="0.25">
      <c r="I244" s="72" t="s">
        <v>460</v>
      </c>
      <c r="J244">
        <v>12</v>
      </c>
      <c r="K244" t="s">
        <v>417</v>
      </c>
      <c r="L244" t="e">
        <f t="shared" si="74"/>
        <v>#VALUE!</v>
      </c>
      <c r="M244" t="e">
        <f t="shared" si="77"/>
        <v>#VALUE!</v>
      </c>
      <c r="N244" s="27"/>
      <c r="P244" s="72" t="s">
        <v>483</v>
      </c>
      <c r="Q244">
        <v>6</v>
      </c>
      <c r="R244">
        <v>36.061317343363697</v>
      </c>
      <c r="S244">
        <f t="shared" si="66"/>
        <v>1.3946389702702746E-11</v>
      </c>
      <c r="T244">
        <f t="shared" si="78"/>
        <v>0.2218833812605939</v>
      </c>
      <c r="U244" s="27"/>
      <c r="V244" s="72"/>
      <c r="W244" s="72" t="s">
        <v>460</v>
      </c>
      <c r="X244">
        <v>7</v>
      </c>
      <c r="Y244" t="s">
        <v>417</v>
      </c>
      <c r="Z244" t="e">
        <f t="shared" si="75"/>
        <v>#VALUE!</v>
      </c>
      <c r="AA244" t="e">
        <f t="shared" si="79"/>
        <v>#VALUE!</v>
      </c>
      <c r="AB244" s="27"/>
      <c r="AD244" s="72" t="s">
        <v>460</v>
      </c>
      <c r="AE244">
        <v>11</v>
      </c>
      <c r="AF244" t="s">
        <v>417</v>
      </c>
      <c r="AG244" t="e">
        <f t="shared" si="76"/>
        <v>#VALUE!</v>
      </c>
      <c r="AH244" t="e">
        <f t="shared" si="80"/>
        <v>#VALUE!</v>
      </c>
      <c r="AI244" s="27"/>
    </row>
    <row r="245" spans="9:35" x14ac:dyDescent="0.25">
      <c r="I245" s="72" t="s">
        <v>461</v>
      </c>
      <c r="J245">
        <v>12</v>
      </c>
      <c r="K245" t="s">
        <v>417</v>
      </c>
      <c r="L245" t="e">
        <f t="shared" si="74"/>
        <v>#VALUE!</v>
      </c>
      <c r="M245" t="e">
        <f t="shared" si="77"/>
        <v>#VALUE!</v>
      </c>
      <c r="N245" s="27"/>
      <c r="P245" s="72" t="s">
        <v>484</v>
      </c>
      <c r="Q245">
        <v>6</v>
      </c>
      <c r="R245" t="s">
        <v>417</v>
      </c>
      <c r="S245" t="e">
        <f t="shared" si="66"/>
        <v>#VALUE!</v>
      </c>
      <c r="T245" t="e">
        <f t="shared" si="78"/>
        <v>#VALUE!</v>
      </c>
      <c r="U245" s="27"/>
      <c r="V245" s="72"/>
      <c r="W245" s="72" t="s">
        <v>461</v>
      </c>
      <c r="X245">
        <v>7</v>
      </c>
      <c r="Y245" t="s">
        <v>417</v>
      </c>
      <c r="Z245" t="e">
        <f t="shared" si="75"/>
        <v>#VALUE!</v>
      </c>
      <c r="AA245" t="e">
        <f t="shared" si="79"/>
        <v>#VALUE!</v>
      </c>
      <c r="AB245" s="27"/>
      <c r="AD245" s="72" t="s">
        <v>461</v>
      </c>
      <c r="AE245">
        <v>11</v>
      </c>
      <c r="AF245" t="s">
        <v>417</v>
      </c>
      <c r="AG245" t="e">
        <f t="shared" si="76"/>
        <v>#VALUE!</v>
      </c>
      <c r="AH245" t="e">
        <f t="shared" si="80"/>
        <v>#VALUE!</v>
      </c>
      <c r="AI245" s="27"/>
    </row>
    <row r="246" spans="9:35" x14ac:dyDescent="0.25">
      <c r="I246" s="72" t="s">
        <v>462</v>
      </c>
      <c r="J246">
        <v>12</v>
      </c>
      <c r="K246" t="s">
        <v>417</v>
      </c>
      <c r="L246" t="e">
        <f t="shared" si="74"/>
        <v>#VALUE!</v>
      </c>
      <c r="M246" t="e">
        <f t="shared" si="77"/>
        <v>#VALUE!</v>
      </c>
      <c r="N246" s="27"/>
      <c r="P246" s="72" t="s">
        <v>485</v>
      </c>
      <c r="Q246">
        <v>6</v>
      </c>
      <c r="R246" t="s">
        <v>417</v>
      </c>
      <c r="S246" t="e">
        <f t="shared" si="66"/>
        <v>#VALUE!</v>
      </c>
      <c r="T246" t="e">
        <f t="shared" si="78"/>
        <v>#VALUE!</v>
      </c>
      <c r="U246" s="27"/>
      <c r="V246" s="72"/>
      <c r="W246" s="72" t="s">
        <v>462</v>
      </c>
      <c r="X246">
        <v>7</v>
      </c>
      <c r="Y246" t="s">
        <v>417</v>
      </c>
      <c r="Z246" t="e">
        <f t="shared" si="75"/>
        <v>#VALUE!</v>
      </c>
      <c r="AA246" t="e">
        <f t="shared" si="79"/>
        <v>#VALUE!</v>
      </c>
      <c r="AB246" s="27"/>
      <c r="AD246" s="72" t="s">
        <v>462</v>
      </c>
      <c r="AE246">
        <v>11</v>
      </c>
      <c r="AF246" t="s">
        <v>417</v>
      </c>
      <c r="AG246" t="e">
        <f t="shared" si="76"/>
        <v>#VALUE!</v>
      </c>
      <c r="AH246" t="e">
        <f t="shared" si="80"/>
        <v>#VALUE!</v>
      </c>
      <c r="AI246" s="27"/>
    </row>
    <row r="247" spans="9:35" x14ac:dyDescent="0.25">
      <c r="I247" s="72" t="s">
        <v>463</v>
      </c>
      <c r="J247">
        <v>12</v>
      </c>
      <c r="K247" t="s">
        <v>417</v>
      </c>
      <c r="L247" t="e">
        <f t="shared" si="74"/>
        <v>#VALUE!</v>
      </c>
      <c r="M247" t="e">
        <f t="shared" si="77"/>
        <v>#VALUE!</v>
      </c>
      <c r="N247" s="27"/>
      <c r="P247" s="72" t="s">
        <v>463</v>
      </c>
      <c r="Q247">
        <v>6</v>
      </c>
      <c r="R247">
        <v>37.061900099338899</v>
      </c>
      <c r="S247">
        <f t="shared" si="66"/>
        <v>6.9703786980893042E-12</v>
      </c>
      <c r="T247">
        <f t="shared" si="78"/>
        <v>0.11089688637476874</v>
      </c>
      <c r="U247" s="27"/>
      <c r="V247" s="72"/>
      <c r="W247" s="72" t="s">
        <v>463</v>
      </c>
      <c r="X247">
        <v>7</v>
      </c>
      <c r="Y247" t="s">
        <v>417</v>
      </c>
      <c r="Z247" t="e">
        <f t="shared" si="75"/>
        <v>#VALUE!</v>
      </c>
      <c r="AA247" t="e">
        <f t="shared" si="79"/>
        <v>#VALUE!</v>
      </c>
      <c r="AB247" s="27"/>
      <c r="AD247" s="72" t="s">
        <v>463</v>
      </c>
      <c r="AE247">
        <v>11</v>
      </c>
      <c r="AF247" t="s">
        <v>417</v>
      </c>
      <c r="AG247" t="e">
        <f t="shared" si="76"/>
        <v>#VALUE!</v>
      </c>
      <c r="AH247" t="e">
        <f t="shared" si="80"/>
        <v>#VALUE!</v>
      </c>
      <c r="AI247" s="27"/>
    </row>
    <row r="248" spans="9:35" x14ac:dyDescent="0.25">
      <c r="I248" s="72" t="s">
        <v>464</v>
      </c>
      <c r="J248">
        <v>12</v>
      </c>
      <c r="K248" t="s">
        <v>417</v>
      </c>
      <c r="L248" t="e">
        <f t="shared" si="74"/>
        <v>#VALUE!</v>
      </c>
      <c r="M248" t="e">
        <f t="shared" si="77"/>
        <v>#VALUE!</v>
      </c>
      <c r="N248" s="27"/>
      <c r="P248" s="72" t="s">
        <v>464</v>
      </c>
      <c r="Q248">
        <v>6</v>
      </c>
      <c r="R248">
        <v>33.270260911060198</v>
      </c>
      <c r="S248">
        <f t="shared" si="66"/>
        <v>9.6528043170710707E-11</v>
      </c>
      <c r="T248">
        <f t="shared" si="78"/>
        <v>1.535735703773943</v>
      </c>
      <c r="U248" s="27"/>
      <c r="V248" s="72"/>
      <c r="W248" s="72" t="s">
        <v>464</v>
      </c>
      <c r="X248">
        <v>7</v>
      </c>
      <c r="Y248">
        <v>33.0507815289658</v>
      </c>
      <c r="Z248">
        <f t="shared" si="75"/>
        <v>1.1238888940043883E-10</v>
      </c>
      <c r="AA248">
        <f t="shared" si="79"/>
        <v>9.8425774627195057</v>
      </c>
      <c r="AB248" s="27"/>
      <c r="AD248" s="72" t="s">
        <v>464</v>
      </c>
      <c r="AE248">
        <v>11</v>
      </c>
      <c r="AF248">
        <v>36.701046449344702</v>
      </c>
      <c r="AG248">
        <f t="shared" si="76"/>
        <v>8.9512594760369627E-12</v>
      </c>
      <c r="AH248">
        <f t="shared" si="80"/>
        <v>0.78391614377365504</v>
      </c>
      <c r="AI248" s="27"/>
    </row>
    <row r="249" spans="9:35" x14ac:dyDescent="0.25">
      <c r="I249" s="72" t="s">
        <v>465</v>
      </c>
      <c r="J249">
        <v>12</v>
      </c>
      <c r="K249" t="s">
        <v>417</v>
      </c>
      <c r="L249" t="e">
        <f t="shared" si="74"/>
        <v>#VALUE!</v>
      </c>
      <c r="M249" t="e">
        <f t="shared" si="77"/>
        <v>#VALUE!</v>
      </c>
      <c r="N249" s="27"/>
      <c r="P249" s="72" t="s">
        <v>465</v>
      </c>
      <c r="Q249">
        <v>6</v>
      </c>
      <c r="R249">
        <v>37.764941698803298</v>
      </c>
      <c r="S249">
        <f t="shared" si="66"/>
        <v>4.2817347949418311E-12</v>
      </c>
      <c r="T249">
        <f t="shared" si="78"/>
        <v>6.8121271111384094E-2</v>
      </c>
      <c r="U249" s="27"/>
      <c r="V249" s="72"/>
      <c r="W249" s="72" t="s">
        <v>465</v>
      </c>
      <c r="X249">
        <v>7</v>
      </c>
      <c r="Y249">
        <v>37.079272648999002</v>
      </c>
      <c r="Z249">
        <f t="shared" si="75"/>
        <v>6.88694659495754E-12</v>
      </c>
      <c r="AA249">
        <f t="shared" si="79"/>
        <v>0.60313173040588164</v>
      </c>
      <c r="AB249" s="27"/>
      <c r="AD249" s="72" t="s">
        <v>465</v>
      </c>
      <c r="AE249">
        <v>11</v>
      </c>
      <c r="AF249" t="s">
        <v>417</v>
      </c>
      <c r="AG249" t="e">
        <f t="shared" si="76"/>
        <v>#VALUE!</v>
      </c>
      <c r="AH249" t="e">
        <f t="shared" si="80"/>
        <v>#VALUE!</v>
      </c>
      <c r="AI249" s="27"/>
    </row>
    <row r="250" spans="9:35" x14ac:dyDescent="0.25">
      <c r="I250" s="72" t="s">
        <v>466</v>
      </c>
      <c r="J250">
        <v>12</v>
      </c>
      <c r="K250" t="s">
        <v>417</v>
      </c>
      <c r="L250" t="e">
        <f t="shared" si="74"/>
        <v>#VALUE!</v>
      </c>
      <c r="M250" t="e">
        <f t="shared" si="77"/>
        <v>#VALUE!</v>
      </c>
      <c r="N250" s="27"/>
      <c r="P250" s="72" t="s">
        <v>466</v>
      </c>
      <c r="Q250">
        <v>6</v>
      </c>
      <c r="R250" t="s">
        <v>417</v>
      </c>
      <c r="S250" t="e">
        <f t="shared" si="66"/>
        <v>#VALUE!</v>
      </c>
      <c r="T250" t="e">
        <f t="shared" si="78"/>
        <v>#VALUE!</v>
      </c>
      <c r="U250" s="27"/>
      <c r="V250" s="72"/>
      <c r="W250" s="72" t="s">
        <v>466</v>
      </c>
      <c r="X250">
        <v>7</v>
      </c>
      <c r="Y250" t="s">
        <v>417</v>
      </c>
      <c r="Z250" t="e">
        <f t="shared" si="75"/>
        <v>#VALUE!</v>
      </c>
      <c r="AA250" t="e">
        <f t="shared" si="79"/>
        <v>#VALUE!</v>
      </c>
      <c r="AB250" s="27"/>
      <c r="AD250" s="72" t="s">
        <v>466</v>
      </c>
      <c r="AE250">
        <v>11</v>
      </c>
      <c r="AF250" t="s">
        <v>417</v>
      </c>
      <c r="AG250" t="e">
        <f t="shared" si="76"/>
        <v>#VALUE!</v>
      </c>
      <c r="AH250" t="e">
        <f t="shared" si="80"/>
        <v>#VALUE!</v>
      </c>
      <c r="AI250" s="27"/>
    </row>
    <row r="251" spans="9:35" x14ac:dyDescent="0.25">
      <c r="I251" s="72" t="s">
        <v>467</v>
      </c>
      <c r="J251">
        <v>12</v>
      </c>
      <c r="K251" t="s">
        <v>417</v>
      </c>
      <c r="L251" t="e">
        <f t="shared" si="74"/>
        <v>#VALUE!</v>
      </c>
      <c r="M251" t="e">
        <f t="shared" si="77"/>
        <v>#VALUE!</v>
      </c>
      <c r="N251" s="27"/>
      <c r="P251" s="72" t="s">
        <v>467</v>
      </c>
      <c r="Q251">
        <v>6</v>
      </c>
      <c r="R251" t="s">
        <v>417</v>
      </c>
      <c r="S251" t="e">
        <f t="shared" si="66"/>
        <v>#VALUE!</v>
      </c>
      <c r="T251" t="e">
        <f t="shared" si="78"/>
        <v>#VALUE!</v>
      </c>
      <c r="U251" s="27"/>
      <c r="V251" s="72"/>
      <c r="W251" s="72" t="s">
        <v>467</v>
      </c>
      <c r="X251">
        <v>7</v>
      </c>
      <c r="Y251" t="s">
        <v>417</v>
      </c>
      <c r="Z251" t="e">
        <f t="shared" si="75"/>
        <v>#VALUE!</v>
      </c>
      <c r="AA251" t="e">
        <f t="shared" si="79"/>
        <v>#VALUE!</v>
      </c>
      <c r="AB251" s="27"/>
      <c r="AD251" s="72" t="s">
        <v>467</v>
      </c>
      <c r="AE251">
        <v>11</v>
      </c>
      <c r="AF251" t="s">
        <v>417</v>
      </c>
      <c r="AG251" t="e">
        <f t="shared" si="76"/>
        <v>#VALUE!</v>
      </c>
      <c r="AH251" t="e">
        <f t="shared" si="80"/>
        <v>#VALUE!</v>
      </c>
      <c r="AI251" s="27"/>
    </row>
    <row r="252" spans="9:35" x14ac:dyDescent="0.25">
      <c r="I252" s="72" t="s">
        <v>468</v>
      </c>
      <c r="J252">
        <v>12</v>
      </c>
      <c r="K252" t="s">
        <v>417</v>
      </c>
      <c r="L252" t="e">
        <f t="shared" si="74"/>
        <v>#VALUE!</v>
      </c>
      <c r="M252" t="e">
        <f t="shared" si="77"/>
        <v>#VALUE!</v>
      </c>
      <c r="N252" s="27"/>
      <c r="P252" s="72" t="s">
        <v>468</v>
      </c>
      <c r="Q252">
        <v>6</v>
      </c>
      <c r="R252" t="s">
        <v>417</v>
      </c>
      <c r="S252" t="e">
        <f t="shared" si="66"/>
        <v>#VALUE!</v>
      </c>
      <c r="T252" t="e">
        <f t="shared" si="78"/>
        <v>#VALUE!</v>
      </c>
      <c r="U252" s="27"/>
      <c r="V252" s="72"/>
      <c r="W252" s="72" t="s">
        <v>468</v>
      </c>
      <c r="X252">
        <v>7</v>
      </c>
      <c r="Y252" t="s">
        <v>417</v>
      </c>
      <c r="Z252" t="e">
        <f t="shared" si="75"/>
        <v>#VALUE!</v>
      </c>
      <c r="AA252" t="e">
        <f t="shared" si="79"/>
        <v>#VALUE!</v>
      </c>
      <c r="AB252" s="27"/>
      <c r="AD252" s="72" t="s">
        <v>468</v>
      </c>
      <c r="AE252">
        <v>11</v>
      </c>
      <c r="AF252" t="s">
        <v>417</v>
      </c>
      <c r="AG252" t="e">
        <f t="shared" si="76"/>
        <v>#VALUE!</v>
      </c>
      <c r="AH252" t="e">
        <f t="shared" si="80"/>
        <v>#VALUE!</v>
      </c>
      <c r="AI252" s="27"/>
    </row>
    <row r="253" spans="9:35" x14ac:dyDescent="0.25">
      <c r="I253" s="72" t="s">
        <v>486</v>
      </c>
      <c r="J253">
        <v>12</v>
      </c>
      <c r="K253" t="s">
        <v>417</v>
      </c>
      <c r="L253" t="e">
        <f t="shared" si="74"/>
        <v>#VALUE!</v>
      </c>
      <c r="M253" t="e">
        <f t="shared" si="77"/>
        <v>#VALUE!</v>
      </c>
      <c r="N253" s="27"/>
      <c r="P253" s="72" t="s">
        <v>486</v>
      </c>
      <c r="Q253">
        <v>6</v>
      </c>
      <c r="R253" t="s">
        <v>417</v>
      </c>
      <c r="S253" t="e">
        <f t="shared" si="66"/>
        <v>#VALUE!</v>
      </c>
      <c r="T253" t="e">
        <f t="shared" si="78"/>
        <v>#VALUE!</v>
      </c>
      <c r="U253" s="27"/>
      <c r="V253" s="72"/>
      <c r="W253" s="72" t="s">
        <v>486</v>
      </c>
      <c r="X253">
        <v>7</v>
      </c>
      <c r="Y253" t="s">
        <v>417</v>
      </c>
      <c r="Z253" t="e">
        <f t="shared" si="75"/>
        <v>#VALUE!</v>
      </c>
      <c r="AA253" t="e">
        <f t="shared" si="79"/>
        <v>#VALUE!</v>
      </c>
      <c r="AB253" s="27"/>
      <c r="AD253" s="72" t="s">
        <v>486</v>
      </c>
      <c r="AE253">
        <v>11</v>
      </c>
      <c r="AF253" t="s">
        <v>417</v>
      </c>
      <c r="AG253" t="e">
        <f t="shared" si="76"/>
        <v>#VALUE!</v>
      </c>
      <c r="AH253" t="e">
        <f t="shared" si="80"/>
        <v>#VALUE!</v>
      </c>
      <c r="AI253" s="27"/>
    </row>
    <row r="254" spans="9:35" ht="15.75" thickBot="1" x14ac:dyDescent="0.3">
      <c r="I254" s="73" t="s">
        <v>470</v>
      </c>
      <c r="J254" s="2">
        <v>12</v>
      </c>
      <c r="K254" s="2" t="s">
        <v>417</v>
      </c>
      <c r="L254" s="2" t="e">
        <f t="shared" si="74"/>
        <v>#VALUE!</v>
      </c>
      <c r="M254" s="2" t="e">
        <f t="shared" si="77"/>
        <v>#VALUE!</v>
      </c>
      <c r="N254" s="8"/>
      <c r="P254" s="73" t="s">
        <v>470</v>
      </c>
      <c r="Q254" s="2">
        <v>6</v>
      </c>
      <c r="R254" s="2" t="s">
        <v>417</v>
      </c>
      <c r="S254" s="2" t="e">
        <f t="shared" si="66"/>
        <v>#VALUE!</v>
      </c>
      <c r="T254" s="2" t="e">
        <f t="shared" si="78"/>
        <v>#VALUE!</v>
      </c>
      <c r="U254" s="8"/>
      <c r="V254" s="72"/>
      <c r="W254" s="73" t="s">
        <v>470</v>
      </c>
      <c r="X254" s="2">
        <v>7</v>
      </c>
      <c r="Y254" s="2" t="s">
        <v>417</v>
      </c>
      <c r="Z254" s="2" t="e">
        <f t="shared" si="75"/>
        <v>#VALUE!</v>
      </c>
      <c r="AA254" s="2" t="e">
        <f t="shared" si="79"/>
        <v>#VALUE!</v>
      </c>
      <c r="AB254" s="8"/>
      <c r="AD254" s="73" t="s">
        <v>470</v>
      </c>
      <c r="AE254" s="2">
        <v>11</v>
      </c>
      <c r="AF254" s="2">
        <v>36.442424899134998</v>
      </c>
      <c r="AG254" s="2">
        <f t="shared" si="76"/>
        <v>1.0708705880356356E-11</v>
      </c>
      <c r="AH254" s="2">
        <f t="shared" si="80"/>
        <v>0.93782639649854715</v>
      </c>
      <c r="AI254" s="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203D-136A-471F-A446-6A56C5B455ED}">
  <dimension ref="A1:AK118"/>
  <sheetViews>
    <sheetView tabSelected="1" workbookViewId="0">
      <selection activeCell="O14" sqref="O14"/>
    </sheetView>
  </sheetViews>
  <sheetFormatPr defaultRowHeight="15" x14ac:dyDescent="0.25"/>
  <cols>
    <col min="2" max="2" width="10.42578125" bestFit="1" customWidth="1"/>
    <col min="3" max="3" width="10.28515625" customWidth="1"/>
    <col min="18" max="18" width="12" bestFit="1" customWidth="1"/>
  </cols>
  <sheetData>
    <row r="1" spans="2:37" ht="15.75" thickBot="1" x14ac:dyDescent="0.3">
      <c r="B1" s="672" t="s">
        <v>8</v>
      </c>
      <c r="C1" s="672" t="s">
        <v>477</v>
      </c>
      <c r="D1" s="649" t="s">
        <v>114</v>
      </c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4"/>
      <c r="P1" s="694"/>
      <c r="Q1" s="694"/>
      <c r="R1" s="694"/>
      <c r="S1" s="694"/>
      <c r="T1" s="692"/>
      <c r="U1" s="645" t="s">
        <v>476</v>
      </c>
      <c r="V1" s="645"/>
      <c r="W1" s="645"/>
      <c r="X1" s="645"/>
      <c r="Y1" s="645"/>
      <c r="Z1" s="645"/>
      <c r="AA1" s="645"/>
      <c r="AB1" s="645"/>
      <c r="AC1" s="645"/>
      <c r="AD1" s="645"/>
      <c r="AE1" s="645"/>
      <c r="AF1" s="645"/>
      <c r="AG1" s="645"/>
      <c r="AH1" s="645"/>
      <c r="AI1" s="645"/>
      <c r="AJ1" s="645"/>
      <c r="AK1" s="646"/>
    </row>
    <row r="2" spans="2:37" ht="15.75" thickBot="1" x14ac:dyDescent="0.3">
      <c r="B2" s="673"/>
      <c r="C2" s="673"/>
      <c r="D2" s="51" t="s">
        <v>454</v>
      </c>
      <c r="E2" s="52" t="s">
        <v>455</v>
      </c>
      <c r="F2" s="52" t="s">
        <v>481</v>
      </c>
      <c r="G2" s="52" t="s">
        <v>457</v>
      </c>
      <c r="H2" s="52" t="s">
        <v>458</v>
      </c>
      <c r="I2" s="52" t="s">
        <v>459</v>
      </c>
      <c r="J2" s="52" t="s">
        <v>460</v>
      </c>
      <c r="K2" s="52" t="s">
        <v>461</v>
      </c>
      <c r="L2" s="52" t="s">
        <v>462</v>
      </c>
      <c r="M2" s="52" t="s">
        <v>463</v>
      </c>
      <c r="N2" s="52" t="s">
        <v>464</v>
      </c>
      <c r="O2" s="52" t="s">
        <v>465</v>
      </c>
      <c r="P2" s="52" t="s">
        <v>466</v>
      </c>
      <c r="Q2" s="52" t="s">
        <v>467</v>
      </c>
      <c r="R2" s="52" t="s">
        <v>468</v>
      </c>
      <c r="S2" s="52" t="s">
        <v>486</v>
      </c>
      <c r="T2" s="53" t="s">
        <v>470</v>
      </c>
      <c r="U2" s="2" t="s">
        <v>454</v>
      </c>
      <c r="V2" s="2" t="s">
        <v>455</v>
      </c>
      <c r="W2" s="2" t="s">
        <v>456</v>
      </c>
      <c r="X2" s="2" t="s">
        <v>457</v>
      </c>
      <c r="Y2" s="2" t="s">
        <v>458</v>
      </c>
      <c r="Z2" s="2" t="s">
        <v>459</v>
      </c>
      <c r="AA2" s="2" t="s">
        <v>460</v>
      </c>
      <c r="AB2" s="2" t="s">
        <v>461</v>
      </c>
      <c r="AC2" s="2" t="s">
        <v>462</v>
      </c>
      <c r="AD2" s="2" t="s">
        <v>463</v>
      </c>
      <c r="AE2" s="2" t="s">
        <v>464</v>
      </c>
      <c r="AF2" s="2" t="s">
        <v>465</v>
      </c>
      <c r="AG2" s="2" t="s">
        <v>466</v>
      </c>
      <c r="AH2" s="2" t="s">
        <v>467</v>
      </c>
      <c r="AI2" s="2" t="s">
        <v>468</v>
      </c>
      <c r="AJ2" s="2" t="s">
        <v>469</v>
      </c>
      <c r="AK2" s="8" t="s">
        <v>470</v>
      </c>
    </row>
    <row r="3" spans="2:37" x14ac:dyDescent="0.25">
      <c r="B3" s="667" t="s">
        <v>197</v>
      </c>
      <c r="C3" s="511">
        <v>55</v>
      </c>
      <c r="D3">
        <v>0.11810389045806469</v>
      </c>
      <c r="E3">
        <v>2.5144319930841645E-2</v>
      </c>
      <c r="F3">
        <v>17.958460665527092</v>
      </c>
      <c r="G3">
        <v>5.8112082162701615E-3</v>
      </c>
      <c r="H3">
        <v>3.5195387798957749</v>
      </c>
      <c r="I3">
        <v>4.7455400543878028E-2</v>
      </c>
      <c r="J3">
        <v>9.754716733516583E-2</v>
      </c>
      <c r="K3">
        <v>0.11699594508328567</v>
      </c>
      <c r="L3">
        <v>5.5599184158587056E-3</v>
      </c>
      <c r="M3">
        <v>1.3602479884660545</v>
      </c>
      <c r="N3">
        <v>78.735372399606462</v>
      </c>
      <c r="O3">
        <v>0.10983192186633296</v>
      </c>
      <c r="P3">
        <v>3.0349983019448766E-2</v>
      </c>
      <c r="Q3">
        <v>9.8779319812254494E-3</v>
      </c>
      <c r="R3">
        <f>'[2]Pivot Table (Plates 1-4)'!P10</f>
        <v>0.26006265128301964</v>
      </c>
      <c r="S3">
        <f>'[2]Pivot Table (Plates 1-4)'!Q10</f>
        <v>1.7107437813508074E-3</v>
      </c>
      <c r="T3" s="27"/>
      <c r="U3" s="50">
        <v>0.51013341347150287</v>
      </c>
      <c r="V3" s="50">
        <v>0.6271791302600892</v>
      </c>
      <c r="W3" s="50">
        <v>0.80578561906075841</v>
      </c>
      <c r="X3" s="50">
        <v>-5.1588267951673443E-3</v>
      </c>
      <c r="Y3" s="50">
        <v>0.23208927976997443</v>
      </c>
      <c r="Z3" s="50">
        <v>1.0553835421412516</v>
      </c>
      <c r="AA3" s="50">
        <v>0.59364554263006719</v>
      </c>
      <c r="AB3" s="50">
        <v>1.9927864234474588</v>
      </c>
      <c r="AC3" s="50">
        <v>2.0396948045412784</v>
      </c>
      <c r="AD3" s="50">
        <v>0.89372499882870482</v>
      </c>
      <c r="AE3" s="50">
        <v>2.1687775867240462</v>
      </c>
      <c r="AF3" s="50">
        <v>1.7605873053965431</v>
      </c>
      <c r="AG3" s="50">
        <v>1.8111620443304166</v>
      </c>
      <c r="AH3" s="50">
        <v>2.0017966735631356</v>
      </c>
      <c r="AI3" s="50">
        <f>LOG(R3/R$9,2)</f>
        <v>-0.29700477905483874</v>
      </c>
      <c r="AJ3" s="50">
        <f>LOG(S3/S$9,2)</f>
        <v>-0.21033773543125364</v>
      </c>
      <c r="AK3" s="25"/>
    </row>
    <row r="4" spans="2:37" x14ac:dyDescent="0.25">
      <c r="B4" s="665"/>
      <c r="C4" s="513">
        <v>53</v>
      </c>
      <c r="D4">
        <v>6.2457658937117869E-2</v>
      </c>
      <c r="E4">
        <v>8.0321196216546469E-3</v>
      </c>
      <c r="F4">
        <v>7.1836657957100085</v>
      </c>
      <c r="G4">
        <v>7.2788745986643744E-3</v>
      </c>
      <c r="H4">
        <v>3.5425625197158079</v>
      </c>
      <c r="I4">
        <v>3.4237740747111818E-3</v>
      </c>
      <c r="J4">
        <v>1.3506088649614926E-2</v>
      </c>
      <c r="K4">
        <v>5.2572570635379598E-4</v>
      </c>
      <c r="L4">
        <v>1.284982390956845E-4</v>
      </c>
      <c r="M4">
        <v>0.13817692826831898</v>
      </c>
      <c r="N4">
        <v>0.28603723639964473</v>
      </c>
      <c r="O4">
        <v>1.0036205998652703E-3</v>
      </c>
      <c r="P4">
        <v>3.5613507156237856E-5</v>
      </c>
      <c r="Q4">
        <v>1.4897174376734168E-4</v>
      </c>
      <c r="R4">
        <f>'[2]Pivot Table (Plates 1-4)'!P5</f>
        <v>0.37895864046097477</v>
      </c>
      <c r="S4">
        <f>'[2]Pivot Table (Plates 1-4)'!Q5</f>
        <v>2.2477770365003881E-3</v>
      </c>
      <c r="T4" s="27"/>
      <c r="U4">
        <v>-0.4089726760232717</v>
      </c>
      <c r="V4">
        <v>-1.0192007431506624</v>
      </c>
      <c r="W4">
        <v>-0.51608593517133794</v>
      </c>
      <c r="X4">
        <v>0.31971843538932054</v>
      </c>
      <c r="Y4">
        <v>0.24149621165481175</v>
      </c>
      <c r="Z4">
        <v>-2.7375293261942724</v>
      </c>
      <c r="AA4">
        <v>-2.258844504457612</v>
      </c>
      <c r="AB4">
        <v>-5.8051461101463948</v>
      </c>
      <c r="AC4">
        <v>-3.3955484146275206</v>
      </c>
      <c r="AD4">
        <v>-2.4055560454026064</v>
      </c>
      <c r="AE4">
        <v>-5.9358875553075068</v>
      </c>
      <c r="AF4">
        <v>-5.0133523204390746</v>
      </c>
      <c r="AG4">
        <v>-7.9238934328423278</v>
      </c>
      <c r="AH4">
        <v>-4.0493017424861053</v>
      </c>
      <c r="AI4">
        <f>LOG(R4/R$9,2)</f>
        <v>0.24617639971176059</v>
      </c>
      <c r="AJ4">
        <f>LOG(S4/S$9,2)</f>
        <v>0.18353749903089583</v>
      </c>
      <c r="AK4" s="27"/>
    </row>
    <row r="5" spans="2:37" x14ac:dyDescent="0.25">
      <c r="B5" s="665"/>
      <c r="C5" s="513">
        <v>60</v>
      </c>
      <c r="L5">
        <v>8.3732404535169567E-5</v>
      </c>
      <c r="M5">
        <v>0.10963229122139748</v>
      </c>
      <c r="N5">
        <v>0.39394387563406902</v>
      </c>
      <c r="O5">
        <v>1.0801913489012281E-3</v>
      </c>
      <c r="Q5">
        <v>9.9746253850381555E-5</v>
      </c>
      <c r="T5" s="27"/>
      <c r="AC5">
        <v>-4.0134390433251816</v>
      </c>
      <c r="AD5">
        <v>-2.7393999970506151</v>
      </c>
      <c r="AE5">
        <v>-5.4741004183866346</v>
      </c>
      <c r="AF5">
        <v>-4.9072794096030092</v>
      </c>
      <c r="AH5">
        <v>-4.6280058913108562</v>
      </c>
      <c r="AK5" s="27"/>
    </row>
    <row r="6" spans="2:37" x14ac:dyDescent="0.25">
      <c r="B6" s="665"/>
      <c r="C6" s="513">
        <v>54</v>
      </c>
      <c r="D6">
        <v>7.2560130222977456E-2</v>
      </c>
      <c r="E6">
        <v>2.0874343286072933E-2</v>
      </c>
      <c r="F6">
        <v>7.5689726218250826</v>
      </c>
      <c r="G6">
        <v>4.8770563328566097E-3</v>
      </c>
      <c r="H6">
        <v>2.3984958189448493</v>
      </c>
      <c r="I6">
        <v>3.764873673199335E-2</v>
      </c>
      <c r="J6">
        <v>0.13941217986595658</v>
      </c>
      <c r="K6">
        <v>5.5483017468878527E-5</v>
      </c>
      <c r="L6">
        <v>1.8946613258378537E-4</v>
      </c>
      <c r="M6">
        <v>1.7328762072131215E-2</v>
      </c>
      <c r="N6">
        <v>0.23729901445364812</v>
      </c>
      <c r="O6">
        <v>2.7499836817161862E-3</v>
      </c>
      <c r="P6">
        <v>8.6301762860366998E-5</v>
      </c>
      <c r="Q6">
        <v>9.9309251501773123E-5</v>
      </c>
      <c r="T6" s="27"/>
      <c r="U6">
        <v>-0.1926741256644019</v>
      </c>
      <c r="V6">
        <v>0.35867740698184181</v>
      </c>
      <c r="W6">
        <v>-0.44070868000221031</v>
      </c>
      <c r="X6">
        <v>-0.25798633787307845</v>
      </c>
      <c r="Y6">
        <v>-0.32116717799110917</v>
      </c>
      <c r="Z6">
        <v>0.72141272066160544</v>
      </c>
      <c r="AA6">
        <v>1.1088302674028632</v>
      </c>
      <c r="AB6">
        <v>-9.0493382335594799</v>
      </c>
      <c r="AC6">
        <v>-2.8353570168118791</v>
      </c>
      <c r="AD6">
        <v>-5.4008322906052184</v>
      </c>
      <c r="AE6">
        <v>-6.2053844161744065</v>
      </c>
      <c r="AF6">
        <v>-3.5591432509396324</v>
      </c>
      <c r="AG6">
        <v>-6.6469279204310654</v>
      </c>
      <c r="AH6">
        <v>-4.6343404273284117</v>
      </c>
      <c r="AK6" s="27"/>
    </row>
    <row r="7" spans="2:37" x14ac:dyDescent="0.25">
      <c r="B7" s="665"/>
      <c r="C7" s="513">
        <v>62</v>
      </c>
      <c r="D7">
        <v>7.8588451529255712E-2</v>
      </c>
      <c r="E7">
        <v>1.1067082363416619E-2</v>
      </c>
      <c r="F7">
        <v>8.3814854931185323</v>
      </c>
      <c r="G7">
        <v>5.3609619884892592E-3</v>
      </c>
      <c r="H7">
        <v>2.5255584818226833</v>
      </c>
      <c r="I7">
        <v>2.8084132715720184E-3</v>
      </c>
      <c r="J7">
        <v>8.0994458669230857E-3</v>
      </c>
      <c r="K7">
        <v>5.2441514355288364E-6</v>
      </c>
      <c r="L7">
        <v>1.0208650763432059E-4</v>
      </c>
      <c r="M7">
        <v>0.18544116558953447</v>
      </c>
      <c r="N7">
        <v>0.25280958835743683</v>
      </c>
      <c r="O7">
        <v>9.8769475779961593E-4</v>
      </c>
      <c r="P7">
        <v>2.7198755829754781E-5</v>
      </c>
      <c r="Q7">
        <v>8.7560500450716168E-5</v>
      </c>
      <c r="T7" s="27"/>
      <c r="U7">
        <v>-7.7533844825155948E-2</v>
      </c>
      <c r="V7">
        <v>-0.55677847191456042</v>
      </c>
      <c r="W7">
        <v>-0.29360020585564855</v>
      </c>
      <c r="X7">
        <v>-0.12150506850299725</v>
      </c>
      <c r="Y7">
        <v>-0.24669465343153196</v>
      </c>
      <c r="Z7">
        <v>-3.0233615808526673</v>
      </c>
      <c r="AA7">
        <v>-2.9965593236850654</v>
      </c>
      <c r="AB7">
        <v>-12.452603232949127</v>
      </c>
      <c r="AC7">
        <v>-3.7275048003106415</v>
      </c>
      <c r="AD7">
        <v>-1.9811112514632925</v>
      </c>
      <c r="AE7">
        <v>-6.1140393430190292</v>
      </c>
      <c r="AF7">
        <v>-5.036429150706037</v>
      </c>
      <c r="AG7">
        <v>-8.3127772907831083</v>
      </c>
      <c r="AH7">
        <v>-4.815988350417121</v>
      </c>
      <c r="AK7" s="27"/>
    </row>
    <row r="8" spans="2:37" ht="15.75" thickBot="1" x14ac:dyDescent="0.3">
      <c r="B8" s="665"/>
      <c r="C8" s="515">
        <v>61</v>
      </c>
      <c r="D8" s="84"/>
      <c r="E8" s="84"/>
      <c r="F8" s="84"/>
      <c r="G8" s="84"/>
      <c r="H8" s="84"/>
      <c r="I8" s="84"/>
      <c r="J8" s="84"/>
      <c r="K8" s="84"/>
      <c r="L8" s="84">
        <v>2.0498377320644617E-3</v>
      </c>
      <c r="M8" s="84">
        <v>2.5818704988260377</v>
      </c>
      <c r="N8" s="84">
        <v>25.158561482065465</v>
      </c>
      <c r="O8" s="84">
        <v>7.88334387269429E-2</v>
      </c>
      <c r="P8" s="84">
        <v>1.2743757455912039E-2</v>
      </c>
      <c r="Q8" s="84">
        <v>4.484937365760739E-3</v>
      </c>
      <c r="R8" s="84"/>
      <c r="S8" s="84"/>
      <c r="T8" s="33"/>
      <c r="U8" s="84"/>
      <c r="V8" s="84"/>
      <c r="W8" s="84"/>
      <c r="X8" s="84"/>
      <c r="Y8" s="84"/>
      <c r="Z8" s="84"/>
      <c r="AA8" s="84"/>
      <c r="AB8" s="84"/>
      <c r="AC8" s="84">
        <v>0.60014079955322452</v>
      </c>
      <c r="AD8" s="84">
        <v>1.8182719438080215</v>
      </c>
      <c r="AE8" s="84">
        <v>0.52281509889381017</v>
      </c>
      <c r="AF8" s="84">
        <v>1.2821694926676488</v>
      </c>
      <c r="AG8" s="84">
        <v>0.55925704933540732</v>
      </c>
      <c r="AH8" s="84">
        <v>0.86267547649050424</v>
      </c>
      <c r="AI8" s="84"/>
      <c r="AJ8" s="84"/>
      <c r="AK8" s="33"/>
    </row>
    <row r="9" spans="2:37" ht="15.75" thickTop="1" x14ac:dyDescent="0.25">
      <c r="B9" s="665"/>
      <c r="C9" s="516" t="s">
        <v>478</v>
      </c>
      <c r="D9" s="517">
        <v>8.2927532786853927E-2</v>
      </c>
      <c r="E9" s="517">
        <v>1.627946630049646E-2</v>
      </c>
      <c r="F9" s="517">
        <v>10.273146144045178</v>
      </c>
      <c r="G9" s="517">
        <v>5.8320252840701019E-3</v>
      </c>
      <c r="H9" s="517">
        <v>2.9965389000947789</v>
      </c>
      <c r="I9" s="517">
        <v>2.2834081155538644E-2</v>
      </c>
      <c r="J9" s="517">
        <v>6.46412204294151E-2</v>
      </c>
      <c r="K9" s="517">
        <v>2.9395599489635972E-2</v>
      </c>
      <c r="L9" s="517">
        <v>1.3522565719620214E-3</v>
      </c>
      <c r="M9" s="517">
        <v>0.73211627240724564</v>
      </c>
      <c r="N9" s="517">
        <v>17.510670599419456</v>
      </c>
      <c r="O9" s="517">
        <v>3.2414475163593026E-2</v>
      </c>
      <c r="P9" s="517">
        <v>8.648570900241433E-3</v>
      </c>
      <c r="Q9" s="517">
        <f>AVERAGE(Q3:Q8)</f>
        <v>2.4664095160927334E-3</v>
      </c>
      <c r="R9" s="517">
        <f>AVERAGE(R3:R4)</f>
        <v>0.31951064587199718</v>
      </c>
      <c r="S9" s="517">
        <f>AVERAGE(S3:S4)</f>
        <v>1.9792604089255979E-3</v>
      </c>
      <c r="T9" s="518"/>
      <c r="U9" s="517">
        <v>-4.2261808260331671E-2</v>
      </c>
      <c r="V9" s="517">
        <v>-0.14753066945582297</v>
      </c>
      <c r="W9" s="517">
        <v>-0.1111523004921096</v>
      </c>
      <c r="X9" s="517">
        <v>-1.6232949445480621E-2</v>
      </c>
      <c r="Y9" s="517">
        <v>-2.3569084999463738E-2</v>
      </c>
      <c r="Z9" s="517">
        <v>-0.99602366106102069</v>
      </c>
      <c r="AA9" s="517">
        <v>-0.88823200452743678</v>
      </c>
      <c r="AB9" s="517">
        <v>-6.3285752883018853</v>
      </c>
      <c r="AC9" s="517">
        <v>-1.8886689451634533</v>
      </c>
      <c r="AD9" s="517">
        <v>-1.6358171069808343</v>
      </c>
      <c r="AE9" s="517">
        <v>-3.5063031745449535</v>
      </c>
      <c r="AF9" s="517">
        <v>-2.5789078889372603</v>
      </c>
      <c r="AG9" s="517">
        <v>-4.1026359100781349</v>
      </c>
      <c r="AH9" s="517">
        <v>-2.5438607102481421</v>
      </c>
      <c r="AI9" s="517">
        <f>AVERAGE(AI3:AI4)</f>
        <v>-2.5414189671539078E-2</v>
      </c>
      <c r="AJ9" s="517">
        <f>AVERAGE(AJ3:AJ4)</f>
        <v>-1.3400118200178904E-2</v>
      </c>
      <c r="AK9" s="518"/>
    </row>
    <row r="10" spans="2:37" x14ac:dyDescent="0.25">
      <c r="B10" s="665"/>
      <c r="C10" s="30" t="s">
        <v>479</v>
      </c>
      <c r="D10" s="519"/>
      <c r="E10" s="519"/>
      <c r="F10" s="519"/>
      <c r="G10" s="519"/>
      <c r="H10" s="519"/>
      <c r="I10" s="519"/>
      <c r="J10" s="519"/>
      <c r="K10" s="519"/>
      <c r="L10" s="519"/>
      <c r="M10" s="519"/>
      <c r="N10" s="519"/>
      <c r="O10" s="519"/>
      <c r="P10" s="519"/>
      <c r="Q10" s="519"/>
      <c r="R10" s="519"/>
      <c r="S10" s="519"/>
      <c r="T10" s="522"/>
      <c r="U10">
        <v>0.74385550556155522</v>
      </c>
      <c r="V10">
        <v>1.394638526457977</v>
      </c>
      <c r="W10">
        <v>1.1253163497403826</v>
      </c>
      <c r="X10">
        <v>0.47707275567995822</v>
      </c>
      <c r="Y10">
        <v>0.58082643142710022</v>
      </c>
      <c r="Z10">
        <v>3.3706379564420659</v>
      </c>
      <c r="AA10">
        <v>3.1955312097000457</v>
      </c>
      <c r="AB10">
        <v>6.0232293363090266</v>
      </c>
      <c r="AC10">
        <v>3.2251621046935304</v>
      </c>
      <c r="AD10">
        <v>3.6127465093665014</v>
      </c>
      <c r="AE10">
        <v>4.0989986307844744</v>
      </c>
      <c r="AF10">
        <v>3.8763066130708794</v>
      </c>
      <c r="AG10">
        <v>5.6701310238740099</v>
      </c>
      <c r="AH10">
        <v>3.6793328840790909</v>
      </c>
      <c r="AK10" s="27"/>
    </row>
    <row r="11" spans="2:37" ht="15.75" thickBot="1" x14ac:dyDescent="0.3">
      <c r="B11" s="666"/>
      <c r="C11" s="9" t="s">
        <v>480</v>
      </c>
      <c r="D11" s="520"/>
      <c r="E11" s="520"/>
      <c r="F11" s="520"/>
      <c r="G11" s="520"/>
      <c r="H11" s="520"/>
      <c r="I11" s="520"/>
      <c r="J11" s="520"/>
      <c r="K11" s="520"/>
      <c r="L11" s="520"/>
      <c r="M11" s="520"/>
      <c r="N11" s="520"/>
      <c r="O11" s="520"/>
      <c r="P11" s="520"/>
      <c r="Q11" s="520"/>
      <c r="R11" s="520"/>
      <c r="S11" s="520"/>
      <c r="T11" s="523"/>
      <c r="U11" s="2">
        <v>-0.82837912208221853</v>
      </c>
      <c r="V11" s="2">
        <v>-1.6896998653696229</v>
      </c>
      <c r="W11" s="2">
        <v>-1.3476209507246018</v>
      </c>
      <c r="X11" s="2">
        <v>-0.5095386545709194</v>
      </c>
      <c r="Y11" s="2">
        <v>-0.62796460142602772</v>
      </c>
      <c r="Z11" s="2">
        <v>-5.3626852785641077</v>
      </c>
      <c r="AA11" s="2">
        <v>-4.9719952187549188</v>
      </c>
      <c r="AB11" s="2">
        <v>-18.680379912912798</v>
      </c>
      <c r="AC11" s="2">
        <v>-7.002499995020437</v>
      </c>
      <c r="AD11" s="2">
        <v>-6.88438072332817</v>
      </c>
      <c r="AE11" s="2">
        <v>-11.111604979874382</v>
      </c>
      <c r="AF11" s="2">
        <v>-9.0341223909454005</v>
      </c>
      <c r="AG11" s="2">
        <v>-13.87540284403028</v>
      </c>
      <c r="AH11" s="2">
        <v>-8.7670543045753746</v>
      </c>
      <c r="AI11" s="2"/>
      <c r="AJ11" s="2"/>
      <c r="AK11" s="8"/>
    </row>
    <row r="12" spans="2:37" x14ac:dyDescent="0.25">
      <c r="B12" s="667" t="s">
        <v>86</v>
      </c>
      <c r="C12" s="28">
        <v>4</v>
      </c>
      <c r="D12" s="50" cm="1">
        <f t="array" ref="D12">_xlfn.XLOOKUP(1,('PCR Plates'!$B$3:$B$182='PCR Results'!D$2)*('PCR Plates'!$C$3:$C$182='PCR Results'!$C12),'PCR Plates'!$G$3:$G$182)</f>
        <v>5.1864173658600118E-2</v>
      </c>
      <c r="E12" s="50"/>
      <c r="F12" s="50" cm="1">
        <f t="array" ref="F12">_xlfn.XLOOKUP(1,('PCR Plates'!$B$3:$B$182='PCR Results'!F$2)*('PCR Plates'!$C$3:$C$182='PCR Results'!$C12),'PCR Plates'!$G$3:$G$182)</f>
        <v>0.47504575098289248</v>
      </c>
      <c r="G12" s="50"/>
      <c r="H12" s="50" cm="1">
        <f t="array" ref="H12">_xlfn.XLOOKUP(1,('PCR Plates'!$B$3:$B$182='PCR Results'!H$2)*('PCR Plates'!$C$3:$C$182='PCR Results'!$C12),'PCR Plates'!$G$3:$G$182)</f>
        <v>7.672262019262166E-2</v>
      </c>
      <c r="I12" s="50" cm="1">
        <f t="array" ref="I12">_xlfn.XLOOKUP(1,('PCR Plates'!$B$3:$B$182='PCR Results'!I$2)*('PCR Plates'!$C$3:$C$182='PCR Results'!$C12),'PCR Plates'!$G$3:$G$182)</f>
        <v>0.8427273805062574</v>
      </c>
      <c r="J12" s="50"/>
      <c r="K12" s="50"/>
      <c r="L12" s="50"/>
      <c r="M12" s="50" cm="1">
        <f t="array" ref="M12">_xlfn.XLOOKUP(1,('PCR Plates'!$B$3:$B$182='PCR Results'!M$2)*('PCR Plates'!$C$3:$C$182='PCR Results'!$C12),'PCR Plates'!$G$3:$G$182)</f>
        <v>6.6902311238231787E-2</v>
      </c>
      <c r="N12" s="50" cm="1">
        <f t="array" ref="N12">_xlfn.XLOOKUP(1,('PCR Plates'!$B$3:$B$182='PCR Results'!N$2)*('PCR Plates'!$C$3:$C$182='PCR Results'!$C12),'PCR Plates'!$G$3:$G$182)</f>
        <v>8.6207773329177992E-2</v>
      </c>
      <c r="O12" s="50"/>
      <c r="P12" s="50"/>
      <c r="Q12" s="50"/>
      <c r="R12" s="50"/>
      <c r="S12" s="50" cm="1">
        <f t="array" ref="S12">_xlfn.XLOOKUP(1,('PCR Plates'!$B$3:$B$182='PCR Results'!S$2)*('PCR Plates'!$C$3:$C$182='PCR Results'!$C12),'PCR Plates'!$G$3:$G$182)</f>
        <v>3.6656269427216913E-2</v>
      </c>
      <c r="T12" s="25"/>
      <c r="U12" s="50">
        <f>LOG(D12/D$9,2)</f>
        <v>-0.67711286205943799</v>
      </c>
      <c r="V12" s="50"/>
      <c r="W12" s="50">
        <f t="shared" ref="W12:AJ12" si="0">LOG(F12/F$9,2)</f>
        <v>-4.4346677994284036</v>
      </c>
      <c r="X12" s="50"/>
      <c r="Y12" s="50">
        <f t="shared" si="0"/>
        <v>-5.2875013010049212</v>
      </c>
      <c r="Z12" s="50">
        <f t="shared" si="0"/>
        <v>5.2058053577285248</v>
      </c>
      <c r="AA12" s="50"/>
      <c r="AB12" s="50"/>
      <c r="AC12" s="50"/>
      <c r="AD12" s="50">
        <f t="shared" si="0"/>
        <v>-3.4519448341499985</v>
      </c>
      <c r="AE12" s="50">
        <f t="shared" si="0"/>
        <v>-7.6662006572681101</v>
      </c>
      <c r="AF12" s="50"/>
      <c r="AG12" s="50"/>
      <c r="AH12" s="50"/>
      <c r="AI12" s="50"/>
      <c r="AJ12" s="50">
        <f t="shared" si="0"/>
        <v>4.2110266240982952</v>
      </c>
      <c r="AK12" s="25"/>
    </row>
    <row r="13" spans="2:37" x14ac:dyDescent="0.25">
      <c r="B13" s="665"/>
      <c r="C13" s="30">
        <v>1</v>
      </c>
      <c r="T13" s="27"/>
      <c r="AK13" s="27"/>
    </row>
    <row r="14" spans="2:37" x14ac:dyDescent="0.25">
      <c r="B14" s="665"/>
      <c r="C14" s="30">
        <v>15</v>
      </c>
      <c r="T14" s="27"/>
      <c r="AK14" s="27"/>
    </row>
    <row r="15" spans="2:37" x14ac:dyDescent="0.25">
      <c r="B15" s="665"/>
      <c r="C15" s="30">
        <v>10</v>
      </c>
      <c r="T15" s="27"/>
      <c r="AK15" s="27"/>
    </row>
    <row r="16" spans="2:37" x14ac:dyDescent="0.25">
      <c r="B16" s="665"/>
      <c r="C16" s="30">
        <v>16</v>
      </c>
      <c r="T16" s="27"/>
      <c r="AK16" s="27"/>
    </row>
    <row r="17" spans="2:37" ht="15.75" thickBot="1" x14ac:dyDescent="0.3">
      <c r="B17" s="665"/>
      <c r="C17" s="32">
        <v>12</v>
      </c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33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33"/>
    </row>
    <row r="18" spans="2:37" ht="15.75" thickTop="1" x14ac:dyDescent="0.25">
      <c r="B18" s="665"/>
      <c r="C18" s="48">
        <v>7</v>
      </c>
      <c r="D18" cm="1">
        <f t="array" ref="D18">_xlfn.XLOOKUP(1,('PCR Plates'!$I$3:$I$254='PCR Results'!D$2)*('PCR Plates'!$J$3:$J$254='PCR Results'!$C18),'PCR Plates'!$N$3:$N$254)</f>
        <v>2.3666100230275083E-2</v>
      </c>
      <c r="E18" cm="1">
        <f t="array" ref="E18">_xlfn.XLOOKUP(1,('PCR Plates'!$I$3:$I$254='PCR Results'!E$2)*('PCR Plates'!$J$3:$J$254='PCR Results'!$C18),'PCR Plates'!$N$3:$N$254)</f>
        <v>9.6402966779756012E-5</v>
      </c>
      <c r="F18" cm="1">
        <f t="array" ref="F18">_xlfn.XLOOKUP(1,('PCR Plates'!$I$3:$I$254='PCR Results'!F$2)*('PCR Plates'!$J$3:$J$254='PCR Results'!$C18),'PCR Plates'!$N$3:$N$254)</f>
        <v>0.78040132312668142</v>
      </c>
      <c r="G18" cm="1">
        <f t="array" ref="G18">_xlfn.XLOOKUP(1,('PCR Plates'!$I$3:$I$254='PCR Results'!G$2)*('PCR Plates'!$J$3:$J$254='PCR Results'!$C18),'PCR Plates'!$N$3:$N$254)</f>
        <v>2.5048585644732831E-4</v>
      </c>
      <c r="H18" cm="1">
        <f t="array" ref="H18">_xlfn.XLOOKUP(1,('PCR Plates'!$I$3:$I$254='PCR Results'!H$2)*('PCR Plates'!$J$3:$J$254='PCR Results'!$C18),'PCR Plates'!$N$3:$N$254)</f>
        <v>0.39287475312044379</v>
      </c>
      <c r="I18" cm="1">
        <f t="array" ref="I18">_xlfn.XLOOKUP(1,('PCR Plates'!$I$3:$I$254='PCR Results'!I$2)*('PCR Plates'!$J$3:$J$254='PCR Results'!$C18),'PCR Plates'!$N$3:$N$254)</f>
        <v>1.437275881428822</v>
      </c>
      <c r="J18" cm="1">
        <f t="array" ref="J18">_xlfn.XLOOKUP(1,('PCR Plates'!$I$3:$I$254='PCR Results'!J$2)*('PCR Plates'!$J$3:$J$254='PCR Results'!$C18),'PCR Plates'!$N$3:$N$254)</f>
        <v>0.39158085822889588</v>
      </c>
      <c r="K18" cm="1">
        <f t="array" ref="K18">_xlfn.XLOOKUP(1,('PCR Plates'!$I$3:$I$254='PCR Results'!K$2)*('PCR Plates'!$J$3:$J$254='PCR Results'!$C18),'PCR Plates'!$N$3:$N$254)</f>
        <v>1.0361755921430469E-3</v>
      </c>
      <c r="L18" cm="1">
        <f t="array" ref="L18">_xlfn.XLOOKUP(1,('PCR Plates'!$I$3:$I$254='PCR Results'!L$2)*('PCR Plates'!$J$3:$J$254='PCR Results'!$C18),'PCR Plates'!$N$3:$N$254)</f>
        <v>1.0464579841185415E-2</v>
      </c>
      <c r="M18" cm="1">
        <f t="array" ref="M18">_xlfn.XLOOKUP(1,('PCR Plates'!$I$3:$I$254='PCR Results'!M$2)*('PCR Plates'!$J$3:$J$254='PCR Results'!$C18),'PCR Plates'!$N$3:$N$254)</f>
        <v>2.5003365692301199E-2</v>
      </c>
      <c r="N18" cm="1">
        <f t="array" ref="N18">_xlfn.XLOOKUP(1,('PCR Plates'!$I$3:$I$254='PCR Results'!N$2)*('PCR Plates'!$J$3:$J$254='PCR Results'!$C18),'PCR Plates'!$N$3:$N$254)</f>
        <v>0.41255772707365479</v>
      </c>
      <c r="O18" cm="1">
        <f t="array" ref="O18">_xlfn.XLOOKUP(1,('PCR Plates'!$I$3:$I$254='PCR Results'!O$2)*('PCR Plates'!$J$3:$J$254='PCR Results'!$C18),'PCR Plates'!$N$3:$N$254)</f>
        <v>2.9660122624595154E-2</v>
      </c>
      <c r="P18" cm="1">
        <f t="array" ref="P18">_xlfn.XLOOKUP(1,('PCR Plates'!$I$3:$I$254='PCR Results'!P$2)*('PCR Plates'!$J$3:$J$254='PCR Results'!$C18),'PCR Plates'!$N$3:$N$254)</f>
        <v>1.0486766027519782E-4</v>
      </c>
      <c r="Q18" cm="1">
        <f t="array" ref="Q18">_xlfn.XLOOKUP(1,('PCR Plates'!$I$3:$I$254='PCR Results'!Q$2)*('PCR Plates'!$J$3:$J$254='PCR Results'!$C18),'PCR Plates'!$N$3:$N$254)</f>
        <v>2.7932030693650148E-3</v>
      </c>
      <c r="R18" cm="1">
        <f t="array" ref="R18">_xlfn.XLOOKUP(1,('PCR Plates'!$I$3:$I$254='PCR Results'!R$2)*('PCR Plates'!$J$3:$J$254='PCR Results'!$C18),'PCR Plates'!$N$3:$N$254)</f>
        <v>1.6383990516454202E-3</v>
      </c>
      <c r="S18" cm="1">
        <f t="array" ref="S18">_xlfn.XLOOKUP(1,('PCR Plates'!$I$3:$I$254='PCR Results'!S$2)*('PCR Plates'!$J$3:$J$254='PCR Results'!$C18),'PCR Plates'!$N$3:$N$254)</f>
        <v>4.0762426173281546E-2</v>
      </c>
      <c r="T18" s="27" cm="1">
        <f t="array" ref="T18">_xlfn.XLOOKUP(1,('PCR Plates'!$I$3:$I$254='PCR Results'!T$2)*('PCR Plates'!$J$3:$J$254='PCR Results'!$C18),'PCR Plates'!$N$3:$N$254)</f>
        <v>6.8030299378488222E-4</v>
      </c>
      <c r="U18">
        <f t="shared" ref="U18:U20" si="1">LOG(D18/D$9,2)</f>
        <v>-1.8090291766063824</v>
      </c>
      <c r="V18">
        <f t="shared" ref="V18:V19" si="2">LOG(E18/E$9,2)</f>
        <v>-7.3997601425492014</v>
      </c>
      <c r="W18">
        <f t="shared" ref="W18:W21" si="3">LOG(F18/F$9,2)</f>
        <v>-3.7185180395199562</v>
      </c>
      <c r="X18">
        <f t="shared" ref="X18:X20" si="4">LOG(G18/G$9,2)</f>
        <v>-4.5411959245025439</v>
      </c>
      <c r="Y18">
        <f t="shared" ref="Y18:Y21" si="5">LOG(H18/H$9,2)</f>
        <v>-2.9311557370701915</v>
      </c>
      <c r="Z18">
        <f t="shared" ref="Z18:Z21" si="6">LOG(I18/I$9,2)</f>
        <v>5.976004463002786</v>
      </c>
      <c r="AA18">
        <f t="shared" ref="AA18:AA21" si="7">LOG(J18/J$9,2)</f>
        <v>2.5987839013340173</v>
      </c>
      <c r="AB18">
        <f t="shared" ref="AB18" si="8">LOG(K18/K$9,2)</f>
        <v>-4.8262597898114601</v>
      </c>
      <c r="AC18">
        <f t="shared" ref="AC18:AC20" si="9">LOG(L18/L$9,2)</f>
        <v>2.9520735736187396</v>
      </c>
      <c r="AD18">
        <f t="shared" ref="AD18:AD20" si="10">LOG(M18/M$9,2)</f>
        <v>-4.8718785773706887</v>
      </c>
      <c r="AE18">
        <f t="shared" ref="AE18:AE21" si="11">LOG(N18/N$9,2)</f>
        <v>-5.4074945225867346</v>
      </c>
      <c r="AF18">
        <f t="shared" ref="AF18:AF20" si="12">LOG(O18/O$9,2)</f>
        <v>-0.12811365144973902</v>
      </c>
      <c r="AG18">
        <f t="shared" ref="AG18:AG19" si="13">LOG(P18/P$9,2)</f>
        <v>-6.3658200152901179</v>
      </c>
      <c r="AH18">
        <f t="shared" ref="AH18:AH20" si="14">LOG(Q18/Q$9,2)</f>
        <v>0.17950810228239789</v>
      </c>
      <c r="AI18">
        <f t="shared" ref="AI18:AI20" si="15">LOG(R18/R$9,2)</f>
        <v>-7.6074334059653577</v>
      </c>
      <c r="AJ18">
        <f t="shared" ref="AJ18:AJ20" si="16">LOG(S18/S$9,2)</f>
        <v>4.3642065793967024</v>
      </c>
      <c r="AK18" s="27"/>
    </row>
    <row r="19" spans="2:37" x14ac:dyDescent="0.25">
      <c r="B19" s="665"/>
      <c r="C19" s="48">
        <v>8</v>
      </c>
      <c r="E19" cm="1">
        <f t="array" ref="E19">_xlfn.XLOOKUP(1,('PCR Plates'!$I$3:$I$254='PCR Results'!E$2)*('PCR Plates'!$J$3:$J$254='PCR Results'!$C19),'PCR Plates'!$N$3:$N$254)</f>
        <v>4.6640963339795831E-4</v>
      </c>
      <c r="F19" cm="1">
        <f t="array" ref="F19">_xlfn.XLOOKUP(1,('PCR Plates'!$I$3:$I$254='PCR Results'!F$2)*('PCR Plates'!$J$3:$J$254='PCR Results'!$C19),'PCR Plates'!$N$3:$N$254)</f>
        <v>0.48872494747350748</v>
      </c>
      <c r="H19" cm="1">
        <f t="array" ref="H19">_xlfn.XLOOKUP(1,('PCR Plates'!$I$3:$I$254='PCR Results'!H$2)*('PCR Plates'!$J$3:$J$254='PCR Results'!$C19),'PCR Plates'!$N$3:$N$254)</f>
        <v>4.8810770497714179E-2</v>
      </c>
      <c r="I19" cm="1">
        <f t="array" ref="I19">_xlfn.XLOOKUP(1,('PCR Plates'!$I$3:$I$254='PCR Results'!I$2)*('PCR Plates'!$J$3:$J$254='PCR Results'!$C19),'PCR Plates'!$N$3:$N$254)</f>
        <v>0.36979462131753038</v>
      </c>
      <c r="N19" cm="1">
        <f t="array" ref="N19">_xlfn.XLOOKUP(1,('PCR Plates'!$I$3:$I$254='PCR Results'!N$2)*('PCR Plates'!$J$3:$J$254='PCR Results'!$C19),'PCR Plates'!$N$3:$N$254)</f>
        <v>0.14657532992041078</v>
      </c>
      <c r="P19">
        <f>'PCR Plates'!AP31</f>
        <v>2.3395045839752649E-3</v>
      </c>
      <c r="S19" cm="1">
        <f t="array" ref="S19">_xlfn.XLOOKUP(1,('PCR Plates'!$I$3:$I$254='PCR Results'!S$2)*('PCR Plates'!$J$3:$J$254='PCR Results'!$C19),'PCR Plates'!$N$3:$N$254)</f>
        <v>9.1871352207533175E-2</v>
      </c>
      <c r="T19" s="27"/>
      <c r="V19">
        <f t="shared" si="2"/>
        <v>-5.1253120066118552</v>
      </c>
      <c r="W19">
        <f t="shared" si="3"/>
        <v>-4.3937115131436242</v>
      </c>
      <c r="Y19">
        <f t="shared" si="5"/>
        <v>-5.9399537669682019</v>
      </c>
      <c r="Z19">
        <f t="shared" si="6"/>
        <v>4.0174635989354357</v>
      </c>
      <c r="AE19">
        <f t="shared" si="11"/>
        <v>-6.9004482209002092</v>
      </c>
      <c r="AG19">
        <f t="shared" si="13"/>
        <v>-1.8862587043760033</v>
      </c>
      <c r="AJ19">
        <f t="shared" si="16"/>
        <v>5.5365817194845279</v>
      </c>
      <c r="AK19" s="27"/>
    </row>
    <row r="20" spans="2:37" x14ac:dyDescent="0.25">
      <c r="B20" s="665"/>
      <c r="C20" s="48">
        <v>9</v>
      </c>
      <c r="D20" cm="1">
        <f t="array" ref="D20">_xlfn.XLOOKUP(1,('PCR Plates'!$I$3:$I$254='PCR Results'!D$2)*('PCR Plates'!$J$3:$J$254='PCR Results'!$C20),'PCR Plates'!$N$3:$N$254)</f>
        <v>1.4432073818409625E-2</v>
      </c>
      <c r="F20" cm="1">
        <f t="array" ref="F20">_xlfn.XLOOKUP(1,('PCR Plates'!$I$3:$I$254='PCR Results'!F$2)*('PCR Plates'!$J$3:$J$254='PCR Results'!$C20),'PCR Plates'!$N$3:$N$254)</f>
        <v>2.0892286783917258</v>
      </c>
      <c r="G20" cm="1">
        <f t="array" ref="G20">_xlfn.XLOOKUP(1,('PCR Plates'!$I$3:$I$254='PCR Results'!G$2)*('PCR Plates'!$J$3:$J$254='PCR Results'!$C20),'PCR Plates'!$N$3:$N$254)</f>
        <v>2.1716970426500196E-3</v>
      </c>
      <c r="H20" cm="1">
        <f t="array" ref="H20">_xlfn.XLOOKUP(1,('PCR Plates'!$I$3:$I$254='PCR Results'!H$2)*('PCR Plates'!$J$3:$J$254='PCR Results'!$C20),'PCR Plates'!$N$3:$N$254)</f>
        <v>0.14114193369705708</v>
      </c>
      <c r="I20" cm="1">
        <f t="array" ref="I20">_xlfn.XLOOKUP(1,('PCR Plates'!$I$3:$I$254='PCR Results'!I$2)*('PCR Plates'!$J$3:$J$254='PCR Results'!$C20),'PCR Plates'!$N$3:$N$254)</f>
        <v>4.9376119377879295</v>
      </c>
      <c r="J20" cm="1">
        <f t="array" ref="J20">_xlfn.XLOOKUP(1,('PCR Plates'!$I$3:$I$254='PCR Results'!J$2)*('PCR Plates'!$J$3:$J$254='PCR Results'!$C20),'PCR Plates'!$N$3:$N$254)</f>
        <v>0.12266972241145356</v>
      </c>
      <c r="L20" cm="1">
        <f t="array" ref="L20">_xlfn.XLOOKUP(1,('PCR Plates'!$I$3:$I$254='PCR Results'!L$2)*('PCR Plates'!$J$3:$J$254='PCR Results'!$C20),'PCR Plates'!$N$3:$N$254)</f>
        <v>1.1068467190734515E-3</v>
      </c>
      <c r="M20" cm="1">
        <f t="array" ref="M20">_xlfn.XLOOKUP(1,('PCR Plates'!$I$3:$I$254='PCR Results'!M$2)*('PCR Plates'!$J$3:$J$254='PCR Results'!$C20),'PCR Plates'!$N$3:$N$254)</f>
        <v>3.0724647041341306E-2</v>
      </c>
      <c r="N20" cm="1">
        <f t="array" ref="N20">_xlfn.XLOOKUP(1,('PCR Plates'!$I$3:$I$254='PCR Results'!N$2)*('PCR Plates'!$J$3:$J$254='PCR Results'!$C20),'PCR Plates'!$N$3:$N$254)</f>
        <v>0.19614670224746922</v>
      </c>
      <c r="O20" cm="1">
        <f t="array" ref="O20">_xlfn.XLOOKUP(1,('PCR Plates'!$I$3:$I$254='PCR Results'!O$2)*('PCR Plates'!$J$3:$J$254='PCR Results'!$C20),'PCR Plates'!$N$3:$N$254)</f>
        <v>3.3520106286399984E-3</v>
      </c>
      <c r="Q20" cm="1">
        <f t="array" ref="Q20">_xlfn.XLOOKUP(1,('PCR Plates'!$I$3:$I$254='PCR Results'!Q$2)*('PCR Plates'!$J$3:$J$254='PCR Results'!$C20),'PCR Plates'!$N$3:$N$254)</f>
        <v>1.8924681614677088E-3</v>
      </c>
      <c r="R20" cm="1">
        <f t="array" ref="R20">_xlfn.XLOOKUP(1,('PCR Plates'!$I$3:$I$254='PCR Results'!R$2)*('PCR Plates'!$J$3:$J$254='PCR Results'!$C20),'PCR Plates'!$N$3:$N$254)</f>
        <v>4.8706329933589972E-3</v>
      </c>
      <c r="S20" cm="1">
        <f t="array" ref="S20">_xlfn.XLOOKUP(1,('PCR Plates'!$I$3:$I$254='PCR Results'!S$2)*('PCR Plates'!$J$3:$J$254='PCR Results'!$C20),'PCR Plates'!$N$3:$N$254)</f>
        <v>3.431853045041279E-2</v>
      </c>
      <c r="T20" s="27"/>
      <c r="U20">
        <f t="shared" si="1"/>
        <v>-2.5225725477790655</v>
      </c>
      <c r="W20">
        <f t="shared" si="3"/>
        <v>-2.2978357560675713</v>
      </c>
      <c r="X20">
        <f t="shared" si="4"/>
        <v>-1.425174116823263</v>
      </c>
      <c r="Y20">
        <f t="shared" si="5"/>
        <v>-4.4080785168172696</v>
      </c>
      <c r="Z20">
        <f t="shared" si="6"/>
        <v>7.7564809080697197</v>
      </c>
      <c r="AA20">
        <f t="shared" si="7"/>
        <v>0.92425286242352056</v>
      </c>
      <c r="AC20">
        <f t="shared" si="9"/>
        <v>-0.28891346370542548</v>
      </c>
      <c r="AD20">
        <f t="shared" si="10"/>
        <v>-4.5746044485904633</v>
      </c>
      <c r="AE20">
        <f t="shared" si="11"/>
        <v>-6.4801574448984525</v>
      </c>
      <c r="AF20">
        <f t="shared" si="12"/>
        <v>-3.273539585134166</v>
      </c>
      <c r="AH20">
        <f t="shared" si="14"/>
        <v>-0.38214333210431561</v>
      </c>
      <c r="AI20">
        <f t="shared" si="15"/>
        <v>-6.0356109124550734</v>
      </c>
      <c r="AJ20">
        <f t="shared" si="16"/>
        <v>4.1159544330449584</v>
      </c>
      <c r="AK20" s="27"/>
    </row>
    <row r="21" spans="2:37" x14ac:dyDescent="0.25">
      <c r="B21" s="665"/>
      <c r="C21" s="48">
        <v>10</v>
      </c>
      <c r="F21" cm="1">
        <f t="array" ref="F21">_xlfn.XLOOKUP(1,('PCR Plates'!$I$3:$I$254='PCR Results'!F$2)*('PCR Plates'!$J$3:$J$254='PCR Results'!$C21),'PCR Plates'!$N$3:$N$254)</f>
        <v>0.92244223610023646</v>
      </c>
      <c r="H21" cm="1">
        <f t="array" ref="H21">_xlfn.XLOOKUP(1,('PCR Plates'!$I$3:$I$254='PCR Results'!H$2)*('PCR Plates'!$J$3:$J$254='PCR Results'!$C21),'PCR Plates'!$N$3:$N$254)</f>
        <v>0.15484136051444763</v>
      </c>
      <c r="I21" cm="1">
        <f t="array" ref="I21">_xlfn.XLOOKUP(1,('PCR Plates'!$I$3:$I$254='PCR Results'!I$2)*('PCR Plates'!$J$3:$J$254='PCR Results'!$C21),'PCR Plates'!$N$3:$N$254)</f>
        <v>0.58523193584469235</v>
      </c>
      <c r="J21" cm="1">
        <f t="array" ref="J21">_xlfn.XLOOKUP(1,('PCR Plates'!$I$3:$I$254='PCR Results'!J$2)*('PCR Plates'!$J$3:$J$254='PCR Results'!$C21),'PCR Plates'!$N$3:$N$254)</f>
        <v>0.30290626953957583</v>
      </c>
      <c r="N21" cm="1">
        <f t="array" ref="N21">_xlfn.XLOOKUP(1,('PCR Plates'!$I$3:$I$254='PCR Results'!N$2)*('PCR Plates'!$J$3:$J$254='PCR Results'!$C21),'PCR Plates'!$N$3:$N$254)</f>
        <v>9.3543213238326234E-2</v>
      </c>
      <c r="T21" s="27"/>
      <c r="W21">
        <f t="shared" si="3"/>
        <v>-3.4772756919260939</v>
      </c>
      <c r="Y21">
        <f t="shared" si="5"/>
        <v>-4.2744343084694361</v>
      </c>
      <c r="Z21">
        <f t="shared" si="6"/>
        <v>4.6797478569638811</v>
      </c>
      <c r="AA21">
        <f t="shared" si="7"/>
        <v>2.2283450976630577</v>
      </c>
      <c r="AE21">
        <f t="shared" si="11"/>
        <v>-7.54838563319964</v>
      </c>
      <c r="AK21" s="27"/>
    </row>
    <row r="22" spans="2:37" x14ac:dyDescent="0.25">
      <c r="B22" s="665"/>
      <c r="C22" s="48">
        <v>11</v>
      </c>
      <c r="T22" s="27"/>
      <c r="AK22" s="27"/>
    </row>
    <row r="23" spans="2:37" ht="15.75" thickBot="1" x14ac:dyDescent="0.3">
      <c r="B23" s="665"/>
      <c r="C23" s="31">
        <v>12</v>
      </c>
      <c r="T23" s="27"/>
      <c r="AK23" s="27"/>
    </row>
    <row r="24" spans="2:37" ht="15.75" thickTop="1" x14ac:dyDescent="0.25">
      <c r="B24" s="665"/>
      <c r="C24" s="90" t="s">
        <v>478</v>
      </c>
      <c r="D24" s="525">
        <f>AVERAGE(D12:D23)</f>
        <v>2.9987449235761608E-2</v>
      </c>
      <c r="E24" s="517">
        <f t="shared" ref="E24:T24" si="17">AVERAGE(E12:E23)</f>
        <v>2.8140630008885719E-4</v>
      </c>
      <c r="F24" s="517">
        <f t="shared" si="17"/>
        <v>0.95116858721500874</v>
      </c>
      <c r="G24" s="517">
        <f t="shared" si="17"/>
        <v>1.211091449548674E-3</v>
      </c>
      <c r="H24" s="517">
        <f t="shared" si="17"/>
        <v>0.16287828760445686</v>
      </c>
      <c r="I24" s="517">
        <f t="shared" si="17"/>
        <v>1.6345283513770466</v>
      </c>
      <c r="J24" s="517">
        <f t="shared" si="17"/>
        <v>0.2723856167266418</v>
      </c>
      <c r="K24" s="517">
        <f t="shared" si="17"/>
        <v>1.0361755921430469E-3</v>
      </c>
      <c r="L24" s="517">
        <f t="shared" si="17"/>
        <v>5.7857132801294332E-3</v>
      </c>
      <c r="M24" s="517">
        <f t="shared" si="17"/>
        <v>4.0876774657291427E-2</v>
      </c>
      <c r="N24" s="517">
        <f t="shared" si="17"/>
        <v>0.1870061491618078</v>
      </c>
      <c r="O24" s="517">
        <f t="shared" si="17"/>
        <v>1.6506066626617577E-2</v>
      </c>
      <c r="P24" s="517">
        <f t="shared" si="17"/>
        <v>1.2221861221252315E-3</v>
      </c>
      <c r="Q24" s="517">
        <f t="shared" si="17"/>
        <v>2.3428356154163617E-3</v>
      </c>
      <c r="R24" s="517">
        <f t="shared" si="17"/>
        <v>3.2545160225022087E-3</v>
      </c>
      <c r="S24" s="517">
        <f t="shared" si="17"/>
        <v>5.0902144564611104E-2</v>
      </c>
      <c r="T24" s="518">
        <f t="shared" si="17"/>
        <v>6.8030299378488222E-4</v>
      </c>
      <c r="U24" s="517">
        <f>AVERAGE(U12:U23)</f>
        <v>-1.669571528814962</v>
      </c>
      <c r="V24" s="517">
        <f t="shared" ref="V24:AK24" si="18">AVERAGE(V12:V23)</f>
        <v>-6.2625360745805283</v>
      </c>
      <c r="W24" s="517">
        <f t="shared" si="18"/>
        <v>-3.6644017600171295</v>
      </c>
      <c r="X24" s="517">
        <f t="shared" si="18"/>
        <v>-2.9831850206629036</v>
      </c>
      <c r="Y24" s="517">
        <f t="shared" si="18"/>
        <v>-4.5682247260660045</v>
      </c>
      <c r="Z24" s="517">
        <f t="shared" si="18"/>
        <v>5.5271004369400689</v>
      </c>
      <c r="AA24" s="517">
        <f t="shared" si="18"/>
        <v>1.9171272871401985</v>
      </c>
      <c r="AB24" s="517">
        <f t="shared" si="18"/>
        <v>-4.8262597898114601</v>
      </c>
      <c r="AC24" s="517">
        <f t="shared" si="18"/>
        <v>1.331580054956657</v>
      </c>
      <c r="AD24" s="517">
        <f t="shared" si="18"/>
        <v>-4.2994759533703837</v>
      </c>
      <c r="AE24" s="517">
        <f t="shared" si="18"/>
        <v>-6.8005372957706296</v>
      </c>
      <c r="AF24" s="517">
        <f t="shared" si="18"/>
        <v>-1.7008266182919525</v>
      </c>
      <c r="AG24" s="517">
        <f t="shared" si="18"/>
        <v>-4.1260393598330607</v>
      </c>
      <c r="AH24" s="517">
        <f t="shared" si="18"/>
        <v>-0.10131761491095886</v>
      </c>
      <c r="AI24" s="517">
        <f t="shared" si="18"/>
        <v>-6.8215221592102155</v>
      </c>
      <c r="AJ24" s="517">
        <f t="shared" si="18"/>
        <v>4.5569423390061212</v>
      </c>
      <c r="AK24" s="518" t="e">
        <f t="shared" si="18"/>
        <v>#DIV/0!</v>
      </c>
    </row>
    <row r="25" spans="2:37" x14ac:dyDescent="0.25">
      <c r="B25" s="665"/>
      <c r="C25" s="30" t="s">
        <v>479</v>
      </c>
      <c r="T25" s="27"/>
      <c r="AK25" s="27"/>
    </row>
    <row r="26" spans="2:37" ht="15.75" thickBot="1" x14ac:dyDescent="0.3">
      <c r="B26" s="666"/>
      <c r="C26" s="9" t="s">
        <v>480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8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8"/>
    </row>
    <row r="27" spans="2:37" x14ac:dyDescent="0.25">
      <c r="B27" s="667" t="s">
        <v>234</v>
      </c>
      <c r="C27" s="28">
        <v>2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25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25"/>
    </row>
    <row r="28" spans="2:37" x14ac:dyDescent="0.25">
      <c r="B28" s="665"/>
      <c r="C28" s="30">
        <v>7</v>
      </c>
      <c r="T28" s="27"/>
      <c r="AK28" s="27"/>
    </row>
    <row r="29" spans="2:37" x14ac:dyDescent="0.25">
      <c r="B29" s="665"/>
      <c r="C29" s="30">
        <v>19</v>
      </c>
      <c r="T29" s="27"/>
      <c r="AK29" s="27"/>
    </row>
    <row r="30" spans="2:37" x14ac:dyDescent="0.25">
      <c r="B30" s="665"/>
      <c r="C30" s="48">
        <v>9</v>
      </c>
      <c r="T30" s="27"/>
      <c r="AK30" s="27"/>
    </row>
    <row r="31" spans="2:37" x14ac:dyDescent="0.25">
      <c r="B31" s="665"/>
      <c r="C31" s="48">
        <v>14</v>
      </c>
      <c r="T31" s="27"/>
      <c r="AK31" s="27"/>
    </row>
    <row r="32" spans="2:37" x14ac:dyDescent="0.25">
      <c r="B32" s="665"/>
      <c r="C32" s="149">
        <v>20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1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1"/>
    </row>
    <row r="33" spans="2:37" x14ac:dyDescent="0.25">
      <c r="B33" s="665"/>
      <c r="C33" s="30">
        <v>1</v>
      </c>
      <c r="D33">
        <v>0.81345930725524962</v>
      </c>
      <c r="F33">
        <v>13.041844624796727</v>
      </c>
      <c r="G33">
        <v>1.2665065164319916E-4</v>
      </c>
      <c r="H33">
        <v>0.62487794019193232</v>
      </c>
      <c r="I33">
        <v>0.48307874638196152</v>
      </c>
      <c r="J33">
        <v>0.14578290919937428</v>
      </c>
      <c r="M33">
        <v>1.3646581120037999</v>
      </c>
      <c r="N33">
        <v>3.6729678356247777</v>
      </c>
      <c r="O33">
        <v>0.46143390853677602</v>
      </c>
      <c r="P33">
        <v>5.7992035038373756E-5</v>
      </c>
      <c r="Q33">
        <v>5.1445942444099449E-4</v>
      </c>
      <c r="R33">
        <v>8362.3004737574665</v>
      </c>
      <c r="S33">
        <v>0.47539076273484926</v>
      </c>
      <c r="T33" s="27">
        <v>1.4411373144059161</v>
      </c>
      <c r="U33">
        <f>LOG(D33/D$9,2)</f>
        <v>3.2941471020345672</v>
      </c>
      <c r="W33">
        <f t="shared" ref="W33:AJ34" si="19">LOG(F33/F$9,2)</f>
        <v>0.34426986356841471</v>
      </c>
      <c r="X33">
        <f t="shared" si="19"/>
        <v>-5.5250705691759467</v>
      </c>
      <c r="Y33">
        <f t="shared" si="19"/>
        <v>-2.2616507873847422</v>
      </c>
      <c r="Z33">
        <f t="shared" si="19"/>
        <v>4.4029977392167927</v>
      </c>
      <c r="AA33">
        <f t="shared" si="19"/>
        <v>1.1732952541936921</v>
      </c>
      <c r="AD33">
        <f t="shared" si="19"/>
        <v>0.8983948616997669</v>
      </c>
      <c r="AE33">
        <f t="shared" si="19"/>
        <v>-2.2532161676866322</v>
      </c>
      <c r="AF33">
        <f t="shared" si="19"/>
        <v>3.831413905630018</v>
      </c>
      <c r="AG33">
        <f t="shared" ref="AG33:AG34" si="20">LOG(P33/P$9,2)</f>
        <v>-7.2204631838753279</v>
      </c>
      <c r="AH33">
        <f t="shared" ref="AH33:AH35" si="21">LOG(Q33/Q$9,2)</f>
        <v>-2.2612831599299592</v>
      </c>
      <c r="AI33">
        <f t="shared" si="19"/>
        <v>14.675748261141857</v>
      </c>
      <c r="AJ33">
        <f t="shared" si="19"/>
        <v>7.9080086219452523</v>
      </c>
      <c r="AK33" s="27"/>
    </row>
    <row r="34" spans="2:37" x14ac:dyDescent="0.25">
      <c r="B34" s="665"/>
      <c r="C34" s="30">
        <v>2</v>
      </c>
      <c r="D34">
        <v>1.2222789646014887</v>
      </c>
      <c r="F34">
        <v>10.567676930708345</v>
      </c>
      <c r="G34">
        <v>0.12850650790717219</v>
      </c>
      <c r="H34">
        <v>1.6583014461428311</v>
      </c>
      <c r="I34">
        <v>0.83864075464253995</v>
      </c>
      <c r="J34">
        <v>0.40379928722985692</v>
      </c>
      <c r="L34">
        <v>8.3097535827426044E-2</v>
      </c>
      <c r="M34">
        <v>0.13178239039483669</v>
      </c>
      <c r="N34">
        <v>2.575295250806926</v>
      </c>
      <c r="O34">
        <v>0.40957482874501361</v>
      </c>
      <c r="P34">
        <f>'PCR Plates'!AP21</f>
        <v>8.8718264899108107E-4</v>
      </c>
      <c r="Q34">
        <v>0.43510546197254374</v>
      </c>
      <c r="T34" s="27"/>
      <c r="U34">
        <f t="shared" ref="U34:U38" si="22">LOG(D34/D$9,2)</f>
        <v>3.8815786126491627</v>
      </c>
      <c r="W34">
        <f t="shared" ref="W34:X38" si="23">LOG(F34/F$9,2)</f>
        <v>4.078019337788296E-2</v>
      </c>
      <c r="X34">
        <f t="shared" si="23"/>
        <v>4.4617006385954241</v>
      </c>
      <c r="Y34">
        <f t="shared" ref="Y34:Y38" si="24">LOG(H34/H$9,2)</f>
        <v>-0.8535908187589053</v>
      </c>
      <c r="Z34">
        <f t="shared" ref="Z34:Z38" si="25">LOG(I34/I$9,2)</f>
        <v>5.1987922993101101</v>
      </c>
      <c r="AA34">
        <f t="shared" ref="AA34:AA38" si="26">LOG(J34/J$9,2)</f>
        <v>2.6431120224721196</v>
      </c>
      <c r="AC34">
        <f t="shared" ref="AC34" si="27">LOG(L34/L$9,2)</f>
        <v>5.9413648818678926</v>
      </c>
      <c r="AD34">
        <f t="shared" si="19"/>
        <v>-2.4739151899071352</v>
      </c>
      <c r="AE34">
        <f t="shared" ref="AE34:AE38" si="28">LOG(N34/N$9,2)</f>
        <v>-2.7654245870954837</v>
      </c>
      <c r="AF34">
        <f t="shared" ref="AF34:AF38" si="29">LOG(O34/O$9,2)</f>
        <v>3.6594169353634252</v>
      </c>
      <c r="AG34">
        <f t="shared" si="20"/>
        <v>-3.2851587043760095</v>
      </c>
      <c r="AH34">
        <f t="shared" si="21"/>
        <v>7.4628089563417968</v>
      </c>
      <c r="AK34" s="27"/>
    </row>
    <row r="35" spans="2:37" x14ac:dyDescent="0.25">
      <c r="B35" s="665"/>
      <c r="C35" s="30">
        <v>3</v>
      </c>
      <c r="D35">
        <v>0.25151029383031387</v>
      </c>
      <c r="E35">
        <v>6.0639742349570619E-2</v>
      </c>
      <c r="F35">
        <v>16.156398663943918</v>
      </c>
      <c r="G35">
        <v>3.5571286672189642E-3</v>
      </c>
      <c r="H35">
        <v>0.55328968026231518</v>
      </c>
      <c r="I35">
        <v>1.1657828503583387</v>
      </c>
      <c r="N35">
        <v>2.9859138721038927</v>
      </c>
      <c r="O35">
        <v>6.4640460331374952E-2</v>
      </c>
      <c r="Q35">
        <v>1.1926489809064144E-2</v>
      </c>
      <c r="T35" s="27">
        <v>0.11455132941865065</v>
      </c>
      <c r="U35">
        <f t="shared" si="22"/>
        <v>1.6006943721224591</v>
      </c>
      <c r="V35">
        <f t="shared" ref="V35:V38" si="30">LOG(E35/E$9,2)</f>
        <v>1.8972102200542464</v>
      </c>
      <c r="W35">
        <f t="shared" si="23"/>
        <v>0.65322757681943411</v>
      </c>
      <c r="X35">
        <f t="shared" si="23"/>
        <v>-0.71328381430963161</v>
      </c>
      <c r="Y35">
        <f t="shared" si="24"/>
        <v>-2.4371901820545752</v>
      </c>
      <c r="Z35">
        <f t="shared" si="25"/>
        <v>5.6739665366656746</v>
      </c>
      <c r="AE35">
        <f t="shared" si="28"/>
        <v>-2.5519898781384658</v>
      </c>
      <c r="AF35">
        <f t="shared" si="29"/>
        <v>0.995799258327417</v>
      </c>
      <c r="AH35">
        <f t="shared" si="21"/>
        <v>2.2736852271414656</v>
      </c>
      <c r="AK35" s="27"/>
    </row>
    <row r="36" spans="2:37" x14ac:dyDescent="0.25">
      <c r="B36" s="665"/>
      <c r="C36" s="30">
        <v>4</v>
      </c>
      <c r="F36">
        <v>9.1335147058368378</v>
      </c>
      <c r="H36">
        <v>0.24966819095830525</v>
      </c>
      <c r="L36">
        <v>0.26345235993628091</v>
      </c>
      <c r="N36">
        <v>4.1846062800404944</v>
      </c>
      <c r="O36">
        <v>0.90895182512214334</v>
      </c>
      <c r="T36" s="27"/>
      <c r="W36">
        <f t="shared" si="23"/>
        <v>-0.16963603204690395</v>
      </c>
      <c r="Y36">
        <f t="shared" si="24"/>
        <v>-3.5852131714836686</v>
      </c>
      <c r="AC36">
        <f>LOG(L36/L$9,2)</f>
        <v>7.6060293838219684</v>
      </c>
      <c r="AE36">
        <f t="shared" si="28"/>
        <v>-2.0650705407441934</v>
      </c>
      <c r="AF36">
        <f t="shared" si="29"/>
        <v>4.8094937139863125</v>
      </c>
      <c r="AK36" s="27"/>
    </row>
    <row r="37" spans="2:37" x14ac:dyDescent="0.25">
      <c r="B37" s="665"/>
      <c r="C37" s="30">
        <v>5</v>
      </c>
      <c r="D37">
        <v>0.56854119612615495</v>
      </c>
      <c r="E37">
        <v>2.6118419075993372E-2</v>
      </c>
      <c r="F37">
        <v>98.471226336254162</v>
      </c>
      <c r="H37">
        <v>0.23225582164850597</v>
      </c>
      <c r="N37">
        <v>16.87866435811803</v>
      </c>
      <c r="O37">
        <v>0.2609779142468302</v>
      </c>
      <c r="R37">
        <v>7.9266720973265237</v>
      </c>
      <c r="S37">
        <v>0.24791719458384057</v>
      </c>
      <c r="T37" s="27"/>
      <c r="U37">
        <f t="shared" si="22"/>
        <v>2.7773418138146586</v>
      </c>
      <c r="V37">
        <f t="shared" si="30"/>
        <v>0.68201417087344618</v>
      </c>
      <c r="W37">
        <f t="shared" si="23"/>
        <v>3.2608241515126255</v>
      </c>
      <c r="Y37">
        <f t="shared" si="24"/>
        <v>-3.6895104383322717</v>
      </c>
      <c r="AE37">
        <f t="shared" si="28"/>
        <v>-5.3033589898786267E-2</v>
      </c>
      <c r="AF37">
        <f t="shared" si="29"/>
        <v>3.00921760220686</v>
      </c>
      <c r="AI37">
        <f t="shared" ref="AI37:AJ37" si="31">LOG(R37/R$9,2)</f>
        <v>4.6327793909792634</v>
      </c>
      <c r="AJ37">
        <f t="shared" si="31"/>
        <v>6.9687530859180447</v>
      </c>
      <c r="AK37" s="27"/>
    </row>
    <row r="38" spans="2:37" ht="15.75" thickBot="1" x14ac:dyDescent="0.3">
      <c r="B38" s="665"/>
      <c r="C38" s="31">
        <v>6</v>
      </c>
      <c r="D38">
        <v>0.27144173174895647</v>
      </c>
      <c r="E38">
        <v>7.9656915683816804E-6</v>
      </c>
      <c r="F38">
        <v>2.4958296103732538</v>
      </c>
      <c r="H38">
        <v>9.4664200630304882E-2</v>
      </c>
      <c r="I38">
        <v>2.48976514278342E-5</v>
      </c>
      <c r="J38">
        <v>3.4581437593919392E-2</v>
      </c>
      <c r="M38">
        <v>1.3221309036179382E-5</v>
      </c>
      <c r="N38">
        <v>0.82945121729243465</v>
      </c>
      <c r="O38">
        <v>6.2013164234134138E-2</v>
      </c>
      <c r="T38" s="27"/>
      <c r="U38">
        <f t="shared" si="22"/>
        <v>1.7107194634863605</v>
      </c>
      <c r="V38">
        <f t="shared" si="30"/>
        <v>-10.996966163568255</v>
      </c>
      <c r="W38">
        <f t="shared" si="23"/>
        <v>-2.0412867234366114</v>
      </c>
      <c r="Y38">
        <f t="shared" si="24"/>
        <v>-4.9843343507404105</v>
      </c>
      <c r="Z38">
        <f t="shared" si="25"/>
        <v>-9.8409633607944826</v>
      </c>
      <c r="AA38">
        <f t="shared" si="26"/>
        <v>-0.90245659162313541</v>
      </c>
      <c r="AD38">
        <f t="shared" ref="AD38" si="32">LOG(M38/M$9,2)</f>
        <v>-15.756920146011637</v>
      </c>
      <c r="AE38">
        <f t="shared" si="28"/>
        <v>-4.3999333908246339</v>
      </c>
      <c r="AF38">
        <f t="shared" si="29"/>
        <v>0.93593629134106637</v>
      </c>
      <c r="AK38" s="27"/>
    </row>
    <row r="39" spans="2:37" ht="15.75" thickTop="1" x14ac:dyDescent="0.25">
      <c r="B39" s="665"/>
      <c r="C39" s="521" t="s">
        <v>478</v>
      </c>
      <c r="D39" s="517">
        <f>AVERAGE(D33:D38)</f>
        <v>0.62544629871243274</v>
      </c>
      <c r="E39" s="517">
        <f t="shared" ref="E39:T39" si="33">AVERAGE(E33:E38)</f>
        <v>2.8922042372377457E-2</v>
      </c>
      <c r="F39" s="517">
        <f t="shared" si="33"/>
        <v>24.977748478652206</v>
      </c>
      <c r="G39" s="517"/>
      <c r="H39" s="517">
        <f t="shared" si="33"/>
        <v>0.56884287997236582</v>
      </c>
      <c r="I39" s="517">
        <f t="shared" si="33"/>
        <v>0.62188181225856698</v>
      </c>
      <c r="J39" s="517">
        <f t="shared" si="33"/>
        <v>0.19472121134105022</v>
      </c>
      <c r="K39" s="517"/>
      <c r="L39" s="517">
        <f t="shared" si="33"/>
        <v>0.17327494788185349</v>
      </c>
      <c r="M39" s="517">
        <f t="shared" si="33"/>
        <v>0.49881790790255764</v>
      </c>
      <c r="N39" s="517">
        <f t="shared" si="33"/>
        <v>5.1878164689977586</v>
      </c>
      <c r="O39" s="517">
        <f t="shared" si="33"/>
        <v>0.36126535020271205</v>
      </c>
      <c r="P39" s="517"/>
      <c r="Q39" s="517"/>
      <c r="R39" s="517">
        <f t="shared" si="33"/>
        <v>4185.1135729273965</v>
      </c>
      <c r="S39" s="517">
        <f t="shared" si="33"/>
        <v>0.3616539786593449</v>
      </c>
      <c r="T39" s="518">
        <f t="shared" si="33"/>
        <v>0.77784432191228337</v>
      </c>
      <c r="U39" s="517"/>
      <c r="V39" s="517"/>
      <c r="W39" s="517"/>
      <c r="X39" s="517"/>
      <c r="Y39" s="517"/>
      <c r="Z39" s="517"/>
      <c r="AA39" s="517"/>
      <c r="AB39" s="517"/>
      <c r="AC39" s="517"/>
      <c r="AD39" s="517"/>
      <c r="AE39" s="517"/>
      <c r="AF39" s="517"/>
      <c r="AG39" s="517"/>
      <c r="AH39" s="517"/>
      <c r="AI39" s="517"/>
      <c r="AJ39" s="517"/>
      <c r="AK39" s="518"/>
    </row>
    <row r="40" spans="2:37" x14ac:dyDescent="0.25">
      <c r="B40" s="665"/>
      <c r="C40" s="30" t="s">
        <v>479</v>
      </c>
      <c r="T40" s="27"/>
      <c r="AK40" s="27"/>
    </row>
    <row r="41" spans="2:37" ht="15.75" thickBot="1" x14ac:dyDescent="0.3">
      <c r="B41" s="666"/>
      <c r="C41" s="9" t="s">
        <v>480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8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8"/>
    </row>
    <row r="42" spans="2:37" x14ac:dyDescent="0.25">
      <c r="B42" s="667" t="s">
        <v>133</v>
      </c>
      <c r="C42" s="511">
        <v>63</v>
      </c>
      <c r="T42" s="27"/>
      <c r="U42">
        <v>0.13431744215235336</v>
      </c>
      <c r="V42">
        <v>-0.62488727538198197</v>
      </c>
      <c r="W42">
        <v>-1.297592599482486</v>
      </c>
      <c r="X42">
        <v>-3.6590062084039081</v>
      </c>
      <c r="Y42">
        <v>-3.0572375634412357</v>
      </c>
      <c r="Z42">
        <v>8.3980886718763887</v>
      </c>
      <c r="AA42">
        <v>6.8930540512483187</v>
      </c>
      <c r="AB42">
        <v>-8.7038620830467792</v>
      </c>
      <c r="AC42">
        <v>0.92752101221104954</v>
      </c>
      <c r="AD42">
        <v>-0.36571363456654354</v>
      </c>
      <c r="AE42">
        <v>1.3835854740337092</v>
      </c>
      <c r="AF42">
        <v>-0.5047932652931002</v>
      </c>
      <c r="AG42">
        <v>0.32916650955220683</v>
      </c>
      <c r="AH42">
        <v>1.3932700890928682</v>
      </c>
      <c r="AI42">
        <v>0.42488034909314254</v>
      </c>
      <c r="AK42" s="27"/>
    </row>
    <row r="43" spans="2:37" x14ac:dyDescent="0.25">
      <c r="B43" s="665"/>
      <c r="C43" s="513">
        <v>64</v>
      </c>
      <c r="T43" s="27"/>
      <c r="U43">
        <v>-0.65267006792029492</v>
      </c>
      <c r="V43">
        <v>-2.3557855929270901</v>
      </c>
      <c r="W43">
        <v>-2.4556027110780105</v>
      </c>
      <c r="X43">
        <v>-3.4154847661896617</v>
      </c>
      <c r="Y43">
        <v>-2.1241732736465799</v>
      </c>
      <c r="Z43">
        <v>7.0438419185749783</v>
      </c>
      <c r="AA43">
        <v>3.4116617607510857</v>
      </c>
      <c r="AB43">
        <v>-10.457322013466706</v>
      </c>
      <c r="AC43">
        <v>-2.7177340660763409</v>
      </c>
      <c r="AE43">
        <v>-5.942710469283762</v>
      </c>
      <c r="AF43">
        <v>-4.5835318493999999</v>
      </c>
      <c r="AG43">
        <v>-5.5635692562293722</v>
      </c>
      <c r="AI43">
        <v>2.0269864434534948</v>
      </c>
      <c r="AK43" s="27"/>
    </row>
    <row r="44" spans="2:37" x14ac:dyDescent="0.25">
      <c r="B44" s="665"/>
      <c r="C44" s="513">
        <v>65</v>
      </c>
      <c r="T44" s="27"/>
      <c r="U44">
        <v>-2.8663311475731271E-2</v>
      </c>
      <c r="V44">
        <v>-1.9501354644133342</v>
      </c>
      <c r="W44">
        <v>-1.1327648098422216</v>
      </c>
      <c r="X44">
        <v>-3.4676526222530075</v>
      </c>
      <c r="Y44">
        <v>-2.8526799349488443</v>
      </c>
      <c r="Z44">
        <v>7.829239804206896</v>
      </c>
      <c r="AA44">
        <v>4.1753055098222065</v>
      </c>
      <c r="AB44">
        <v>-0.78731395390741499</v>
      </c>
      <c r="AC44">
        <v>0.42432778674699317</v>
      </c>
      <c r="AD44">
        <v>-9.542411522462392E-2</v>
      </c>
      <c r="AE44">
        <v>1.3437208089635635</v>
      </c>
      <c r="AF44">
        <v>-1.6597011351799185</v>
      </c>
      <c r="AG44">
        <v>-2.4202656557427225</v>
      </c>
      <c r="AH44">
        <v>1.6618231527814775</v>
      </c>
      <c r="AI44">
        <v>-0.56168524081163851</v>
      </c>
      <c r="AK44" s="27"/>
    </row>
    <row r="45" spans="2:37" x14ac:dyDescent="0.25">
      <c r="B45" s="665"/>
      <c r="C45" s="513">
        <v>66</v>
      </c>
      <c r="T45" s="27"/>
      <c r="U45">
        <v>0.12172132435189753</v>
      </c>
      <c r="V45">
        <v>-0.85333103135786714</v>
      </c>
      <c r="W45">
        <v>-1.168991138946623</v>
      </c>
      <c r="X45">
        <v>-3.5093271405330491</v>
      </c>
      <c r="Y45">
        <v>-2.3547922838139672</v>
      </c>
      <c r="Z45">
        <v>6.7810026840357285</v>
      </c>
      <c r="AA45">
        <v>5.7536406178288066</v>
      </c>
      <c r="AB45">
        <v>-0.53035955079574071</v>
      </c>
      <c r="AC45">
        <v>-0.27475391564074336</v>
      </c>
      <c r="AD45">
        <v>-5.0500299173217668E-2</v>
      </c>
      <c r="AE45">
        <v>2.0013561583837749</v>
      </c>
      <c r="AF45">
        <v>-0.76243510496427935</v>
      </c>
      <c r="AG45">
        <v>-1.6148356973748716</v>
      </c>
      <c r="AH45">
        <v>0.90412711157125736</v>
      </c>
      <c r="AI45">
        <v>-0.78454939181261663</v>
      </c>
      <c r="AK45" s="27"/>
    </row>
    <row r="46" spans="2:37" x14ac:dyDescent="0.25">
      <c r="B46" s="665"/>
      <c r="C46" s="513">
        <v>67</v>
      </c>
      <c r="T46" s="27"/>
      <c r="U46">
        <v>3.8612623957561536</v>
      </c>
      <c r="V46">
        <v>1.15810080902472</v>
      </c>
      <c r="X46">
        <v>-2.8791829952795873</v>
      </c>
      <c r="Y46">
        <v>0.63003016667896083</v>
      </c>
      <c r="Z46">
        <v>4.6695073706409778</v>
      </c>
      <c r="AA46">
        <v>1.9433657223931322</v>
      </c>
      <c r="AB46">
        <v>-5.3424900890282272</v>
      </c>
      <c r="AC46">
        <v>2.0463026334756669</v>
      </c>
      <c r="AD46">
        <v>0.7454449080649842</v>
      </c>
      <c r="AE46">
        <v>-0.16616729423039289</v>
      </c>
      <c r="AF46">
        <v>0.79483030548020073</v>
      </c>
      <c r="AG46">
        <v>-1.2224208116948578</v>
      </c>
      <c r="AH46">
        <v>1.4853020233154655</v>
      </c>
      <c r="AI46">
        <v>5.9130989962286773E-2</v>
      </c>
      <c r="AK46" s="27"/>
    </row>
    <row r="47" spans="2:37" ht="15.75" thickBot="1" x14ac:dyDescent="0.3">
      <c r="B47" s="665"/>
      <c r="C47" s="528">
        <v>68</v>
      </c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33"/>
      <c r="U47" s="84">
        <v>0.73960029251239323</v>
      </c>
      <c r="V47" s="84">
        <v>-0.83594076727562816</v>
      </c>
      <c r="W47" s="84">
        <v>-0.94646030470720444</v>
      </c>
      <c r="X47" s="84">
        <v>-2.9920435042766171</v>
      </c>
      <c r="Y47" s="84">
        <v>-1.3790587397656187</v>
      </c>
      <c r="Z47" s="84">
        <v>8.3751506482837463</v>
      </c>
      <c r="AA47" s="84">
        <v>7.072419096667681</v>
      </c>
      <c r="AB47" s="84"/>
      <c r="AC47" s="84">
        <v>0.71853374789463187</v>
      </c>
      <c r="AD47" s="84">
        <v>-0.22733842528925427</v>
      </c>
      <c r="AE47" s="84">
        <v>1.6830559824102638</v>
      </c>
      <c r="AF47" s="84">
        <v>-0.90235429941694134</v>
      </c>
      <c r="AG47" s="84">
        <v>-7.3050260038913484</v>
      </c>
      <c r="AH47" s="84">
        <v>0.85247720139998939</v>
      </c>
      <c r="AI47" s="84">
        <v>-7.9211867398557637E-2</v>
      </c>
      <c r="AJ47" s="84"/>
      <c r="AK47" s="33"/>
    </row>
    <row r="48" spans="2:37" ht="15.75" thickTop="1" x14ac:dyDescent="0.25">
      <c r="B48" s="665"/>
      <c r="C48" s="90" t="s">
        <v>478</v>
      </c>
      <c r="T48" s="27"/>
      <c r="U48">
        <v>0.69592801256279524</v>
      </c>
      <c r="V48">
        <v>-0.9103298870551968</v>
      </c>
      <c r="W48">
        <v>-1.4002823128113091</v>
      </c>
      <c r="X48">
        <v>-3.3204495394893048</v>
      </c>
      <c r="Y48">
        <v>-1.8563186048228808</v>
      </c>
      <c r="Z48">
        <v>7.1828051829364528</v>
      </c>
      <c r="AA48">
        <v>4.8749077931185383</v>
      </c>
      <c r="AB48">
        <v>-5.1642695380489743</v>
      </c>
      <c r="AC48">
        <v>0.18736619976854288</v>
      </c>
      <c r="AD48">
        <v>1.2936867622689585E-3</v>
      </c>
      <c r="AE48">
        <v>5.0473443379526084E-2</v>
      </c>
      <c r="AF48">
        <v>-1.2696642247956733</v>
      </c>
      <c r="AG48">
        <v>-2.9661584858968282</v>
      </c>
      <c r="AH48">
        <v>1.2593999156322115</v>
      </c>
      <c r="AI48">
        <f>AVERAGE(AI42:AI47)</f>
        <v>0.18092521374768519</v>
      </c>
      <c r="AK48" s="27"/>
    </row>
    <row r="49" spans="2:37" x14ac:dyDescent="0.25">
      <c r="B49" s="665"/>
      <c r="C49" s="30" t="s">
        <v>479</v>
      </c>
      <c r="T49" s="27"/>
      <c r="AK49" s="27"/>
    </row>
    <row r="50" spans="2:37" ht="15.75" thickBot="1" x14ac:dyDescent="0.3">
      <c r="B50" s="666"/>
      <c r="C50" s="9" t="s">
        <v>480</v>
      </c>
      <c r="T50" s="27"/>
      <c r="AK50" s="27"/>
    </row>
    <row r="51" spans="2:37" x14ac:dyDescent="0.25">
      <c r="B51" s="667" t="s">
        <v>199</v>
      </c>
      <c r="C51" s="511">
        <v>56</v>
      </c>
      <c r="D51" s="50">
        <v>7.0329400283496241E-2</v>
      </c>
      <c r="E51" s="50">
        <v>1.2936756829723114E-2</v>
      </c>
      <c r="F51" s="50">
        <v>6.913023240631782</v>
      </c>
      <c r="G51" s="50">
        <v>1.1687132183264817E-3</v>
      </c>
      <c r="H51" s="50">
        <v>4.0580691402784144</v>
      </c>
      <c r="I51" s="50">
        <v>1.8511080645125916E-3</v>
      </c>
      <c r="J51" s="50">
        <v>1.7615456514505648E-2</v>
      </c>
      <c r="K51" s="50">
        <v>1.0291985679369504E-4</v>
      </c>
      <c r="L51" s="50">
        <v>1.0483333613487038E-4</v>
      </c>
      <c r="M51" s="50">
        <v>0.32592081660446481</v>
      </c>
      <c r="N51" s="50">
        <v>0.54515359991024659</v>
      </c>
      <c r="O51" s="50">
        <v>1.8657075544884882E-3</v>
      </c>
      <c r="P51" s="50">
        <v>2.3365360709532624E-5</v>
      </c>
      <c r="Q51" s="50">
        <v>9.8051941955458417E-5</v>
      </c>
      <c r="R51" s="50">
        <v>1.6945941688994149E-3</v>
      </c>
      <c r="S51" s="50">
        <f>'PCR Plates'!AP75</f>
        <v>8.4575115806621534E-4</v>
      </c>
      <c r="T51" s="25">
        <v>2.2113673142643482E-3</v>
      </c>
      <c r="U51" s="50">
        <v>-2.6003412024956924</v>
      </c>
      <c r="V51" s="50">
        <v>-2.2140613701468572</v>
      </c>
      <c r="W51" s="50">
        <v>-0.24691111968486751</v>
      </c>
      <c r="X51" s="50">
        <v>-1.395526643784494</v>
      </c>
      <c r="Y51" s="50">
        <v>-0.37094791834339896</v>
      </c>
      <c r="Z51" s="50">
        <v>-2.590924635892673</v>
      </c>
      <c r="AA51" s="50">
        <v>-1.259392633551526</v>
      </c>
      <c r="AB51" s="50">
        <v>-3.5557271761759432</v>
      </c>
      <c r="AC51" s="50">
        <v>-4.6474393383631796</v>
      </c>
      <c r="AD51" s="50">
        <v>1.487550670031193E-2</v>
      </c>
      <c r="AE51" s="50">
        <v>-3.4685231866115913</v>
      </c>
      <c r="AF51" s="50">
        <v>-4.6851358291310108</v>
      </c>
      <c r="AG51" s="50">
        <v>-1.3677092709820602</v>
      </c>
      <c r="AH51" s="50">
        <v>-4.648020489420138</v>
      </c>
      <c r="AI51" s="50">
        <f>LOG(R51/R$58,2)</f>
        <v>-1.5240618293795949</v>
      </c>
      <c r="AJ51" s="50">
        <f t="shared" ref="AJ51:AK57" si="34">LOG(S51/S$58,2)</f>
        <v>-3.3378257083222986</v>
      </c>
      <c r="AK51" s="25">
        <f t="shared" si="34"/>
        <v>0</v>
      </c>
    </row>
    <row r="52" spans="2:37" x14ac:dyDescent="0.25">
      <c r="B52" s="665"/>
      <c r="C52" s="513">
        <v>57</v>
      </c>
      <c r="D52">
        <v>0.22321571121135267</v>
      </c>
      <c r="E52">
        <v>8.1299398333038522E-3</v>
      </c>
      <c r="F52">
        <v>7.6971632135496453</v>
      </c>
      <c r="G52">
        <v>3.7612922095980228E-3</v>
      </c>
      <c r="H52">
        <v>5.2863280617856319</v>
      </c>
      <c r="I52">
        <v>1.6280341833187983E-3</v>
      </c>
      <c r="J52">
        <v>6.6210152447222729E-3</v>
      </c>
      <c r="L52">
        <v>3.6608585038407495E-5</v>
      </c>
      <c r="M52">
        <v>6.5197257708106172E-3</v>
      </c>
      <c r="N52">
        <v>0.19662546112582946</v>
      </c>
      <c r="O52">
        <v>2.5787423308621773E-3</v>
      </c>
      <c r="Q52">
        <v>1.0506157205767718E-4</v>
      </c>
      <c r="R52">
        <v>3.5749599421438503E-3</v>
      </c>
      <c r="S52">
        <f>'PCR Plates'!AP77</f>
        <v>7.3509733900071648E-4</v>
      </c>
      <c r="T52" s="27"/>
      <c r="U52">
        <v>-0.93410244678986221</v>
      </c>
      <c r="V52">
        <v>-2.884220776887175</v>
      </c>
      <c r="W52">
        <v>-9.1901056402121595E-2</v>
      </c>
      <c r="X52">
        <v>0.2907807866318024</v>
      </c>
      <c r="Y52">
        <v>1.0524595408142318E-2</v>
      </c>
      <c r="Z52">
        <v>-2.7761827638870455</v>
      </c>
      <c r="AA52">
        <v>-2.6711101399013173</v>
      </c>
      <c r="AC52">
        <v>-6.1652829751991138</v>
      </c>
      <c r="AD52">
        <v>-5.6286908993397304</v>
      </c>
      <c r="AE52">
        <v>-4.9397358116835752</v>
      </c>
      <c r="AF52">
        <v>-4.2181910682353259</v>
      </c>
      <c r="AH52">
        <v>-4.5484035212429506</v>
      </c>
      <c r="AI52">
        <f t="shared" ref="AI52:AI57" si="35">LOG(R52/R$58,2)</f>
        <v>-0.44707456283906577</v>
      </c>
      <c r="AJ52">
        <f t="shared" si="34"/>
        <v>-3.5401236565950236</v>
      </c>
      <c r="AK52" s="27"/>
    </row>
    <row r="53" spans="2:37" x14ac:dyDescent="0.25">
      <c r="B53" s="665"/>
      <c r="C53" s="513">
        <v>52</v>
      </c>
      <c r="D53">
        <v>8.2559670881408628E-2</v>
      </c>
      <c r="E53">
        <v>2.5194489134357317E-2</v>
      </c>
      <c r="F53">
        <v>12.671388405595366</v>
      </c>
      <c r="G53">
        <v>5.5559515266873204E-3</v>
      </c>
      <c r="H53">
        <v>7.9737658098670714</v>
      </c>
      <c r="I53">
        <v>4.2985066197412318E-2</v>
      </c>
      <c r="J53">
        <v>0.11492193010279267</v>
      </c>
      <c r="L53">
        <v>1.6696472911596576E-4</v>
      </c>
      <c r="M53">
        <v>1.6686284440618582E-2</v>
      </c>
      <c r="N53">
        <v>0.46404724788741891</v>
      </c>
      <c r="O53">
        <v>3.33614422636184E-3</v>
      </c>
      <c r="P53">
        <v>9.7228167505566111E-5</v>
      </c>
      <c r="Q53">
        <v>5.9618270278644704E-5</v>
      </c>
      <c r="R53">
        <v>3.3740615595984798E-3</v>
      </c>
      <c r="S53">
        <f>'PCR Plates'!AP79</f>
        <v>6.1854529729770465E-4</v>
      </c>
      <c r="T53" s="27"/>
      <c r="U53">
        <v>-2.3690318980645095</v>
      </c>
      <c r="V53">
        <v>-1.2524291542344981</v>
      </c>
      <c r="W53">
        <v>0.62727480882097142</v>
      </c>
      <c r="X53">
        <v>0.85358640738798708</v>
      </c>
      <c r="Y53">
        <v>0.60351986999679963</v>
      </c>
      <c r="Z53">
        <v>1.9464498673360133</v>
      </c>
      <c r="AA53">
        <v>1.4463477258729664</v>
      </c>
      <c r="AG53">
        <v>0.68929375025817463</v>
      </c>
      <c r="AI53">
        <f t="shared" si="35"/>
        <v>-0.53051534347871254</v>
      </c>
      <c r="AJ53">
        <f t="shared" si="34"/>
        <v>-3.7891797053029155</v>
      </c>
      <c r="AK53" s="27"/>
    </row>
    <row r="54" spans="2:37" x14ac:dyDescent="0.25">
      <c r="B54" s="665"/>
      <c r="C54" s="513">
        <v>50</v>
      </c>
      <c r="R54">
        <v>4.4063869662091647E-3</v>
      </c>
      <c r="T54" s="27"/>
      <c r="AI54">
        <f t="shared" si="35"/>
        <v>-0.14540544205048839</v>
      </c>
      <c r="AK54" s="27"/>
    </row>
    <row r="55" spans="2:37" x14ac:dyDescent="0.25">
      <c r="B55" s="665"/>
      <c r="C55" s="513">
        <v>59</v>
      </c>
      <c r="K55">
        <v>2.3176058833427019E-3</v>
      </c>
      <c r="L55">
        <v>7.3386685469179009E-5</v>
      </c>
      <c r="M55">
        <v>7.9792164525371273E-2</v>
      </c>
      <c r="N55">
        <v>0.49539077730310233</v>
      </c>
      <c r="O55">
        <v>2.2363242962772372E-3</v>
      </c>
      <c r="Q55">
        <v>6.3065100379358993E-5</v>
      </c>
      <c r="R55">
        <v>6.4159918448739011E-3</v>
      </c>
      <c r="S55">
        <f>'PCR Plates'!AP81</f>
        <v>5.504314308068882E-4</v>
      </c>
      <c r="T55" s="27"/>
      <c r="AB55">
        <v>0.93731481601156019</v>
      </c>
      <c r="AC55">
        <v>-5.1619466492341797</v>
      </c>
      <c r="AD55">
        <v>-2.0153270054779622</v>
      </c>
      <c r="AE55">
        <v>-3.6066189505745161</v>
      </c>
      <c r="AF55">
        <v>-4.4237292807967847</v>
      </c>
      <c r="AH55">
        <v>-5.2847248407786873</v>
      </c>
      <c r="AI55">
        <f t="shared" si="35"/>
        <v>0.39667066878935414</v>
      </c>
      <c r="AJ55">
        <f t="shared" si="34"/>
        <v>-3.9574961024383386</v>
      </c>
      <c r="AK55" s="27"/>
    </row>
    <row r="56" spans="2:37" x14ac:dyDescent="0.25">
      <c r="B56" s="665"/>
      <c r="C56" s="513">
        <v>58</v>
      </c>
      <c r="D56">
        <v>0.11825743358702628</v>
      </c>
      <c r="E56">
        <v>1.0359356432375769E-2</v>
      </c>
      <c r="F56">
        <v>5.5321597684628649</v>
      </c>
      <c r="G56">
        <v>2.976582651194771E-3</v>
      </c>
      <c r="H56">
        <v>3.6734534964769097</v>
      </c>
      <c r="I56">
        <v>1.8789493518448705E-3</v>
      </c>
      <c r="J56">
        <v>8.7031025037863884E-3</v>
      </c>
      <c r="L56">
        <v>6.1320923657227515E-5</v>
      </c>
      <c r="M56">
        <v>9.197023763063715E-3</v>
      </c>
      <c r="N56">
        <v>0.20795206216680848</v>
      </c>
      <c r="O56">
        <v>1.7829934258935718E-3</v>
      </c>
      <c r="Q56">
        <v>6.0834083474684556E-5</v>
      </c>
      <c r="R56">
        <v>7.9504716108349752E-3</v>
      </c>
      <c r="S56">
        <f>'PCR Plates'!AP83</f>
        <v>3.8805442022124537E-4</v>
      </c>
      <c r="T56" s="27"/>
      <c r="U56">
        <v>-1.8506101494354352</v>
      </c>
      <c r="V56">
        <v>-2.5346029780752914</v>
      </c>
      <c r="W56">
        <v>-0.56838507343841993</v>
      </c>
      <c r="X56">
        <v>-4.6790650644894093E-2</v>
      </c>
      <c r="Y56">
        <v>-0.51460435273185345</v>
      </c>
      <c r="Z56">
        <v>-2.5693875770090822</v>
      </c>
      <c r="AA56">
        <v>-2.2766328038184085</v>
      </c>
      <c r="AC56">
        <v>-5.4210855601792831</v>
      </c>
      <c r="AD56">
        <v>-5.1323351151884742</v>
      </c>
      <c r="AE56">
        <v>-4.8589349691242019</v>
      </c>
      <c r="AF56">
        <v>-4.75055731021539</v>
      </c>
      <c r="AH56">
        <v>-5.3366868451839098</v>
      </c>
      <c r="AI56">
        <f t="shared" si="35"/>
        <v>0.70603880233427674</v>
      </c>
      <c r="AJ56">
        <f t="shared" si="34"/>
        <v>-4.4617999676095801</v>
      </c>
      <c r="AK56" s="27"/>
    </row>
    <row r="57" spans="2:37" ht="15.75" thickBot="1" x14ac:dyDescent="0.3">
      <c r="B57" s="665"/>
      <c r="C57" s="515">
        <v>51</v>
      </c>
      <c r="D57" s="84">
        <v>1.6381308090170452</v>
      </c>
      <c r="E57" s="84">
        <v>0.24349901969230905</v>
      </c>
      <c r="F57" s="84"/>
      <c r="G57" s="84">
        <v>1.9109811974270595E-3</v>
      </c>
      <c r="H57" s="84"/>
      <c r="I57" s="84">
        <v>7.4200577503198183E-3</v>
      </c>
      <c r="J57" s="84">
        <v>6.2991049696712487E-2</v>
      </c>
      <c r="K57" s="84"/>
      <c r="L57" s="84">
        <v>1.5320990087875762E-2</v>
      </c>
      <c r="M57" s="84">
        <v>1.4973492269055657</v>
      </c>
      <c r="N57" s="84">
        <v>34.298423822182514</v>
      </c>
      <c r="O57" s="84">
        <v>0.27617936631127737</v>
      </c>
      <c r="P57" s="84"/>
      <c r="Q57" s="84">
        <v>1.436367529075536E-2</v>
      </c>
      <c r="R57" s="84">
        <v>6.6990600537817548E-3</v>
      </c>
      <c r="S57" s="84">
        <f>'PCR Plates'!AP85</f>
        <v>4.8169461598468244E-2</v>
      </c>
      <c r="T57" s="33"/>
      <c r="U57" s="84">
        <v>1.9414376366847099</v>
      </c>
      <c r="V57" s="84">
        <v>2.0203067015471969</v>
      </c>
      <c r="W57" s="84"/>
      <c r="X57" s="84">
        <v>-0.68613402170107929</v>
      </c>
      <c r="Y57" s="84"/>
      <c r="Z57" s="84">
        <v>-0.58788334023338185</v>
      </c>
      <c r="AA57" s="84">
        <v>0.578912355685406</v>
      </c>
      <c r="AB57" s="84"/>
      <c r="AC57" s="84">
        <v>2.5438288279870753</v>
      </c>
      <c r="AD57" s="84">
        <v>2.2146928419961487</v>
      </c>
      <c r="AE57" s="84">
        <v>2.506812508172966</v>
      </c>
      <c r="AF57" s="84">
        <v>2.5246030341337544</v>
      </c>
      <c r="AG57" s="84"/>
      <c r="AH57" s="84">
        <v>2.5466425359434761</v>
      </c>
      <c r="AI57" s="84">
        <f t="shared" si="35"/>
        <v>0.4589570457424767</v>
      </c>
      <c r="AJ57" s="84">
        <f t="shared" si="34"/>
        <v>2.4939160326543695</v>
      </c>
      <c r="AK57" s="33"/>
    </row>
    <row r="58" spans="2:37" ht="15.75" thickTop="1" x14ac:dyDescent="0.25">
      <c r="B58" s="665"/>
      <c r="C58" s="514" t="s">
        <v>478</v>
      </c>
      <c r="D58" s="60">
        <f>AVERAGE(D51:D57)</f>
        <v>0.42649860499606584</v>
      </c>
      <c r="E58" s="60">
        <f t="shared" ref="E58:J58" si="36">AVERAGE(E51:E57)</f>
        <v>6.0023912384413826E-2</v>
      </c>
      <c r="F58" s="60">
        <f t="shared" si="36"/>
        <v>8.2034336570599145</v>
      </c>
      <c r="G58" s="60">
        <f t="shared" si="36"/>
        <v>3.0747041606467309E-3</v>
      </c>
      <c r="H58" s="60">
        <f t="shared" si="36"/>
        <v>5.2479041271020073</v>
      </c>
      <c r="I58" s="60">
        <f t="shared" si="36"/>
        <v>1.1152643109481681E-2</v>
      </c>
      <c r="J58" s="60">
        <f t="shared" si="36"/>
        <v>4.2170510812503892E-2</v>
      </c>
      <c r="K58" s="60">
        <f>AVERAGE(K51:K57)</f>
        <v>1.2102628700681984E-3</v>
      </c>
      <c r="L58" s="60">
        <f t="shared" ref="L58:Q58" si="37">AVERAGE(L51:L57)</f>
        <v>2.6273507245485688E-3</v>
      </c>
      <c r="M58" s="60">
        <f t="shared" si="37"/>
        <v>0.32257754033498248</v>
      </c>
      <c r="N58" s="60">
        <f t="shared" si="37"/>
        <v>6.0345988284293197</v>
      </c>
      <c r="O58" s="60">
        <f t="shared" si="37"/>
        <v>4.799654635752678E-2</v>
      </c>
      <c r="P58" s="60">
        <f t="shared" si="37"/>
        <v>6.0296764107549369E-5</v>
      </c>
      <c r="Q58" s="517">
        <f t="shared" si="37"/>
        <v>2.4583843764835306E-3</v>
      </c>
      <c r="R58" s="517">
        <f>AVERAGE(R51:R57)</f>
        <v>4.8736465923345058E-3</v>
      </c>
      <c r="S58" s="517">
        <f t="shared" ref="S58:T58" si="38">AVERAGE(S51:S57)</f>
        <v>8.5512235406435023E-3</v>
      </c>
      <c r="T58" s="518">
        <f t="shared" si="38"/>
        <v>2.2113673142643482E-3</v>
      </c>
      <c r="U58" s="517">
        <v>-1.1625296120201578</v>
      </c>
      <c r="V58" s="517">
        <v>-1.3730015155593249</v>
      </c>
      <c r="W58" s="517">
        <v>-6.9980610176109403E-2</v>
      </c>
      <c r="X58" s="517">
        <v>-0.19681682442213558</v>
      </c>
      <c r="Y58" s="517">
        <v>-6.7876951417577616E-2</v>
      </c>
      <c r="Z58" s="517">
        <v>-1.3155856899372338</v>
      </c>
      <c r="AA58" s="517">
        <v>-0.83637509914257591</v>
      </c>
      <c r="AB58" s="517">
        <v>-1.3092061800821915</v>
      </c>
      <c r="AC58" s="517">
        <v>-3.7703851389977365</v>
      </c>
      <c r="AD58" s="517">
        <v>-2.1093569342619416</v>
      </c>
      <c r="AE58" s="517">
        <v>-2.8734000819641836</v>
      </c>
      <c r="AF58" s="517">
        <v>-3.1106020908489511</v>
      </c>
      <c r="AG58" s="517">
        <v>-0.33920776036194278</v>
      </c>
      <c r="AH58" s="517">
        <v>-3.454238632136442</v>
      </c>
      <c r="AI58" s="517"/>
      <c r="AJ58" s="517"/>
      <c r="AK58" s="518"/>
    </row>
    <row r="59" spans="2:37" x14ac:dyDescent="0.25">
      <c r="B59" s="665"/>
      <c r="C59" s="30" t="s">
        <v>479</v>
      </c>
      <c r="D59" s="519"/>
      <c r="E59" s="519"/>
      <c r="F59" s="519"/>
      <c r="G59" s="519"/>
      <c r="H59" s="519"/>
      <c r="I59" s="519"/>
      <c r="J59" s="519"/>
      <c r="K59" s="519"/>
      <c r="L59" s="519"/>
      <c r="M59" s="519"/>
      <c r="N59" s="519"/>
      <c r="O59" s="519"/>
      <c r="P59" s="519"/>
      <c r="Q59" s="519"/>
      <c r="R59" s="519"/>
      <c r="S59" s="519"/>
      <c r="T59" s="522"/>
      <c r="U59">
        <v>2.5365508700393158</v>
      </c>
      <c r="V59">
        <v>2.6106603228908729</v>
      </c>
      <c r="W59">
        <v>0.94086526629129286</v>
      </c>
      <c r="X59">
        <v>1.5467263448482886</v>
      </c>
      <c r="Y59">
        <v>0.93101435159682144</v>
      </c>
      <c r="Z59">
        <v>2.7467140402902022</v>
      </c>
      <c r="AA59">
        <v>2.7459985323654377</v>
      </c>
      <c r="AB59">
        <v>5.0449147415812057</v>
      </c>
      <c r="AC59">
        <v>3.3735152699240678</v>
      </c>
      <c r="AD59">
        <v>4.579643005819479</v>
      </c>
      <c r="AE59">
        <v>3.2951136020675054</v>
      </c>
      <c r="AF59">
        <v>3.2040794351628823</v>
      </c>
      <c r="AG59">
        <v>2.5698338101184288</v>
      </c>
      <c r="AH59">
        <v>3.2931443980156514</v>
      </c>
      <c r="AK59" s="27"/>
    </row>
    <row r="60" spans="2:37" ht="15.75" thickBot="1" x14ac:dyDescent="0.3">
      <c r="B60" s="666"/>
      <c r="C60" s="9" t="s">
        <v>480</v>
      </c>
      <c r="D60" s="520"/>
      <c r="E60" s="520"/>
      <c r="F60" s="520"/>
      <c r="G60" s="520"/>
      <c r="H60" s="520"/>
      <c r="I60" s="520"/>
      <c r="J60" s="520"/>
      <c r="K60" s="520"/>
      <c r="L60" s="520"/>
      <c r="M60" s="520"/>
      <c r="N60" s="520"/>
      <c r="O60" s="520"/>
      <c r="P60" s="520"/>
      <c r="Q60" s="520"/>
      <c r="R60" s="520"/>
      <c r="S60" s="520"/>
      <c r="T60" s="523"/>
      <c r="U60" s="2">
        <v>-4.8616100940796318</v>
      </c>
      <c r="V60" s="2">
        <v>-5.3566633540095232</v>
      </c>
      <c r="W60" s="2">
        <v>-1.0808264866435116</v>
      </c>
      <c r="X60" s="2">
        <v>-1.9403599936925597</v>
      </c>
      <c r="Y60" s="2">
        <v>-1.0667682544319768</v>
      </c>
      <c r="Z60" s="2">
        <v>-5.3778854201646702</v>
      </c>
      <c r="AA60" s="2">
        <v>-4.4187487306505897</v>
      </c>
      <c r="AB60" s="2">
        <v>-7.6633271017455886</v>
      </c>
      <c r="AC60" s="2">
        <v>-10.91428554791954</v>
      </c>
      <c r="AD60" s="2">
        <v>-8.7983568743433622</v>
      </c>
      <c r="AE60" s="2">
        <v>-9.0419137659958722</v>
      </c>
      <c r="AF60" s="2">
        <v>-9.425283616860785</v>
      </c>
      <c r="AG60" s="2">
        <v>-3.2482493308423144</v>
      </c>
      <c r="AH60" s="2">
        <v>-10.201621662288535</v>
      </c>
      <c r="AI60" s="2"/>
      <c r="AJ60" s="2"/>
      <c r="AK60" s="8"/>
    </row>
    <row r="61" spans="2:37" x14ac:dyDescent="0.25">
      <c r="B61" s="667" t="s">
        <v>87</v>
      </c>
      <c r="C61" s="28">
        <v>21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25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25"/>
    </row>
    <row r="62" spans="2:37" x14ac:dyDescent="0.25">
      <c r="B62" s="665"/>
      <c r="C62" s="30">
        <v>22</v>
      </c>
      <c r="D62" cm="1">
        <f t="array" ref="D62">_xlfn.XLOOKUP(1,('PCR Plates'!$B$3:$B$182='PCR Results'!D$2)*('PCR Plates'!$C$3:$C$182='PCR Results'!$C62),'PCR Plates'!$G$3:$G$182)</f>
        <v>1.9578830166930697E-2</v>
      </c>
      <c r="E62" cm="1">
        <f t="array" ref="E62">_xlfn.XLOOKUP(1,('PCR Plates'!$B$3:$B$182='PCR Results'!E$2)*('PCR Plates'!$C$3:$C$182='PCR Results'!$C62),'PCR Plates'!$G$3:$G$182)</f>
        <v>5.3868388518073677E-5</v>
      </c>
      <c r="F62" cm="1">
        <f t="array" ref="F62">_xlfn.XLOOKUP(1,('PCR Plates'!$B$3:$B$182='PCR Results'!F$2)*('PCR Plates'!$C$3:$C$182='PCR Results'!$C62),'PCR Plates'!$G$3:$G$182)</f>
        <v>4.6511149272622196</v>
      </c>
      <c r="G62" cm="1">
        <f t="array" ref="G62">_xlfn.XLOOKUP(1,('PCR Plates'!$B$3:$B$182='PCR Results'!G$2)*('PCR Plates'!$C$3:$C$182='PCR Results'!$C62),'PCR Plates'!$G$3:$G$182)</f>
        <v>2.0885301262655497E-4</v>
      </c>
      <c r="H62" cm="1">
        <f t="array" ref="H62">_xlfn.XLOOKUP(1,('PCR Plates'!$B$3:$B$182='PCR Results'!H$2)*('PCR Plates'!$C$3:$C$182='PCR Results'!$C62),'PCR Plates'!$G$3:$G$182)</f>
        <v>0.6229567591489682</v>
      </c>
      <c r="I62" cm="1">
        <f t="array" ref="I62">_xlfn.XLOOKUP(1,('PCR Plates'!$B$3:$B$182='PCR Results'!I$2)*('PCR Plates'!$C$3:$C$182='PCR Results'!$C62),'PCR Plates'!$G$3:$G$182)</f>
        <v>1.6526547606591195</v>
      </c>
      <c r="J62" cm="1">
        <f t="array" ref="J62">_xlfn.XLOOKUP(1,('PCR Plates'!$B$3:$B$182='PCR Results'!J$2)*('PCR Plates'!$C$3:$C$182='PCR Results'!$C62),'PCR Plates'!$G$3:$G$182)</f>
        <v>0.84415513876867543</v>
      </c>
      <c r="K62" cm="1">
        <f t="array" ref="K62">_xlfn.XLOOKUP(1,('PCR Plates'!$B$3:$B$182='PCR Results'!K$2)*('PCR Plates'!$C$3:$C$182='PCR Results'!$C62),'PCR Plates'!$G$3:$G$182)</f>
        <v>6.1225955142459046E-5</v>
      </c>
      <c r="L62" cm="1">
        <f t="array" ref="L62">_xlfn.XLOOKUP(1,('PCR Plates'!$B$3:$B$182='PCR Results'!L$2)*('PCR Plates'!$C$3:$C$182='PCR Results'!$C62),'PCR Plates'!$G$3:$G$182)</f>
        <v>4.5626223132415441E-4</v>
      </c>
      <c r="M62" cm="1">
        <f t="array" ref="M62">_xlfn.XLOOKUP(1,('PCR Plates'!$B$3:$B$182='PCR Results'!M$2)*('PCR Plates'!$C$3:$C$182='PCR Results'!$C62),'PCR Plates'!$G$3:$G$182)</f>
        <v>1.8587237777343474E-2</v>
      </c>
      <c r="N62" cm="1">
        <f t="array" ref="N62">_xlfn.XLOOKUP(1,('PCR Plates'!$B$3:$B$182='PCR Results'!N$2)*('PCR Plates'!$C$3:$C$182='PCR Results'!$C62),'PCR Plates'!$G$3:$G$182)</f>
        <v>0.42718541059121135</v>
      </c>
      <c r="O62" cm="1">
        <f t="array" ref="O62">_xlfn.XLOOKUP(1,('PCR Plates'!$B$3:$B$182='PCR Results'!O$2)*('PCR Plates'!$C$3:$C$182='PCR Results'!$C62),'PCR Plates'!$G$3:$G$182)</f>
        <v>7.7278089653787865E-2</v>
      </c>
      <c r="P62" cm="1">
        <f t="array" ref="P62">_xlfn.XLOOKUP(1,('PCR Plates'!$B$3:$B$182='PCR Results'!P$2)*('PCR Plates'!$C$3:$C$182='PCR Results'!$C62),'PCR Plates'!$G$3:$G$182)</f>
        <v>3.9667537911698364E-5</v>
      </c>
      <c r="Q62" cm="1">
        <f t="array" ref="Q62">_xlfn.XLOOKUP(1,('PCR Plates'!$B$3:$B$182='PCR Results'!Q$2)*('PCR Plates'!$C$3:$C$182='PCR Results'!$C62),'PCR Plates'!$G$3:$G$182)</f>
        <v>6.5373145613533789E-4</v>
      </c>
      <c r="R62" cm="1">
        <f t="array" ref="R62">_xlfn.XLOOKUP(1,('PCR Plates'!$B$3:$B$182='PCR Results'!R$2)*('PCR Plates'!$C$3:$C$182='PCR Results'!$C62),'PCR Plates'!$G$3:$G$182)</f>
        <v>3.1605123614751734E-3</v>
      </c>
      <c r="S62" cm="1">
        <f t="array" ref="S62">_xlfn.XLOOKUP(1,('PCR Plates'!$B$3:$B$182='PCR Results'!S$2)*('PCR Plates'!$C$3:$C$182='PCR Results'!$C62),'PCR Plates'!$G$3:$G$182)</f>
        <v>6.3700737954707681E-2</v>
      </c>
      <c r="T62" s="27" cm="1">
        <f t="array" ref="T62">_xlfn.XLOOKUP(1,('PCR Plates'!$B$3:$B$182='PCR Results'!T$2)*('PCR Plates'!$C$3:$C$182='PCR Results'!$C62),'PCR Plates'!$G$3:$G$182)</f>
        <v>1.9068951824083085E-4</v>
      </c>
      <c r="U62">
        <f>LOG(D62/D$58,2)</f>
        <v>-4.4451745509922329</v>
      </c>
      <c r="V62">
        <f t="shared" ref="V62:AJ62" si="39">LOG(E62/E$58,2)</f>
        <v>-10.121882734788933</v>
      </c>
      <c r="W62">
        <f t="shared" si="39"/>
        <v>-0.81865130673716313</v>
      </c>
      <c r="X62">
        <f t="shared" si="39"/>
        <v>-3.8798877459863998</v>
      </c>
      <c r="Y62">
        <f t="shared" si="39"/>
        <v>-3.0745374328127322</v>
      </c>
      <c r="Z62">
        <f t="shared" si="39"/>
        <v>7.2112559063605159</v>
      </c>
      <c r="AA62">
        <f t="shared" si="39"/>
        <v>4.3232017594480059</v>
      </c>
      <c r="AB62">
        <f t="shared" si="39"/>
        <v>-4.3050332504112889</v>
      </c>
      <c r="AC62">
        <f t="shared" si="39"/>
        <v>-2.5256736586198247</v>
      </c>
      <c r="AD62">
        <f t="shared" si="39"/>
        <v>-4.1172616989714559</v>
      </c>
      <c r="AE62">
        <f t="shared" si="39"/>
        <v>-3.8203235843727139</v>
      </c>
      <c r="AF62">
        <f t="shared" si="39"/>
        <v>0.68712883168426642</v>
      </c>
      <c r="AG62">
        <f t="shared" si="39"/>
        <v>-0.60412172544299758</v>
      </c>
      <c r="AH62">
        <f t="shared" si="39"/>
        <v>-1.9109404801574712</v>
      </c>
      <c r="AI62">
        <f t="shared" si="39"/>
        <v>-0.62484318165678088</v>
      </c>
      <c r="AJ62">
        <f t="shared" si="39"/>
        <v>2.8971073197700843</v>
      </c>
      <c r="AK62" s="27"/>
    </row>
    <row r="63" spans="2:37" x14ac:dyDescent="0.25">
      <c r="B63" s="665"/>
      <c r="C63" s="30">
        <v>23</v>
      </c>
      <c r="T63" s="27"/>
      <c r="AK63" s="27"/>
    </row>
    <row r="64" spans="2:37" x14ac:dyDescent="0.25">
      <c r="B64" s="665"/>
      <c r="C64" s="30">
        <v>24</v>
      </c>
      <c r="D64" cm="1">
        <f t="array" ref="D64">_xlfn.XLOOKUP(1,('PCR Plates'!$B$3:$B$182='PCR Results'!D$2)*('PCR Plates'!$C$3:$C$182='PCR Results'!$C64),'PCR Plates'!$G$3:$G$182)</f>
        <v>2.2536027372937889E-2</v>
      </c>
      <c r="E64" cm="1">
        <f t="array" ref="E64">_xlfn.XLOOKUP(1,('PCR Plates'!$B$3:$B$182='PCR Results'!E$2)*('PCR Plates'!$C$3:$C$182='PCR Results'!$C64),'PCR Plates'!$G$3:$G$182)</f>
        <v>3.0180805751489756E-5</v>
      </c>
      <c r="F64" cm="1">
        <f t="array" ref="F64">_xlfn.XLOOKUP(1,('PCR Plates'!$B$3:$B$182='PCR Results'!F$2)*('PCR Plates'!$C$3:$C$182='PCR Results'!$C64),'PCR Plates'!$G$3:$G$182)</f>
        <v>1.6348934973666074</v>
      </c>
      <c r="G64" cm="1">
        <f t="array" ref="G64">_xlfn.XLOOKUP(1,('PCR Plates'!$B$3:$B$182='PCR Results'!G$2)*('PCR Plates'!$C$3:$C$182='PCR Results'!$C64),'PCR Plates'!$G$3:$G$182)</f>
        <v>2.2272163341129569E-4</v>
      </c>
      <c r="H64" cm="1">
        <f t="array" ref="H64">_xlfn.XLOOKUP(1,('PCR Plates'!$B$3:$B$182='PCR Results'!H$2)*('PCR Plates'!$C$3:$C$182='PCR Results'!$C64),'PCR Plates'!$G$3:$G$182)</f>
        <v>0.19712124678875284</v>
      </c>
      <c r="I64" cm="1">
        <f t="array" ref="I64">_xlfn.XLOOKUP(1,('PCR Plates'!$B$3:$B$182='PCR Results'!I$2)*('PCR Plates'!$C$3:$C$182='PCR Results'!$C64),'PCR Plates'!$G$3:$G$182)</f>
        <v>3.7940775657099746</v>
      </c>
      <c r="J64" cm="1">
        <f t="array" ref="J64">_xlfn.XLOOKUP(1,('PCR Plates'!$B$3:$B$182='PCR Results'!J$2)*('PCR Plates'!$C$3:$C$182='PCR Results'!$C64),'PCR Plates'!$G$3:$G$182)</f>
        <v>0.39161870229379137</v>
      </c>
      <c r="K64" cm="1">
        <f t="array" ref="K64">_xlfn.XLOOKUP(1,('PCR Plates'!$B$3:$B$182='PCR Results'!K$2)*('PCR Plates'!$C$3:$C$182='PCR Results'!$C64),'PCR Plates'!$G$3:$G$182)</f>
        <v>2.2957074009588418E-3</v>
      </c>
      <c r="L64" cm="1">
        <f t="array" ref="L64">_xlfn.XLOOKUP(1,('PCR Plates'!$B$3:$B$182='PCR Results'!L$2)*('PCR Plates'!$C$3:$C$182='PCR Results'!$C64),'PCR Plates'!$G$3:$G$182)</f>
        <v>3.1378326910014125E-3</v>
      </c>
      <c r="M64" cm="1">
        <f t="array" ref="M64">_xlfn.XLOOKUP(1,('PCR Plates'!$B$3:$B$182='PCR Results'!M$2)*('PCR Plates'!$C$3:$C$182='PCR Results'!$C64),'PCR Plates'!$G$3:$G$182)</f>
        <v>2.8829167213483931E-2</v>
      </c>
      <c r="N64" cm="1">
        <f t="array" ref="N64">_xlfn.XLOOKUP(1,('PCR Plates'!$B$3:$B$182='PCR Results'!N$2)*('PCR Plates'!$C$3:$C$182='PCR Results'!$C64),'PCR Plates'!$G$3:$G$182)</f>
        <v>0.312576504376606</v>
      </c>
      <c r="O64" cm="1">
        <f t="array" ref="O64">_xlfn.XLOOKUP(1,('PCR Plates'!$B$3:$B$182='PCR Results'!O$2)*('PCR Plates'!$C$3:$C$182='PCR Results'!$C64),'PCR Plates'!$G$3:$G$182)</f>
        <v>4.769553242389124E-2</v>
      </c>
      <c r="P64" cm="1">
        <f t="array" ref="P64">_xlfn.XLOOKUP(1,('PCR Plates'!$B$3:$B$182='PCR Results'!P$2)*('PCR Plates'!$C$3:$C$182='PCR Results'!$C64),'PCR Plates'!$G$3:$G$182)</f>
        <v>8.7861344116265869E-5</v>
      </c>
      <c r="Q64" cm="1">
        <f t="array" ref="Q64">_xlfn.XLOOKUP(1,('PCR Plates'!$B$3:$B$182='PCR Results'!Q$2)*('PCR Plates'!$C$3:$C$182='PCR Results'!$C64),'PCR Plates'!$G$3:$G$182)</f>
        <v>3.2749989705982523E-3</v>
      </c>
      <c r="R64" cm="1">
        <f t="array" ref="R64">_xlfn.XLOOKUP(1,('PCR Plates'!$B$3:$B$182='PCR Results'!R$2)*('PCR Plates'!$C$3:$C$182='PCR Results'!$C64),'PCR Plates'!$G$3:$G$182)</f>
        <v>1.6686127560000892E-3</v>
      </c>
      <c r="S64" cm="1">
        <f t="array" ref="S64">_xlfn.XLOOKUP(1,('PCR Plates'!$B$3:$B$182='PCR Results'!S$2)*('PCR Plates'!$C$3:$C$182='PCR Results'!$C64),'PCR Plates'!$G$3:$G$182)</f>
        <v>4.3014052245887113E-2</v>
      </c>
      <c r="T64" s="27" cm="1">
        <f t="array" ref="T64">_xlfn.XLOOKUP(1,('PCR Plates'!$B$3:$B$182='PCR Results'!T$2)*('PCR Plates'!$C$3:$C$182='PCR Results'!$C64),'PCR Plates'!$G$3:$G$182)</f>
        <v>3.9477514113180084E-4</v>
      </c>
      <c r="U64">
        <f>LOG(D64/D$58,2)</f>
        <v>-4.2422358964626969</v>
      </c>
      <c r="V64">
        <f>LOG(E64/E$58,2)</f>
        <v>-10.957690319443776</v>
      </c>
      <c r="W64">
        <f t="shared" ref="W64:W71" si="40">LOG(F64/F$58,2)</f>
        <v>-2.3270312388549619</v>
      </c>
      <c r="X64">
        <f t="shared" ref="X64:AD64" si="41">LOG(G64/G$58,2)</f>
        <v>-3.7871340030987128</v>
      </c>
      <c r="Y64">
        <f t="shared" si="41"/>
        <v>-4.7345861725829819</v>
      </c>
      <c r="Z64">
        <f t="shared" si="41"/>
        <v>8.4102197023931353</v>
      </c>
      <c r="AA64">
        <f t="shared" si="41"/>
        <v>3.2151432622492213</v>
      </c>
      <c r="AB64">
        <f t="shared" si="41"/>
        <v>0.92361833919371905</v>
      </c>
      <c r="AC64">
        <f t="shared" si="41"/>
        <v>0.25615963155432403</v>
      </c>
      <c r="AD64">
        <f t="shared" si="41"/>
        <v>-3.4840449259390573</v>
      </c>
      <c r="AE64">
        <f t="shared" ref="AE64:AE71" si="42">LOG(N64/N$58,2)</f>
        <v>-4.2709766222356667</v>
      </c>
      <c r="AF64">
        <f>LOG(O64/O$58,2)</f>
        <v>-9.0764616512170188E-3</v>
      </c>
      <c r="AG64">
        <f>LOG(P64/P$58,2)</f>
        <v>0.54314798978883894</v>
      </c>
      <c r="AH64">
        <f>LOG(Q64/Q$58,2)</f>
        <v>0.41378394971868965</v>
      </c>
      <c r="AI64">
        <f>LOG(R64/R$58,2)</f>
        <v>-1.5463524597557803</v>
      </c>
      <c r="AJ64">
        <f>LOG(S64/S$58,2)</f>
        <v>2.330605284348322</v>
      </c>
      <c r="AK64" s="27"/>
    </row>
    <row r="65" spans="2:37" x14ac:dyDescent="0.25">
      <c r="B65" s="665"/>
      <c r="C65" s="149">
        <v>25</v>
      </c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1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1"/>
    </row>
    <row r="66" spans="2:37" x14ac:dyDescent="0.25">
      <c r="B66" s="665"/>
      <c r="C66" s="30">
        <v>7</v>
      </c>
      <c r="F66" cm="1">
        <f t="array" ref="F66">_xlfn.XLOOKUP(1,('PCR Plates'!$W$3:$W$254='PCR Results'!F$2)*('PCR Plates'!$X$3:$X$254='PCR Results'!$C66),'PCR Plates'!$AB$3:$AB$254)</f>
        <v>46.574269055740054</v>
      </c>
      <c r="I66" cm="1">
        <f t="array" ref="I66">_xlfn.XLOOKUP(1,('PCR Plates'!$W$3:$W$254='PCR Results'!I$2)*('PCR Plates'!$X$3:$X$254='PCR Results'!$C66),'PCR Plates'!$AB$3:$AB$254)</f>
        <v>1.2289835497525319</v>
      </c>
      <c r="N66" cm="1">
        <f t="array" ref="N66">_xlfn.XLOOKUP(1,('PCR Plates'!$W$3:$W$254='PCR Results'!N$2)*('PCR Plates'!$X$3:$X$254='PCR Results'!$C66),'PCR Plates'!$AB$3:$AB$254)</f>
        <v>8.6299129525216607</v>
      </c>
      <c r="O66" cm="1">
        <f t="array" ref="O66">_xlfn.XLOOKUP(1,('PCR Plates'!$W$3:$W$254='PCR Results'!O$2)*('PCR Plates'!$X$3:$X$254='PCR Results'!$C66),'PCR Plates'!$AB$3:$AB$254)</f>
        <v>0.60313173040588164</v>
      </c>
      <c r="T66" s="27"/>
      <c r="W66">
        <f t="shared" si="40"/>
        <v>2.5052333268579425</v>
      </c>
      <c r="Z66">
        <f>LOG(I66/I$58,2)</f>
        <v>6.7839361340528228</v>
      </c>
      <c r="AE66">
        <f t="shared" si="42"/>
        <v>0.51608814157485283</v>
      </c>
      <c r="AF66">
        <f>LOG(O66/O$58,2)</f>
        <v>3.6514706325056494</v>
      </c>
      <c r="AK66" s="27"/>
    </row>
    <row r="67" spans="2:37" x14ac:dyDescent="0.25">
      <c r="B67" s="665"/>
      <c r="C67" s="30">
        <v>8</v>
      </c>
      <c r="F67" cm="1">
        <f t="array" ref="F67">_xlfn.XLOOKUP(1,('PCR Plates'!$AD$3:$AD$254='PCR Results'!F$2)*('PCR Plates'!$AE$3:$AE$254='PCR Results'!$C67),'PCR Plates'!$AI$3:$AI$254)</f>
        <v>0.36586846060468076</v>
      </c>
      <c r="N67" cm="1">
        <f t="array" ref="N67">_xlfn.XLOOKUP(1,('PCR Plates'!$AD$3:$AD$254='PCR Results'!N$2)*('PCR Plates'!$AE$3:$AE$254='PCR Results'!$C67),'PCR Plates'!$AI$3:$AI$254)</f>
        <v>0.35180559929061089</v>
      </c>
      <c r="O67" cm="1">
        <f t="array" ref="O67">_xlfn.XLOOKUP(1,('PCR Plates'!$AD$3:$AD$254='PCR Results'!O$2)*('PCR Plates'!$AE$3:$AE$254='PCR Results'!$C67),'PCR Plates'!$AI$3:$AI$254)</f>
        <v>4.795237136278558E-2</v>
      </c>
      <c r="Q67" t="s">
        <v>28</v>
      </c>
      <c r="T67" s="27" cm="1">
        <f t="array" ref="T67">_xlfn.XLOOKUP(1,('PCR Plates'!$AD$3:$AD$254='PCR Results'!T$2)*('PCR Plates'!$AE$3:$AE$254='PCR Results'!$C67),'PCR Plates'!$AI$3:$AI$254)</f>
        <v>0.11508919201942372</v>
      </c>
      <c r="W67">
        <f t="shared" si="40"/>
        <v>-4.486830935691775</v>
      </c>
      <c r="AE67">
        <f t="shared" si="42"/>
        <v>-4.1004075160025586</v>
      </c>
      <c r="AF67">
        <f>LOG(O67/O$58,2)</f>
        <v>-1.3284370863506584E-3</v>
      </c>
      <c r="AK67" s="27">
        <f>LOG(T67/T$58,2)</f>
        <v>5.7016698659652265</v>
      </c>
    </row>
    <row r="68" spans="2:37" x14ac:dyDescent="0.25">
      <c r="B68" s="665"/>
      <c r="C68" s="30">
        <v>9</v>
      </c>
      <c r="D68" cm="1">
        <f t="array" ref="D68">_xlfn.XLOOKUP(1,('PCR Plates'!$AD$3:$AD$254='PCR Results'!D$2)*('PCR Plates'!$AE$3:$AE$254='PCR Results'!$C68),'PCR Plates'!$AI$3:$AI$254)</f>
        <v>7.027099857022584E-2</v>
      </c>
      <c r="F68" cm="1">
        <f t="array" ref="F68">_xlfn.XLOOKUP(1,('PCR Plates'!$AD$3:$AD$254='PCR Results'!F$2)*('PCR Plates'!$AE$3:$AE$254='PCR Results'!$C68),'PCR Plates'!$AI$3:$AI$254)</f>
        <v>1.0340626082665501</v>
      </c>
      <c r="J68" cm="1">
        <f t="array" ref="J68">_xlfn.XLOOKUP(1,('PCR Plates'!$AD$3:$AD$254='PCR Results'!J$2)*('PCR Plates'!$AE$3:$AE$254='PCR Results'!$C68),'PCR Plates'!$AI$3:$AI$254)</f>
        <v>1.1248837228720105E-2</v>
      </c>
      <c r="N68" cm="1">
        <f t="array" ref="N68">_xlfn.XLOOKUP(1,('PCR Plates'!$AD$3:$AD$254='PCR Results'!N$2)*('PCR Plates'!$AE$3:$AE$254='PCR Results'!$C68),'PCR Plates'!$AI$3:$AI$254)</f>
        <v>0.21159265239394076</v>
      </c>
      <c r="T68" s="27"/>
      <c r="U68">
        <f>LOG(D68/D$58,2)</f>
        <v>-2.6015397178291799</v>
      </c>
      <c r="W68">
        <f t="shared" si="40"/>
        <v>-2.9879043578918272</v>
      </c>
      <c r="AA68">
        <f>LOG(J68/J$58,2)</f>
        <v>-1.9064586166663446</v>
      </c>
      <c r="AE68">
        <f t="shared" si="42"/>
        <v>-4.8338964303481067</v>
      </c>
      <c r="AK68" s="27"/>
    </row>
    <row r="69" spans="2:37" x14ac:dyDescent="0.25">
      <c r="B69" s="665"/>
      <c r="C69" s="30">
        <v>10</v>
      </c>
      <c r="F69" cm="1">
        <f t="array" ref="F69">_xlfn.XLOOKUP(1,('PCR Plates'!$AD$3:$AD$254='PCR Results'!F$2)*('PCR Plates'!$AE$3:$AE$254='PCR Results'!$C69),'PCR Plates'!$AI$3:$AI$254)</f>
        <v>3.0645903465650343E-3</v>
      </c>
      <c r="H69" cm="1">
        <f t="array" ref="H69">_xlfn.XLOOKUP(1,('PCR Plates'!$AD$3:$AD$254='PCR Results'!H$2)*('PCR Plates'!$AE$3:$AE$254='PCR Results'!$C69),'PCR Plates'!$AI$3:$AI$254)</f>
        <v>3.4971549355753469E-4</v>
      </c>
      <c r="N69" cm="1">
        <f t="array" ref="N69">_xlfn.XLOOKUP(1,('PCR Plates'!$AD$3:$AD$254='PCR Results'!N$2)*('PCR Plates'!$AE$3:$AE$254='PCR Results'!$C69),'PCR Plates'!$AI$3:$AI$254)</f>
        <v>1.2649370956193825E-3</v>
      </c>
      <c r="S69" cm="1">
        <f t="array" ref="S69">_xlfn.XLOOKUP(1,('PCR Plates'!$AD$3:$AD$254='PCR Results'!S$2)*('PCR Plates'!$AE$3:$AE$254='PCR Results'!$C69),'PCR Plates'!$AI$3:$AI$254)</f>
        <v>1.9334507241540677E-4</v>
      </c>
      <c r="T69" s="27"/>
      <c r="W69">
        <f t="shared" si="40"/>
        <v>-11.386317942923707</v>
      </c>
      <c r="Y69">
        <f>LOG(H69/H$58,2)</f>
        <v>-13.873272029810529</v>
      </c>
      <c r="AE69">
        <f t="shared" si="42"/>
        <v>-12.219976507957718</v>
      </c>
      <c r="AJ69">
        <f t="shared" ref="AJ69:AJ70" si="43">LOG(S69/S$58,2)</f>
        <v>-5.4668809593671206</v>
      </c>
      <c r="AK69" s="27"/>
    </row>
    <row r="70" spans="2:37" x14ac:dyDescent="0.25">
      <c r="B70" s="665"/>
      <c r="C70" s="30">
        <v>11</v>
      </c>
      <c r="D70" cm="1">
        <f t="array" ref="D70">_xlfn.XLOOKUP(1,('PCR Plates'!$AD$3:$AD$254='PCR Results'!D$2)*('PCR Plates'!$AE$3:$AE$254='PCR Results'!$C70),'PCR Plates'!$AI$3:$AI$254)</f>
        <v>0.86024154073680714</v>
      </c>
      <c r="F70" cm="1">
        <f t="array" ref="F70">_xlfn.XLOOKUP(1,('PCR Plates'!$AD$3:$AD$254='PCR Results'!F$2)*('PCR Plates'!$AE$3:$AE$254='PCR Results'!$C70),'PCR Plates'!$AI$3:$AI$254)</f>
        <v>3.8999751929680415</v>
      </c>
      <c r="N70" cm="1">
        <f t="array" ref="N70">_xlfn.XLOOKUP(1,('PCR Plates'!$AD$3:$AD$254='PCR Results'!N$2)*('PCR Plates'!$AE$3:$AE$254='PCR Results'!$C70),'PCR Plates'!$AI$3:$AI$254)</f>
        <v>1.2271146176423737</v>
      </c>
      <c r="S70" cm="1">
        <f t="array" ref="S70">_xlfn.XLOOKUP(1,('PCR Plates'!$AD$3:$AD$254='PCR Results'!S$2)*('PCR Plates'!$AE$3:$AE$254='PCR Results'!$C70),'PCR Plates'!$AI$3:$AI$254)</f>
        <v>0.92766393407708458</v>
      </c>
      <c r="T70" s="27" cm="1">
        <f t="array" ref="T70">_xlfn.XLOOKUP(1,('PCR Plates'!$AD$3:$AD$254='PCR Results'!T$2)*('PCR Plates'!$AE$3:$AE$254='PCR Results'!$C70),'PCR Plates'!$AI$3:$AI$254)</f>
        <v>0.93782639649854715</v>
      </c>
      <c r="U70">
        <f>LOG(D70/D$58,2)</f>
        <v>1.012200777416763</v>
      </c>
      <c r="W70">
        <f t="shared" si="40"/>
        <v>-1.0727629481964391</v>
      </c>
      <c r="AE70">
        <f t="shared" si="42"/>
        <v>-2.2979878567971861</v>
      </c>
      <c r="AJ70">
        <f t="shared" si="43"/>
        <v>6.7613275820143777</v>
      </c>
      <c r="AK70" s="27">
        <f>LOG(T70/T$58,2)</f>
        <v>8.7282383954522746</v>
      </c>
    </row>
    <row r="71" spans="2:37" ht="15.75" thickBot="1" x14ac:dyDescent="0.3">
      <c r="B71" s="665"/>
      <c r="C71" s="30">
        <v>12</v>
      </c>
      <c r="D71" cm="1">
        <f t="array" ref="D71">_xlfn.XLOOKUP(1,('PCR Plates'!$AD$3:$AD$254='PCR Results'!D$2)*('PCR Plates'!$AE$3:$AE$254='PCR Results'!$C71),'PCR Plates'!$AI$3:$AI$254)</f>
        <v>6.5275085993511811E-2</v>
      </c>
      <c r="F71" cm="1">
        <f t="array" ref="F71">_xlfn.XLOOKUP(1,('PCR Plates'!$AD$3:$AD$254='PCR Results'!F$2)*('PCR Plates'!$AE$3:$AE$254='PCR Results'!$C71),'PCR Plates'!$AI$3:$AI$254)</f>
        <v>0.89738825944281042</v>
      </c>
      <c r="H71" cm="1">
        <f t="array" ref="H71">_xlfn.XLOOKUP(1,('PCR Plates'!$AD$3:$AD$254='PCR Results'!H$2)*('PCR Plates'!$AE$3:$AE$254='PCR Results'!$C71),'PCR Plates'!$AI$3:$AI$254)</f>
        <v>0.25056634469488692</v>
      </c>
      <c r="N71" cm="1">
        <f t="array" ref="N71">_xlfn.XLOOKUP(1,('PCR Plates'!$AD$3:$AD$254='PCR Results'!N$2)*('PCR Plates'!$AE$3:$AE$254='PCR Results'!$C71),'PCR Plates'!$AI$3:$AI$254)</f>
        <v>0.79301314804490364</v>
      </c>
      <c r="O71" cm="1">
        <f t="array" ref="O71">_xlfn.XLOOKUP(1,('PCR Plates'!$AD$3:$AD$254='PCR Results'!O$2)*('PCR Plates'!$AE$3:$AE$254='PCR Results'!$C71),'PCR Plates'!$AI$3:$AI$254)</f>
        <v>3.1444455270710041E-2</v>
      </c>
      <c r="T71" s="27" cm="1">
        <f t="array" ref="T71">_xlfn.XLOOKUP(1,('PCR Plates'!$AD$3:$AD$254='PCR Results'!T$2)*('PCR Plates'!$AE$3:$AE$254='PCR Results'!$C71),'PCR Plates'!$AI$3:$AI$254)</f>
        <v>0.20434852391263236</v>
      </c>
      <c r="U71">
        <f>LOG(D71/D$58,2)</f>
        <v>-2.7079366644817844</v>
      </c>
      <c r="W71">
        <f t="shared" si="40"/>
        <v>-3.1924236810516966</v>
      </c>
      <c r="Y71">
        <f>LOG(H71/H$58,2)</f>
        <v>-4.3884768094937288</v>
      </c>
      <c r="AE71">
        <f t="shared" si="42"/>
        <v>-2.9278411749298479</v>
      </c>
      <c r="AF71">
        <f>LOG(O71/O$58,2)</f>
        <v>-0.61012495569504932</v>
      </c>
      <c r="AK71" s="27">
        <f>LOG(T71/T$58,2)</f>
        <v>6.5299493313149046</v>
      </c>
    </row>
    <row r="72" spans="2:37" ht="15.75" thickTop="1" x14ac:dyDescent="0.25">
      <c r="B72" s="665"/>
      <c r="C72" s="524" t="s">
        <v>478</v>
      </c>
      <c r="D72" s="517">
        <f>AVERAGE(D61:D71)</f>
        <v>0.20758049656808267</v>
      </c>
      <c r="E72" s="517">
        <f t="shared" ref="E72:T72" si="44">AVERAGE(E61:E71)</f>
        <v>4.2024597134781715E-5</v>
      </c>
      <c r="F72" s="517">
        <f t="shared" si="44"/>
        <v>7.382579573999692</v>
      </c>
      <c r="G72" s="517">
        <f t="shared" si="44"/>
        <v>2.1578732301892533E-4</v>
      </c>
      <c r="H72" s="517">
        <f t="shared" si="44"/>
        <v>0.26774851653154141</v>
      </c>
      <c r="I72" s="517">
        <f t="shared" si="44"/>
        <v>2.2252386253738754</v>
      </c>
      <c r="J72" s="517">
        <f t="shared" si="44"/>
        <v>0.41567422609706228</v>
      </c>
      <c r="K72" s="517">
        <f t="shared" si="44"/>
        <v>1.1784666780506503E-3</v>
      </c>
      <c r="L72" s="517">
        <f t="shared" si="44"/>
        <v>1.7970474611627835E-3</v>
      </c>
      <c r="M72" s="517">
        <f t="shared" si="44"/>
        <v>2.3708202495413701E-2</v>
      </c>
      <c r="N72" s="517">
        <f t="shared" si="44"/>
        <v>1.4943082277446158</v>
      </c>
      <c r="O72" s="517">
        <f t="shared" si="44"/>
        <v>0.16150043582341128</v>
      </c>
      <c r="P72" s="517">
        <f t="shared" si="44"/>
        <v>6.3764441013982123E-5</v>
      </c>
      <c r="Q72" s="517">
        <f t="shared" si="44"/>
        <v>1.9643652133667952E-3</v>
      </c>
      <c r="R72" s="517">
        <f t="shared" si="44"/>
        <v>2.4145625587376311E-3</v>
      </c>
      <c r="S72" s="517">
        <f t="shared" si="44"/>
        <v>0.25864301733752371</v>
      </c>
      <c r="T72" s="518">
        <f t="shared" si="44"/>
        <v>0.25156991541799517</v>
      </c>
      <c r="U72" s="517"/>
      <c r="V72" s="517"/>
      <c r="W72" s="517"/>
      <c r="X72" s="517"/>
      <c r="Y72" s="517"/>
      <c r="Z72" s="517"/>
      <c r="AA72" s="517"/>
      <c r="AB72" s="517"/>
      <c r="AC72" s="517"/>
      <c r="AD72" s="517"/>
      <c r="AE72" s="517"/>
      <c r="AF72" s="517"/>
      <c r="AG72" s="517"/>
      <c r="AH72" s="517"/>
      <c r="AI72" s="517"/>
      <c r="AJ72" s="517"/>
      <c r="AK72" s="518"/>
    </row>
    <row r="73" spans="2:37" x14ac:dyDescent="0.25">
      <c r="B73" s="665"/>
      <c r="C73" s="30" t="s">
        <v>479</v>
      </c>
      <c r="T73" s="27"/>
      <c r="AK73" s="27"/>
    </row>
    <row r="74" spans="2:37" ht="15.75" thickBot="1" x14ac:dyDescent="0.3">
      <c r="B74" s="666"/>
      <c r="C74" s="9" t="s">
        <v>480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8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8"/>
    </row>
    <row r="75" spans="2:37" x14ac:dyDescent="0.25">
      <c r="B75" s="667" t="s">
        <v>292</v>
      </c>
      <c r="C75" s="47">
        <v>3</v>
      </c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25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25"/>
    </row>
    <row r="76" spans="2:37" x14ac:dyDescent="0.25">
      <c r="B76" s="665"/>
      <c r="C76" s="48">
        <v>6</v>
      </c>
      <c r="T76" s="27"/>
      <c r="AK76" s="27"/>
    </row>
    <row r="77" spans="2:37" x14ac:dyDescent="0.25">
      <c r="B77" s="665"/>
      <c r="C77" s="48">
        <v>17</v>
      </c>
      <c r="T77" s="27"/>
      <c r="AK77" s="27"/>
    </row>
    <row r="78" spans="2:37" x14ac:dyDescent="0.25">
      <c r="B78" s="665"/>
      <c r="C78" s="48">
        <v>8</v>
      </c>
      <c r="D78" cm="1">
        <f t="array" ref="D78">_xlfn.XLOOKUP(1,('PCR Plates'!$B$3:$B$182='PCR Results'!D$2)*('PCR Plates'!$C$3:$C$182='PCR Results'!$C78),'PCR Plates'!$G$3:$G$182)</f>
        <v>1.1930486496245594E-2</v>
      </c>
      <c r="E78" cm="1">
        <f t="array" ref="E78">_xlfn.XLOOKUP(1,('PCR Plates'!$B$3:$B$182='PCR Results'!E$2)*('PCR Plates'!$C$3:$C$182='PCR Results'!$C78),'PCR Plates'!$G$3:$G$182)</f>
        <v>4.0278821739145874E-4</v>
      </c>
      <c r="F78" cm="1">
        <f t="array" ref="F78">_xlfn.XLOOKUP(1,('PCR Plates'!$B$3:$B$182='PCR Results'!F$2)*('PCR Plates'!$C$3:$C$182='PCR Results'!$C78),'PCR Plates'!$G$3:$G$182)</f>
        <v>1.855474344824283</v>
      </c>
      <c r="G78" cm="1">
        <f t="array" ref="G78">_xlfn.XLOOKUP(1,('PCR Plates'!$B$3:$B$182='PCR Results'!G$2)*('PCR Plates'!$C$3:$C$182='PCR Results'!$C78),'PCR Plates'!$G$3:$G$182)</f>
        <v>1.6309596491374668E-3</v>
      </c>
      <c r="H78" cm="1">
        <f t="array" ref="H78">_xlfn.XLOOKUP(1,('PCR Plates'!$B$3:$B$182='PCR Results'!H$2)*('PCR Plates'!$C$3:$C$182='PCR Results'!$C78),'PCR Plates'!$G$3:$G$182)</f>
        <v>0.28079173004422331</v>
      </c>
      <c r="I78" cm="1">
        <f t="array" ref="I78">_xlfn.XLOOKUP(1,('PCR Plates'!$B$3:$B$182='PCR Results'!I$2)*('PCR Plates'!$C$3:$C$182='PCR Results'!$C78),'PCR Plates'!$G$3:$G$182)</f>
        <v>6.5611045073018452</v>
      </c>
      <c r="J78" cm="1">
        <f t="array" ref="J78">_xlfn.XLOOKUP(1,('PCR Plates'!$B$3:$B$182='PCR Results'!J$2)*('PCR Plates'!$C$3:$C$182='PCR Results'!$C78),'PCR Plates'!$G$3:$G$182)</f>
        <v>0.36302049168102318</v>
      </c>
      <c r="K78" cm="1">
        <f t="array" ref="K78">_xlfn.XLOOKUP(1,('PCR Plates'!$B$3:$B$182='PCR Results'!K$2)*('PCR Plates'!$C$3:$C$182='PCR Results'!$C78),'PCR Plates'!$G$3:$G$182)</f>
        <v>1.1903279288750187E-4</v>
      </c>
      <c r="L78" cm="1">
        <f t="array" ref="L78">_xlfn.XLOOKUP(1,('PCR Plates'!$B$3:$B$182='PCR Results'!L$2)*('PCR Plates'!$C$3:$C$182='PCR Results'!$C78),'PCR Plates'!$G$3:$G$182)</f>
        <v>3.4713982190971054E-4</v>
      </c>
      <c r="M78" cm="1">
        <f t="array" ref="M78">_xlfn.XLOOKUP(1,('PCR Plates'!$B$3:$B$182='PCR Results'!M$2)*('PCR Plates'!$C$3:$C$182='PCR Results'!$C78),'PCR Plates'!$G$3:$G$182)</f>
        <v>5.491171920995605E-2</v>
      </c>
      <c r="N78" cm="1">
        <f t="array" ref="N78">_xlfn.XLOOKUP(1,('PCR Plates'!$B$3:$B$182='PCR Results'!N$2)*('PCR Plates'!$C$3:$C$182='PCR Results'!$C78),'PCR Plates'!$G$3:$G$182)</f>
        <v>0.20899716833382131</v>
      </c>
      <c r="O78" cm="1">
        <f t="array" ref="O78">_xlfn.XLOOKUP(1,('PCR Plates'!$B$3:$B$182='PCR Results'!O$2)*('PCR Plates'!$C$3:$C$182='PCR Results'!$C78),'PCR Plates'!$G$3:$G$182)</f>
        <v>1.8480179152357723E-2</v>
      </c>
      <c r="P78" cm="1">
        <f t="array" ref="P78">_xlfn.XLOOKUP(1,('PCR Plates'!$B$3:$B$182='PCR Results'!P$2)*('PCR Plates'!$C$3:$C$182='PCR Results'!$C78),'PCR Plates'!$G$3:$G$182)</f>
        <v>4.2700056326461174E-4</v>
      </c>
      <c r="Q78" cm="1">
        <f t="array" ref="Q78">_xlfn.XLOOKUP(1,('PCR Plates'!$B$3:$B$182='PCR Results'!Q$2)*('PCR Plates'!$C$3:$C$182='PCR Results'!$C78),'PCR Plates'!$G$3:$G$182)</f>
        <v>4.8082137565496832E-4</v>
      </c>
      <c r="R78" cm="1">
        <f t="array" ref="R78">_xlfn.XLOOKUP(1,('PCR Plates'!$B$3:$B$182='PCR Results'!R$2)*('PCR Plates'!$C$3:$C$182='PCR Results'!$C78),'PCR Plates'!$G$3:$G$182)</f>
        <v>2.3616230967535082E-3</v>
      </c>
      <c r="S78" cm="1">
        <f t="array" ref="S78">_xlfn.XLOOKUP(1,('PCR Plates'!$B$3:$B$182='PCR Results'!S$2)*('PCR Plates'!$C$3:$C$182='PCR Results'!$C78),'PCR Plates'!$G$3:$G$182)</f>
        <v>6.3525138836848016E-2</v>
      </c>
      <c r="T78" s="27" cm="1">
        <f t="array" ref="T78">_xlfn.XLOOKUP(1,('PCR Plates'!$B$3:$B$182='PCR Results'!T$2)*('PCR Plates'!$C$3:$C$182='PCR Results'!$C78),'PCR Plates'!$G$3:$G$182)</f>
        <v>1.1301975579843966E-3</v>
      </c>
      <c r="U78">
        <f t="shared" ref="U78:AJ78" si="45">LOG(D78/D$58,2)</f>
        <v>-5.1598162437997726</v>
      </c>
      <c r="V78">
        <f t="shared" si="45"/>
        <v>-7.2193720658989342</v>
      </c>
      <c r="W78">
        <f t="shared" si="45"/>
        <v>-2.144439842087154</v>
      </c>
      <c r="X78">
        <f t="shared" si="45"/>
        <v>-0.91472651568445773</v>
      </c>
      <c r="Y78">
        <f t="shared" si="45"/>
        <v>-4.2241690131660974</v>
      </c>
      <c r="Z78">
        <f t="shared" si="45"/>
        <v>9.2004092300244089</v>
      </c>
      <c r="AA78">
        <f t="shared" si="45"/>
        <v>3.1057445851346492</v>
      </c>
      <c r="AB78">
        <f t="shared" si="45"/>
        <v>-3.3458894480107735</v>
      </c>
      <c r="AC78">
        <f t="shared" si="45"/>
        <v>-2.9200200208558678</v>
      </c>
      <c r="AD78">
        <f t="shared" si="45"/>
        <v>-2.5544600075490966</v>
      </c>
      <c r="AE78">
        <f t="shared" si="45"/>
        <v>-4.8517025651203198</v>
      </c>
      <c r="AF78">
        <f t="shared" si="45"/>
        <v>-1.3769518561775378</v>
      </c>
      <c r="AG78">
        <f t="shared" si="45"/>
        <v>2.8240854874412018</v>
      </c>
      <c r="AH78">
        <f t="shared" si="45"/>
        <v>-2.354137563643794</v>
      </c>
      <c r="AI78">
        <f t="shared" si="45"/>
        <v>-1.0452229030631159</v>
      </c>
      <c r="AJ78">
        <f t="shared" si="45"/>
        <v>2.8931248573374808</v>
      </c>
      <c r="AK78" s="27">
        <f>LOG(T78/T$58,2)</f>
        <v>-0.9683637036428222</v>
      </c>
    </row>
    <row r="79" spans="2:37" x14ac:dyDescent="0.25">
      <c r="B79" s="665"/>
      <c r="C79" s="48">
        <v>18</v>
      </c>
      <c r="T79" s="27"/>
      <c r="AK79" s="27"/>
    </row>
    <row r="80" spans="2:37" x14ac:dyDescent="0.25">
      <c r="B80" s="665"/>
      <c r="C80" s="48">
        <v>5</v>
      </c>
      <c r="T80" s="27"/>
      <c r="AK80" s="27"/>
    </row>
    <row r="81" spans="2:37" x14ac:dyDescent="0.25">
      <c r="B81" s="665"/>
      <c r="C81" s="48">
        <v>11</v>
      </c>
      <c r="T81" s="27"/>
      <c r="AK81" s="27"/>
    </row>
    <row r="82" spans="2:37" ht="15.75" thickBot="1" x14ac:dyDescent="0.3">
      <c r="B82" s="665"/>
      <c r="C82" s="149">
        <v>13</v>
      </c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1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33"/>
    </row>
    <row r="83" spans="2:37" ht="15.75" thickTop="1" x14ac:dyDescent="0.25">
      <c r="B83" s="665"/>
      <c r="C83" s="48">
        <v>1</v>
      </c>
      <c r="D83" cm="1">
        <f t="array" ref="D83">_xlfn.XLOOKUP(1,('PCR Plates'!$W$3:$W$254='PCR Results'!D$2)*('PCR Plates'!$X$3:$X$254='PCR Results'!$C83),'PCR Plates'!$AB$3:$AB$254)</f>
        <v>0.18201230455440548</v>
      </c>
      <c r="F83" cm="1">
        <f t="array" ref="F83">_xlfn.XLOOKUP(1,('PCR Plates'!$W$3:$W$254='PCR Results'!F$2)*('PCR Plates'!$X$3:$X$254='PCR Results'!$C83),'PCR Plates'!$AB$3:$AB$254)</f>
        <v>20.504124881784918</v>
      </c>
      <c r="H83" cm="1">
        <f t="array" ref="H83">_xlfn.XLOOKUP(1,('PCR Plates'!$W$3:$W$254='PCR Results'!H$2)*('PCR Plates'!$X$3:$X$254='PCR Results'!$C83),'PCR Plates'!$AB$3:$AB$254)</f>
        <v>0.26281521133355629</v>
      </c>
      <c r="I83" cm="1">
        <f t="array" ref="I83">_xlfn.XLOOKUP(1,('PCR Plates'!$W$3:$W$254='PCR Results'!I$2)*('PCR Plates'!$X$3:$X$254='PCR Results'!$C83),'PCR Plates'!$AB$3:$AB$254)</f>
        <v>0.11293030795578848</v>
      </c>
      <c r="J83" cm="1">
        <f t="array" ref="J83">_xlfn.XLOOKUP(1,('PCR Plates'!$W$3:$W$254='PCR Results'!J$2)*('PCR Plates'!$X$3:$X$254='PCR Results'!$C83),'PCR Plates'!$AB$3:$AB$254)</f>
        <v>3.2684465693670832E-2</v>
      </c>
      <c r="M83" cm="1">
        <f t="array" ref="M83">_xlfn.XLOOKUP(1,('PCR Plates'!$W$3:$W$254='PCR Results'!M$2)*('PCR Plates'!$X$3:$X$254='PCR Results'!$C83),'PCR Plates'!$AB$3:$AB$254)</f>
        <v>0.16538401893201943</v>
      </c>
      <c r="N83" cm="1">
        <f t="array" ref="N83">_xlfn.XLOOKUP(1,('PCR Plates'!$W$3:$W$254='PCR Results'!N$2)*('PCR Plates'!$X$3:$X$254='PCR Results'!$C83),'PCR Plates'!$AB$3:$AB$254)</f>
        <v>5.9641498505977539</v>
      </c>
      <c r="O83" cm="1">
        <f t="array" ref="O83">_xlfn.XLOOKUP(1,('PCR Plates'!$W$3:$W$254='PCR Results'!O$2)*('PCR Plates'!$X$3:$X$254='PCR Results'!$C83),'PCR Plates'!$AB$3:$AB$254)</f>
        <v>4.0961910244279962E-2</v>
      </c>
      <c r="Q83" cm="1">
        <f t="array" ref="Q83">_xlfn.XLOOKUP(1,('PCR Plates'!$W$3:$W$254='PCR Results'!Q$2)*('PCR Plates'!$X$3:$X$254='PCR Results'!$C83),'PCR Plates'!$AB$3:$AB$254)</f>
        <v>2.1924417095510268E-2</v>
      </c>
      <c r="S83" cm="1">
        <f t="array" ref="S83">_xlfn.XLOOKUP(1,('PCR Plates'!$W$3:$W$254='PCR Results'!S$2)*('PCR Plates'!$X$3:$X$254='PCR Results'!$C83),'PCR Plates'!$AB$3:$AB$254)</f>
        <v>9.2036304996682014E-2</v>
      </c>
      <c r="T83" s="27" cm="1">
        <f t="array" ref="T83">_xlfn.XLOOKUP(1,('PCR Plates'!$W$3:$W$254='PCR Results'!T$2)*('PCR Plates'!$X$3:$X$254='PCR Results'!$C83),'PCR Plates'!$AB$3:$AB$254)</f>
        <v>0.30319924967666928</v>
      </c>
      <c r="U83">
        <f>LOG(D83/D$58,2)</f>
        <v>-1.2285050386947423</v>
      </c>
      <c r="W83">
        <f t="shared" ref="W83:W88" si="46">LOG(F83/F$58,2)</f>
        <v>1.3216143700096765</v>
      </c>
      <c r="Y83">
        <f t="shared" ref="Y83:AA84" si="47">LOG(H83/H$58,2)</f>
        <v>-4.3196206797701979</v>
      </c>
      <c r="Z83">
        <f t="shared" si="47"/>
        <v>3.3399751591451139</v>
      </c>
      <c r="AA83">
        <f t="shared" si="47"/>
        <v>-0.36762938408394319</v>
      </c>
      <c r="AD83">
        <f>LOG(M83/M$58,2)</f>
        <v>-0.96382615990352938</v>
      </c>
      <c r="AE83">
        <f>LOG(N83/N$58,2)</f>
        <v>-1.6941359736048524E-2</v>
      </c>
      <c r="AF83">
        <f>LOG(O83/O$58,2)</f>
        <v>-0.22864760243182725</v>
      </c>
      <c r="AH83">
        <f>LOG(Q83/Q$58,2)</f>
        <v>3.1567560776716195</v>
      </c>
      <c r="AJ83">
        <f>LOG(S83/S$58,2)</f>
        <v>3.4280002984904541</v>
      </c>
      <c r="AK83" s="27">
        <f>LOG(T83/T$58,2)</f>
        <v>7.0991836923498441</v>
      </c>
    </row>
    <row r="84" spans="2:37" x14ac:dyDescent="0.25">
      <c r="B84" s="665"/>
      <c r="C84" s="48">
        <v>2</v>
      </c>
      <c r="D84" cm="1">
        <f t="array" ref="D84">_xlfn.XLOOKUP(1,('PCR Plates'!$W$3:$W$254='PCR Results'!D$2)*('PCR Plates'!$X$3:$X$254='PCR Results'!$C84),'PCR Plates'!$AB$3:$AB$254)</f>
        <v>1.2154366368916643</v>
      </c>
      <c r="F84" cm="1">
        <f t="array" ref="F84">_xlfn.XLOOKUP(1,('PCR Plates'!$W$3:$W$254='PCR Results'!F$2)*('PCR Plates'!$X$3:$X$254='PCR Results'!$C84),'PCR Plates'!$AB$3:$AB$254)</f>
        <v>147.27576465653522</v>
      </c>
      <c r="H84" cm="1">
        <f t="array" ref="H84">_xlfn.XLOOKUP(1,('PCR Plates'!$W$3:$W$254='PCR Results'!H$2)*('PCR Plates'!$X$3:$X$254='PCR Results'!$C84),'PCR Plates'!$AB$3:$AB$254)</f>
        <v>1.2202550187561003</v>
      </c>
      <c r="I84" cm="1">
        <f t="array" ref="I84">_xlfn.XLOOKUP(1,('PCR Plates'!$W$3:$W$254='PCR Results'!I$2)*('PCR Plates'!$X$3:$X$254='PCR Results'!$C84),'PCR Plates'!$AB$3:$AB$254)</f>
        <v>1.1790367240057225</v>
      </c>
      <c r="J84" cm="1">
        <f t="array" ref="J84">_xlfn.XLOOKUP(1,('PCR Plates'!$W$3:$W$254='PCR Results'!J$2)*('PCR Plates'!$X$3:$X$254='PCR Results'!$C84),'PCR Plates'!$AB$3:$AB$254)</f>
        <v>0.12919024943938542</v>
      </c>
      <c r="N84" cm="1">
        <f t="array" ref="N84">_xlfn.XLOOKUP(1,('PCR Plates'!$W$3:$W$254='PCR Results'!N$2)*('PCR Plates'!$X$3:$X$254='PCR Results'!$C84),'PCR Plates'!$AB$3:$AB$254)</f>
        <v>63.332837061571283</v>
      </c>
      <c r="O84" cm="1">
        <f t="array" ref="O84">_xlfn.XLOOKUP(1,('PCR Plates'!$W$3:$W$254='PCR Results'!O$2)*('PCR Plates'!$X$3:$X$254='PCR Results'!$C84),'PCR Plates'!$AB$3:$AB$254)</f>
        <v>0.10966101792218481</v>
      </c>
      <c r="S84" cm="1">
        <f t="array" ref="S84">_xlfn.XLOOKUP(1,('PCR Plates'!$W$3:$W$254='PCR Results'!S$2)*('PCR Plates'!$X$3:$X$254='PCR Results'!$C84),'PCR Plates'!$AB$3:$AB$254)</f>
        <v>0.87726700537380609</v>
      </c>
      <c r="T84" s="27"/>
      <c r="U84">
        <f>LOG(D84/D$58,2)</f>
        <v>1.5108617569346088</v>
      </c>
      <c r="W84">
        <f t="shared" si="46"/>
        <v>4.1661483377947635</v>
      </c>
      <c r="Y84">
        <f t="shared" si="47"/>
        <v>-2.1045586785252746</v>
      </c>
      <c r="Z84">
        <f t="shared" si="47"/>
        <v>6.7240791843529912</v>
      </c>
      <c r="AA84">
        <f t="shared" si="47"/>
        <v>1.6151907853144538</v>
      </c>
      <c r="AE84">
        <f>LOG(N84/N$58,2)</f>
        <v>3.3916239369467447</v>
      </c>
      <c r="AF84">
        <f>LOG(O84/O$58,2)</f>
        <v>1.192048266517356</v>
      </c>
      <c r="AJ84">
        <f>LOG(S84/S$58,2)</f>
        <v>6.6807413376790175</v>
      </c>
      <c r="AK84" s="27"/>
    </row>
    <row r="85" spans="2:37" x14ac:dyDescent="0.25">
      <c r="B85" s="665"/>
      <c r="C85" s="48">
        <v>3</v>
      </c>
      <c r="F85" cm="1">
        <f t="array" ref="F85">_xlfn.XLOOKUP(1,('PCR Plates'!$AD$3:$AD$254='PCR Results'!F$2)*('PCR Plates'!$AE$3:$AE$254='PCR Results'!$C85),'PCR Plates'!$AI$3:$AI$254)</f>
        <v>1.0251579181099837E-2</v>
      </c>
      <c r="N85" cm="1">
        <f t="array" ref="N85">_xlfn.XLOOKUP(1,('PCR Plates'!$AD$3:$AD$254='PCR Results'!N$2)*('PCR Plates'!$AE$3:$AE$254='PCR Results'!$C85),'PCR Plates'!$AI$3:$AI$254)</f>
        <v>2.4426550852093298E-3</v>
      </c>
      <c r="T85" s="27"/>
      <c r="W85">
        <f t="shared" si="46"/>
        <v>-9.644237921742981</v>
      </c>
      <c r="AE85">
        <f>LOG(N85/N$58,2)</f>
        <v>-11.2705919880874</v>
      </c>
      <c r="AK85" s="27"/>
    </row>
    <row r="86" spans="2:37" x14ac:dyDescent="0.25">
      <c r="B86" s="665"/>
      <c r="C86" s="48">
        <v>4</v>
      </c>
      <c r="D86" cm="1">
        <f t="array" ref="D86">_xlfn.XLOOKUP(1,('PCR Plates'!$W$3:$W$254='PCR Results'!D$2)*('PCR Plates'!$X$3:$X$254='PCR Results'!$C86),'PCR Plates'!$AB$3:$AB$254)</f>
        <v>2.5565101354609529E-3</v>
      </c>
      <c r="E86" cm="1">
        <f t="array" ref="E86">_xlfn.XLOOKUP(1,('PCR Plates'!$W$3:$W$254='PCR Results'!E$2)*('PCR Plates'!$X$3:$X$254='PCR Results'!$C86),'PCR Plates'!$AB$3:$AB$254)</f>
        <v>5.4255864395173227E-4</v>
      </c>
      <c r="F86" cm="1">
        <f t="array" ref="F86">_xlfn.XLOOKUP(1,('PCR Plates'!$W$3:$W$254='PCR Results'!F$2)*('PCR Plates'!$X$3:$X$254='PCR Results'!$C86),'PCR Plates'!$AB$3:$AB$254)</f>
        <v>0.54181143817698074</v>
      </c>
      <c r="G86" cm="1">
        <f t="array" ref="G86">_xlfn.XLOOKUP(1,('PCR Plates'!$W$3:$W$254='PCR Results'!G$2)*('PCR Plates'!$X$3:$X$254='PCR Results'!$C86),'PCR Plates'!$AB$3:$AB$254)</f>
        <v>2.6441249938482948E-3</v>
      </c>
      <c r="H86" cm="1">
        <f t="array" ref="H86">_xlfn.XLOOKUP(1,('PCR Plates'!$W$3:$W$254='PCR Results'!H$2)*('PCR Plates'!$X$3:$X$254='PCR Results'!$C86),'PCR Plates'!$AB$3:$AB$254)</f>
        <v>0.42007822620759444</v>
      </c>
      <c r="I86" cm="1">
        <f t="array" ref="I86">_xlfn.XLOOKUP(1,('PCR Plates'!$W$3:$W$254='PCR Results'!I$2)*('PCR Plates'!$X$3:$X$254='PCR Results'!$C86),'PCR Plates'!$AB$3:$AB$254)</f>
        <v>1.4641704666237421</v>
      </c>
      <c r="J86" cm="1">
        <f t="array" ref="J86">_xlfn.XLOOKUP(1,('PCR Plates'!$W$3:$W$254='PCR Results'!J$2)*('PCR Plates'!$X$3:$X$254='PCR Results'!$C86),'PCR Plates'!$AB$3:$AB$254)</f>
        <v>0.2815993364613103</v>
      </c>
      <c r="K86" cm="1">
        <f t="array" ref="K86">_xlfn.XLOOKUP(1,('PCR Plates'!$W$3:$W$254='PCR Results'!K$2)*('PCR Plates'!$X$3:$X$254='PCR Results'!$C86),'PCR Plates'!$AB$3:$AB$254)</f>
        <v>2.6319146103940844E-4</v>
      </c>
      <c r="L86" cm="1">
        <f t="array" ref="L86">_xlfn.XLOOKUP(1,('PCR Plates'!$W$3:$W$254='PCR Results'!L$2)*('PCR Plates'!$X$3:$X$254='PCR Results'!$C86),'PCR Plates'!$AB$3:$AB$254)</f>
        <v>1.8326545660406562E-4</v>
      </c>
      <c r="M86" cm="1">
        <f t="array" ref="M86">_xlfn.XLOOKUP(1,('PCR Plates'!$W$3:$W$254='PCR Results'!M$2)*('PCR Plates'!$X$3:$X$254='PCR Results'!$C86),'PCR Plates'!$AB$3:$AB$254)</f>
        <v>2.6024089100408147E-2</v>
      </c>
      <c r="N86" cm="1">
        <f t="array" ref="N86">_xlfn.XLOOKUP(1,('PCR Plates'!$W$3:$W$254='PCR Results'!N$2)*('PCR Plates'!$X$3:$X$254='PCR Results'!$C86),'PCR Plates'!$AB$3:$AB$254)</f>
        <v>0.64121606812689369</v>
      </c>
      <c r="O86" cm="1">
        <f t="array" ref="O86">_xlfn.XLOOKUP(1,('PCR Plates'!$W$3:$W$254='PCR Results'!O$2)*('PCR Plates'!$X$3:$X$254='PCR Results'!$C86),'PCR Plates'!$AB$3:$AB$254)</f>
        <v>1.8294936009932074E-2</v>
      </c>
      <c r="P86" cm="1">
        <f t="array" ref="P86">_xlfn.XLOOKUP(1,('PCR Plates'!$W$3:$W$254='PCR Results'!P$2)*('PCR Plates'!$X$3:$X$254='PCR Results'!$C86),'PCR Plates'!$AB$3:$AB$254)</f>
        <v>1.2128868187530274E-4</v>
      </c>
      <c r="Q86" cm="1">
        <f t="array" ref="Q86">_xlfn.XLOOKUP(1,('PCR Plates'!$W$3:$W$254='PCR Results'!Q$2)*('PCR Plates'!$X$3:$X$254='PCR Results'!$C86),'PCR Plates'!$AB$3:$AB$254)</f>
        <v>7.3080190983887874E-3</v>
      </c>
      <c r="R86" cm="1">
        <f t="array" ref="R86">_xlfn.XLOOKUP(1,('PCR Plates'!$W$3:$W$254='PCR Results'!R$2)*('PCR Plates'!$X$3:$X$254='PCR Results'!$C86),'PCR Plates'!$AB$3:$AB$254)</f>
        <v>2.3791108607633775E-3</v>
      </c>
      <c r="S86" cm="1">
        <f t="array" ref="S86">_xlfn.XLOOKUP(1,('PCR Plates'!$W$3:$W$254='PCR Results'!S$2)*('PCR Plates'!$X$3:$X$254='PCR Results'!$C86),'PCR Plates'!$AB$3:$AB$254)</f>
        <v>3.2848365282426774E-2</v>
      </c>
      <c r="T86" s="27" cm="1">
        <f t="array" ref="T86">_xlfn.XLOOKUP(1,('PCR Plates'!$W$3:$W$254='PCR Results'!T$2)*('PCR Plates'!$X$3:$X$254='PCR Results'!$C86),'PCR Plates'!$AB$3:$AB$254)</f>
        <v>4.3464379077080657E-3</v>
      </c>
      <c r="U86">
        <f>LOG(D86/D$58,2)</f>
        <v>-7.3822214668171728</v>
      </c>
      <c r="V86">
        <f>LOG(E86/E$58,2)</f>
        <v>-6.7896144635895359</v>
      </c>
      <c r="W86">
        <f t="shared" si="46"/>
        <v>-3.9203651397824535</v>
      </c>
      <c r="X86">
        <f t="shared" ref="X86:AD86" si="48">LOG(G86/G$58,2)</f>
        <v>-0.217657227127351</v>
      </c>
      <c r="Y86">
        <f t="shared" si="48"/>
        <v>-3.643011449810194</v>
      </c>
      <c r="Z86">
        <f t="shared" si="48"/>
        <v>7.0365540587807391</v>
      </c>
      <c r="AA86">
        <f t="shared" si="48"/>
        <v>2.7393375322868567</v>
      </c>
      <c r="AB86">
        <f t="shared" si="48"/>
        <v>-2.2011358477835827</v>
      </c>
      <c r="AC86">
        <f t="shared" si="48"/>
        <v>-3.8416020129463093</v>
      </c>
      <c r="AD86">
        <f t="shared" si="48"/>
        <v>-3.6317264213727891</v>
      </c>
      <c r="AE86">
        <f>LOG(N86/N$58,2)</f>
        <v>-3.2343753825347155</v>
      </c>
      <c r="AF86">
        <f t="shared" ref="AF86:AK86" si="49">LOG(O86/O$58,2)</f>
        <v>-1.3914862293328634</v>
      </c>
      <c r="AG86">
        <f t="shared" si="49"/>
        <v>1.0082924453105289</v>
      </c>
      <c r="AH86">
        <f t="shared" si="49"/>
        <v>1.5717699007711168</v>
      </c>
      <c r="AI86">
        <f t="shared" si="49"/>
        <v>-1.0345791398496957</v>
      </c>
      <c r="AJ86">
        <f t="shared" si="49"/>
        <v>1.9416188097801819</v>
      </c>
      <c r="AK86" s="27">
        <f t="shared" si="49"/>
        <v>0.97489485400525999</v>
      </c>
    </row>
    <row r="87" spans="2:37" x14ac:dyDescent="0.25">
      <c r="B87" s="665"/>
      <c r="C87" s="48">
        <v>5</v>
      </c>
      <c r="D87" cm="1">
        <f t="array" ref="D87">_xlfn.XLOOKUP(1,('PCR Plates'!$W$3:$W$254='PCR Results'!D$2)*('PCR Plates'!$X$3:$X$254='PCR Results'!$C87),'PCR Plates'!$AB$3:$AB$254)</f>
        <v>0.1238782883686267</v>
      </c>
      <c r="F87" cm="1">
        <f t="array" ref="F87">_xlfn.XLOOKUP(1,('PCR Plates'!$W$3:$W$254='PCR Results'!F$2)*('PCR Plates'!$X$3:$X$254='PCR Results'!$C87),'PCR Plates'!$AB$3:$AB$254)</f>
        <v>28.189134716205512</v>
      </c>
      <c r="H87" cm="1">
        <f t="array" ref="H87">_xlfn.XLOOKUP(1,('PCR Plates'!$W$3:$W$254='PCR Results'!H$2)*('PCR Plates'!$X$3:$X$254='PCR Results'!$C87),'PCR Plates'!$AB$3:$AB$254)</f>
        <v>1.6345674278777238</v>
      </c>
      <c r="I87" cm="1">
        <f t="array" ref="I87">_xlfn.XLOOKUP(1,('PCR Plates'!$W$3:$W$254='PCR Results'!I$2)*('PCR Plates'!$X$3:$X$254='PCR Results'!$C87),'PCR Plates'!$AB$3:$AB$254)</f>
        <v>1.0850025672775809</v>
      </c>
      <c r="J87" cm="1">
        <f t="array" ref="J87">_xlfn.XLOOKUP(1,('PCR Plates'!$W$3:$W$254='PCR Results'!J$2)*('PCR Plates'!$X$3:$X$254='PCR Results'!$C87),'PCR Plates'!$AB$3:$AB$254)</f>
        <v>0.14542422243309913</v>
      </c>
      <c r="M87" cm="1">
        <f t="array" ref="M87">_xlfn.XLOOKUP(1,('PCR Plates'!$W$3:$W$254='PCR Results'!M$2)*('PCR Plates'!$X$3:$X$254='PCR Results'!$C87),'PCR Plates'!$AB$3:$AB$254)</f>
        <v>9.5741945621848502E-3</v>
      </c>
      <c r="N87" cm="1">
        <f t="array" ref="N87">_xlfn.XLOOKUP(1,('PCR Plates'!$W$3:$W$254='PCR Results'!N$2)*('PCR Plates'!$X$3:$X$254='PCR Results'!$C87),'PCR Plates'!$AB$3:$AB$254)</f>
        <v>9.2994303467995554</v>
      </c>
      <c r="O87" cm="1">
        <f t="array" ref="O87">_xlfn.XLOOKUP(1,('PCR Plates'!$W$3:$W$254='PCR Results'!O$2)*('PCR Plates'!$X$3:$X$254='PCR Results'!$C87),'PCR Plates'!$AB$3:$AB$254)</f>
        <v>8.2390135449394164E-2</v>
      </c>
      <c r="P87" cm="1">
        <f t="array" ref="P87">_xlfn.XLOOKUP(1,('PCR Plates'!$W$3:$W$254='PCR Results'!P$2)*('PCR Plates'!$X$3:$X$254='PCR Results'!$C87),'PCR Plates'!$AB$3:$AB$254)</f>
        <v>3.1152994073303054E-4</v>
      </c>
      <c r="S87" cm="1">
        <f t="array" ref="S87">_xlfn.XLOOKUP(1,('PCR Plates'!$W$3:$W$254='PCR Results'!S$2)*('PCR Plates'!$X$3:$X$254='PCR Results'!$C87),'PCR Plates'!$AB$3:$AB$254)</f>
        <v>0.21684299471972246</v>
      </c>
      <c r="T87" s="27"/>
      <c r="U87">
        <f>LOG(D87/D$58,2)</f>
        <v>-1.7836176682561644</v>
      </c>
      <c r="W87">
        <f t="shared" si="46"/>
        <v>1.7808393935341797</v>
      </c>
      <c r="Y87">
        <f t="shared" ref="Y87:AA88" si="50">LOG(H87/H$58,2)</f>
        <v>-1.6828324726500723</v>
      </c>
      <c r="Z87">
        <f t="shared" si="50"/>
        <v>6.6041689853464263</v>
      </c>
      <c r="AA87">
        <f t="shared" si="50"/>
        <v>1.785961188020555</v>
      </c>
      <c r="AD87">
        <f>LOG(M87/M$58,2)</f>
        <v>-5.0743510590999596</v>
      </c>
      <c r="AE87">
        <f>LOG(N87/N$58,2)</f>
        <v>0.62388447822009274</v>
      </c>
      <c r="AF87">
        <f>LOG(O87/O$58,2)</f>
        <v>0.77954101531228337</v>
      </c>
      <c r="AG87">
        <f>LOG(P87/P$58,2)</f>
        <v>2.3692183399439033</v>
      </c>
      <c r="AJ87">
        <f>LOG(S87/S$58,2)</f>
        <v>4.6643761654496618</v>
      </c>
      <c r="AK87" s="27"/>
    </row>
    <row r="88" spans="2:37" ht="15.75" thickBot="1" x14ac:dyDescent="0.3">
      <c r="B88" s="665"/>
      <c r="C88" s="31">
        <v>6</v>
      </c>
      <c r="D88" s="84" cm="1">
        <f t="array" ref="D88">_xlfn.XLOOKUP(1,('PCR Plates'!$W$3:$W$254='PCR Results'!D$2)*('PCR Plates'!$X$3:$X$254='PCR Results'!$C88),'PCR Plates'!$AB$3:$AB$254)</f>
        <v>1.250982040168395E-3</v>
      </c>
      <c r="E88" s="84" cm="1">
        <f t="array" ref="E88">_xlfn.XLOOKUP(1,('PCR Plates'!$W$3:$W$254='PCR Results'!E$2)*('PCR Plates'!$X$3:$X$254='PCR Results'!$C88),'PCR Plates'!$AB$3:$AB$254)</f>
        <v>6.9779789135953035E-4</v>
      </c>
      <c r="F88" s="84" cm="1">
        <f t="array" ref="F88">_xlfn.XLOOKUP(1,('PCR Plates'!$W$3:$W$254='PCR Results'!F$2)*('PCR Plates'!$X$3:$X$254='PCR Results'!$C88),'PCR Plates'!$AB$3:$AB$254)</f>
        <v>0.94170568115013831</v>
      </c>
      <c r="G88" s="84" cm="1">
        <f t="array" ref="G88">_xlfn.XLOOKUP(1,('PCR Plates'!$W$3:$W$254='PCR Results'!G$2)*('PCR Plates'!$X$3:$X$254='PCR Results'!$C88),'PCR Plates'!$AB$3:$AB$254)</f>
        <v>1.3968891096346248E-2</v>
      </c>
      <c r="H88" s="84" cm="1">
        <f t="array" ref="H88">_xlfn.XLOOKUP(1,('PCR Plates'!$W$3:$W$254='PCR Results'!H$2)*('PCR Plates'!$X$3:$X$254='PCR Results'!$C88),'PCR Plates'!$AB$3:$AB$254)</f>
        <v>0.31463489310599674</v>
      </c>
      <c r="I88" s="84" cm="1">
        <f t="array" ref="I88">_xlfn.XLOOKUP(1,('PCR Plates'!$W$3:$W$254='PCR Results'!I$2)*('PCR Plates'!$X$3:$X$254='PCR Results'!$C88),'PCR Plates'!$AB$3:$AB$254)</f>
        <v>0.56594156181416078</v>
      </c>
      <c r="J88" s="84" cm="1">
        <f t="array" ref="J88">_xlfn.XLOOKUP(1,('PCR Plates'!$W$3:$W$254='PCR Results'!J$2)*('PCR Plates'!$X$3:$X$254='PCR Results'!$C88),'PCR Plates'!$AB$3:$AB$254)</f>
        <v>0.15214095862967142</v>
      </c>
      <c r="K88" s="84" cm="1">
        <f t="array" ref="K88">_xlfn.XLOOKUP(1,('PCR Plates'!$W$3:$W$254='PCR Results'!K$2)*('PCR Plates'!$X$3:$X$254='PCR Results'!$C88),'PCR Plates'!$AB$3:$AB$254)</f>
        <v>1.8632597697657618E-4</v>
      </c>
      <c r="L88" s="84" cm="1">
        <f t="array" ref="L88">_xlfn.XLOOKUP(1,('PCR Plates'!$W$3:$W$254='PCR Results'!L$2)*('PCR Plates'!$X$3:$X$254='PCR Results'!$C88),'PCR Plates'!$AB$3:$AB$254)</f>
        <v>6.2030897698073687E-5</v>
      </c>
      <c r="M88" s="84" cm="1">
        <f t="array" ref="M88">_xlfn.XLOOKUP(1,('PCR Plates'!$W$3:$W$254='PCR Results'!M$2)*('PCR Plates'!$X$3:$X$254='PCR Results'!$C88),'PCR Plates'!$AB$3:$AB$254)</f>
        <v>6.5158655904448984E-2</v>
      </c>
      <c r="N88" s="84" cm="1">
        <f t="array" ref="N88">_xlfn.XLOOKUP(1,('PCR Plates'!$W$3:$W$254='PCR Results'!N$2)*('PCR Plates'!$X$3:$X$254='PCR Results'!$C88),'PCR Plates'!$AB$3:$AB$254)</f>
        <v>0.37893826917628037</v>
      </c>
      <c r="O88" s="84" cm="1">
        <f t="array" ref="O88">_xlfn.XLOOKUP(1,('PCR Plates'!$W$3:$W$254='PCR Results'!O$2)*('PCR Plates'!$X$3:$X$254='PCR Results'!$C88),'PCR Plates'!$AB$3:$AB$254)</f>
        <v>9.5180444302199398E-4</v>
      </c>
      <c r="P88" s="84"/>
      <c r="Q88" s="84" cm="1">
        <f t="array" ref="Q88">_xlfn.XLOOKUP(1,('PCR Plates'!$W$3:$W$254='PCR Results'!Q$2)*('PCR Plates'!$X$3:$X$254='PCR Results'!$C88),'PCR Plates'!$AB$3:$AB$254)</f>
        <v>1.8839670620146385E-3</v>
      </c>
      <c r="R88" s="84" cm="1">
        <f t="array" ref="R88">_xlfn.XLOOKUP(1,('PCR Plates'!$W$3:$W$254='PCR Results'!R$2)*('PCR Plates'!$X$3:$X$254='PCR Results'!$C88),'PCR Plates'!$AB$3:$AB$254)</f>
        <v>1.6552209723936693E-3</v>
      </c>
      <c r="S88" s="84" cm="1">
        <f t="array" ref="S88">_xlfn.XLOOKUP(1,('PCR Plates'!$W$3:$W$254='PCR Results'!S$2)*('PCR Plates'!$X$3:$X$254='PCR Results'!$C88),'PCR Plates'!$AB$3:$AB$254)</f>
        <v>3.5393868246514325E-2</v>
      </c>
      <c r="T88" s="33" cm="1">
        <f t="array" ref="T88">_xlfn.XLOOKUP(1,('PCR Plates'!$W$3:$W$254='PCR Results'!T$2)*('PCR Plates'!$X$3:$X$254='PCR Results'!$C88),'PCR Plates'!$AB$3:$AB$254)</f>
        <v>3.1720339630135854E-4</v>
      </c>
      <c r="U88">
        <f>LOG(D88/D$58,2)</f>
        <v>-8.4133361350409039</v>
      </c>
      <c r="V88">
        <f>LOG(E88/E$58,2)</f>
        <v>-6.4265843093276356</v>
      </c>
      <c r="W88">
        <f t="shared" si="46"/>
        <v>-3.1228797571663169</v>
      </c>
      <c r="X88">
        <f>LOG(G88/G$58,2)</f>
        <v>2.1836979884800796</v>
      </c>
      <c r="Y88">
        <f t="shared" si="50"/>
        <v>-4.0599907838326406</v>
      </c>
      <c r="Z88">
        <f t="shared" si="50"/>
        <v>5.6651955246077907</v>
      </c>
      <c r="AA88">
        <f t="shared" si="50"/>
        <v>1.8511021982738902</v>
      </c>
      <c r="AB88">
        <f>LOG(K88/K$58,2)</f>
        <v>-2.69941970667786</v>
      </c>
      <c r="AC88">
        <f>LOG(L88/L$58,2)</f>
        <v>-5.4044779847489188</v>
      </c>
      <c r="AD88">
        <f>LOG(M88/M$58,2)</f>
        <v>-2.3076172441289442</v>
      </c>
      <c r="AE88">
        <f>LOG(N88/N$58,2)</f>
        <v>-3.9932231149957969</v>
      </c>
      <c r="AF88">
        <f>LOG(O88/O$58,2)</f>
        <v>-5.6561215996763634</v>
      </c>
      <c r="AH88">
        <f>LOG(Q88/Q$58,2)</f>
        <v>-0.38393676137919291</v>
      </c>
      <c r="AI88">
        <f>LOG(R88/R$58,2)</f>
        <v>-1.557977809228237</v>
      </c>
      <c r="AJ88">
        <f>LOG(S88/S$58,2)</f>
        <v>2.0492966785707609</v>
      </c>
      <c r="AK88" s="27">
        <f>LOG(T88/T$58,2)</f>
        <v>-2.8014585575252933</v>
      </c>
    </row>
    <row r="89" spans="2:37" ht="15.75" thickTop="1" x14ac:dyDescent="0.25">
      <c r="B89" s="665"/>
      <c r="C89" s="512" t="s">
        <v>478</v>
      </c>
      <c r="D89" s="60">
        <f>AVERAGE(D75:D88)</f>
        <v>0.25617753474776189</v>
      </c>
      <c r="E89" s="60">
        <f t="shared" ref="E89:T89" si="51">AVERAGE(E75:E88)</f>
        <v>5.4771491756757382E-4</v>
      </c>
      <c r="F89" s="60">
        <f t="shared" si="51"/>
        <v>28.4740381854083</v>
      </c>
      <c r="G89" s="60">
        <f t="shared" si="51"/>
        <v>6.0813252464440026E-3</v>
      </c>
      <c r="H89" s="60">
        <f t="shared" si="51"/>
        <v>0.68885708455419925</v>
      </c>
      <c r="I89" s="60">
        <f t="shared" si="51"/>
        <v>1.8280310224964731</v>
      </c>
      <c r="J89" s="60">
        <f t="shared" si="51"/>
        <v>0.18400995405636003</v>
      </c>
      <c r="K89" s="60">
        <f t="shared" si="51"/>
        <v>1.8951674363449551E-4</v>
      </c>
      <c r="L89" s="60">
        <f t="shared" si="51"/>
        <v>1.9747872540394994E-4</v>
      </c>
      <c r="M89" s="60">
        <f t="shared" si="51"/>
        <v>6.421053554180349E-2</v>
      </c>
      <c r="N89" s="60">
        <f t="shared" si="51"/>
        <v>11.404001631384398</v>
      </c>
      <c r="O89" s="60">
        <f t="shared" si="51"/>
        <v>4.5123330536861794E-2</v>
      </c>
      <c r="P89" s="60">
        <f t="shared" si="51"/>
        <v>2.8660639529098166E-4</v>
      </c>
      <c r="Q89" s="60">
        <f t="shared" si="51"/>
        <v>7.8993061578921647E-3</v>
      </c>
      <c r="R89" s="60">
        <f t="shared" si="51"/>
        <v>2.1319849766368516E-3</v>
      </c>
      <c r="S89" s="60">
        <f t="shared" si="51"/>
        <v>0.21965227957599995</v>
      </c>
      <c r="T89" s="61">
        <f t="shared" si="51"/>
        <v>7.7248272134665771E-2</v>
      </c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1"/>
    </row>
    <row r="90" spans="2:37" x14ac:dyDescent="0.25">
      <c r="B90" s="665"/>
      <c r="C90" s="48" t="s">
        <v>479</v>
      </c>
      <c r="T90" s="27"/>
      <c r="AK90" s="27"/>
    </row>
    <row r="91" spans="2:37" ht="15.75" thickBot="1" x14ac:dyDescent="0.3">
      <c r="B91" s="666"/>
      <c r="C91" s="9" t="s">
        <v>480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8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8"/>
    </row>
    <row r="92" spans="2:37" x14ac:dyDescent="0.25">
      <c r="B92" s="667" t="s">
        <v>146</v>
      </c>
      <c r="C92" s="208">
        <v>19</v>
      </c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>
        <f>'PCR Plates'!AP59</f>
        <v>5.9130545072504559E-5</v>
      </c>
      <c r="S92" s="50">
        <f>'PCR Plates'!AP67</f>
        <v>3.8360379932732662E-3</v>
      </c>
      <c r="T92" s="25"/>
      <c r="U92" s="71">
        <v>-5.6557897449066914</v>
      </c>
      <c r="V92" s="50">
        <v>-4.9964878625868243</v>
      </c>
      <c r="W92" s="50">
        <v>-4.2208097409017551</v>
      </c>
      <c r="X92" s="50">
        <v>-3.5873523435607</v>
      </c>
      <c r="Y92" s="50">
        <v>-5.8059333083331328</v>
      </c>
      <c r="Z92" s="50"/>
      <c r="AA92" s="50">
        <v>4.9797971237318546</v>
      </c>
      <c r="AB92" s="50">
        <v>2.8948658517651609</v>
      </c>
      <c r="AC92" s="50">
        <v>2.27917405832632</v>
      </c>
      <c r="AD92" s="50">
        <v>-2.6240220909539023</v>
      </c>
      <c r="AE92" s="50">
        <v>0.29284321942684188</v>
      </c>
      <c r="AF92" s="50">
        <v>1.2774282411850046</v>
      </c>
      <c r="AG92" s="50">
        <v>5.3118642948909098</v>
      </c>
      <c r="AH92" s="50">
        <v>1.6203705381982818</v>
      </c>
      <c r="AI92" s="50">
        <v>1.6203705381982818</v>
      </c>
      <c r="AJ92" s="50">
        <v>1.6203705381982818</v>
      </c>
      <c r="AK92" s="25"/>
    </row>
    <row r="93" spans="2:37" x14ac:dyDescent="0.25">
      <c r="B93" s="665"/>
      <c r="C93" s="206">
        <v>20</v>
      </c>
      <c r="R93">
        <f>'PCR Plates'!AP61</f>
        <v>5.8243679258430533E-5</v>
      </c>
      <c r="S93">
        <f>'PCR Plates'!AP69</f>
        <v>2.0486177215459367E-3</v>
      </c>
      <c r="T93" s="27"/>
      <c r="U93" s="72">
        <v>-6.8826023278306323</v>
      </c>
      <c r="V93">
        <v>-3.3681925197286477</v>
      </c>
      <c r="W93">
        <v>-4.8014875058246211</v>
      </c>
      <c r="X93">
        <v>-4.2836073791771936</v>
      </c>
      <c r="Y93">
        <v>-7.1080043646481244</v>
      </c>
      <c r="AA93">
        <v>4.1833760009744543</v>
      </c>
      <c r="AB93">
        <v>3.1788807383178344</v>
      </c>
      <c r="AC93">
        <v>1.5024693508461484</v>
      </c>
      <c r="AD93">
        <v>-2.5884416027811463</v>
      </c>
      <c r="AE93">
        <v>-0.80960916829161722</v>
      </c>
      <c r="AF93">
        <v>0.56315388673996325</v>
      </c>
      <c r="AG93">
        <v>5.6312363405052555</v>
      </c>
      <c r="AH93">
        <v>1.1930396625583064</v>
      </c>
      <c r="AI93">
        <v>1.1930396625583064</v>
      </c>
      <c r="AJ93">
        <v>1.1930396625583064</v>
      </c>
      <c r="AK93" s="27"/>
    </row>
    <row r="94" spans="2:37" x14ac:dyDescent="0.25">
      <c r="B94" s="665"/>
      <c r="C94" s="206">
        <v>29</v>
      </c>
      <c r="T94" s="27"/>
      <c r="U94" s="72"/>
      <c r="AK94" s="27"/>
    </row>
    <row r="95" spans="2:37" x14ac:dyDescent="0.25">
      <c r="B95" s="665"/>
      <c r="C95" s="206">
        <v>30</v>
      </c>
      <c r="R95">
        <f>'PCR Plates'!AP63</f>
        <v>6.8078146984686135E-5</v>
      </c>
      <c r="S95">
        <f>'PCR Plates'!AP71</f>
        <v>7.1309315832146633E-4</v>
      </c>
      <c r="T95" s="27"/>
      <c r="U95" s="72">
        <v>-3.8670472611792142</v>
      </c>
      <c r="V95">
        <v>-3.6913008042578834</v>
      </c>
      <c r="W95">
        <v>-4.4399059971892365</v>
      </c>
      <c r="X95">
        <v>-4.0258221902002287</v>
      </c>
      <c r="Y95">
        <v>-5.7881114699471192</v>
      </c>
      <c r="Z95">
        <v>9.2107882230467997</v>
      </c>
      <c r="AA95">
        <v>6.0540023656731607</v>
      </c>
      <c r="AB95">
        <v>0.79444021099229511</v>
      </c>
      <c r="AC95">
        <v>0.54252746721485523</v>
      </c>
      <c r="AD95">
        <v>-2.4597606378079084</v>
      </c>
      <c r="AE95">
        <v>-0.55818403095014357</v>
      </c>
      <c r="AF95">
        <v>0.29494518470771292</v>
      </c>
      <c r="AG95">
        <v>3.8594907786134018</v>
      </c>
      <c r="AH95">
        <v>-0.57330693384454989</v>
      </c>
      <c r="AI95">
        <v>-0.57330693384454989</v>
      </c>
      <c r="AJ95">
        <v>-0.57330693384454989</v>
      </c>
      <c r="AK95" s="27"/>
    </row>
    <row r="96" spans="2:37" ht="15.75" thickBot="1" x14ac:dyDescent="0.3">
      <c r="B96" s="665"/>
      <c r="C96" s="537">
        <v>37</v>
      </c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>
        <f>'PCR Plates'!AP65</f>
        <v>4.325253915637857E-6</v>
      </c>
      <c r="S96" s="84">
        <f>'PCR Plates'!AP73</f>
        <v>1.6956105499956294E-4</v>
      </c>
      <c r="T96" s="33"/>
      <c r="U96" s="538">
        <v>-5.6478955313953101</v>
      </c>
      <c r="V96" s="84">
        <v>-4.9986593006829176</v>
      </c>
      <c r="W96" s="84">
        <v>-9.5071580118454175</v>
      </c>
      <c r="X96" s="84">
        <v>1.9651602155184793</v>
      </c>
      <c r="Y96" s="84">
        <v>-10.887190017345549</v>
      </c>
      <c r="Z96" s="84">
        <v>-2.3378804923808302E-3</v>
      </c>
      <c r="AA96" s="84">
        <v>5.246883929789643</v>
      </c>
      <c r="AB96" s="84">
        <v>-0.87645357082926478</v>
      </c>
      <c r="AC96" s="84">
        <v>1.4512972666441835</v>
      </c>
      <c r="AD96" s="84">
        <v>-0.82159501396818613</v>
      </c>
      <c r="AE96" s="84">
        <v>1.3201485062222404</v>
      </c>
      <c r="AF96" s="84">
        <v>-3.7893832187154725E-2</v>
      </c>
      <c r="AG96" s="84">
        <v>3.698053300894601</v>
      </c>
      <c r="AH96" s="84">
        <v>0.59257993532003173</v>
      </c>
      <c r="AI96" s="84">
        <v>0.59257993532003173</v>
      </c>
      <c r="AJ96" s="84">
        <v>0.59257993532003173</v>
      </c>
      <c r="AK96" s="33"/>
    </row>
    <row r="97" spans="1:37" ht="15.75" thickTop="1" x14ac:dyDescent="0.25">
      <c r="B97" s="665"/>
      <c r="C97" s="521" t="s">
        <v>478</v>
      </c>
      <c r="D97" s="517"/>
      <c r="E97" s="517"/>
      <c r="F97" s="517"/>
      <c r="G97" s="517"/>
      <c r="H97" s="517"/>
      <c r="I97" s="517"/>
      <c r="J97" s="517"/>
      <c r="K97" s="517"/>
      <c r="L97" s="517"/>
      <c r="M97" s="517"/>
      <c r="N97" s="517"/>
      <c r="O97" s="517"/>
      <c r="P97" s="517"/>
      <c r="Q97" s="517"/>
      <c r="R97" s="517"/>
      <c r="S97" s="517"/>
      <c r="T97" s="518"/>
      <c r="U97" s="539"/>
      <c r="V97" s="517"/>
      <c r="W97" s="517"/>
      <c r="X97" s="517"/>
      <c r="Y97" s="517"/>
      <c r="Z97" s="517"/>
      <c r="AA97" s="517"/>
      <c r="AB97" s="517"/>
      <c r="AC97" s="517"/>
      <c r="AD97" s="517"/>
      <c r="AE97" s="517"/>
      <c r="AF97" s="517"/>
      <c r="AG97" s="517"/>
      <c r="AH97" s="517"/>
      <c r="AI97" s="517"/>
      <c r="AJ97" s="517"/>
      <c r="AK97" s="518"/>
    </row>
    <row r="98" spans="1:37" x14ac:dyDescent="0.25">
      <c r="B98" s="665"/>
      <c r="C98" s="30" t="s">
        <v>479</v>
      </c>
      <c r="T98" s="27"/>
      <c r="U98" s="72"/>
      <c r="AK98" s="27"/>
    </row>
    <row r="99" spans="1:37" ht="15.75" thickBot="1" x14ac:dyDescent="0.3">
      <c r="B99" s="666"/>
      <c r="C99" s="9" t="s">
        <v>480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8"/>
      <c r="U99" s="73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8"/>
    </row>
    <row r="100" spans="1:37" ht="15.75" thickBot="1" x14ac:dyDescent="0.3"/>
    <row r="101" spans="1:37" ht="15.75" thickBot="1" x14ac:dyDescent="0.3">
      <c r="A101" s="654" t="s">
        <v>517</v>
      </c>
      <c r="B101" s="652"/>
      <c r="C101" s="652"/>
      <c r="D101" s="652"/>
      <c r="E101" s="652"/>
      <c r="F101" s="652"/>
      <c r="G101" s="652"/>
      <c r="H101" s="652"/>
      <c r="I101" s="652"/>
      <c r="J101" s="652"/>
      <c r="K101" s="652"/>
      <c r="L101" s="652"/>
      <c r="M101" s="652"/>
      <c r="N101" s="652"/>
      <c r="O101" s="652"/>
      <c r="P101" s="652"/>
      <c r="Q101" s="652"/>
      <c r="R101" s="652"/>
      <c r="S101" s="652"/>
      <c r="T101" s="806"/>
    </row>
    <row r="102" spans="1:37" ht="15.75" thickBot="1" x14ac:dyDescent="0.3">
      <c r="A102" s="542"/>
      <c r="B102" s="50"/>
      <c r="C102" s="25"/>
      <c r="D102" s="52" t="s">
        <v>454</v>
      </c>
      <c r="E102" s="52" t="s">
        <v>455</v>
      </c>
      <c r="F102" s="52" t="s">
        <v>481</v>
      </c>
      <c r="G102" s="52" t="s">
        <v>457</v>
      </c>
      <c r="H102" s="52" t="s">
        <v>458</v>
      </c>
      <c r="I102" s="52" t="s">
        <v>459</v>
      </c>
      <c r="J102" s="52" t="s">
        <v>460</v>
      </c>
      <c r="K102" s="52" t="s">
        <v>461</v>
      </c>
      <c r="L102" s="52" t="s">
        <v>462</v>
      </c>
      <c r="M102" s="52" t="s">
        <v>463</v>
      </c>
      <c r="N102" s="52" t="s">
        <v>464</v>
      </c>
      <c r="O102" s="52" t="s">
        <v>465</v>
      </c>
      <c r="P102" s="52" t="s">
        <v>466</v>
      </c>
      <c r="Q102" s="52" t="s">
        <v>467</v>
      </c>
      <c r="R102" s="52" t="s">
        <v>468</v>
      </c>
      <c r="S102" s="52" t="s">
        <v>486</v>
      </c>
      <c r="T102" s="53" t="s">
        <v>470</v>
      </c>
    </row>
    <row r="103" spans="1:37" x14ac:dyDescent="0.25">
      <c r="A103" s="665" t="s">
        <v>364</v>
      </c>
      <c r="B103" s="681" t="s">
        <v>24</v>
      </c>
      <c r="C103" s="27" t="s">
        <v>167</v>
      </c>
      <c r="D103">
        <f>AVERAGE(U42:U47)</f>
        <v>0.69592801256279524</v>
      </c>
      <c r="E103">
        <f t="shared" ref="E103:Q103" si="52">AVERAGE(V42:V47)</f>
        <v>-0.9103298870551968</v>
      </c>
      <c r="F103">
        <f t="shared" si="52"/>
        <v>-1.4002823128113091</v>
      </c>
      <c r="G103">
        <f t="shared" si="52"/>
        <v>-3.3204495394893048</v>
      </c>
      <c r="H103">
        <f t="shared" si="52"/>
        <v>-1.8563186048228808</v>
      </c>
      <c r="I103">
        <f t="shared" si="52"/>
        <v>7.1828051829364528</v>
      </c>
      <c r="J103">
        <f t="shared" si="52"/>
        <v>4.8749077931185383</v>
      </c>
      <c r="K103">
        <f t="shared" si="52"/>
        <v>-5.1642695380489743</v>
      </c>
      <c r="L103">
        <f t="shared" si="52"/>
        <v>0.18736619976854288</v>
      </c>
      <c r="M103">
        <f t="shared" si="52"/>
        <v>1.2936867622689585E-3</v>
      </c>
      <c r="N103">
        <f t="shared" si="52"/>
        <v>5.0473443379526084E-2</v>
      </c>
      <c r="O103">
        <f t="shared" si="52"/>
        <v>-1.2696642247956733</v>
      </c>
      <c r="P103">
        <f t="shared" si="52"/>
        <v>-2.9661584858968282</v>
      </c>
      <c r="Q103">
        <f t="shared" si="52"/>
        <v>1.2593999156322115</v>
      </c>
      <c r="R103">
        <f t="shared" ref="R103" si="53">AVERAGE(AI42:AI47)</f>
        <v>0.18092521374768519</v>
      </c>
      <c r="S103" t="e">
        <f t="shared" ref="S103" si="54">AVERAGE(AJ42:AJ47)</f>
        <v>#DIV/0!</v>
      </c>
      <c r="T103" s="27"/>
    </row>
    <row r="104" spans="1:37" x14ac:dyDescent="0.25">
      <c r="A104" s="665"/>
      <c r="B104" s="681"/>
      <c r="C104" s="540">
        <v>0.15</v>
      </c>
      <c r="D104">
        <f>AVERAGE(U12:U20)</f>
        <v>-1.669571528814962</v>
      </c>
      <c r="E104">
        <f t="shared" ref="E104:Q104" si="55">AVERAGE(V12:V20)</f>
        <v>-6.2625360745805283</v>
      </c>
      <c r="F104">
        <f t="shared" si="55"/>
        <v>-3.7111832770398889</v>
      </c>
      <c r="G104">
        <f t="shared" si="55"/>
        <v>-2.9831850206629036</v>
      </c>
      <c r="H104">
        <f t="shared" si="55"/>
        <v>-4.6416723304651466</v>
      </c>
      <c r="I104">
        <f t="shared" si="55"/>
        <v>5.7389385819341161</v>
      </c>
      <c r="J104">
        <f t="shared" si="55"/>
        <v>1.761518381878769</v>
      </c>
      <c r="K104">
        <f t="shared" si="55"/>
        <v>-4.8262597898114601</v>
      </c>
      <c r="L104">
        <f t="shared" si="55"/>
        <v>1.331580054956657</v>
      </c>
      <c r="M104">
        <f t="shared" si="55"/>
        <v>-4.2994759533703837</v>
      </c>
      <c r="N104">
        <f t="shared" si="55"/>
        <v>-6.6135752114133766</v>
      </c>
      <c r="O104">
        <f t="shared" si="55"/>
        <v>-1.7008266182919525</v>
      </c>
      <c r="P104">
        <f t="shared" si="55"/>
        <v>-4.1260393598330607</v>
      </c>
      <c r="Q104">
        <f t="shared" si="55"/>
        <v>-0.10131761491095886</v>
      </c>
      <c r="R104">
        <f t="shared" ref="R104" si="56">AVERAGE(AI12:AI20)</f>
        <v>-6.8215221592102155</v>
      </c>
      <c r="S104">
        <f t="shared" ref="S104" si="57">AVERAGE(AJ12:AJ20)</f>
        <v>4.5569423390061212</v>
      </c>
      <c r="T104" s="27"/>
    </row>
    <row r="105" spans="1:37" x14ac:dyDescent="0.25">
      <c r="A105" s="665"/>
      <c r="B105" s="682"/>
      <c r="C105" s="543">
        <v>0.5</v>
      </c>
      <c r="D105" s="60">
        <f>AVERAGE(U33:U38)</f>
        <v>2.6528962728214416</v>
      </c>
      <c r="E105" s="60">
        <f t="shared" ref="E105:Q105" si="58">AVERAGE(V33:V38)</f>
        <v>-2.8059139242135203</v>
      </c>
      <c r="F105" s="60">
        <f t="shared" si="58"/>
        <v>0.34802983829914041</v>
      </c>
      <c r="G105" s="60">
        <f>AVERAGE(X33:X38)</f>
        <v>-0.59221791496338472</v>
      </c>
      <c r="H105" s="60">
        <f t="shared" si="58"/>
        <v>-2.9685816247924293</v>
      </c>
      <c r="I105" s="60">
        <f t="shared" si="58"/>
        <v>1.3586983035995237</v>
      </c>
      <c r="J105" s="60">
        <f t="shared" si="58"/>
        <v>0.97131689501422558</v>
      </c>
      <c r="K105" s="60" t="e">
        <f t="shared" si="58"/>
        <v>#DIV/0!</v>
      </c>
      <c r="L105" s="60">
        <f t="shared" si="58"/>
        <v>6.77369713284493</v>
      </c>
      <c r="M105" s="60">
        <f t="shared" si="58"/>
        <v>-5.7774801580730015</v>
      </c>
      <c r="N105" s="60">
        <f t="shared" si="58"/>
        <v>-2.3481113590646991</v>
      </c>
      <c r="O105" s="60">
        <f t="shared" si="58"/>
        <v>2.8735462844758497</v>
      </c>
      <c r="P105" s="60">
        <f t="shared" si="58"/>
        <v>-5.2528109441256685</v>
      </c>
      <c r="Q105" s="60">
        <f t="shared" si="58"/>
        <v>2.4917370078511012</v>
      </c>
      <c r="R105" s="60">
        <f t="shared" ref="R105" si="59">AVERAGE(AI33:AI38)</f>
        <v>9.6542638260605607</v>
      </c>
      <c r="S105" s="60">
        <f t="shared" ref="S105" si="60">AVERAGE(AJ33:AJ38)</f>
        <v>7.4383808539316485</v>
      </c>
      <c r="T105" s="61"/>
    </row>
    <row r="106" spans="1:37" x14ac:dyDescent="0.25">
      <c r="A106" s="665"/>
      <c r="B106" s="704" t="s">
        <v>516</v>
      </c>
      <c r="C106" s="27" t="s">
        <v>167</v>
      </c>
      <c r="D106">
        <f>AVERAGE(U92:U96)</f>
        <v>-5.5133337163279617</v>
      </c>
      <c r="E106">
        <f t="shared" ref="E106:Q106" si="61">AVERAGE(V92:V96)</f>
        <v>-4.2636601218140679</v>
      </c>
      <c r="F106">
        <f t="shared" si="61"/>
        <v>-5.7423403139402573</v>
      </c>
      <c r="G106">
        <f t="shared" si="61"/>
        <v>-2.4829054243549109</v>
      </c>
      <c r="H106">
        <f t="shared" si="61"/>
        <v>-7.3973097900684817</v>
      </c>
      <c r="I106">
        <f t="shared" si="61"/>
        <v>4.6042251712772098</v>
      </c>
      <c r="J106">
        <f t="shared" si="61"/>
        <v>5.1160148550422777</v>
      </c>
      <c r="K106">
        <f t="shared" si="61"/>
        <v>1.4979333075615067</v>
      </c>
      <c r="L106">
        <f t="shared" si="61"/>
        <v>1.4438670357578767</v>
      </c>
      <c r="M106">
        <f t="shared" si="61"/>
        <v>-2.1234548363777859</v>
      </c>
      <c r="N106">
        <f t="shared" si="61"/>
        <v>6.1299631601830384E-2</v>
      </c>
      <c r="O106">
        <f t="shared" si="61"/>
        <v>0.52440837011138153</v>
      </c>
      <c r="P106">
        <f t="shared" si="61"/>
        <v>4.6251611787260423</v>
      </c>
      <c r="Q106">
        <f t="shared" si="61"/>
        <v>0.70817080055801762</v>
      </c>
      <c r="R106">
        <f t="shared" ref="R106" si="62">AVERAGE(AI92:AI96)</f>
        <v>0.70817080055801762</v>
      </c>
      <c r="S106">
        <f t="shared" ref="S106" si="63">AVERAGE(AJ92:AJ96)</f>
        <v>0.70817080055801762</v>
      </c>
      <c r="T106" s="27"/>
    </row>
    <row r="107" spans="1:37" x14ac:dyDescent="0.25">
      <c r="A107" s="665"/>
      <c r="B107" s="704"/>
      <c r="C107" s="540">
        <v>0.15</v>
      </c>
      <c r="D107">
        <f>AVERAGE(U62:U71)</f>
        <v>-2.5969372104698265</v>
      </c>
      <c r="E107">
        <f t="shared" ref="E107:Q107" si="64">AVERAGE(V62:V71)</f>
        <v>-10.539786527116355</v>
      </c>
      <c r="F107">
        <f t="shared" si="64"/>
        <v>-2.9708361355612034</v>
      </c>
      <c r="G107">
        <f t="shared" si="64"/>
        <v>-3.8335108745425561</v>
      </c>
      <c r="H107">
        <f t="shared" si="64"/>
        <v>-6.5177181111749922</v>
      </c>
      <c r="I107">
        <f t="shared" si="64"/>
        <v>7.4684705809354917</v>
      </c>
      <c r="J107">
        <f t="shared" si="64"/>
        <v>1.8772954683436274</v>
      </c>
      <c r="K107">
        <f t="shared" si="64"/>
        <v>-1.6907074556087849</v>
      </c>
      <c r="L107">
        <f t="shared" si="64"/>
        <v>-1.1347570135327503</v>
      </c>
      <c r="M107">
        <f t="shared" si="64"/>
        <v>-3.8006533124552568</v>
      </c>
      <c r="N107">
        <f t="shared" si="64"/>
        <v>-4.2444151938836177</v>
      </c>
      <c r="O107">
        <f t="shared" si="64"/>
        <v>0.74361392195145992</v>
      </c>
      <c r="P107">
        <f t="shared" si="64"/>
        <v>-3.0486867827079323E-2</v>
      </c>
      <c r="Q107">
        <f t="shared" si="64"/>
        <v>-0.74857826521939075</v>
      </c>
      <c r="R107">
        <f t="shared" ref="R107" si="65">AVERAGE(AI62:AI71)</f>
        <v>-1.0855978207062806</v>
      </c>
      <c r="S107">
        <f t="shared" ref="S107" si="66">AVERAGE(AJ62:AJ71)</f>
        <v>1.6305398066914158</v>
      </c>
      <c r="T107" s="27"/>
    </row>
    <row r="108" spans="1:37" ht="15.75" thickBot="1" x14ac:dyDescent="0.3">
      <c r="A108" s="666"/>
      <c r="B108" s="653"/>
      <c r="C108" s="541">
        <v>0.5</v>
      </c>
      <c r="D108" s="2">
        <f>AVERAGE(U78:U88)</f>
        <v>-3.7427724659456914</v>
      </c>
      <c r="E108" s="2">
        <f t="shared" ref="E108:Q108" si="67">AVERAGE(V78:V88)</f>
        <v>-6.8118569462720346</v>
      </c>
      <c r="F108" s="2">
        <f t="shared" si="67"/>
        <v>-1.6519029370628979</v>
      </c>
      <c r="G108" s="2">
        <f t="shared" si="67"/>
        <v>0.35043808188942366</v>
      </c>
      <c r="H108" s="2">
        <f t="shared" si="67"/>
        <v>-3.3390305129590794</v>
      </c>
      <c r="I108" s="2">
        <f t="shared" si="67"/>
        <v>6.4283970237095778</v>
      </c>
      <c r="J108" s="2">
        <f t="shared" si="67"/>
        <v>1.7882844841577439</v>
      </c>
      <c r="K108" s="2">
        <f t="shared" si="67"/>
        <v>-2.7488150008240719</v>
      </c>
      <c r="L108" s="2">
        <f t="shared" si="67"/>
        <v>-4.055366672850365</v>
      </c>
      <c r="M108" s="2">
        <f t="shared" si="67"/>
        <v>-2.9063961784108643</v>
      </c>
      <c r="N108" s="2">
        <f t="shared" si="67"/>
        <v>-2.7644751421867775</v>
      </c>
      <c r="O108" s="2">
        <f t="shared" si="67"/>
        <v>-1.1136030009648252</v>
      </c>
      <c r="P108" s="2">
        <f t="shared" si="67"/>
        <v>2.0671987575652113</v>
      </c>
      <c r="Q108" s="2">
        <f t="shared" si="67"/>
        <v>0.4976129133549374</v>
      </c>
      <c r="R108" s="2">
        <f t="shared" ref="R108" si="68">AVERAGE(AI78:AI88)</f>
        <v>-1.2125932840470164</v>
      </c>
      <c r="S108" s="2">
        <f t="shared" ref="S108" si="69">AVERAGE(AJ78:AJ88)</f>
        <v>3.6095263578845933</v>
      </c>
      <c r="T108" s="8"/>
    </row>
    <row r="109" spans="1:37" x14ac:dyDescent="0.25">
      <c r="A109" s="667" t="s">
        <v>515</v>
      </c>
      <c r="B109" s="694" t="s">
        <v>24</v>
      </c>
      <c r="C109" s="25" t="s">
        <v>384</v>
      </c>
      <c r="D109" s="50">
        <f>TTEST(U12:U23,U42:U47,1,2)</f>
        <v>2.7286139035932556E-2</v>
      </c>
      <c r="E109" s="50">
        <f>TTEST(V12:V23,V42:V47,1,2)</f>
        <v>1.1715370267354871E-3</v>
      </c>
      <c r="F109" s="50">
        <f t="shared" ref="F109:T109" si="70">TTEST(W12:W23,W42:W47,1,2)</f>
        <v>6.9473771614766782E-4</v>
      </c>
      <c r="G109" s="50">
        <f t="shared" si="70"/>
        <v>0.33838709796775079</v>
      </c>
      <c r="H109" s="50">
        <f t="shared" si="70"/>
        <v>3.1271966523868868E-3</v>
      </c>
      <c r="I109" s="50">
        <f t="shared" si="70"/>
        <v>4.2914930083201012E-2</v>
      </c>
      <c r="J109" s="50">
        <f t="shared" si="70"/>
        <v>2.6077979673617965E-2</v>
      </c>
      <c r="K109" s="50" t="e">
        <f t="shared" si="70"/>
        <v>#DIV/0!</v>
      </c>
      <c r="L109" s="50">
        <f t="shared" si="70"/>
        <v>0.22614341345406697</v>
      </c>
      <c r="M109" s="50">
        <f t="shared" si="70"/>
        <v>2.1482699413388861E-5</v>
      </c>
      <c r="N109" s="50">
        <f t="shared" si="70"/>
        <v>4.6264909262042542E-4</v>
      </c>
      <c r="O109" s="50">
        <f t="shared" si="70"/>
        <v>0.394390669922348</v>
      </c>
      <c r="P109" s="50">
        <f t="shared" si="70"/>
        <v>0.32268222636019372</v>
      </c>
      <c r="Q109" s="50">
        <f t="shared" si="70"/>
        <v>3.4824391535449081E-3</v>
      </c>
      <c r="R109" s="50">
        <f t="shared" si="70"/>
        <v>7.8032603489574219E-5</v>
      </c>
      <c r="S109" s="50" t="e">
        <f t="shared" si="70"/>
        <v>#DIV/0!</v>
      </c>
      <c r="T109" s="25" t="e">
        <f t="shared" si="70"/>
        <v>#DIV/0!</v>
      </c>
    </row>
    <row r="110" spans="1:37" x14ac:dyDescent="0.25">
      <c r="A110" s="665"/>
      <c r="B110" s="704"/>
      <c r="C110" s="27" t="s">
        <v>513</v>
      </c>
      <c r="D110">
        <f>TTEST(U33:U38,U42:U47,1,2)</f>
        <v>2.1455850832100175E-2</v>
      </c>
      <c r="E110">
        <f t="shared" ref="E110:T110" si="71">TTEST(V33:V38,V42:V47,1,2)</f>
        <v>0.25929374560885532</v>
      </c>
      <c r="F110">
        <f t="shared" si="71"/>
        <v>2.9609409365913924E-2</v>
      </c>
      <c r="G110">
        <f t="shared" si="71"/>
        <v>9.6759666413433337E-2</v>
      </c>
      <c r="H110">
        <f t="shared" si="71"/>
        <v>9.8272384693714229E-2</v>
      </c>
      <c r="I110">
        <f t="shared" si="71"/>
        <v>4.6021184010571016E-2</v>
      </c>
      <c r="J110">
        <f t="shared" si="71"/>
        <v>1.3296048813751562E-2</v>
      </c>
      <c r="K110" t="e">
        <f t="shared" si="71"/>
        <v>#DIV/0!</v>
      </c>
      <c r="L110">
        <f t="shared" si="71"/>
        <v>9.9723585421254658E-4</v>
      </c>
      <c r="M110">
        <f t="shared" si="71"/>
        <v>8.5737995908258438E-2</v>
      </c>
      <c r="N110">
        <f t="shared" si="71"/>
        <v>5.4380729186961324E-2</v>
      </c>
      <c r="O110">
        <f t="shared" si="71"/>
        <v>8.8957763860275988E-4</v>
      </c>
      <c r="P110">
        <f t="shared" si="71"/>
        <v>0.18323779826710437</v>
      </c>
      <c r="Q110">
        <f t="shared" si="71"/>
        <v>0.28604240824040861</v>
      </c>
      <c r="R110">
        <f t="shared" si="71"/>
        <v>4.4004130324050887E-3</v>
      </c>
      <c r="S110" t="e">
        <f t="shared" si="71"/>
        <v>#DIV/0!</v>
      </c>
      <c r="T110" s="27" t="e">
        <f t="shared" si="71"/>
        <v>#DIV/0!</v>
      </c>
    </row>
    <row r="111" spans="1:37" x14ac:dyDescent="0.25">
      <c r="A111" s="665"/>
      <c r="B111" s="807"/>
      <c r="C111" s="61" t="s">
        <v>514</v>
      </c>
      <c r="D111" s="60">
        <f>TTEST(U33:U38,U12:U20,1,2)</f>
        <v>4.4510119996967872E-4</v>
      </c>
      <c r="E111" s="60">
        <f t="shared" ref="E111:T111" si="72">TTEST(V33:V38,V12:V20,1,2)</f>
        <v>0.2829336266710844</v>
      </c>
      <c r="F111" s="60">
        <f t="shared" si="72"/>
        <v>1.4275952050083502E-3</v>
      </c>
      <c r="G111" s="60">
        <f t="shared" si="72"/>
        <v>0.29157075684019956</v>
      </c>
      <c r="H111" s="60">
        <f t="shared" si="72"/>
        <v>4.8891513380098617E-2</v>
      </c>
      <c r="I111" s="60">
        <f t="shared" si="72"/>
        <v>0.14780057930868226</v>
      </c>
      <c r="J111" s="60">
        <f t="shared" si="72"/>
        <v>0.31377804847842183</v>
      </c>
      <c r="K111" s="60" t="e">
        <f t="shared" si="72"/>
        <v>#DIV/0!</v>
      </c>
      <c r="L111" s="60">
        <f t="shared" si="72"/>
        <v>4.8082897330863905E-2</v>
      </c>
      <c r="M111" s="60">
        <f t="shared" si="72"/>
        <v>0.39322728014494257</v>
      </c>
      <c r="N111" s="60">
        <f t="shared" si="72"/>
        <v>3.6502874664464671E-4</v>
      </c>
      <c r="O111" s="60">
        <f t="shared" si="72"/>
        <v>8.4346273197082756E-3</v>
      </c>
      <c r="P111" s="60">
        <f t="shared" si="72"/>
        <v>0.37090715254917217</v>
      </c>
      <c r="Q111" s="60">
        <f t="shared" si="72"/>
        <v>0.26343508462813792</v>
      </c>
      <c r="R111" s="60">
        <f t="shared" si="72"/>
        <v>4.1714685411074814E-2</v>
      </c>
      <c r="S111" s="60">
        <f t="shared" si="72"/>
        <v>3.6737753442609737E-3</v>
      </c>
      <c r="T111" s="61" t="e">
        <f t="shared" si="72"/>
        <v>#DIV/0!</v>
      </c>
    </row>
    <row r="112" spans="1:37" x14ac:dyDescent="0.25">
      <c r="A112" s="665"/>
      <c r="B112" s="718" t="s">
        <v>28</v>
      </c>
      <c r="C112" s="27" t="s">
        <v>384</v>
      </c>
      <c r="D112">
        <f>TTEST(U92:U96,U62:U71,1,2)</f>
        <v>2.5225440906618421E-2</v>
      </c>
      <c r="E112">
        <f t="shared" ref="E112:T112" si="73">TTEST(V92:V96,V62:V71,1,2)</f>
        <v>4.1025124719829616E-4</v>
      </c>
      <c r="F112">
        <f t="shared" si="73"/>
        <v>0.11969797848752831</v>
      </c>
      <c r="G112">
        <f t="shared" si="73"/>
        <v>0.28909350857707405</v>
      </c>
      <c r="H112">
        <f t="shared" si="73"/>
        <v>0.38015795455188539</v>
      </c>
      <c r="I112">
        <f t="shared" si="73"/>
        <v>0.23601061520342945</v>
      </c>
      <c r="J112">
        <f t="shared" si="73"/>
        <v>5.4993898182661712E-2</v>
      </c>
      <c r="K112">
        <f t="shared" si="73"/>
        <v>0.10581871013447595</v>
      </c>
      <c r="L112">
        <f t="shared" si="73"/>
        <v>3.1097233761278091E-2</v>
      </c>
      <c r="M112">
        <f t="shared" si="73"/>
        <v>3.4772918918393687E-2</v>
      </c>
      <c r="N112">
        <f t="shared" si="73"/>
        <v>2.2902784015597567E-2</v>
      </c>
      <c r="O112">
        <f t="shared" si="73"/>
        <v>0.40636545508393496</v>
      </c>
      <c r="P112">
        <f t="shared" si="73"/>
        <v>2.3763677453401211E-3</v>
      </c>
      <c r="Q112">
        <f t="shared" si="73"/>
        <v>0.11106443585973753</v>
      </c>
      <c r="R112">
        <f t="shared" si="73"/>
        <v>3.9905313787537672E-2</v>
      </c>
      <c r="S112">
        <f t="shared" si="73"/>
        <v>0.36776048899071284</v>
      </c>
      <c r="T112" s="27" t="e">
        <f t="shared" si="73"/>
        <v>#DIV/0!</v>
      </c>
    </row>
    <row r="113" spans="1:20" x14ac:dyDescent="0.25">
      <c r="A113" s="665"/>
      <c r="B113" s="704"/>
      <c r="C113" s="27" t="s">
        <v>513</v>
      </c>
      <c r="D113">
        <f>TTEST(U92:U96,U78:U88,1,2)</f>
        <v>0.20472392524927396</v>
      </c>
      <c r="E113">
        <f t="shared" ref="E113:T113" si="74">TTEST(V92:V96,V78:V88,1,2)</f>
        <v>2.6733730935131319E-3</v>
      </c>
      <c r="F113">
        <f t="shared" si="74"/>
        <v>6.9194652343013432E-2</v>
      </c>
      <c r="G113">
        <f t="shared" si="74"/>
        <v>0.10096389018254087</v>
      </c>
      <c r="H113">
        <f t="shared" si="74"/>
        <v>3.3466420615889288E-3</v>
      </c>
      <c r="I113">
        <f t="shared" si="74"/>
        <v>0.25442753174660937</v>
      </c>
      <c r="J113">
        <f t="shared" si="74"/>
        <v>6.5089021665537875E-4</v>
      </c>
      <c r="K113">
        <f t="shared" si="74"/>
        <v>7.332001039933176E-3</v>
      </c>
      <c r="L113">
        <f t="shared" si="74"/>
        <v>3.4332743048357369E-4</v>
      </c>
      <c r="M113">
        <f t="shared" si="74"/>
        <v>0.19886531182474049</v>
      </c>
      <c r="N113">
        <f t="shared" si="74"/>
        <v>0.13975233643070636</v>
      </c>
      <c r="O113">
        <f t="shared" si="74"/>
        <v>0.11806736278074768</v>
      </c>
      <c r="P113">
        <f t="shared" si="74"/>
        <v>9.129346499670012E-3</v>
      </c>
      <c r="Q113">
        <f t="shared" si="74"/>
        <v>0.43767765172613404</v>
      </c>
      <c r="R113">
        <f t="shared" si="74"/>
        <v>1.072364239544323E-2</v>
      </c>
      <c r="S113">
        <f t="shared" si="74"/>
        <v>9.7307073474447222E-3</v>
      </c>
      <c r="T113" s="27" t="e">
        <f t="shared" si="74"/>
        <v>#DIV/0!</v>
      </c>
    </row>
    <row r="114" spans="1:20" ht="15.75" thickBot="1" x14ac:dyDescent="0.3">
      <c r="A114" s="665"/>
      <c r="B114" s="653"/>
      <c r="C114" s="8" t="s">
        <v>514</v>
      </c>
      <c r="D114" s="2">
        <f>TTEST(U78:U88,U62:U71,1,2)</f>
        <v>0.28628112980919318</v>
      </c>
      <c r="E114" s="2">
        <f t="shared" ref="E114:T114" si="75">TTEST(V78:V88,V62:V71,1,2)</f>
        <v>1.6096712883590866E-3</v>
      </c>
      <c r="F114" s="2">
        <f t="shared" si="75"/>
        <v>0.28071654624792064</v>
      </c>
      <c r="G114" s="2">
        <f t="shared" si="75"/>
        <v>2.043859567385492E-2</v>
      </c>
      <c r="H114" s="2">
        <f t="shared" si="75"/>
        <v>7.9354046415428633E-2</v>
      </c>
      <c r="I114" s="2">
        <f t="shared" si="75"/>
        <v>0.20492326469167527</v>
      </c>
      <c r="J114" s="2">
        <f t="shared" si="75"/>
        <v>0.47637397188716324</v>
      </c>
      <c r="K114" s="2">
        <f t="shared" si="75"/>
        <v>0.31630064106262668</v>
      </c>
      <c r="L114" s="2">
        <f t="shared" si="75"/>
        <v>6.3834862177300514E-2</v>
      </c>
      <c r="M114" s="2">
        <f t="shared" si="75"/>
        <v>0.23856582463990572</v>
      </c>
      <c r="N114" s="2">
        <f t="shared" si="75"/>
        <v>0.25322578796086981</v>
      </c>
      <c r="O114" s="2">
        <f t="shared" si="75"/>
        <v>9.4389684030286414E-2</v>
      </c>
      <c r="P114" s="2">
        <f t="shared" si="75"/>
        <v>4.211226346250261E-2</v>
      </c>
      <c r="Q114" s="2">
        <f t="shared" si="75"/>
        <v>0.27668509657460372</v>
      </c>
      <c r="R114" s="2">
        <f t="shared" si="75"/>
        <v>0.38837225457339009</v>
      </c>
      <c r="S114" s="2">
        <f t="shared" si="75"/>
        <v>0.1999196453899193</v>
      </c>
      <c r="T114" s="8">
        <f t="shared" si="75"/>
        <v>3.824338009660213E-2</v>
      </c>
    </row>
    <row r="115" spans="1:20" x14ac:dyDescent="0.25">
      <c r="A115" s="665"/>
      <c r="B115" s="694" t="s">
        <v>24</v>
      </c>
      <c r="C115" s="25" t="s">
        <v>520</v>
      </c>
      <c r="D115" s="50">
        <f>TTEST(U3:U8,U12:U23,1,2)</f>
        <v>1.1793787097433119E-2</v>
      </c>
      <c r="E115" s="50">
        <f t="shared" ref="E115:T115" si="76">TTEST(V3:V8,V12:V23,1,2)</f>
        <v>1.2520679627453064E-3</v>
      </c>
      <c r="F115" s="50">
        <f t="shared" si="76"/>
        <v>1.2025467352516204E-4</v>
      </c>
      <c r="G115" s="50">
        <f t="shared" si="76"/>
        <v>1.8960543530690911E-2</v>
      </c>
      <c r="H115" s="50">
        <f t="shared" si="76"/>
        <v>5.9705051790166514E-5</v>
      </c>
      <c r="I115" s="50">
        <f t="shared" si="76"/>
        <v>4.9614933004643255E-4</v>
      </c>
      <c r="J115" s="50">
        <f t="shared" si="76"/>
        <v>4.0009360182331366E-2</v>
      </c>
      <c r="K115" s="50" t="e">
        <f t="shared" si="76"/>
        <v>#DIV/0!</v>
      </c>
      <c r="L115" s="50">
        <f t="shared" si="76"/>
        <v>8.391832743951616E-2</v>
      </c>
      <c r="M115" s="50">
        <f t="shared" si="76"/>
        <v>6.9280238491346707E-2</v>
      </c>
      <c r="N115" s="50">
        <f t="shared" si="76"/>
        <v>4.6678874650552968E-2</v>
      </c>
      <c r="O115" s="50">
        <f t="shared" si="76"/>
        <v>0.36957316058535949</v>
      </c>
      <c r="P115" s="50">
        <f t="shared" si="76"/>
        <v>0.49768880002036869</v>
      </c>
      <c r="Q115" s="50">
        <f t="shared" si="76"/>
        <v>0.16677184255562016</v>
      </c>
      <c r="R115" s="50">
        <f t="shared" si="76"/>
        <v>7.3209828252444997E-3</v>
      </c>
      <c r="S115" s="50">
        <f t="shared" si="76"/>
        <v>4.2972596475376765E-4</v>
      </c>
      <c r="T115" s="25" t="e">
        <f t="shared" si="76"/>
        <v>#DIV/0!</v>
      </c>
    </row>
    <row r="116" spans="1:20" x14ac:dyDescent="0.25">
      <c r="A116" s="665"/>
      <c r="B116" s="807"/>
      <c r="C116" s="61" t="s">
        <v>521</v>
      </c>
      <c r="D116" s="60">
        <f>TTEST(U3:U8,U33:U38,1,2)</f>
        <v>7.2301560218606732E-4</v>
      </c>
      <c r="E116" s="60">
        <f t="shared" ref="E116:T116" si="77">TTEST(V3:V8,V33:V38,1,2)</f>
        <v>0.23905494671154615</v>
      </c>
      <c r="F116" s="60">
        <f t="shared" si="77"/>
        <v>0.31316516602792649</v>
      </c>
      <c r="G116" s="60">
        <f t="shared" si="77"/>
        <v>0.41055029188951647</v>
      </c>
      <c r="H116" s="60">
        <f t="shared" si="77"/>
        <v>2.0200752649801703E-3</v>
      </c>
      <c r="I116" s="60">
        <f t="shared" si="77"/>
        <v>0.28397350371915525</v>
      </c>
      <c r="J116" s="60">
        <f t="shared" si="77"/>
        <v>0.13267260245682927</v>
      </c>
      <c r="K116" s="60" t="e">
        <f t="shared" si="77"/>
        <v>#DIV/0!</v>
      </c>
      <c r="L116" s="60">
        <f t="shared" si="77"/>
        <v>2.1602460690792065E-3</v>
      </c>
      <c r="M116" s="60">
        <f t="shared" si="77"/>
        <v>0.14869770601207441</v>
      </c>
      <c r="N116" s="60">
        <f t="shared" si="77"/>
        <v>0.24988758202016748</v>
      </c>
      <c r="O116" s="60">
        <f t="shared" si="77"/>
        <v>2.0084275829996153E-3</v>
      </c>
      <c r="P116" s="60">
        <f t="shared" si="77"/>
        <v>0.38721811899317993</v>
      </c>
      <c r="Q116" s="60">
        <f t="shared" si="77"/>
        <v>4.7783326227921044E-2</v>
      </c>
      <c r="R116" s="60">
        <f t="shared" si="77"/>
        <v>9.7063670711799999E-2</v>
      </c>
      <c r="S116" s="60">
        <f t="shared" si="77"/>
        <v>2.3188943644008204E-3</v>
      </c>
      <c r="T116" s="61" t="e">
        <f t="shared" si="77"/>
        <v>#DIV/0!</v>
      </c>
    </row>
    <row r="117" spans="1:20" x14ac:dyDescent="0.25">
      <c r="A117" s="665"/>
      <c r="B117" s="704" t="s">
        <v>28</v>
      </c>
      <c r="C117" s="27" t="s">
        <v>520</v>
      </c>
      <c r="D117">
        <f>TTEST(U51:U57,U61:U71,1,2)</f>
        <v>0.14773972650621173</v>
      </c>
      <c r="E117">
        <f t="shared" ref="E117:T117" si="78">TTEST(V51:V57,V61:V71,1,2)</f>
        <v>8.6772494463103578E-4</v>
      </c>
      <c r="F117">
        <f t="shared" si="78"/>
        <v>9.4168579425518623E-2</v>
      </c>
      <c r="G117">
        <f t="shared" si="78"/>
        <v>1.2835105649042964E-3</v>
      </c>
      <c r="H117">
        <f t="shared" si="78"/>
        <v>2.0607369710472449E-2</v>
      </c>
      <c r="I117">
        <f t="shared" si="78"/>
        <v>2.185730434199823E-4</v>
      </c>
      <c r="J117">
        <f t="shared" si="78"/>
        <v>8.7218924232520464E-2</v>
      </c>
      <c r="K117">
        <f t="shared" si="78"/>
        <v>0.46098887946097777</v>
      </c>
      <c r="L117">
        <f t="shared" si="78"/>
        <v>0.19272130348971828</v>
      </c>
      <c r="M117">
        <f t="shared" si="78"/>
        <v>0.26502990555512701</v>
      </c>
      <c r="N117">
        <f t="shared" si="78"/>
        <v>0.24968145132033304</v>
      </c>
      <c r="O117">
        <f t="shared" si="78"/>
        <v>2.1359998893935726E-2</v>
      </c>
      <c r="P117">
        <f t="shared" si="78"/>
        <v>0.40886887648611281</v>
      </c>
      <c r="Q117">
        <f t="shared" si="78"/>
        <v>0.17273367382895088</v>
      </c>
      <c r="R117">
        <f t="shared" si="78"/>
        <v>8.3084061725232708E-2</v>
      </c>
      <c r="S117">
        <f t="shared" si="78"/>
        <v>5.3598661482003179E-2</v>
      </c>
      <c r="T117" s="27" t="e">
        <f t="shared" si="78"/>
        <v>#DIV/0!</v>
      </c>
    </row>
    <row r="118" spans="1:20" ht="15.75" thickBot="1" x14ac:dyDescent="0.3">
      <c r="A118" s="666"/>
      <c r="B118" s="653"/>
      <c r="C118" s="8" t="s">
        <v>521</v>
      </c>
      <c r="D118" s="2">
        <f>TTEST(U51:U57,U75:U88,1,2)</f>
        <v>0.10364687538868654</v>
      </c>
      <c r="E118" s="2">
        <f t="shared" ref="E118:T118" si="79">TTEST(V51:V57,V75:V88,1,2)</f>
        <v>1.978031932942085E-3</v>
      </c>
      <c r="F118" s="2">
        <f t="shared" si="79"/>
        <v>0.25900421950207597</v>
      </c>
      <c r="G118" s="2">
        <f t="shared" si="79"/>
        <v>0.27406470225464186</v>
      </c>
      <c r="H118" s="2">
        <f t="shared" si="79"/>
        <v>3.735908089678752E-4</v>
      </c>
      <c r="I118" s="2">
        <f t="shared" si="79"/>
        <v>5.5458265330964078E-5</v>
      </c>
      <c r="J118" s="2">
        <f t="shared" si="79"/>
        <v>8.8490845752373284E-3</v>
      </c>
      <c r="K118" s="2">
        <f t="shared" si="79"/>
        <v>0.23298271385216188</v>
      </c>
      <c r="L118" s="2">
        <f t="shared" si="79"/>
        <v>0.45046549359979121</v>
      </c>
      <c r="M118" s="2">
        <f t="shared" si="79"/>
        <v>0.32065945681100283</v>
      </c>
      <c r="N118" s="2">
        <f t="shared" si="79"/>
        <v>0.48262463776912845</v>
      </c>
      <c r="O118" s="2">
        <f t="shared" si="79"/>
        <v>0.13418478875366682</v>
      </c>
      <c r="P118" s="2">
        <f t="shared" si="79"/>
        <v>5.1934541781726296E-2</v>
      </c>
      <c r="Q118" s="2">
        <f t="shared" si="79"/>
        <v>4.4812556270641221E-2</v>
      </c>
      <c r="R118" s="2">
        <f t="shared" si="79"/>
        <v>2.7167828574991944E-2</v>
      </c>
      <c r="S118" s="2">
        <f t="shared" si="79"/>
        <v>2.9971667553644785E-4</v>
      </c>
      <c r="T118" s="8" t="e">
        <f t="shared" si="79"/>
        <v>#DIV/0!</v>
      </c>
    </row>
  </sheetData>
  <mergeCells count="21">
    <mergeCell ref="B117:B118"/>
    <mergeCell ref="B115:B116"/>
    <mergeCell ref="A109:A118"/>
    <mergeCell ref="B92:B99"/>
    <mergeCell ref="B112:B114"/>
    <mergeCell ref="B109:B111"/>
    <mergeCell ref="A103:A108"/>
    <mergeCell ref="B106:B108"/>
    <mergeCell ref="B103:B105"/>
    <mergeCell ref="A101:T101"/>
    <mergeCell ref="B1:B2"/>
    <mergeCell ref="D1:T1"/>
    <mergeCell ref="U1:AK1"/>
    <mergeCell ref="C1:C2"/>
    <mergeCell ref="B3:B11"/>
    <mergeCell ref="B12:B26"/>
    <mergeCell ref="B27:B41"/>
    <mergeCell ref="B51:B60"/>
    <mergeCell ref="B61:B74"/>
    <mergeCell ref="B75:B91"/>
    <mergeCell ref="B42:B50"/>
  </mergeCells>
  <conditionalFormatting sqref="D109:T118">
    <cfRule type="cellIs" dxfId="11" priority="1" stopIfTrue="1" operator="lessThan">
      <formula>0.025</formula>
    </cfRule>
    <cfRule type="cellIs" dxfId="10" priority="2" operator="lessThan">
      <formula>0.05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1986-4B0D-46A3-B26A-7F3DA9C49E02}">
  <dimension ref="A1:Q866"/>
  <sheetViews>
    <sheetView workbookViewId="0">
      <selection activeCell="O336" sqref="O336"/>
    </sheetView>
  </sheetViews>
  <sheetFormatPr defaultRowHeight="15" x14ac:dyDescent="0.25"/>
  <cols>
    <col min="1" max="1" width="21.140625" customWidth="1"/>
    <col min="11" max="11" width="13.7109375" bestFit="1" customWidth="1"/>
    <col min="12" max="13" width="12" bestFit="1" customWidth="1"/>
    <col min="14" max="14" width="16.7109375" bestFit="1" customWidth="1"/>
    <col min="15" max="15" width="18.42578125" bestFit="1" customWidth="1"/>
    <col min="16" max="16" width="16" bestFit="1" customWidth="1"/>
    <col min="17" max="17" width="13.42578125" bestFit="1" customWidth="1"/>
  </cols>
  <sheetData>
    <row r="1" spans="1:17" x14ac:dyDescent="0.25">
      <c r="A1" t="s">
        <v>564</v>
      </c>
    </row>
    <row r="2" spans="1:17" x14ac:dyDescent="0.25">
      <c r="A2" t="s">
        <v>565</v>
      </c>
      <c r="B2" t="s">
        <v>54</v>
      </c>
      <c r="C2" t="s">
        <v>566</v>
      </c>
      <c r="D2" t="s">
        <v>567</v>
      </c>
      <c r="E2" t="s">
        <v>568</v>
      </c>
      <c r="F2" t="s">
        <v>569</v>
      </c>
      <c r="G2" t="s">
        <v>570</v>
      </c>
      <c r="H2" t="s">
        <v>571</v>
      </c>
      <c r="I2" t="s">
        <v>572</v>
      </c>
      <c r="J2" t="s">
        <v>106</v>
      </c>
      <c r="K2" t="s">
        <v>573</v>
      </c>
      <c r="L2" t="s">
        <v>574</v>
      </c>
      <c r="M2" t="s">
        <v>575</v>
      </c>
      <c r="N2" t="s">
        <v>576</v>
      </c>
      <c r="O2" t="s">
        <v>577</v>
      </c>
      <c r="P2" t="s">
        <v>578</v>
      </c>
      <c r="Q2" t="s">
        <v>579</v>
      </c>
    </row>
    <row r="3" spans="1:17" x14ac:dyDescent="0.25">
      <c r="A3" t="s">
        <v>580</v>
      </c>
      <c r="B3" t="s">
        <v>581</v>
      </c>
      <c r="C3" t="s">
        <v>582</v>
      </c>
      <c r="D3" t="s">
        <v>583</v>
      </c>
      <c r="E3">
        <v>1</v>
      </c>
      <c r="H3">
        <v>442</v>
      </c>
      <c r="J3">
        <v>462</v>
      </c>
      <c r="L3">
        <v>2.7038872609473898</v>
      </c>
    </row>
    <row r="4" spans="1:17" x14ac:dyDescent="0.25">
      <c r="A4" t="s">
        <v>580</v>
      </c>
      <c r="B4" t="s">
        <v>581</v>
      </c>
      <c r="C4" t="s">
        <v>582</v>
      </c>
      <c r="D4" t="s">
        <v>584</v>
      </c>
      <c r="E4">
        <v>1</v>
      </c>
      <c r="H4">
        <v>452</v>
      </c>
      <c r="J4">
        <v>462</v>
      </c>
      <c r="L4">
        <v>2.7038872609473898</v>
      </c>
    </row>
    <row r="5" spans="1:17" x14ac:dyDescent="0.25">
      <c r="A5" t="s">
        <v>580</v>
      </c>
      <c r="B5" t="s">
        <v>581</v>
      </c>
      <c r="C5" t="s">
        <v>582</v>
      </c>
      <c r="D5" t="s">
        <v>585</v>
      </c>
      <c r="E5">
        <v>1</v>
      </c>
      <c r="H5">
        <v>475</v>
      </c>
      <c r="J5">
        <v>462</v>
      </c>
      <c r="L5">
        <v>2.7038872609473898</v>
      </c>
    </row>
    <row r="6" spans="1:17" x14ac:dyDescent="0.25">
      <c r="A6" t="s">
        <v>580</v>
      </c>
      <c r="B6" t="s">
        <v>581</v>
      </c>
      <c r="C6" t="s">
        <v>582</v>
      </c>
      <c r="D6" t="s">
        <v>586</v>
      </c>
      <c r="E6">
        <v>1</v>
      </c>
      <c r="H6">
        <v>461</v>
      </c>
      <c r="J6">
        <v>462</v>
      </c>
      <c r="L6">
        <v>2.7038872609473898</v>
      </c>
    </row>
    <row r="7" spans="1:17" x14ac:dyDescent="0.25">
      <c r="A7" t="s">
        <v>580</v>
      </c>
      <c r="B7" t="s">
        <v>581</v>
      </c>
      <c r="C7" t="s">
        <v>582</v>
      </c>
      <c r="D7" t="s">
        <v>587</v>
      </c>
      <c r="E7">
        <v>1</v>
      </c>
      <c r="H7">
        <v>480</v>
      </c>
      <c r="J7">
        <v>462</v>
      </c>
      <c r="L7">
        <v>2.7038872609473898</v>
      </c>
    </row>
    <row r="8" spans="1:17" x14ac:dyDescent="0.25">
      <c r="A8" t="s">
        <v>580</v>
      </c>
      <c r="B8" t="s">
        <v>581</v>
      </c>
      <c r="C8" t="s">
        <v>582</v>
      </c>
      <c r="D8" t="s">
        <v>588</v>
      </c>
      <c r="E8">
        <v>1</v>
      </c>
      <c r="H8">
        <v>456</v>
      </c>
      <c r="J8">
        <v>462</v>
      </c>
      <c r="L8">
        <v>2.7038872609473898</v>
      </c>
    </row>
    <row r="9" spans="1:17" x14ac:dyDescent="0.25">
      <c r="A9" t="s">
        <v>580</v>
      </c>
      <c r="B9" t="s">
        <v>581</v>
      </c>
      <c r="C9" t="s">
        <v>582</v>
      </c>
      <c r="D9" t="s">
        <v>589</v>
      </c>
      <c r="E9">
        <v>1</v>
      </c>
      <c r="H9">
        <v>452</v>
      </c>
      <c r="J9">
        <v>462</v>
      </c>
      <c r="L9">
        <v>2.7038872609473898</v>
      </c>
    </row>
    <row r="10" spans="1:17" x14ac:dyDescent="0.25">
      <c r="A10" t="s">
        <v>580</v>
      </c>
      <c r="B10" t="s">
        <v>581</v>
      </c>
      <c r="C10" t="s">
        <v>582</v>
      </c>
      <c r="D10" t="s">
        <v>590</v>
      </c>
      <c r="E10">
        <v>1</v>
      </c>
      <c r="H10">
        <v>460</v>
      </c>
      <c r="J10">
        <v>462</v>
      </c>
      <c r="L10">
        <v>2.7038872609473898</v>
      </c>
    </row>
    <row r="11" spans="1:17" x14ac:dyDescent="0.25">
      <c r="A11" t="s">
        <v>580</v>
      </c>
      <c r="B11" t="s">
        <v>581</v>
      </c>
      <c r="C11" t="s">
        <v>582</v>
      </c>
      <c r="D11" t="s">
        <v>591</v>
      </c>
      <c r="E11">
        <v>1</v>
      </c>
      <c r="H11">
        <v>476</v>
      </c>
      <c r="J11">
        <v>462</v>
      </c>
      <c r="L11">
        <v>2.7038872609473898</v>
      </c>
    </row>
    <row r="12" spans="1:17" x14ac:dyDescent="0.25">
      <c r="A12" t="s">
        <v>580</v>
      </c>
      <c r="B12" t="s">
        <v>581</v>
      </c>
      <c r="C12" t="s">
        <v>582</v>
      </c>
      <c r="D12" t="s">
        <v>592</v>
      </c>
      <c r="E12">
        <v>1</v>
      </c>
      <c r="H12">
        <v>452</v>
      </c>
      <c r="J12">
        <v>462</v>
      </c>
      <c r="L12">
        <v>2.7038872609473898</v>
      </c>
    </row>
    <row r="13" spans="1:17" x14ac:dyDescent="0.25">
      <c r="A13" t="s">
        <v>580</v>
      </c>
      <c r="B13" t="s">
        <v>581</v>
      </c>
      <c r="C13" t="s">
        <v>582</v>
      </c>
      <c r="D13" t="s">
        <v>593</v>
      </c>
      <c r="E13">
        <v>1</v>
      </c>
      <c r="H13">
        <v>452</v>
      </c>
      <c r="J13">
        <v>462</v>
      </c>
      <c r="L13">
        <v>2.7038872609473898</v>
      </c>
    </row>
    <row r="14" spans="1:17" x14ac:dyDescent="0.25">
      <c r="A14" t="s">
        <v>580</v>
      </c>
      <c r="B14" t="s">
        <v>581</v>
      </c>
      <c r="C14" t="s">
        <v>582</v>
      </c>
      <c r="D14" t="s">
        <v>594</v>
      </c>
      <c r="E14">
        <v>1</v>
      </c>
      <c r="H14">
        <v>465</v>
      </c>
      <c r="J14">
        <v>462</v>
      </c>
      <c r="L14">
        <v>2.7038872609473898</v>
      </c>
    </row>
    <row r="15" spans="1:17" x14ac:dyDescent="0.25">
      <c r="A15" t="s">
        <v>580</v>
      </c>
      <c r="B15" t="s">
        <v>581</v>
      </c>
      <c r="C15" t="s">
        <v>582</v>
      </c>
      <c r="D15" t="s">
        <v>595</v>
      </c>
      <c r="E15">
        <v>1</v>
      </c>
      <c r="H15">
        <v>450</v>
      </c>
      <c r="J15">
        <v>462</v>
      </c>
      <c r="L15">
        <v>2.7038872609473898</v>
      </c>
    </row>
    <row r="16" spans="1:17" x14ac:dyDescent="0.25">
      <c r="A16" t="s">
        <v>580</v>
      </c>
      <c r="B16" t="s">
        <v>581</v>
      </c>
      <c r="C16" t="s">
        <v>582</v>
      </c>
      <c r="D16" t="s">
        <v>596</v>
      </c>
      <c r="E16">
        <v>1</v>
      </c>
      <c r="H16">
        <v>446</v>
      </c>
      <c r="J16">
        <v>462</v>
      </c>
      <c r="L16">
        <v>2.7038872609473898</v>
      </c>
    </row>
    <row r="17" spans="1:12" x14ac:dyDescent="0.25">
      <c r="A17" t="s">
        <v>580</v>
      </c>
      <c r="B17" t="s">
        <v>581</v>
      </c>
      <c r="C17" t="s">
        <v>582</v>
      </c>
      <c r="D17" t="s">
        <v>597</v>
      </c>
      <c r="E17">
        <v>1</v>
      </c>
      <c r="H17">
        <v>460</v>
      </c>
      <c r="J17">
        <v>462</v>
      </c>
      <c r="L17">
        <v>2.7038872609473898</v>
      </c>
    </row>
    <row r="18" spans="1:12" x14ac:dyDescent="0.25">
      <c r="A18" t="s">
        <v>580</v>
      </c>
      <c r="B18" t="s">
        <v>581</v>
      </c>
      <c r="C18" t="s">
        <v>582</v>
      </c>
      <c r="D18" t="s">
        <v>598</v>
      </c>
      <c r="E18">
        <v>1</v>
      </c>
      <c r="H18">
        <v>472</v>
      </c>
      <c r="J18">
        <v>462</v>
      </c>
      <c r="L18">
        <v>2.7038872609473898</v>
      </c>
    </row>
    <row r="19" spans="1:12" x14ac:dyDescent="0.25">
      <c r="A19" t="s">
        <v>580</v>
      </c>
      <c r="B19" t="s">
        <v>581</v>
      </c>
      <c r="C19" t="s">
        <v>582</v>
      </c>
      <c r="D19" t="s">
        <v>599</v>
      </c>
      <c r="E19">
        <v>1</v>
      </c>
      <c r="H19">
        <v>469</v>
      </c>
      <c r="J19">
        <v>462</v>
      </c>
      <c r="L19">
        <v>2.7038872609473898</v>
      </c>
    </row>
    <row r="20" spans="1:12" x14ac:dyDescent="0.25">
      <c r="A20" t="s">
        <v>580</v>
      </c>
      <c r="B20" t="s">
        <v>581</v>
      </c>
      <c r="C20" t="s">
        <v>582</v>
      </c>
      <c r="D20" t="s">
        <v>600</v>
      </c>
      <c r="E20">
        <v>1</v>
      </c>
      <c r="H20">
        <v>466</v>
      </c>
      <c r="J20">
        <v>462</v>
      </c>
      <c r="L20">
        <v>2.7038872609473898</v>
      </c>
    </row>
    <row r="21" spans="1:12" x14ac:dyDescent="0.25">
      <c r="A21" t="s">
        <v>580</v>
      </c>
      <c r="B21" t="s">
        <v>581</v>
      </c>
      <c r="C21" t="s">
        <v>582</v>
      </c>
      <c r="D21" t="s">
        <v>601</v>
      </c>
      <c r="E21">
        <v>1</v>
      </c>
      <c r="H21">
        <v>464</v>
      </c>
      <c r="J21">
        <v>462</v>
      </c>
      <c r="L21">
        <v>2.7038872609473898</v>
      </c>
    </row>
    <row r="22" spans="1:12" x14ac:dyDescent="0.25">
      <c r="A22" t="s">
        <v>580</v>
      </c>
      <c r="B22" t="s">
        <v>581</v>
      </c>
      <c r="C22" t="s">
        <v>582</v>
      </c>
      <c r="D22" t="s">
        <v>602</v>
      </c>
      <c r="E22">
        <v>1</v>
      </c>
      <c r="H22">
        <v>454</v>
      </c>
      <c r="J22">
        <v>462</v>
      </c>
      <c r="L22">
        <v>2.7038872609473898</v>
      </c>
    </row>
    <row r="23" spans="1:12" x14ac:dyDescent="0.25">
      <c r="A23" t="s">
        <v>580</v>
      </c>
      <c r="B23" t="s">
        <v>581</v>
      </c>
      <c r="C23" t="s">
        <v>582</v>
      </c>
      <c r="D23" t="s">
        <v>603</v>
      </c>
      <c r="E23">
        <v>1</v>
      </c>
      <c r="H23">
        <v>453</v>
      </c>
      <c r="J23">
        <v>462</v>
      </c>
      <c r="L23">
        <v>2.7038872609473898</v>
      </c>
    </row>
    <row r="24" spans="1:12" x14ac:dyDescent="0.25">
      <c r="A24" t="s">
        <v>580</v>
      </c>
      <c r="B24" t="s">
        <v>581</v>
      </c>
      <c r="C24" t="s">
        <v>582</v>
      </c>
      <c r="D24" t="s">
        <v>604</v>
      </c>
      <c r="E24">
        <v>1</v>
      </c>
      <c r="H24">
        <v>491</v>
      </c>
      <c r="J24">
        <v>462</v>
      </c>
      <c r="L24">
        <v>2.7038872609473898</v>
      </c>
    </row>
    <row r="25" spans="1:12" x14ac:dyDescent="0.25">
      <c r="A25" t="s">
        <v>580</v>
      </c>
      <c r="B25" t="s">
        <v>581</v>
      </c>
      <c r="C25" t="s">
        <v>582</v>
      </c>
      <c r="D25" t="s">
        <v>605</v>
      </c>
      <c r="E25">
        <v>1</v>
      </c>
      <c r="H25">
        <v>455</v>
      </c>
      <c r="J25">
        <v>462</v>
      </c>
      <c r="L25">
        <v>2.7038872609473898</v>
      </c>
    </row>
    <row r="26" spans="1:12" x14ac:dyDescent="0.25">
      <c r="A26" t="s">
        <v>580</v>
      </c>
      <c r="B26" t="s">
        <v>581</v>
      </c>
      <c r="C26" t="s">
        <v>582</v>
      </c>
      <c r="D26" t="s">
        <v>606</v>
      </c>
      <c r="E26">
        <v>1</v>
      </c>
      <c r="H26">
        <v>483</v>
      </c>
      <c r="J26">
        <v>462</v>
      </c>
      <c r="L26">
        <v>2.7038872609473898</v>
      </c>
    </row>
    <row r="27" spans="1:12" x14ac:dyDescent="0.25">
      <c r="A27" t="s">
        <v>580</v>
      </c>
      <c r="B27" t="s">
        <v>581</v>
      </c>
      <c r="C27" t="s">
        <v>607</v>
      </c>
      <c r="D27" t="s">
        <v>606</v>
      </c>
      <c r="E27">
        <v>5</v>
      </c>
      <c r="H27">
        <v>315</v>
      </c>
      <c r="J27">
        <v>306</v>
      </c>
      <c r="L27">
        <v>4.0753526134340596</v>
      </c>
    </row>
    <row r="28" spans="1:12" x14ac:dyDescent="0.25">
      <c r="A28" t="s">
        <v>580</v>
      </c>
      <c r="B28" t="s">
        <v>581</v>
      </c>
      <c r="C28" t="s">
        <v>607</v>
      </c>
      <c r="D28" t="s">
        <v>603</v>
      </c>
      <c r="E28">
        <v>5</v>
      </c>
      <c r="H28">
        <v>294</v>
      </c>
      <c r="J28">
        <v>306</v>
      </c>
      <c r="L28">
        <v>4.0753526134340596</v>
      </c>
    </row>
    <row r="29" spans="1:12" x14ac:dyDescent="0.25">
      <c r="A29" t="s">
        <v>580</v>
      </c>
      <c r="B29" t="s">
        <v>581</v>
      </c>
      <c r="C29" t="s">
        <v>607</v>
      </c>
      <c r="D29" t="s">
        <v>588</v>
      </c>
      <c r="E29">
        <v>5</v>
      </c>
      <c r="H29">
        <v>295</v>
      </c>
      <c r="J29">
        <v>306</v>
      </c>
      <c r="L29">
        <v>4.0753526134340596</v>
      </c>
    </row>
    <row r="30" spans="1:12" x14ac:dyDescent="0.25">
      <c r="A30" t="s">
        <v>580</v>
      </c>
      <c r="B30" t="s">
        <v>581</v>
      </c>
      <c r="C30" t="s">
        <v>607</v>
      </c>
      <c r="D30" t="s">
        <v>601</v>
      </c>
      <c r="E30">
        <v>5</v>
      </c>
      <c r="H30">
        <v>303</v>
      </c>
      <c r="J30">
        <v>306</v>
      </c>
      <c r="L30">
        <v>4.0753526134340596</v>
      </c>
    </row>
    <row r="31" spans="1:12" x14ac:dyDescent="0.25">
      <c r="A31" t="s">
        <v>580</v>
      </c>
      <c r="B31" t="s">
        <v>581</v>
      </c>
      <c r="C31" t="s">
        <v>607</v>
      </c>
      <c r="D31" t="s">
        <v>584</v>
      </c>
      <c r="E31">
        <v>5</v>
      </c>
      <c r="H31">
        <v>327</v>
      </c>
      <c r="J31">
        <v>306</v>
      </c>
      <c r="L31">
        <v>4.0753526134340596</v>
      </c>
    </row>
    <row r="32" spans="1:12" x14ac:dyDescent="0.25">
      <c r="A32" t="s">
        <v>580</v>
      </c>
      <c r="B32" t="s">
        <v>581</v>
      </c>
      <c r="C32" t="s">
        <v>607</v>
      </c>
      <c r="D32" t="s">
        <v>590</v>
      </c>
      <c r="E32">
        <v>5</v>
      </c>
      <c r="H32">
        <v>305</v>
      </c>
      <c r="J32">
        <v>306</v>
      </c>
      <c r="L32">
        <v>4.0753526134340596</v>
      </c>
    </row>
    <row r="33" spans="1:12" x14ac:dyDescent="0.25">
      <c r="A33" t="s">
        <v>580</v>
      </c>
      <c r="B33" t="s">
        <v>581</v>
      </c>
      <c r="C33" t="s">
        <v>607</v>
      </c>
      <c r="D33" t="s">
        <v>585</v>
      </c>
      <c r="E33">
        <v>5</v>
      </c>
      <c r="H33">
        <v>301</v>
      </c>
      <c r="J33">
        <v>306</v>
      </c>
      <c r="L33">
        <v>4.0753526134340596</v>
      </c>
    </row>
    <row r="34" spans="1:12" x14ac:dyDescent="0.25">
      <c r="A34" t="s">
        <v>580</v>
      </c>
      <c r="B34" t="s">
        <v>581</v>
      </c>
      <c r="C34" t="s">
        <v>607</v>
      </c>
      <c r="D34" t="s">
        <v>586</v>
      </c>
      <c r="E34">
        <v>5</v>
      </c>
      <c r="H34">
        <v>308</v>
      </c>
      <c r="J34">
        <v>306</v>
      </c>
      <c r="L34">
        <v>4.0753526134340596</v>
      </c>
    </row>
    <row r="35" spans="1:12" x14ac:dyDescent="0.25">
      <c r="A35" t="s">
        <v>580</v>
      </c>
      <c r="B35" t="s">
        <v>581</v>
      </c>
      <c r="C35" t="s">
        <v>607</v>
      </c>
      <c r="D35" t="s">
        <v>591</v>
      </c>
      <c r="E35">
        <v>5</v>
      </c>
      <c r="H35">
        <v>317</v>
      </c>
      <c r="J35">
        <v>306</v>
      </c>
      <c r="L35">
        <v>4.0753526134340596</v>
      </c>
    </row>
    <row r="36" spans="1:12" x14ac:dyDescent="0.25">
      <c r="A36" t="s">
        <v>580</v>
      </c>
      <c r="B36" t="s">
        <v>581</v>
      </c>
      <c r="C36" t="s">
        <v>607</v>
      </c>
      <c r="D36" t="s">
        <v>598</v>
      </c>
      <c r="E36">
        <v>5</v>
      </c>
      <c r="H36">
        <v>297</v>
      </c>
      <c r="J36">
        <v>306</v>
      </c>
      <c r="L36">
        <v>4.0753526134340596</v>
      </c>
    </row>
    <row r="37" spans="1:12" x14ac:dyDescent="0.25">
      <c r="A37" t="s">
        <v>580</v>
      </c>
      <c r="B37" t="s">
        <v>581</v>
      </c>
      <c r="C37" t="s">
        <v>607</v>
      </c>
      <c r="D37" t="s">
        <v>587</v>
      </c>
      <c r="E37">
        <v>5</v>
      </c>
      <c r="H37">
        <v>310</v>
      </c>
      <c r="J37">
        <v>306</v>
      </c>
      <c r="L37">
        <v>4.0753526134340596</v>
      </c>
    </row>
    <row r="38" spans="1:12" x14ac:dyDescent="0.25">
      <c r="A38" t="s">
        <v>580</v>
      </c>
      <c r="B38" t="s">
        <v>581</v>
      </c>
      <c r="C38" t="s">
        <v>607</v>
      </c>
      <c r="D38" t="s">
        <v>596</v>
      </c>
      <c r="E38">
        <v>5</v>
      </c>
      <c r="H38">
        <v>310</v>
      </c>
      <c r="J38">
        <v>306</v>
      </c>
      <c r="L38">
        <v>4.0753526134340596</v>
      </c>
    </row>
    <row r="39" spans="1:12" x14ac:dyDescent="0.25">
      <c r="A39" t="s">
        <v>580</v>
      </c>
      <c r="B39" t="s">
        <v>581</v>
      </c>
      <c r="C39" t="s">
        <v>607</v>
      </c>
      <c r="D39" t="s">
        <v>592</v>
      </c>
      <c r="E39">
        <v>5</v>
      </c>
      <c r="H39">
        <v>299</v>
      </c>
      <c r="J39">
        <v>306</v>
      </c>
      <c r="L39">
        <v>4.0753526134340596</v>
      </c>
    </row>
    <row r="40" spans="1:12" x14ac:dyDescent="0.25">
      <c r="A40" t="s">
        <v>580</v>
      </c>
      <c r="B40" t="s">
        <v>581</v>
      </c>
      <c r="C40" t="s">
        <v>607</v>
      </c>
      <c r="D40" t="s">
        <v>589</v>
      </c>
      <c r="E40">
        <v>5</v>
      </c>
      <c r="H40">
        <v>308</v>
      </c>
      <c r="J40">
        <v>306</v>
      </c>
      <c r="L40">
        <v>4.0753526134340596</v>
      </c>
    </row>
    <row r="41" spans="1:12" x14ac:dyDescent="0.25">
      <c r="A41" t="s">
        <v>580</v>
      </c>
      <c r="B41" t="s">
        <v>581</v>
      </c>
      <c r="C41" t="s">
        <v>607</v>
      </c>
      <c r="D41" t="s">
        <v>597</v>
      </c>
      <c r="E41">
        <v>5</v>
      </c>
      <c r="H41">
        <v>295</v>
      </c>
      <c r="J41">
        <v>306</v>
      </c>
      <c r="L41">
        <v>4.0753526134340596</v>
      </c>
    </row>
    <row r="42" spans="1:12" x14ac:dyDescent="0.25">
      <c r="A42" t="s">
        <v>580</v>
      </c>
      <c r="B42" t="s">
        <v>581</v>
      </c>
      <c r="C42" t="s">
        <v>607</v>
      </c>
      <c r="D42" t="s">
        <v>583</v>
      </c>
      <c r="E42">
        <v>5</v>
      </c>
      <c r="H42">
        <v>288</v>
      </c>
      <c r="J42">
        <v>306</v>
      </c>
      <c r="L42">
        <v>4.0753526134340596</v>
      </c>
    </row>
    <row r="43" spans="1:12" x14ac:dyDescent="0.25">
      <c r="A43" t="s">
        <v>580</v>
      </c>
      <c r="B43" t="s">
        <v>581</v>
      </c>
      <c r="C43" t="s">
        <v>607</v>
      </c>
      <c r="D43" t="s">
        <v>595</v>
      </c>
      <c r="E43">
        <v>5</v>
      </c>
      <c r="H43">
        <v>299</v>
      </c>
      <c r="J43">
        <v>306</v>
      </c>
      <c r="L43">
        <v>4.0753526134340596</v>
      </c>
    </row>
    <row r="44" spans="1:12" x14ac:dyDescent="0.25">
      <c r="A44" t="s">
        <v>580</v>
      </c>
      <c r="B44" t="s">
        <v>581</v>
      </c>
      <c r="C44" t="s">
        <v>607</v>
      </c>
      <c r="D44" t="s">
        <v>604</v>
      </c>
      <c r="E44">
        <v>5</v>
      </c>
      <c r="H44">
        <v>338</v>
      </c>
      <c r="J44">
        <v>306</v>
      </c>
      <c r="L44">
        <v>4.0753526134340596</v>
      </c>
    </row>
    <row r="45" spans="1:12" x14ac:dyDescent="0.25">
      <c r="A45" t="s">
        <v>580</v>
      </c>
      <c r="B45" t="s">
        <v>581</v>
      </c>
      <c r="C45" t="s">
        <v>607</v>
      </c>
      <c r="D45" t="s">
        <v>593</v>
      </c>
      <c r="E45">
        <v>5</v>
      </c>
      <c r="H45">
        <v>290</v>
      </c>
      <c r="J45">
        <v>306</v>
      </c>
      <c r="L45">
        <v>4.0753526134340596</v>
      </c>
    </row>
    <row r="46" spans="1:12" x14ac:dyDescent="0.25">
      <c r="A46" t="s">
        <v>580</v>
      </c>
      <c r="B46" t="s">
        <v>581</v>
      </c>
      <c r="C46" t="s">
        <v>607</v>
      </c>
      <c r="D46" t="s">
        <v>605</v>
      </c>
      <c r="E46">
        <v>5</v>
      </c>
      <c r="H46">
        <v>315</v>
      </c>
      <c r="J46">
        <v>306</v>
      </c>
      <c r="L46">
        <v>4.0753526134340596</v>
      </c>
    </row>
    <row r="47" spans="1:12" x14ac:dyDescent="0.25">
      <c r="A47" t="s">
        <v>580</v>
      </c>
      <c r="B47" t="s">
        <v>581</v>
      </c>
      <c r="C47" t="s">
        <v>607</v>
      </c>
      <c r="D47" t="s">
        <v>600</v>
      </c>
      <c r="E47">
        <v>5</v>
      </c>
      <c r="H47">
        <v>318</v>
      </c>
      <c r="J47">
        <v>306</v>
      </c>
      <c r="L47">
        <v>4.0753526134340596</v>
      </c>
    </row>
    <row r="48" spans="1:12" x14ac:dyDescent="0.25">
      <c r="A48" t="s">
        <v>580</v>
      </c>
      <c r="B48" t="s">
        <v>581</v>
      </c>
      <c r="C48" t="s">
        <v>607</v>
      </c>
      <c r="D48" t="s">
        <v>594</v>
      </c>
      <c r="E48">
        <v>5</v>
      </c>
      <c r="H48">
        <v>303</v>
      </c>
      <c r="J48">
        <v>306</v>
      </c>
      <c r="L48">
        <v>4.0753526134340596</v>
      </c>
    </row>
    <row r="49" spans="1:12" x14ac:dyDescent="0.25">
      <c r="A49" t="s">
        <v>580</v>
      </c>
      <c r="B49" t="s">
        <v>581</v>
      </c>
      <c r="C49" t="s">
        <v>607</v>
      </c>
      <c r="D49" t="s">
        <v>602</v>
      </c>
      <c r="E49">
        <v>5</v>
      </c>
      <c r="H49">
        <v>294</v>
      </c>
      <c r="J49">
        <v>306</v>
      </c>
      <c r="L49">
        <v>4.0753526134340596</v>
      </c>
    </row>
    <row r="50" spans="1:12" x14ac:dyDescent="0.25">
      <c r="A50" t="s">
        <v>580</v>
      </c>
      <c r="B50" t="s">
        <v>581</v>
      </c>
      <c r="C50" t="s">
        <v>607</v>
      </c>
      <c r="D50" t="s">
        <v>599</v>
      </c>
      <c r="E50">
        <v>5</v>
      </c>
      <c r="H50">
        <v>324</v>
      </c>
      <c r="J50">
        <v>306</v>
      </c>
      <c r="L50">
        <v>4.0753526134340596</v>
      </c>
    </row>
    <row r="51" spans="1:12" x14ac:dyDescent="0.25">
      <c r="A51" t="s">
        <v>580</v>
      </c>
      <c r="B51" t="s">
        <v>581</v>
      </c>
      <c r="C51" t="s">
        <v>608</v>
      </c>
      <c r="D51" t="s">
        <v>601</v>
      </c>
      <c r="E51">
        <v>9</v>
      </c>
      <c r="H51">
        <v>515</v>
      </c>
      <c r="J51">
        <v>531</v>
      </c>
      <c r="L51">
        <v>4.1616936545413603</v>
      </c>
    </row>
    <row r="52" spans="1:12" x14ac:dyDescent="0.25">
      <c r="A52" t="s">
        <v>580</v>
      </c>
      <c r="B52" t="s">
        <v>581</v>
      </c>
      <c r="C52" t="s">
        <v>608</v>
      </c>
      <c r="D52" t="s">
        <v>589</v>
      </c>
      <c r="E52">
        <v>9</v>
      </c>
      <c r="H52">
        <v>544</v>
      </c>
      <c r="J52">
        <v>531</v>
      </c>
      <c r="L52">
        <v>4.1616936545413603</v>
      </c>
    </row>
    <row r="53" spans="1:12" x14ac:dyDescent="0.25">
      <c r="A53" t="s">
        <v>580</v>
      </c>
      <c r="B53" t="s">
        <v>581</v>
      </c>
      <c r="C53" t="s">
        <v>608</v>
      </c>
      <c r="D53" t="s">
        <v>590</v>
      </c>
      <c r="E53">
        <v>9</v>
      </c>
      <c r="H53">
        <v>572</v>
      </c>
      <c r="J53">
        <v>531</v>
      </c>
      <c r="L53">
        <v>4.1616936545413603</v>
      </c>
    </row>
    <row r="54" spans="1:12" x14ac:dyDescent="0.25">
      <c r="A54" t="s">
        <v>580</v>
      </c>
      <c r="B54" t="s">
        <v>581</v>
      </c>
      <c r="C54" t="s">
        <v>608</v>
      </c>
      <c r="D54" t="s">
        <v>592</v>
      </c>
      <c r="E54">
        <v>9</v>
      </c>
      <c r="H54">
        <v>557</v>
      </c>
      <c r="J54">
        <v>531</v>
      </c>
      <c r="L54">
        <v>4.1616936545413603</v>
      </c>
    </row>
    <row r="55" spans="1:12" x14ac:dyDescent="0.25">
      <c r="A55" t="s">
        <v>580</v>
      </c>
      <c r="B55" t="s">
        <v>581</v>
      </c>
      <c r="C55" t="s">
        <v>608</v>
      </c>
      <c r="D55" t="s">
        <v>606</v>
      </c>
      <c r="E55">
        <v>9</v>
      </c>
      <c r="H55">
        <v>540</v>
      </c>
      <c r="J55">
        <v>531</v>
      </c>
      <c r="L55">
        <v>4.1616936545413603</v>
      </c>
    </row>
    <row r="56" spans="1:12" x14ac:dyDescent="0.25">
      <c r="A56" t="s">
        <v>580</v>
      </c>
      <c r="B56" t="s">
        <v>581</v>
      </c>
      <c r="C56" t="s">
        <v>608</v>
      </c>
      <c r="D56" t="s">
        <v>603</v>
      </c>
      <c r="E56">
        <v>9</v>
      </c>
      <c r="H56">
        <v>519</v>
      </c>
      <c r="J56">
        <v>531</v>
      </c>
      <c r="L56">
        <v>4.1616936545413603</v>
      </c>
    </row>
    <row r="57" spans="1:12" x14ac:dyDescent="0.25">
      <c r="A57" t="s">
        <v>580</v>
      </c>
      <c r="B57" t="s">
        <v>581</v>
      </c>
      <c r="C57" t="s">
        <v>608</v>
      </c>
      <c r="D57" t="s">
        <v>597</v>
      </c>
      <c r="E57">
        <v>9</v>
      </c>
      <c r="H57">
        <v>547</v>
      </c>
      <c r="J57">
        <v>531</v>
      </c>
      <c r="L57">
        <v>4.1616936545413603</v>
      </c>
    </row>
    <row r="58" spans="1:12" x14ac:dyDescent="0.25">
      <c r="A58" t="s">
        <v>580</v>
      </c>
      <c r="B58" t="s">
        <v>581</v>
      </c>
      <c r="C58" t="s">
        <v>608</v>
      </c>
      <c r="D58" t="s">
        <v>583</v>
      </c>
      <c r="E58">
        <v>9</v>
      </c>
      <c r="H58">
        <v>516</v>
      </c>
      <c r="J58">
        <v>531</v>
      </c>
      <c r="L58">
        <v>4.1616936545413603</v>
      </c>
    </row>
    <row r="59" spans="1:12" x14ac:dyDescent="0.25">
      <c r="A59" t="s">
        <v>580</v>
      </c>
      <c r="B59" t="s">
        <v>581</v>
      </c>
      <c r="C59" t="s">
        <v>608</v>
      </c>
      <c r="D59" t="s">
        <v>595</v>
      </c>
      <c r="E59">
        <v>9</v>
      </c>
      <c r="H59">
        <v>504</v>
      </c>
      <c r="J59">
        <v>531</v>
      </c>
      <c r="L59">
        <v>4.1616936545413603</v>
      </c>
    </row>
    <row r="60" spans="1:12" x14ac:dyDescent="0.25">
      <c r="A60" t="s">
        <v>580</v>
      </c>
      <c r="B60" t="s">
        <v>581</v>
      </c>
      <c r="C60" t="s">
        <v>608</v>
      </c>
      <c r="D60" t="s">
        <v>586</v>
      </c>
      <c r="E60">
        <v>9</v>
      </c>
      <c r="H60">
        <v>537</v>
      </c>
      <c r="J60">
        <v>531</v>
      </c>
      <c r="L60">
        <v>4.1616936545413603</v>
      </c>
    </row>
    <row r="61" spans="1:12" x14ac:dyDescent="0.25">
      <c r="A61" t="s">
        <v>580</v>
      </c>
      <c r="B61" t="s">
        <v>581</v>
      </c>
      <c r="C61" t="s">
        <v>608</v>
      </c>
      <c r="D61" t="s">
        <v>598</v>
      </c>
      <c r="E61">
        <v>9</v>
      </c>
      <c r="H61">
        <v>538</v>
      </c>
      <c r="J61">
        <v>531</v>
      </c>
      <c r="L61">
        <v>4.1616936545413603</v>
      </c>
    </row>
    <row r="62" spans="1:12" x14ac:dyDescent="0.25">
      <c r="A62" t="s">
        <v>580</v>
      </c>
      <c r="B62" t="s">
        <v>581</v>
      </c>
      <c r="C62" t="s">
        <v>608</v>
      </c>
      <c r="D62" t="s">
        <v>587</v>
      </c>
      <c r="E62">
        <v>9</v>
      </c>
      <c r="H62">
        <v>519</v>
      </c>
      <c r="J62">
        <v>531</v>
      </c>
      <c r="L62">
        <v>4.1616936545413603</v>
      </c>
    </row>
    <row r="63" spans="1:12" x14ac:dyDescent="0.25">
      <c r="A63" t="s">
        <v>580</v>
      </c>
      <c r="B63" t="s">
        <v>581</v>
      </c>
      <c r="C63" t="s">
        <v>608</v>
      </c>
      <c r="D63" t="s">
        <v>596</v>
      </c>
      <c r="E63">
        <v>9</v>
      </c>
      <c r="H63">
        <v>558</v>
      </c>
      <c r="J63">
        <v>531</v>
      </c>
      <c r="L63">
        <v>4.1616936545413603</v>
      </c>
    </row>
    <row r="64" spans="1:12" x14ac:dyDescent="0.25">
      <c r="A64" t="s">
        <v>580</v>
      </c>
      <c r="B64" t="s">
        <v>581</v>
      </c>
      <c r="C64" t="s">
        <v>608</v>
      </c>
      <c r="D64" t="s">
        <v>599</v>
      </c>
      <c r="E64">
        <v>9</v>
      </c>
      <c r="H64">
        <v>521</v>
      </c>
      <c r="J64">
        <v>531</v>
      </c>
      <c r="L64">
        <v>4.1616936545413603</v>
      </c>
    </row>
    <row r="65" spans="1:12" x14ac:dyDescent="0.25">
      <c r="A65" t="s">
        <v>580</v>
      </c>
      <c r="B65" t="s">
        <v>581</v>
      </c>
      <c r="C65" t="s">
        <v>608</v>
      </c>
      <c r="D65" t="s">
        <v>600</v>
      </c>
      <c r="E65">
        <v>9</v>
      </c>
      <c r="H65">
        <v>532</v>
      </c>
      <c r="J65">
        <v>531</v>
      </c>
      <c r="L65">
        <v>4.1616936545413603</v>
      </c>
    </row>
    <row r="66" spans="1:12" x14ac:dyDescent="0.25">
      <c r="A66" t="s">
        <v>580</v>
      </c>
      <c r="B66" t="s">
        <v>581</v>
      </c>
      <c r="C66" t="s">
        <v>608</v>
      </c>
      <c r="D66" t="s">
        <v>591</v>
      </c>
      <c r="E66">
        <v>9</v>
      </c>
      <c r="H66">
        <v>566</v>
      </c>
      <c r="J66">
        <v>531</v>
      </c>
      <c r="L66">
        <v>4.1616936545413603</v>
      </c>
    </row>
    <row r="67" spans="1:12" x14ac:dyDescent="0.25">
      <c r="A67" t="s">
        <v>580</v>
      </c>
      <c r="B67" t="s">
        <v>581</v>
      </c>
      <c r="C67" t="s">
        <v>608</v>
      </c>
      <c r="D67" t="s">
        <v>602</v>
      </c>
      <c r="E67">
        <v>9</v>
      </c>
      <c r="H67">
        <v>483</v>
      </c>
      <c r="J67">
        <v>531</v>
      </c>
      <c r="L67">
        <v>4.1616936545413603</v>
      </c>
    </row>
    <row r="68" spans="1:12" x14ac:dyDescent="0.25">
      <c r="A68" t="s">
        <v>580</v>
      </c>
      <c r="B68" t="s">
        <v>581</v>
      </c>
      <c r="C68" t="s">
        <v>608</v>
      </c>
      <c r="D68" t="s">
        <v>604</v>
      </c>
      <c r="E68">
        <v>9</v>
      </c>
      <c r="H68">
        <v>560</v>
      </c>
      <c r="J68">
        <v>531</v>
      </c>
      <c r="L68">
        <v>4.1616936545413603</v>
      </c>
    </row>
    <row r="69" spans="1:12" x14ac:dyDescent="0.25">
      <c r="A69" t="s">
        <v>580</v>
      </c>
      <c r="B69" t="s">
        <v>581</v>
      </c>
      <c r="C69" t="s">
        <v>608</v>
      </c>
      <c r="D69" t="s">
        <v>593</v>
      </c>
      <c r="E69">
        <v>9</v>
      </c>
      <c r="H69">
        <v>518</v>
      </c>
      <c r="J69">
        <v>531</v>
      </c>
      <c r="L69">
        <v>4.1616936545413603</v>
      </c>
    </row>
    <row r="70" spans="1:12" x14ac:dyDescent="0.25">
      <c r="A70" t="s">
        <v>580</v>
      </c>
      <c r="B70" t="s">
        <v>581</v>
      </c>
      <c r="C70" t="s">
        <v>608</v>
      </c>
      <c r="D70" t="s">
        <v>605</v>
      </c>
      <c r="E70">
        <v>9</v>
      </c>
      <c r="H70">
        <v>507</v>
      </c>
      <c r="J70">
        <v>531</v>
      </c>
      <c r="L70">
        <v>4.1616936545413603</v>
      </c>
    </row>
    <row r="71" spans="1:12" x14ac:dyDescent="0.25">
      <c r="A71" t="s">
        <v>580</v>
      </c>
      <c r="B71" t="s">
        <v>581</v>
      </c>
      <c r="C71" t="s">
        <v>608</v>
      </c>
      <c r="D71" t="s">
        <v>588</v>
      </c>
      <c r="E71">
        <v>9</v>
      </c>
      <c r="H71">
        <v>514</v>
      </c>
      <c r="J71">
        <v>531</v>
      </c>
      <c r="L71">
        <v>4.1616936545413603</v>
      </c>
    </row>
    <row r="72" spans="1:12" x14ac:dyDescent="0.25">
      <c r="A72" t="s">
        <v>580</v>
      </c>
      <c r="B72" t="s">
        <v>581</v>
      </c>
      <c r="C72" t="s">
        <v>608</v>
      </c>
      <c r="D72" t="s">
        <v>594</v>
      </c>
      <c r="E72">
        <v>9</v>
      </c>
      <c r="H72">
        <v>509</v>
      </c>
      <c r="J72">
        <v>531</v>
      </c>
      <c r="L72">
        <v>4.1616936545413603</v>
      </c>
    </row>
    <row r="73" spans="1:12" x14ac:dyDescent="0.25">
      <c r="A73" t="s">
        <v>580</v>
      </c>
      <c r="B73" t="s">
        <v>581</v>
      </c>
      <c r="C73" t="s">
        <v>608</v>
      </c>
      <c r="D73" t="s">
        <v>585</v>
      </c>
      <c r="E73">
        <v>9</v>
      </c>
      <c r="H73">
        <v>539</v>
      </c>
      <c r="J73">
        <v>531</v>
      </c>
      <c r="L73">
        <v>4.1616936545413603</v>
      </c>
    </row>
    <row r="74" spans="1:12" x14ac:dyDescent="0.25">
      <c r="A74" t="s">
        <v>580</v>
      </c>
      <c r="B74" t="s">
        <v>581</v>
      </c>
      <c r="C74" t="s">
        <v>608</v>
      </c>
      <c r="D74" t="s">
        <v>584</v>
      </c>
      <c r="E74">
        <v>9</v>
      </c>
      <c r="H74">
        <v>529</v>
      </c>
      <c r="J74">
        <v>531</v>
      </c>
      <c r="L74">
        <v>4.1616936545413603</v>
      </c>
    </row>
    <row r="75" spans="1:12" x14ac:dyDescent="0.25">
      <c r="A75" t="s">
        <v>580</v>
      </c>
      <c r="B75" t="s">
        <v>581</v>
      </c>
      <c r="C75" t="s">
        <v>609</v>
      </c>
      <c r="D75" t="s">
        <v>585</v>
      </c>
      <c r="E75">
        <v>2</v>
      </c>
      <c r="H75">
        <v>1314</v>
      </c>
      <c r="J75">
        <v>1341</v>
      </c>
      <c r="L75">
        <v>3.05103565934985</v>
      </c>
    </row>
    <row r="76" spans="1:12" x14ac:dyDescent="0.25">
      <c r="A76" t="s">
        <v>580</v>
      </c>
      <c r="B76" t="s">
        <v>581</v>
      </c>
      <c r="C76" t="s">
        <v>609</v>
      </c>
      <c r="D76" t="s">
        <v>588</v>
      </c>
      <c r="E76">
        <v>2</v>
      </c>
      <c r="H76">
        <v>1312</v>
      </c>
      <c r="J76">
        <v>1341</v>
      </c>
      <c r="L76">
        <v>3.05103565934985</v>
      </c>
    </row>
    <row r="77" spans="1:12" x14ac:dyDescent="0.25">
      <c r="A77" t="s">
        <v>580</v>
      </c>
      <c r="B77" t="s">
        <v>581</v>
      </c>
      <c r="C77" t="s">
        <v>609</v>
      </c>
      <c r="D77" t="s">
        <v>590</v>
      </c>
      <c r="E77">
        <v>2</v>
      </c>
      <c r="H77">
        <v>1319</v>
      </c>
      <c r="J77">
        <v>1341</v>
      </c>
      <c r="L77">
        <v>3.05103565934985</v>
      </c>
    </row>
    <row r="78" spans="1:12" x14ac:dyDescent="0.25">
      <c r="A78" t="s">
        <v>580</v>
      </c>
      <c r="B78" t="s">
        <v>581</v>
      </c>
      <c r="C78" t="s">
        <v>609</v>
      </c>
      <c r="D78" t="s">
        <v>584</v>
      </c>
      <c r="E78">
        <v>2</v>
      </c>
      <c r="H78">
        <v>1367</v>
      </c>
      <c r="J78">
        <v>1341</v>
      </c>
      <c r="L78">
        <v>3.05103565934985</v>
      </c>
    </row>
    <row r="79" spans="1:12" x14ac:dyDescent="0.25">
      <c r="A79" t="s">
        <v>580</v>
      </c>
      <c r="B79" t="s">
        <v>581</v>
      </c>
      <c r="C79" t="s">
        <v>609</v>
      </c>
      <c r="D79" t="s">
        <v>587</v>
      </c>
      <c r="E79">
        <v>2</v>
      </c>
      <c r="H79">
        <v>1389</v>
      </c>
      <c r="J79">
        <v>1341</v>
      </c>
      <c r="L79">
        <v>3.05103565934985</v>
      </c>
    </row>
    <row r="80" spans="1:12" x14ac:dyDescent="0.25">
      <c r="A80" t="s">
        <v>580</v>
      </c>
      <c r="B80" t="s">
        <v>581</v>
      </c>
      <c r="C80" t="s">
        <v>609</v>
      </c>
      <c r="D80" t="s">
        <v>596</v>
      </c>
      <c r="E80">
        <v>2</v>
      </c>
      <c r="H80">
        <v>1314</v>
      </c>
      <c r="J80">
        <v>1341</v>
      </c>
      <c r="L80">
        <v>3.05103565934985</v>
      </c>
    </row>
    <row r="81" spans="1:12" x14ac:dyDescent="0.25">
      <c r="A81" t="s">
        <v>580</v>
      </c>
      <c r="B81" t="s">
        <v>581</v>
      </c>
      <c r="C81" t="s">
        <v>609</v>
      </c>
      <c r="D81" t="s">
        <v>589</v>
      </c>
      <c r="E81">
        <v>2</v>
      </c>
      <c r="H81">
        <v>1371</v>
      </c>
      <c r="J81">
        <v>1341</v>
      </c>
      <c r="L81">
        <v>3.05103565934985</v>
      </c>
    </row>
    <row r="82" spans="1:12" x14ac:dyDescent="0.25">
      <c r="A82" t="s">
        <v>580</v>
      </c>
      <c r="B82" t="s">
        <v>581</v>
      </c>
      <c r="C82" t="s">
        <v>609</v>
      </c>
      <c r="D82" t="s">
        <v>586</v>
      </c>
      <c r="E82">
        <v>2</v>
      </c>
      <c r="H82">
        <v>1331</v>
      </c>
      <c r="J82">
        <v>1341</v>
      </c>
      <c r="L82">
        <v>3.05103565934985</v>
      </c>
    </row>
    <row r="83" spans="1:12" x14ac:dyDescent="0.25">
      <c r="A83" t="s">
        <v>580</v>
      </c>
      <c r="B83" t="s">
        <v>581</v>
      </c>
      <c r="C83" t="s">
        <v>609</v>
      </c>
      <c r="D83" t="s">
        <v>598</v>
      </c>
      <c r="E83">
        <v>2</v>
      </c>
      <c r="H83">
        <v>1334</v>
      </c>
      <c r="J83">
        <v>1341</v>
      </c>
      <c r="L83">
        <v>3.05103565934985</v>
      </c>
    </row>
    <row r="84" spans="1:12" x14ac:dyDescent="0.25">
      <c r="A84" t="s">
        <v>580</v>
      </c>
      <c r="B84" t="s">
        <v>581</v>
      </c>
      <c r="C84" t="s">
        <v>609</v>
      </c>
      <c r="D84" t="s">
        <v>595</v>
      </c>
      <c r="E84">
        <v>2</v>
      </c>
      <c r="H84">
        <v>1320</v>
      </c>
      <c r="J84">
        <v>1341</v>
      </c>
      <c r="L84">
        <v>3.05103565934985</v>
      </c>
    </row>
    <row r="85" spans="1:12" x14ac:dyDescent="0.25">
      <c r="A85" t="s">
        <v>580</v>
      </c>
      <c r="B85" t="s">
        <v>581</v>
      </c>
      <c r="C85" t="s">
        <v>609</v>
      </c>
      <c r="D85" t="s">
        <v>583</v>
      </c>
      <c r="E85">
        <v>2</v>
      </c>
      <c r="H85">
        <v>1357</v>
      </c>
      <c r="J85">
        <v>1341</v>
      </c>
      <c r="L85">
        <v>3.05103565934985</v>
      </c>
    </row>
    <row r="86" spans="1:12" x14ac:dyDescent="0.25">
      <c r="A86" t="s">
        <v>580</v>
      </c>
      <c r="B86" t="s">
        <v>581</v>
      </c>
      <c r="C86" t="s">
        <v>609</v>
      </c>
      <c r="D86" t="s">
        <v>592</v>
      </c>
      <c r="E86">
        <v>2</v>
      </c>
      <c r="H86">
        <v>1353</v>
      </c>
      <c r="J86">
        <v>1341</v>
      </c>
      <c r="L86">
        <v>3.05103565934985</v>
      </c>
    </row>
    <row r="87" spans="1:12" x14ac:dyDescent="0.25">
      <c r="A87" t="s">
        <v>580</v>
      </c>
      <c r="B87" t="s">
        <v>581</v>
      </c>
      <c r="C87" t="s">
        <v>609</v>
      </c>
      <c r="D87" t="s">
        <v>591</v>
      </c>
      <c r="E87">
        <v>2</v>
      </c>
      <c r="H87">
        <v>1352</v>
      </c>
      <c r="J87">
        <v>1341</v>
      </c>
      <c r="L87">
        <v>3.05103565934985</v>
      </c>
    </row>
    <row r="88" spans="1:12" x14ac:dyDescent="0.25">
      <c r="A88" t="s">
        <v>580</v>
      </c>
      <c r="B88" t="s">
        <v>581</v>
      </c>
      <c r="C88" t="s">
        <v>609</v>
      </c>
      <c r="D88" t="s">
        <v>593</v>
      </c>
      <c r="E88">
        <v>2</v>
      </c>
      <c r="H88">
        <v>1324</v>
      </c>
      <c r="J88">
        <v>1341</v>
      </c>
      <c r="L88">
        <v>3.05103565934985</v>
      </c>
    </row>
    <row r="89" spans="1:12" x14ac:dyDescent="0.25">
      <c r="A89" t="s">
        <v>580</v>
      </c>
      <c r="B89" t="s">
        <v>581</v>
      </c>
      <c r="C89" t="s">
        <v>609</v>
      </c>
      <c r="D89" t="s">
        <v>597</v>
      </c>
      <c r="E89">
        <v>2</v>
      </c>
      <c r="H89">
        <v>1263</v>
      </c>
      <c r="J89">
        <v>1341</v>
      </c>
      <c r="L89">
        <v>3.05103565934985</v>
      </c>
    </row>
    <row r="90" spans="1:12" x14ac:dyDescent="0.25">
      <c r="A90" t="s">
        <v>580</v>
      </c>
      <c r="B90" t="s">
        <v>581</v>
      </c>
      <c r="C90" t="s">
        <v>609</v>
      </c>
      <c r="D90" t="s">
        <v>594</v>
      </c>
      <c r="E90">
        <v>2</v>
      </c>
      <c r="H90">
        <v>1346</v>
      </c>
      <c r="J90">
        <v>1341</v>
      </c>
      <c r="L90">
        <v>3.05103565934985</v>
      </c>
    </row>
    <row r="91" spans="1:12" x14ac:dyDescent="0.25">
      <c r="A91" t="s">
        <v>580</v>
      </c>
      <c r="B91" t="s">
        <v>581</v>
      </c>
      <c r="C91" t="s">
        <v>609</v>
      </c>
      <c r="D91" t="s">
        <v>602</v>
      </c>
      <c r="E91">
        <v>2</v>
      </c>
      <c r="H91">
        <v>1361</v>
      </c>
      <c r="J91">
        <v>1341</v>
      </c>
      <c r="L91">
        <v>3.05103565934985</v>
      </c>
    </row>
    <row r="92" spans="1:12" x14ac:dyDescent="0.25">
      <c r="A92" t="s">
        <v>580</v>
      </c>
      <c r="B92" t="s">
        <v>581</v>
      </c>
      <c r="C92" t="s">
        <v>609</v>
      </c>
      <c r="D92" t="s">
        <v>601</v>
      </c>
      <c r="E92">
        <v>2</v>
      </c>
      <c r="H92">
        <v>1326</v>
      </c>
      <c r="J92">
        <v>1341</v>
      </c>
      <c r="L92">
        <v>3.05103565934985</v>
      </c>
    </row>
    <row r="93" spans="1:12" x14ac:dyDescent="0.25">
      <c r="A93" t="s">
        <v>580</v>
      </c>
      <c r="B93" t="s">
        <v>581</v>
      </c>
      <c r="C93" t="s">
        <v>609</v>
      </c>
      <c r="D93" t="s">
        <v>600</v>
      </c>
      <c r="E93">
        <v>2</v>
      </c>
      <c r="H93">
        <v>1381</v>
      </c>
      <c r="J93">
        <v>1341</v>
      </c>
      <c r="L93">
        <v>3.05103565934985</v>
      </c>
    </row>
    <row r="94" spans="1:12" x14ac:dyDescent="0.25">
      <c r="A94" t="s">
        <v>580</v>
      </c>
      <c r="B94" t="s">
        <v>581</v>
      </c>
      <c r="C94" t="s">
        <v>609</v>
      </c>
      <c r="D94" t="s">
        <v>606</v>
      </c>
      <c r="E94">
        <v>2</v>
      </c>
      <c r="H94">
        <v>1343</v>
      </c>
      <c r="J94">
        <v>1341</v>
      </c>
      <c r="L94">
        <v>3.05103565934985</v>
      </c>
    </row>
    <row r="95" spans="1:12" x14ac:dyDescent="0.25">
      <c r="A95" t="s">
        <v>580</v>
      </c>
      <c r="B95" t="s">
        <v>581</v>
      </c>
      <c r="C95" t="s">
        <v>609</v>
      </c>
      <c r="D95" t="s">
        <v>605</v>
      </c>
      <c r="E95">
        <v>2</v>
      </c>
      <c r="H95">
        <v>1371</v>
      </c>
      <c r="J95">
        <v>1341</v>
      </c>
      <c r="L95">
        <v>3.05103565934985</v>
      </c>
    </row>
    <row r="96" spans="1:12" x14ac:dyDescent="0.25">
      <c r="A96" t="s">
        <v>580</v>
      </c>
      <c r="B96" t="s">
        <v>581</v>
      </c>
      <c r="C96" t="s">
        <v>609</v>
      </c>
      <c r="D96" t="s">
        <v>604</v>
      </c>
      <c r="E96">
        <v>2</v>
      </c>
      <c r="H96">
        <v>1461</v>
      </c>
      <c r="J96">
        <v>1341</v>
      </c>
      <c r="L96">
        <v>3.05103565934985</v>
      </c>
    </row>
    <row r="97" spans="1:12" x14ac:dyDescent="0.25">
      <c r="A97" t="s">
        <v>580</v>
      </c>
      <c r="B97" t="s">
        <v>581</v>
      </c>
      <c r="C97" t="s">
        <v>609</v>
      </c>
      <c r="D97" t="s">
        <v>599</v>
      </c>
      <c r="E97">
        <v>2</v>
      </c>
      <c r="H97">
        <v>1272</v>
      </c>
      <c r="J97">
        <v>1341</v>
      </c>
      <c r="L97">
        <v>3.05103565934985</v>
      </c>
    </row>
    <row r="98" spans="1:12" x14ac:dyDescent="0.25">
      <c r="A98" t="s">
        <v>580</v>
      </c>
      <c r="B98" t="s">
        <v>581</v>
      </c>
      <c r="C98" t="s">
        <v>609</v>
      </c>
      <c r="D98" t="s">
        <v>603</v>
      </c>
      <c r="E98">
        <v>2</v>
      </c>
      <c r="H98">
        <v>1296</v>
      </c>
      <c r="J98">
        <v>1341</v>
      </c>
      <c r="L98">
        <v>3.05103565934985</v>
      </c>
    </row>
    <row r="99" spans="1:12" x14ac:dyDescent="0.25">
      <c r="A99" t="s">
        <v>580</v>
      </c>
      <c r="B99" t="s">
        <v>581</v>
      </c>
      <c r="C99" t="s">
        <v>610</v>
      </c>
      <c r="D99" t="s">
        <v>585</v>
      </c>
      <c r="E99">
        <v>3</v>
      </c>
      <c r="H99">
        <v>584</v>
      </c>
      <c r="J99">
        <v>586</v>
      </c>
      <c r="L99">
        <v>3.0037661096693</v>
      </c>
    </row>
    <row r="100" spans="1:12" x14ac:dyDescent="0.25">
      <c r="A100" t="s">
        <v>580</v>
      </c>
      <c r="B100" t="s">
        <v>581</v>
      </c>
      <c r="C100" t="s">
        <v>610</v>
      </c>
      <c r="D100" t="s">
        <v>588</v>
      </c>
      <c r="E100">
        <v>3</v>
      </c>
      <c r="H100">
        <v>561</v>
      </c>
      <c r="J100">
        <v>586</v>
      </c>
      <c r="L100">
        <v>3.0037661096693</v>
      </c>
    </row>
    <row r="101" spans="1:12" x14ac:dyDescent="0.25">
      <c r="A101" t="s">
        <v>580</v>
      </c>
      <c r="B101" t="s">
        <v>581</v>
      </c>
      <c r="C101" t="s">
        <v>610</v>
      </c>
      <c r="D101" t="s">
        <v>584</v>
      </c>
      <c r="E101">
        <v>3</v>
      </c>
      <c r="H101">
        <v>621</v>
      </c>
      <c r="J101">
        <v>586</v>
      </c>
      <c r="L101">
        <v>3.0037661096693</v>
      </c>
    </row>
    <row r="102" spans="1:12" x14ac:dyDescent="0.25">
      <c r="A102" t="s">
        <v>580</v>
      </c>
      <c r="B102" t="s">
        <v>581</v>
      </c>
      <c r="C102" t="s">
        <v>610</v>
      </c>
      <c r="D102" t="s">
        <v>590</v>
      </c>
      <c r="E102">
        <v>3</v>
      </c>
      <c r="H102">
        <v>573</v>
      </c>
      <c r="J102">
        <v>586</v>
      </c>
      <c r="L102">
        <v>3.0037661096693</v>
      </c>
    </row>
    <row r="103" spans="1:12" x14ac:dyDescent="0.25">
      <c r="A103" t="s">
        <v>580</v>
      </c>
      <c r="B103" t="s">
        <v>581</v>
      </c>
      <c r="C103" t="s">
        <v>610</v>
      </c>
      <c r="D103" t="s">
        <v>589</v>
      </c>
      <c r="E103">
        <v>3</v>
      </c>
      <c r="H103">
        <v>607</v>
      </c>
      <c r="J103">
        <v>586</v>
      </c>
      <c r="L103">
        <v>3.0037661096693</v>
      </c>
    </row>
    <row r="104" spans="1:12" x14ac:dyDescent="0.25">
      <c r="A104" t="s">
        <v>580</v>
      </c>
      <c r="B104" t="s">
        <v>581</v>
      </c>
      <c r="C104" t="s">
        <v>610</v>
      </c>
      <c r="D104" t="s">
        <v>586</v>
      </c>
      <c r="E104">
        <v>3</v>
      </c>
      <c r="H104">
        <v>576</v>
      </c>
      <c r="J104">
        <v>586</v>
      </c>
      <c r="L104">
        <v>3.0037661096693</v>
      </c>
    </row>
    <row r="105" spans="1:12" x14ac:dyDescent="0.25">
      <c r="A105" t="s">
        <v>580</v>
      </c>
      <c r="B105" t="s">
        <v>581</v>
      </c>
      <c r="C105" t="s">
        <v>610</v>
      </c>
      <c r="D105" t="s">
        <v>598</v>
      </c>
      <c r="E105">
        <v>3</v>
      </c>
      <c r="H105">
        <v>589</v>
      </c>
      <c r="J105">
        <v>586</v>
      </c>
      <c r="L105">
        <v>3.0037661096693</v>
      </c>
    </row>
    <row r="106" spans="1:12" x14ac:dyDescent="0.25">
      <c r="A106" t="s">
        <v>580</v>
      </c>
      <c r="B106" t="s">
        <v>581</v>
      </c>
      <c r="C106" t="s">
        <v>610</v>
      </c>
      <c r="D106" t="s">
        <v>587</v>
      </c>
      <c r="E106">
        <v>3</v>
      </c>
      <c r="H106">
        <v>591</v>
      </c>
      <c r="J106">
        <v>586</v>
      </c>
      <c r="L106">
        <v>3.0037661096693</v>
      </c>
    </row>
    <row r="107" spans="1:12" x14ac:dyDescent="0.25">
      <c r="A107" t="s">
        <v>580</v>
      </c>
      <c r="B107" t="s">
        <v>581</v>
      </c>
      <c r="C107" t="s">
        <v>610</v>
      </c>
      <c r="D107" t="s">
        <v>596</v>
      </c>
      <c r="E107">
        <v>3</v>
      </c>
      <c r="H107">
        <v>563</v>
      </c>
      <c r="J107">
        <v>586</v>
      </c>
      <c r="L107">
        <v>3.0037661096693</v>
      </c>
    </row>
    <row r="108" spans="1:12" x14ac:dyDescent="0.25">
      <c r="A108" t="s">
        <v>580</v>
      </c>
      <c r="B108" t="s">
        <v>581</v>
      </c>
      <c r="C108" t="s">
        <v>610</v>
      </c>
      <c r="D108" t="s">
        <v>583</v>
      </c>
      <c r="E108">
        <v>3</v>
      </c>
      <c r="H108">
        <v>577</v>
      </c>
      <c r="J108">
        <v>586</v>
      </c>
      <c r="L108">
        <v>3.0037661096693</v>
      </c>
    </row>
    <row r="109" spans="1:12" x14ac:dyDescent="0.25">
      <c r="A109" t="s">
        <v>580</v>
      </c>
      <c r="B109" t="s">
        <v>581</v>
      </c>
      <c r="C109" t="s">
        <v>610</v>
      </c>
      <c r="D109" t="s">
        <v>595</v>
      </c>
      <c r="E109">
        <v>3</v>
      </c>
      <c r="H109">
        <v>579</v>
      </c>
      <c r="J109">
        <v>586</v>
      </c>
      <c r="L109">
        <v>3.0037661096693</v>
      </c>
    </row>
    <row r="110" spans="1:12" x14ac:dyDescent="0.25">
      <c r="A110" t="s">
        <v>580</v>
      </c>
      <c r="B110" t="s">
        <v>581</v>
      </c>
      <c r="C110" t="s">
        <v>610</v>
      </c>
      <c r="D110" t="s">
        <v>591</v>
      </c>
      <c r="E110">
        <v>3</v>
      </c>
      <c r="H110">
        <v>616</v>
      </c>
      <c r="J110">
        <v>586</v>
      </c>
      <c r="L110">
        <v>3.0037661096693</v>
      </c>
    </row>
    <row r="111" spans="1:12" x14ac:dyDescent="0.25">
      <c r="A111" t="s">
        <v>580</v>
      </c>
      <c r="B111" t="s">
        <v>581</v>
      </c>
      <c r="C111" t="s">
        <v>610</v>
      </c>
      <c r="D111" t="s">
        <v>592</v>
      </c>
      <c r="E111">
        <v>3</v>
      </c>
      <c r="H111">
        <v>572</v>
      </c>
      <c r="J111">
        <v>586</v>
      </c>
      <c r="L111">
        <v>3.0037661096693</v>
      </c>
    </row>
    <row r="112" spans="1:12" x14ac:dyDescent="0.25">
      <c r="A112" t="s">
        <v>580</v>
      </c>
      <c r="B112" t="s">
        <v>581</v>
      </c>
      <c r="C112" t="s">
        <v>610</v>
      </c>
      <c r="D112" t="s">
        <v>593</v>
      </c>
      <c r="E112">
        <v>3</v>
      </c>
      <c r="H112">
        <v>593</v>
      </c>
      <c r="J112">
        <v>586</v>
      </c>
      <c r="L112">
        <v>3.0037661096693</v>
      </c>
    </row>
    <row r="113" spans="1:12" x14ac:dyDescent="0.25">
      <c r="A113" t="s">
        <v>580</v>
      </c>
      <c r="B113" t="s">
        <v>581</v>
      </c>
      <c r="C113" t="s">
        <v>610</v>
      </c>
      <c r="D113" t="s">
        <v>597</v>
      </c>
      <c r="E113">
        <v>3</v>
      </c>
      <c r="H113">
        <v>573</v>
      </c>
      <c r="J113">
        <v>586</v>
      </c>
      <c r="L113">
        <v>3.0037661096693</v>
      </c>
    </row>
    <row r="114" spans="1:12" x14ac:dyDescent="0.25">
      <c r="A114" t="s">
        <v>580</v>
      </c>
      <c r="B114" t="s">
        <v>581</v>
      </c>
      <c r="C114" t="s">
        <v>610</v>
      </c>
      <c r="D114" t="s">
        <v>594</v>
      </c>
      <c r="E114">
        <v>3</v>
      </c>
      <c r="H114">
        <v>598</v>
      </c>
      <c r="J114">
        <v>586</v>
      </c>
      <c r="L114">
        <v>3.0037661096693</v>
      </c>
    </row>
    <row r="115" spans="1:12" x14ac:dyDescent="0.25">
      <c r="A115" t="s">
        <v>580</v>
      </c>
      <c r="B115" t="s">
        <v>581</v>
      </c>
      <c r="C115" t="s">
        <v>610</v>
      </c>
      <c r="D115" t="s">
        <v>602</v>
      </c>
      <c r="E115">
        <v>3</v>
      </c>
      <c r="H115">
        <v>577</v>
      </c>
      <c r="J115">
        <v>586</v>
      </c>
      <c r="L115">
        <v>3.0037661096693</v>
      </c>
    </row>
    <row r="116" spans="1:12" x14ac:dyDescent="0.25">
      <c r="A116" t="s">
        <v>580</v>
      </c>
      <c r="B116" t="s">
        <v>581</v>
      </c>
      <c r="C116" t="s">
        <v>610</v>
      </c>
      <c r="D116" t="s">
        <v>600</v>
      </c>
      <c r="E116">
        <v>3</v>
      </c>
      <c r="H116">
        <v>588</v>
      </c>
      <c r="J116">
        <v>586</v>
      </c>
      <c r="L116">
        <v>3.0037661096693</v>
      </c>
    </row>
    <row r="117" spans="1:12" x14ac:dyDescent="0.25">
      <c r="A117" t="s">
        <v>580</v>
      </c>
      <c r="B117" t="s">
        <v>581</v>
      </c>
      <c r="C117" t="s">
        <v>610</v>
      </c>
      <c r="D117" t="s">
        <v>601</v>
      </c>
      <c r="E117">
        <v>3</v>
      </c>
      <c r="H117">
        <v>596</v>
      </c>
      <c r="J117">
        <v>586</v>
      </c>
      <c r="L117">
        <v>3.0037661096693</v>
      </c>
    </row>
    <row r="118" spans="1:12" x14ac:dyDescent="0.25">
      <c r="A118" t="s">
        <v>580</v>
      </c>
      <c r="B118" t="s">
        <v>581</v>
      </c>
      <c r="C118" t="s">
        <v>610</v>
      </c>
      <c r="D118" t="s">
        <v>605</v>
      </c>
      <c r="E118">
        <v>3</v>
      </c>
      <c r="H118">
        <v>559</v>
      </c>
      <c r="J118">
        <v>586</v>
      </c>
      <c r="L118">
        <v>3.0037661096693</v>
      </c>
    </row>
    <row r="119" spans="1:12" x14ac:dyDescent="0.25">
      <c r="A119" t="s">
        <v>580</v>
      </c>
      <c r="B119" t="s">
        <v>581</v>
      </c>
      <c r="C119" t="s">
        <v>610</v>
      </c>
      <c r="D119" t="s">
        <v>606</v>
      </c>
      <c r="E119">
        <v>3</v>
      </c>
      <c r="H119">
        <v>601</v>
      </c>
      <c r="J119">
        <v>586</v>
      </c>
      <c r="L119">
        <v>3.0037661096693</v>
      </c>
    </row>
    <row r="120" spans="1:12" x14ac:dyDescent="0.25">
      <c r="A120" t="s">
        <v>580</v>
      </c>
      <c r="B120" t="s">
        <v>581</v>
      </c>
      <c r="C120" t="s">
        <v>610</v>
      </c>
      <c r="D120" t="s">
        <v>599</v>
      </c>
      <c r="E120">
        <v>3</v>
      </c>
      <c r="H120">
        <v>570</v>
      </c>
      <c r="J120">
        <v>586</v>
      </c>
      <c r="L120">
        <v>3.0037661096693</v>
      </c>
    </row>
    <row r="121" spans="1:12" x14ac:dyDescent="0.25">
      <c r="A121" t="s">
        <v>580</v>
      </c>
      <c r="B121" t="s">
        <v>581</v>
      </c>
      <c r="C121" t="s">
        <v>610</v>
      </c>
      <c r="D121" t="s">
        <v>603</v>
      </c>
      <c r="E121">
        <v>3</v>
      </c>
      <c r="H121">
        <v>573</v>
      </c>
      <c r="J121">
        <v>586</v>
      </c>
      <c r="L121">
        <v>3.0037661096693</v>
      </c>
    </row>
    <row r="122" spans="1:12" x14ac:dyDescent="0.25">
      <c r="A122" t="s">
        <v>580</v>
      </c>
      <c r="B122" t="s">
        <v>581</v>
      </c>
      <c r="C122" t="s">
        <v>610</v>
      </c>
      <c r="D122" t="s">
        <v>604</v>
      </c>
      <c r="E122">
        <v>3</v>
      </c>
      <c r="H122">
        <v>615</v>
      </c>
      <c r="J122">
        <v>586</v>
      </c>
      <c r="L122">
        <v>3.0037661096693</v>
      </c>
    </row>
    <row r="123" spans="1:12" x14ac:dyDescent="0.25">
      <c r="A123" t="s">
        <v>580</v>
      </c>
      <c r="B123" t="s">
        <v>581</v>
      </c>
      <c r="C123" t="s">
        <v>611</v>
      </c>
      <c r="D123" t="s">
        <v>603</v>
      </c>
      <c r="E123">
        <v>4</v>
      </c>
      <c r="H123">
        <v>360</v>
      </c>
      <c r="J123">
        <v>366</v>
      </c>
      <c r="L123">
        <v>3.9106917812780999</v>
      </c>
    </row>
    <row r="124" spans="1:12" x14ac:dyDescent="0.25">
      <c r="A124" t="s">
        <v>580</v>
      </c>
      <c r="B124" t="s">
        <v>581</v>
      </c>
      <c r="C124" t="s">
        <v>611</v>
      </c>
      <c r="D124" t="s">
        <v>588</v>
      </c>
      <c r="E124">
        <v>4</v>
      </c>
      <c r="H124">
        <v>373</v>
      </c>
      <c r="J124">
        <v>366</v>
      </c>
      <c r="L124">
        <v>3.9106917812780999</v>
      </c>
    </row>
    <row r="125" spans="1:12" x14ac:dyDescent="0.25">
      <c r="A125" t="s">
        <v>580</v>
      </c>
      <c r="B125" t="s">
        <v>581</v>
      </c>
      <c r="C125" t="s">
        <v>611</v>
      </c>
      <c r="D125" t="s">
        <v>606</v>
      </c>
      <c r="E125">
        <v>4</v>
      </c>
      <c r="H125">
        <v>382</v>
      </c>
      <c r="J125">
        <v>366</v>
      </c>
      <c r="L125">
        <v>3.9106917812780999</v>
      </c>
    </row>
    <row r="126" spans="1:12" x14ac:dyDescent="0.25">
      <c r="A126" t="s">
        <v>580</v>
      </c>
      <c r="B126" t="s">
        <v>581</v>
      </c>
      <c r="C126" t="s">
        <v>611</v>
      </c>
      <c r="D126" t="s">
        <v>601</v>
      </c>
      <c r="E126">
        <v>4</v>
      </c>
      <c r="H126">
        <v>345</v>
      </c>
      <c r="J126">
        <v>366</v>
      </c>
      <c r="L126">
        <v>3.9106917812780999</v>
      </c>
    </row>
    <row r="127" spans="1:12" x14ac:dyDescent="0.25">
      <c r="A127" t="s">
        <v>580</v>
      </c>
      <c r="B127" t="s">
        <v>581</v>
      </c>
      <c r="C127" t="s">
        <v>611</v>
      </c>
      <c r="D127" t="s">
        <v>590</v>
      </c>
      <c r="E127">
        <v>4</v>
      </c>
      <c r="H127">
        <v>371</v>
      </c>
      <c r="J127">
        <v>366</v>
      </c>
      <c r="L127">
        <v>3.9106917812780999</v>
      </c>
    </row>
    <row r="128" spans="1:12" x14ac:dyDescent="0.25">
      <c r="A128" t="s">
        <v>580</v>
      </c>
      <c r="B128" t="s">
        <v>581</v>
      </c>
      <c r="C128" t="s">
        <v>611</v>
      </c>
      <c r="D128" t="s">
        <v>585</v>
      </c>
      <c r="E128">
        <v>4</v>
      </c>
      <c r="H128">
        <v>386</v>
      </c>
      <c r="J128">
        <v>366</v>
      </c>
      <c r="L128">
        <v>3.9106917812780999</v>
      </c>
    </row>
    <row r="129" spans="1:12" x14ac:dyDescent="0.25">
      <c r="A129" t="s">
        <v>580</v>
      </c>
      <c r="B129" t="s">
        <v>581</v>
      </c>
      <c r="C129" t="s">
        <v>611</v>
      </c>
      <c r="D129" t="s">
        <v>584</v>
      </c>
      <c r="E129">
        <v>4</v>
      </c>
      <c r="H129">
        <v>356</v>
      </c>
      <c r="J129">
        <v>366</v>
      </c>
      <c r="L129">
        <v>3.9106917812780999</v>
      </c>
    </row>
    <row r="130" spans="1:12" x14ac:dyDescent="0.25">
      <c r="A130" t="s">
        <v>580</v>
      </c>
      <c r="B130" t="s">
        <v>581</v>
      </c>
      <c r="C130" t="s">
        <v>611</v>
      </c>
      <c r="D130" t="s">
        <v>587</v>
      </c>
      <c r="E130">
        <v>4</v>
      </c>
      <c r="H130">
        <v>354</v>
      </c>
      <c r="J130">
        <v>366</v>
      </c>
      <c r="L130">
        <v>3.9106917812780999</v>
      </c>
    </row>
    <row r="131" spans="1:12" x14ac:dyDescent="0.25">
      <c r="A131" t="s">
        <v>580</v>
      </c>
      <c r="B131" t="s">
        <v>581</v>
      </c>
      <c r="C131" t="s">
        <v>611</v>
      </c>
      <c r="D131" t="s">
        <v>596</v>
      </c>
      <c r="E131">
        <v>4</v>
      </c>
      <c r="H131">
        <v>380</v>
      </c>
      <c r="J131">
        <v>366</v>
      </c>
      <c r="L131">
        <v>3.9106917812780999</v>
      </c>
    </row>
    <row r="132" spans="1:12" x14ac:dyDescent="0.25">
      <c r="A132" t="s">
        <v>580</v>
      </c>
      <c r="B132" t="s">
        <v>581</v>
      </c>
      <c r="C132" t="s">
        <v>611</v>
      </c>
      <c r="D132" t="s">
        <v>592</v>
      </c>
      <c r="E132">
        <v>4</v>
      </c>
      <c r="H132">
        <v>349</v>
      </c>
      <c r="J132">
        <v>366</v>
      </c>
      <c r="L132">
        <v>3.9106917812780999</v>
      </c>
    </row>
    <row r="133" spans="1:12" x14ac:dyDescent="0.25">
      <c r="A133" t="s">
        <v>580</v>
      </c>
      <c r="B133" t="s">
        <v>581</v>
      </c>
      <c r="C133" t="s">
        <v>611</v>
      </c>
      <c r="D133" t="s">
        <v>586</v>
      </c>
      <c r="E133">
        <v>4</v>
      </c>
      <c r="H133">
        <v>370</v>
      </c>
      <c r="J133">
        <v>366</v>
      </c>
      <c r="L133">
        <v>3.9106917812780999</v>
      </c>
    </row>
    <row r="134" spans="1:12" x14ac:dyDescent="0.25">
      <c r="A134" t="s">
        <v>580</v>
      </c>
      <c r="B134" t="s">
        <v>581</v>
      </c>
      <c r="C134" t="s">
        <v>611</v>
      </c>
      <c r="D134" t="s">
        <v>591</v>
      </c>
      <c r="E134">
        <v>4</v>
      </c>
      <c r="H134">
        <v>387</v>
      </c>
      <c r="J134">
        <v>366</v>
      </c>
      <c r="L134">
        <v>3.9106917812780999</v>
      </c>
    </row>
    <row r="135" spans="1:12" x14ac:dyDescent="0.25">
      <c r="A135" t="s">
        <v>580</v>
      </c>
      <c r="B135" t="s">
        <v>581</v>
      </c>
      <c r="C135" t="s">
        <v>611</v>
      </c>
      <c r="D135" t="s">
        <v>598</v>
      </c>
      <c r="E135">
        <v>4</v>
      </c>
      <c r="H135">
        <v>386</v>
      </c>
      <c r="J135">
        <v>366</v>
      </c>
      <c r="L135">
        <v>3.9106917812780999</v>
      </c>
    </row>
    <row r="136" spans="1:12" x14ac:dyDescent="0.25">
      <c r="A136" t="s">
        <v>580</v>
      </c>
      <c r="B136" t="s">
        <v>581</v>
      </c>
      <c r="C136" t="s">
        <v>611</v>
      </c>
      <c r="D136" t="s">
        <v>597</v>
      </c>
      <c r="E136">
        <v>4</v>
      </c>
      <c r="H136">
        <v>345</v>
      </c>
      <c r="J136">
        <v>366</v>
      </c>
      <c r="L136">
        <v>3.9106917812780999</v>
      </c>
    </row>
    <row r="137" spans="1:12" x14ac:dyDescent="0.25">
      <c r="A137" t="s">
        <v>580</v>
      </c>
      <c r="B137" t="s">
        <v>581</v>
      </c>
      <c r="C137" t="s">
        <v>611</v>
      </c>
      <c r="D137" t="s">
        <v>589</v>
      </c>
      <c r="E137">
        <v>4</v>
      </c>
      <c r="H137">
        <v>365</v>
      </c>
      <c r="J137">
        <v>366</v>
      </c>
      <c r="L137">
        <v>3.9106917812780999</v>
      </c>
    </row>
    <row r="138" spans="1:12" x14ac:dyDescent="0.25">
      <c r="A138" t="s">
        <v>580</v>
      </c>
      <c r="B138" t="s">
        <v>581</v>
      </c>
      <c r="C138" t="s">
        <v>611</v>
      </c>
      <c r="D138" t="s">
        <v>595</v>
      </c>
      <c r="E138">
        <v>4</v>
      </c>
      <c r="H138">
        <v>362</v>
      </c>
      <c r="J138">
        <v>366</v>
      </c>
      <c r="L138">
        <v>3.9106917812780999</v>
      </c>
    </row>
    <row r="139" spans="1:12" x14ac:dyDescent="0.25">
      <c r="A139" t="s">
        <v>580</v>
      </c>
      <c r="B139" t="s">
        <v>581</v>
      </c>
      <c r="C139" t="s">
        <v>611</v>
      </c>
      <c r="D139" t="s">
        <v>583</v>
      </c>
      <c r="E139">
        <v>4</v>
      </c>
      <c r="H139">
        <v>352</v>
      </c>
      <c r="J139">
        <v>366</v>
      </c>
      <c r="L139">
        <v>3.9106917812780999</v>
      </c>
    </row>
    <row r="140" spans="1:12" x14ac:dyDescent="0.25">
      <c r="A140" t="s">
        <v>580</v>
      </c>
      <c r="B140" t="s">
        <v>581</v>
      </c>
      <c r="C140" t="s">
        <v>611</v>
      </c>
      <c r="D140" t="s">
        <v>604</v>
      </c>
      <c r="E140">
        <v>4</v>
      </c>
      <c r="H140">
        <v>355</v>
      </c>
      <c r="J140">
        <v>366</v>
      </c>
      <c r="L140">
        <v>3.9106917812780999</v>
      </c>
    </row>
    <row r="141" spans="1:12" x14ac:dyDescent="0.25">
      <c r="A141" t="s">
        <v>580</v>
      </c>
      <c r="B141" t="s">
        <v>581</v>
      </c>
      <c r="C141" t="s">
        <v>611</v>
      </c>
      <c r="D141" t="s">
        <v>593</v>
      </c>
      <c r="E141">
        <v>4</v>
      </c>
      <c r="H141">
        <v>364</v>
      </c>
      <c r="J141">
        <v>366</v>
      </c>
      <c r="L141">
        <v>3.9106917812780999</v>
      </c>
    </row>
    <row r="142" spans="1:12" x14ac:dyDescent="0.25">
      <c r="A142" t="s">
        <v>580</v>
      </c>
      <c r="B142" t="s">
        <v>581</v>
      </c>
      <c r="C142" t="s">
        <v>611</v>
      </c>
      <c r="D142" t="s">
        <v>605</v>
      </c>
      <c r="E142">
        <v>4</v>
      </c>
      <c r="H142">
        <v>384</v>
      </c>
      <c r="J142">
        <v>366</v>
      </c>
      <c r="L142">
        <v>3.9106917812780999</v>
      </c>
    </row>
    <row r="143" spans="1:12" x14ac:dyDescent="0.25">
      <c r="A143" t="s">
        <v>580</v>
      </c>
      <c r="B143" t="s">
        <v>581</v>
      </c>
      <c r="C143" t="s">
        <v>611</v>
      </c>
      <c r="D143" t="s">
        <v>594</v>
      </c>
      <c r="E143">
        <v>4</v>
      </c>
      <c r="H143">
        <v>382</v>
      </c>
      <c r="J143">
        <v>366</v>
      </c>
      <c r="L143">
        <v>3.9106917812780999</v>
      </c>
    </row>
    <row r="144" spans="1:12" x14ac:dyDescent="0.25">
      <c r="A144" t="s">
        <v>580</v>
      </c>
      <c r="B144" t="s">
        <v>581</v>
      </c>
      <c r="C144" t="s">
        <v>611</v>
      </c>
      <c r="D144" t="s">
        <v>600</v>
      </c>
      <c r="E144">
        <v>4</v>
      </c>
      <c r="H144">
        <v>350</v>
      </c>
      <c r="J144">
        <v>366</v>
      </c>
      <c r="L144">
        <v>3.9106917812780999</v>
      </c>
    </row>
    <row r="145" spans="1:12" x14ac:dyDescent="0.25">
      <c r="A145" t="s">
        <v>580</v>
      </c>
      <c r="B145" t="s">
        <v>581</v>
      </c>
      <c r="C145" t="s">
        <v>611</v>
      </c>
      <c r="D145" t="s">
        <v>602</v>
      </c>
      <c r="E145">
        <v>4</v>
      </c>
      <c r="H145">
        <v>349</v>
      </c>
      <c r="J145">
        <v>366</v>
      </c>
      <c r="L145">
        <v>3.9106917812780999</v>
      </c>
    </row>
    <row r="146" spans="1:12" x14ac:dyDescent="0.25">
      <c r="A146" t="s">
        <v>580</v>
      </c>
      <c r="B146" t="s">
        <v>581</v>
      </c>
      <c r="C146" t="s">
        <v>611</v>
      </c>
      <c r="D146" t="s">
        <v>599</v>
      </c>
      <c r="E146">
        <v>4</v>
      </c>
      <c r="H146">
        <v>369</v>
      </c>
      <c r="J146">
        <v>366</v>
      </c>
      <c r="L146">
        <v>3.9106917812780999</v>
      </c>
    </row>
    <row r="147" spans="1:12" x14ac:dyDescent="0.25">
      <c r="A147" t="s">
        <v>580</v>
      </c>
      <c r="B147" t="s">
        <v>581</v>
      </c>
      <c r="C147" t="s">
        <v>612</v>
      </c>
      <c r="D147" t="s">
        <v>606</v>
      </c>
      <c r="E147">
        <v>7</v>
      </c>
      <c r="H147">
        <v>338</v>
      </c>
      <c r="J147">
        <v>343</v>
      </c>
      <c r="L147">
        <v>4.0954954831655099</v>
      </c>
    </row>
    <row r="148" spans="1:12" x14ac:dyDescent="0.25">
      <c r="A148" t="s">
        <v>580</v>
      </c>
      <c r="B148" t="s">
        <v>581</v>
      </c>
      <c r="C148" t="s">
        <v>612</v>
      </c>
      <c r="D148" t="s">
        <v>603</v>
      </c>
      <c r="E148">
        <v>7</v>
      </c>
      <c r="H148">
        <v>368</v>
      </c>
      <c r="J148">
        <v>343</v>
      </c>
      <c r="L148">
        <v>4.0954954831655099</v>
      </c>
    </row>
    <row r="149" spans="1:12" x14ac:dyDescent="0.25">
      <c r="A149" t="s">
        <v>580</v>
      </c>
      <c r="B149" t="s">
        <v>581</v>
      </c>
      <c r="C149" t="s">
        <v>612</v>
      </c>
      <c r="D149" t="s">
        <v>590</v>
      </c>
      <c r="E149">
        <v>7</v>
      </c>
      <c r="H149">
        <v>350</v>
      </c>
      <c r="J149">
        <v>343</v>
      </c>
      <c r="L149">
        <v>4.0954954831655099</v>
      </c>
    </row>
    <row r="150" spans="1:12" x14ac:dyDescent="0.25">
      <c r="A150" t="s">
        <v>580</v>
      </c>
      <c r="B150" t="s">
        <v>581</v>
      </c>
      <c r="C150" t="s">
        <v>612</v>
      </c>
      <c r="D150" t="s">
        <v>585</v>
      </c>
      <c r="E150">
        <v>7</v>
      </c>
      <c r="H150">
        <v>346</v>
      </c>
      <c r="J150">
        <v>343</v>
      </c>
      <c r="L150">
        <v>4.0954954831655099</v>
      </c>
    </row>
    <row r="151" spans="1:12" x14ac:dyDescent="0.25">
      <c r="A151" t="s">
        <v>580</v>
      </c>
      <c r="B151" t="s">
        <v>581</v>
      </c>
      <c r="C151" t="s">
        <v>612</v>
      </c>
      <c r="D151" t="s">
        <v>601</v>
      </c>
      <c r="E151">
        <v>7</v>
      </c>
      <c r="H151">
        <v>336</v>
      </c>
      <c r="J151">
        <v>343</v>
      </c>
      <c r="L151">
        <v>4.0954954831655099</v>
      </c>
    </row>
    <row r="152" spans="1:12" x14ac:dyDescent="0.25">
      <c r="A152" t="s">
        <v>580</v>
      </c>
      <c r="B152" t="s">
        <v>581</v>
      </c>
      <c r="C152" t="s">
        <v>612</v>
      </c>
      <c r="D152" t="s">
        <v>583</v>
      </c>
      <c r="E152">
        <v>7</v>
      </c>
      <c r="H152">
        <v>343</v>
      </c>
      <c r="J152">
        <v>343</v>
      </c>
      <c r="L152">
        <v>4.0954954831655099</v>
      </c>
    </row>
    <row r="153" spans="1:12" x14ac:dyDescent="0.25">
      <c r="A153" t="s">
        <v>580</v>
      </c>
      <c r="B153" t="s">
        <v>581</v>
      </c>
      <c r="C153" t="s">
        <v>612</v>
      </c>
      <c r="D153" t="s">
        <v>595</v>
      </c>
      <c r="E153">
        <v>7</v>
      </c>
      <c r="H153">
        <v>335</v>
      </c>
      <c r="J153">
        <v>343</v>
      </c>
      <c r="L153">
        <v>4.0954954831655099</v>
      </c>
    </row>
    <row r="154" spans="1:12" x14ac:dyDescent="0.25">
      <c r="A154" t="s">
        <v>580</v>
      </c>
      <c r="B154" t="s">
        <v>581</v>
      </c>
      <c r="C154" t="s">
        <v>612</v>
      </c>
      <c r="D154" t="s">
        <v>591</v>
      </c>
      <c r="E154">
        <v>7</v>
      </c>
      <c r="H154">
        <v>375</v>
      </c>
      <c r="J154">
        <v>343</v>
      </c>
      <c r="L154">
        <v>4.0954954831655099</v>
      </c>
    </row>
    <row r="155" spans="1:12" x14ac:dyDescent="0.25">
      <c r="A155" t="s">
        <v>580</v>
      </c>
      <c r="B155" t="s">
        <v>581</v>
      </c>
      <c r="C155" t="s">
        <v>612</v>
      </c>
      <c r="D155" t="s">
        <v>592</v>
      </c>
      <c r="E155">
        <v>7</v>
      </c>
      <c r="H155">
        <v>322</v>
      </c>
      <c r="J155">
        <v>343</v>
      </c>
      <c r="L155">
        <v>4.0954954831655099</v>
      </c>
    </row>
    <row r="156" spans="1:12" x14ac:dyDescent="0.25">
      <c r="A156" t="s">
        <v>580</v>
      </c>
      <c r="B156" t="s">
        <v>581</v>
      </c>
      <c r="C156" t="s">
        <v>612</v>
      </c>
      <c r="D156" t="s">
        <v>589</v>
      </c>
      <c r="E156">
        <v>7</v>
      </c>
      <c r="H156">
        <v>345</v>
      </c>
      <c r="J156">
        <v>343</v>
      </c>
      <c r="L156">
        <v>4.0954954831655099</v>
      </c>
    </row>
    <row r="157" spans="1:12" x14ac:dyDescent="0.25">
      <c r="A157" t="s">
        <v>580</v>
      </c>
      <c r="B157" t="s">
        <v>581</v>
      </c>
      <c r="C157" t="s">
        <v>612</v>
      </c>
      <c r="D157" t="s">
        <v>586</v>
      </c>
      <c r="E157">
        <v>7</v>
      </c>
      <c r="H157">
        <v>314</v>
      </c>
      <c r="J157">
        <v>343</v>
      </c>
      <c r="L157">
        <v>4.0954954831655099</v>
      </c>
    </row>
    <row r="158" spans="1:12" x14ac:dyDescent="0.25">
      <c r="A158" t="s">
        <v>580</v>
      </c>
      <c r="B158" t="s">
        <v>581</v>
      </c>
      <c r="C158" t="s">
        <v>612</v>
      </c>
      <c r="D158" t="s">
        <v>598</v>
      </c>
      <c r="E158">
        <v>7</v>
      </c>
      <c r="H158">
        <v>350</v>
      </c>
      <c r="J158">
        <v>343</v>
      </c>
      <c r="L158">
        <v>4.0954954831655099</v>
      </c>
    </row>
    <row r="159" spans="1:12" x14ac:dyDescent="0.25">
      <c r="A159" t="s">
        <v>580</v>
      </c>
      <c r="B159" t="s">
        <v>581</v>
      </c>
      <c r="C159" t="s">
        <v>612</v>
      </c>
      <c r="D159" t="s">
        <v>596</v>
      </c>
      <c r="E159">
        <v>7</v>
      </c>
      <c r="H159">
        <v>335</v>
      </c>
      <c r="J159">
        <v>343</v>
      </c>
      <c r="L159">
        <v>4.0954954831655099</v>
      </c>
    </row>
    <row r="160" spans="1:12" x14ac:dyDescent="0.25">
      <c r="A160" t="s">
        <v>580</v>
      </c>
      <c r="B160" t="s">
        <v>581</v>
      </c>
      <c r="C160" t="s">
        <v>612</v>
      </c>
      <c r="D160" t="s">
        <v>597</v>
      </c>
      <c r="E160">
        <v>7</v>
      </c>
      <c r="H160">
        <v>343</v>
      </c>
      <c r="J160">
        <v>343</v>
      </c>
      <c r="L160">
        <v>4.0954954831655099</v>
      </c>
    </row>
    <row r="161" spans="1:12" x14ac:dyDescent="0.25">
      <c r="A161" t="s">
        <v>580</v>
      </c>
      <c r="B161" t="s">
        <v>581</v>
      </c>
      <c r="C161" t="s">
        <v>612</v>
      </c>
      <c r="D161" t="s">
        <v>587</v>
      </c>
      <c r="E161">
        <v>7</v>
      </c>
      <c r="H161">
        <v>342</v>
      </c>
      <c r="J161">
        <v>343</v>
      </c>
      <c r="L161">
        <v>4.0954954831655099</v>
      </c>
    </row>
    <row r="162" spans="1:12" x14ac:dyDescent="0.25">
      <c r="A162" t="s">
        <v>580</v>
      </c>
      <c r="B162" t="s">
        <v>581</v>
      </c>
      <c r="C162" t="s">
        <v>612</v>
      </c>
      <c r="D162" t="s">
        <v>605</v>
      </c>
      <c r="E162">
        <v>7</v>
      </c>
      <c r="H162">
        <v>325</v>
      </c>
      <c r="J162">
        <v>343</v>
      </c>
      <c r="L162">
        <v>4.0954954831655099</v>
      </c>
    </row>
    <row r="163" spans="1:12" x14ac:dyDescent="0.25">
      <c r="A163" t="s">
        <v>580</v>
      </c>
      <c r="B163" t="s">
        <v>581</v>
      </c>
      <c r="C163" t="s">
        <v>612</v>
      </c>
      <c r="D163" t="s">
        <v>599</v>
      </c>
      <c r="E163">
        <v>7</v>
      </c>
      <c r="H163">
        <v>326</v>
      </c>
      <c r="J163">
        <v>343</v>
      </c>
      <c r="L163">
        <v>4.0954954831655099</v>
      </c>
    </row>
    <row r="164" spans="1:12" x14ac:dyDescent="0.25">
      <c r="A164" t="s">
        <v>580</v>
      </c>
      <c r="B164" t="s">
        <v>581</v>
      </c>
      <c r="C164" t="s">
        <v>612</v>
      </c>
      <c r="D164" t="s">
        <v>604</v>
      </c>
      <c r="E164">
        <v>7</v>
      </c>
      <c r="H164">
        <v>358</v>
      </c>
      <c r="J164">
        <v>343</v>
      </c>
      <c r="L164">
        <v>4.0954954831655099</v>
      </c>
    </row>
    <row r="165" spans="1:12" x14ac:dyDescent="0.25">
      <c r="A165" t="s">
        <v>580</v>
      </c>
      <c r="B165" t="s">
        <v>581</v>
      </c>
      <c r="C165" t="s">
        <v>612</v>
      </c>
      <c r="D165" t="s">
        <v>602</v>
      </c>
      <c r="E165">
        <v>7</v>
      </c>
      <c r="H165">
        <v>340</v>
      </c>
      <c r="J165">
        <v>343</v>
      </c>
      <c r="L165">
        <v>4.0954954831655099</v>
      </c>
    </row>
    <row r="166" spans="1:12" x14ac:dyDescent="0.25">
      <c r="A166" t="s">
        <v>580</v>
      </c>
      <c r="B166" t="s">
        <v>581</v>
      </c>
      <c r="C166" t="s">
        <v>612</v>
      </c>
      <c r="D166" t="s">
        <v>600</v>
      </c>
      <c r="E166">
        <v>7</v>
      </c>
      <c r="H166">
        <v>347</v>
      </c>
      <c r="J166">
        <v>343</v>
      </c>
      <c r="L166">
        <v>4.0954954831655099</v>
      </c>
    </row>
    <row r="167" spans="1:12" x14ac:dyDescent="0.25">
      <c r="A167" t="s">
        <v>580</v>
      </c>
      <c r="B167" t="s">
        <v>581</v>
      </c>
      <c r="C167" t="s">
        <v>612</v>
      </c>
      <c r="D167" t="s">
        <v>593</v>
      </c>
      <c r="E167">
        <v>7</v>
      </c>
      <c r="H167">
        <v>353</v>
      </c>
      <c r="J167">
        <v>343</v>
      </c>
      <c r="L167">
        <v>4.0954954831655099</v>
      </c>
    </row>
    <row r="168" spans="1:12" x14ac:dyDescent="0.25">
      <c r="A168" t="s">
        <v>580</v>
      </c>
      <c r="B168" t="s">
        <v>581</v>
      </c>
      <c r="C168" t="s">
        <v>612</v>
      </c>
      <c r="D168" t="s">
        <v>584</v>
      </c>
      <c r="E168">
        <v>7</v>
      </c>
      <c r="H168">
        <v>333</v>
      </c>
      <c r="J168">
        <v>343</v>
      </c>
      <c r="L168">
        <v>4.0954954831655099</v>
      </c>
    </row>
    <row r="169" spans="1:12" x14ac:dyDescent="0.25">
      <c r="A169" t="s">
        <v>580</v>
      </c>
      <c r="B169" t="s">
        <v>581</v>
      </c>
      <c r="C169" t="s">
        <v>612</v>
      </c>
      <c r="D169" t="s">
        <v>588</v>
      </c>
      <c r="E169">
        <v>7</v>
      </c>
      <c r="H169">
        <v>343</v>
      </c>
      <c r="J169">
        <v>343</v>
      </c>
      <c r="L169">
        <v>4.0954954831655099</v>
      </c>
    </row>
    <row r="170" spans="1:12" x14ac:dyDescent="0.25">
      <c r="A170" t="s">
        <v>580</v>
      </c>
      <c r="B170" t="s">
        <v>581</v>
      </c>
      <c r="C170" t="s">
        <v>612</v>
      </c>
      <c r="D170" t="s">
        <v>594</v>
      </c>
      <c r="E170">
        <v>7</v>
      </c>
      <c r="H170">
        <v>358</v>
      </c>
      <c r="J170">
        <v>343</v>
      </c>
      <c r="L170">
        <v>4.0954954831655099</v>
      </c>
    </row>
    <row r="171" spans="1:12" x14ac:dyDescent="0.25">
      <c r="A171" t="s">
        <v>580</v>
      </c>
      <c r="B171" t="s">
        <v>581</v>
      </c>
      <c r="C171" t="s">
        <v>613</v>
      </c>
      <c r="D171" t="s">
        <v>596</v>
      </c>
      <c r="E171">
        <v>10</v>
      </c>
      <c r="H171">
        <v>327</v>
      </c>
      <c r="J171">
        <v>338</v>
      </c>
      <c r="L171">
        <v>4.6667726638478602</v>
      </c>
    </row>
    <row r="172" spans="1:12" x14ac:dyDescent="0.25">
      <c r="A172" t="s">
        <v>580</v>
      </c>
      <c r="B172" t="s">
        <v>581</v>
      </c>
      <c r="C172" t="s">
        <v>613</v>
      </c>
      <c r="D172" t="s">
        <v>601</v>
      </c>
      <c r="E172">
        <v>10</v>
      </c>
      <c r="H172">
        <v>327</v>
      </c>
      <c r="J172">
        <v>338</v>
      </c>
      <c r="L172">
        <v>4.6667726638478602</v>
      </c>
    </row>
    <row r="173" spans="1:12" x14ac:dyDescent="0.25">
      <c r="A173" t="s">
        <v>580</v>
      </c>
      <c r="B173" t="s">
        <v>581</v>
      </c>
      <c r="C173" t="s">
        <v>613</v>
      </c>
      <c r="D173" t="s">
        <v>589</v>
      </c>
      <c r="E173">
        <v>10</v>
      </c>
      <c r="H173">
        <v>351</v>
      </c>
      <c r="J173">
        <v>338</v>
      </c>
      <c r="L173">
        <v>4.6667726638478602</v>
      </c>
    </row>
    <row r="174" spans="1:12" x14ac:dyDescent="0.25">
      <c r="A174" t="s">
        <v>580</v>
      </c>
      <c r="B174" t="s">
        <v>581</v>
      </c>
      <c r="C174" t="s">
        <v>613</v>
      </c>
      <c r="D174" t="s">
        <v>598</v>
      </c>
      <c r="E174">
        <v>10</v>
      </c>
      <c r="H174">
        <v>333</v>
      </c>
      <c r="J174">
        <v>338</v>
      </c>
      <c r="L174">
        <v>4.6667726638478602</v>
      </c>
    </row>
    <row r="175" spans="1:12" x14ac:dyDescent="0.25">
      <c r="A175" t="s">
        <v>580</v>
      </c>
      <c r="B175" t="s">
        <v>581</v>
      </c>
      <c r="C175" t="s">
        <v>613</v>
      </c>
      <c r="D175" t="s">
        <v>595</v>
      </c>
      <c r="E175">
        <v>10</v>
      </c>
      <c r="H175">
        <v>343</v>
      </c>
      <c r="J175">
        <v>338</v>
      </c>
      <c r="L175">
        <v>4.6667726638478602</v>
      </c>
    </row>
    <row r="176" spans="1:12" x14ac:dyDescent="0.25">
      <c r="A176" t="s">
        <v>580</v>
      </c>
      <c r="B176" t="s">
        <v>581</v>
      </c>
      <c r="C176" t="s">
        <v>613</v>
      </c>
      <c r="D176" t="s">
        <v>603</v>
      </c>
      <c r="E176">
        <v>10</v>
      </c>
      <c r="H176">
        <v>351</v>
      </c>
      <c r="J176">
        <v>338</v>
      </c>
      <c r="L176">
        <v>4.6667726638478602</v>
      </c>
    </row>
    <row r="177" spans="1:12" x14ac:dyDescent="0.25">
      <c r="A177" t="s">
        <v>580</v>
      </c>
      <c r="B177" t="s">
        <v>581</v>
      </c>
      <c r="C177" t="s">
        <v>613</v>
      </c>
      <c r="D177" t="s">
        <v>606</v>
      </c>
      <c r="E177">
        <v>10</v>
      </c>
      <c r="H177">
        <v>329</v>
      </c>
      <c r="J177">
        <v>338</v>
      </c>
      <c r="L177">
        <v>4.6667726638478602</v>
      </c>
    </row>
    <row r="178" spans="1:12" x14ac:dyDescent="0.25">
      <c r="A178" t="s">
        <v>580</v>
      </c>
      <c r="B178" t="s">
        <v>581</v>
      </c>
      <c r="C178" t="s">
        <v>613</v>
      </c>
      <c r="D178" t="s">
        <v>592</v>
      </c>
      <c r="E178">
        <v>10</v>
      </c>
      <c r="H178">
        <v>337</v>
      </c>
      <c r="J178">
        <v>338</v>
      </c>
      <c r="L178">
        <v>4.6667726638478602</v>
      </c>
    </row>
    <row r="179" spans="1:12" x14ac:dyDescent="0.25">
      <c r="A179" t="s">
        <v>580</v>
      </c>
      <c r="B179" t="s">
        <v>581</v>
      </c>
      <c r="C179" t="s">
        <v>613</v>
      </c>
      <c r="D179" t="s">
        <v>597</v>
      </c>
      <c r="E179">
        <v>10</v>
      </c>
      <c r="H179">
        <v>344</v>
      </c>
      <c r="J179">
        <v>338</v>
      </c>
      <c r="L179">
        <v>4.6667726638478602</v>
      </c>
    </row>
    <row r="180" spans="1:12" x14ac:dyDescent="0.25">
      <c r="A180" t="s">
        <v>580</v>
      </c>
      <c r="B180" t="s">
        <v>581</v>
      </c>
      <c r="C180" t="s">
        <v>613</v>
      </c>
      <c r="D180" t="s">
        <v>602</v>
      </c>
      <c r="E180">
        <v>10</v>
      </c>
      <c r="H180">
        <v>311</v>
      </c>
      <c r="J180">
        <v>338</v>
      </c>
      <c r="L180">
        <v>4.6667726638478602</v>
      </c>
    </row>
    <row r="181" spans="1:12" x14ac:dyDescent="0.25">
      <c r="A181" t="s">
        <v>580</v>
      </c>
      <c r="B181" t="s">
        <v>581</v>
      </c>
      <c r="C181" t="s">
        <v>613</v>
      </c>
      <c r="D181" t="s">
        <v>586</v>
      </c>
      <c r="E181">
        <v>10</v>
      </c>
      <c r="H181">
        <v>340</v>
      </c>
      <c r="J181">
        <v>338</v>
      </c>
      <c r="L181">
        <v>4.6667726638478602</v>
      </c>
    </row>
    <row r="182" spans="1:12" x14ac:dyDescent="0.25">
      <c r="A182" t="s">
        <v>580</v>
      </c>
      <c r="B182" t="s">
        <v>581</v>
      </c>
      <c r="C182" t="s">
        <v>613</v>
      </c>
      <c r="D182" t="s">
        <v>591</v>
      </c>
      <c r="E182">
        <v>10</v>
      </c>
      <c r="H182">
        <v>358</v>
      </c>
      <c r="J182">
        <v>338</v>
      </c>
      <c r="L182">
        <v>4.6667726638478602</v>
      </c>
    </row>
    <row r="183" spans="1:12" x14ac:dyDescent="0.25">
      <c r="A183" t="s">
        <v>580</v>
      </c>
      <c r="B183" t="s">
        <v>581</v>
      </c>
      <c r="C183" t="s">
        <v>613</v>
      </c>
      <c r="D183" t="s">
        <v>587</v>
      </c>
      <c r="E183">
        <v>10</v>
      </c>
      <c r="H183">
        <v>362</v>
      </c>
      <c r="J183">
        <v>338</v>
      </c>
      <c r="L183">
        <v>4.6667726638478602</v>
      </c>
    </row>
    <row r="184" spans="1:12" x14ac:dyDescent="0.25">
      <c r="A184" t="s">
        <v>580</v>
      </c>
      <c r="B184" t="s">
        <v>581</v>
      </c>
      <c r="C184" t="s">
        <v>613</v>
      </c>
      <c r="D184" t="s">
        <v>600</v>
      </c>
      <c r="E184">
        <v>10</v>
      </c>
      <c r="H184">
        <v>341</v>
      </c>
      <c r="J184">
        <v>338</v>
      </c>
      <c r="L184">
        <v>4.6667726638478602</v>
      </c>
    </row>
    <row r="185" spans="1:12" x14ac:dyDescent="0.25">
      <c r="A185" t="s">
        <v>580</v>
      </c>
      <c r="B185" t="s">
        <v>581</v>
      </c>
      <c r="C185" t="s">
        <v>613</v>
      </c>
      <c r="D185" t="s">
        <v>605</v>
      </c>
      <c r="E185">
        <v>10</v>
      </c>
      <c r="H185">
        <v>308</v>
      </c>
      <c r="J185">
        <v>338</v>
      </c>
      <c r="L185">
        <v>4.6667726638478602</v>
      </c>
    </row>
    <row r="186" spans="1:12" x14ac:dyDescent="0.25">
      <c r="A186" t="s">
        <v>580</v>
      </c>
      <c r="B186" t="s">
        <v>581</v>
      </c>
      <c r="C186" t="s">
        <v>613</v>
      </c>
      <c r="D186" t="s">
        <v>604</v>
      </c>
      <c r="E186">
        <v>10</v>
      </c>
      <c r="H186">
        <v>342</v>
      </c>
      <c r="J186">
        <v>338</v>
      </c>
      <c r="L186">
        <v>4.6667726638478602</v>
      </c>
    </row>
    <row r="187" spans="1:12" x14ac:dyDescent="0.25">
      <c r="A187" t="s">
        <v>580</v>
      </c>
      <c r="B187" t="s">
        <v>581</v>
      </c>
      <c r="C187" t="s">
        <v>613</v>
      </c>
      <c r="D187" t="s">
        <v>599</v>
      </c>
      <c r="E187">
        <v>10</v>
      </c>
      <c r="H187">
        <v>345</v>
      </c>
      <c r="J187">
        <v>338</v>
      </c>
      <c r="L187">
        <v>4.6667726638478602</v>
      </c>
    </row>
    <row r="188" spans="1:12" x14ac:dyDescent="0.25">
      <c r="A188" t="s">
        <v>580</v>
      </c>
      <c r="B188" t="s">
        <v>581</v>
      </c>
      <c r="C188" t="s">
        <v>613</v>
      </c>
      <c r="D188" t="s">
        <v>585</v>
      </c>
      <c r="E188">
        <v>10</v>
      </c>
      <c r="H188">
        <v>321</v>
      </c>
      <c r="J188">
        <v>338</v>
      </c>
      <c r="L188">
        <v>4.6667726638478602</v>
      </c>
    </row>
    <row r="189" spans="1:12" x14ac:dyDescent="0.25">
      <c r="A189" t="s">
        <v>580</v>
      </c>
      <c r="B189" t="s">
        <v>581</v>
      </c>
      <c r="C189" t="s">
        <v>613</v>
      </c>
      <c r="D189" t="s">
        <v>593</v>
      </c>
      <c r="E189">
        <v>10</v>
      </c>
      <c r="H189">
        <v>348</v>
      </c>
      <c r="J189">
        <v>338</v>
      </c>
      <c r="L189">
        <v>4.6667726638478602</v>
      </c>
    </row>
    <row r="190" spans="1:12" x14ac:dyDescent="0.25">
      <c r="A190" t="s">
        <v>580</v>
      </c>
      <c r="B190" t="s">
        <v>581</v>
      </c>
      <c r="C190" t="s">
        <v>613</v>
      </c>
      <c r="D190" t="s">
        <v>583</v>
      </c>
      <c r="E190">
        <v>10</v>
      </c>
      <c r="H190">
        <v>306</v>
      </c>
      <c r="J190">
        <v>338</v>
      </c>
      <c r="L190">
        <v>4.6667726638478602</v>
      </c>
    </row>
    <row r="191" spans="1:12" x14ac:dyDescent="0.25">
      <c r="A191" t="s">
        <v>580</v>
      </c>
      <c r="B191" t="s">
        <v>581</v>
      </c>
      <c r="C191" t="s">
        <v>613</v>
      </c>
      <c r="D191" t="s">
        <v>584</v>
      </c>
      <c r="E191">
        <v>10</v>
      </c>
      <c r="H191">
        <v>361</v>
      </c>
      <c r="J191">
        <v>338</v>
      </c>
      <c r="L191">
        <v>4.6667726638478602</v>
      </c>
    </row>
    <row r="192" spans="1:12" x14ac:dyDescent="0.25">
      <c r="A192" t="s">
        <v>580</v>
      </c>
      <c r="B192" t="s">
        <v>581</v>
      </c>
      <c r="C192" t="s">
        <v>613</v>
      </c>
      <c r="D192" t="s">
        <v>590</v>
      </c>
      <c r="E192">
        <v>10</v>
      </c>
      <c r="H192">
        <v>354</v>
      </c>
      <c r="J192">
        <v>338</v>
      </c>
      <c r="L192">
        <v>4.6667726638478602</v>
      </c>
    </row>
    <row r="193" spans="1:12" x14ac:dyDescent="0.25">
      <c r="A193" t="s">
        <v>580</v>
      </c>
      <c r="B193" t="s">
        <v>581</v>
      </c>
      <c r="C193" t="s">
        <v>613</v>
      </c>
      <c r="D193" t="s">
        <v>594</v>
      </c>
      <c r="E193">
        <v>10</v>
      </c>
      <c r="H193">
        <v>336</v>
      </c>
      <c r="J193">
        <v>338</v>
      </c>
      <c r="L193">
        <v>4.6667726638478602</v>
      </c>
    </row>
    <row r="194" spans="1:12" x14ac:dyDescent="0.25">
      <c r="A194" t="s">
        <v>580</v>
      </c>
      <c r="B194" t="s">
        <v>581</v>
      </c>
      <c r="C194" t="s">
        <v>613</v>
      </c>
      <c r="D194" t="s">
        <v>588</v>
      </c>
      <c r="E194">
        <v>10</v>
      </c>
      <c r="H194">
        <v>329</v>
      </c>
      <c r="J194">
        <v>338</v>
      </c>
      <c r="L194">
        <v>4.6667726638478602</v>
      </c>
    </row>
    <row r="195" spans="1:12" x14ac:dyDescent="0.25">
      <c r="A195" t="s">
        <v>580</v>
      </c>
      <c r="B195" t="s">
        <v>581</v>
      </c>
      <c r="C195" t="s">
        <v>614</v>
      </c>
      <c r="D195" t="s">
        <v>601</v>
      </c>
      <c r="E195">
        <v>8</v>
      </c>
      <c r="H195">
        <v>374</v>
      </c>
      <c r="J195">
        <v>377</v>
      </c>
      <c r="L195">
        <v>4.7892711685002904</v>
      </c>
    </row>
    <row r="196" spans="1:12" x14ac:dyDescent="0.25">
      <c r="A196" t="s">
        <v>580</v>
      </c>
      <c r="B196" t="s">
        <v>581</v>
      </c>
      <c r="C196" t="s">
        <v>614</v>
      </c>
      <c r="D196" t="s">
        <v>589</v>
      </c>
      <c r="E196">
        <v>8</v>
      </c>
      <c r="H196">
        <v>374</v>
      </c>
      <c r="J196">
        <v>377</v>
      </c>
      <c r="L196">
        <v>4.7892711685002904</v>
      </c>
    </row>
    <row r="197" spans="1:12" x14ac:dyDescent="0.25">
      <c r="A197" t="s">
        <v>580</v>
      </c>
      <c r="B197" t="s">
        <v>581</v>
      </c>
      <c r="C197" t="s">
        <v>614</v>
      </c>
      <c r="D197" t="s">
        <v>590</v>
      </c>
      <c r="E197">
        <v>8</v>
      </c>
      <c r="H197">
        <v>388</v>
      </c>
      <c r="J197">
        <v>377</v>
      </c>
      <c r="L197">
        <v>4.7892711685002904</v>
      </c>
    </row>
    <row r="198" spans="1:12" x14ac:dyDescent="0.25">
      <c r="A198" t="s">
        <v>580</v>
      </c>
      <c r="B198" t="s">
        <v>581</v>
      </c>
      <c r="C198" t="s">
        <v>614</v>
      </c>
      <c r="D198" t="s">
        <v>592</v>
      </c>
      <c r="E198">
        <v>8</v>
      </c>
      <c r="H198">
        <v>400</v>
      </c>
      <c r="J198">
        <v>377</v>
      </c>
      <c r="L198">
        <v>4.7892711685002904</v>
      </c>
    </row>
    <row r="199" spans="1:12" x14ac:dyDescent="0.25">
      <c r="A199" t="s">
        <v>580</v>
      </c>
      <c r="B199" t="s">
        <v>581</v>
      </c>
      <c r="C199" t="s">
        <v>614</v>
      </c>
      <c r="D199" t="s">
        <v>603</v>
      </c>
      <c r="E199">
        <v>8</v>
      </c>
      <c r="H199">
        <v>393</v>
      </c>
      <c r="J199">
        <v>377</v>
      </c>
      <c r="L199">
        <v>4.7892711685002904</v>
      </c>
    </row>
    <row r="200" spans="1:12" x14ac:dyDescent="0.25">
      <c r="A200" t="s">
        <v>580</v>
      </c>
      <c r="B200" t="s">
        <v>581</v>
      </c>
      <c r="C200" t="s">
        <v>614</v>
      </c>
      <c r="D200" t="s">
        <v>606</v>
      </c>
      <c r="E200">
        <v>8</v>
      </c>
      <c r="H200">
        <v>393</v>
      </c>
      <c r="J200">
        <v>377</v>
      </c>
      <c r="L200">
        <v>4.7892711685002904</v>
      </c>
    </row>
    <row r="201" spans="1:12" x14ac:dyDescent="0.25">
      <c r="A201" t="s">
        <v>580</v>
      </c>
      <c r="B201" t="s">
        <v>581</v>
      </c>
      <c r="C201" t="s">
        <v>614</v>
      </c>
      <c r="D201" t="s">
        <v>597</v>
      </c>
      <c r="E201">
        <v>8</v>
      </c>
      <c r="H201">
        <v>362</v>
      </c>
      <c r="J201">
        <v>377</v>
      </c>
      <c r="L201">
        <v>4.7892711685002904</v>
      </c>
    </row>
    <row r="202" spans="1:12" x14ac:dyDescent="0.25">
      <c r="A202" t="s">
        <v>580</v>
      </c>
      <c r="B202" t="s">
        <v>581</v>
      </c>
      <c r="C202" t="s">
        <v>614</v>
      </c>
      <c r="D202" t="s">
        <v>595</v>
      </c>
      <c r="E202">
        <v>8</v>
      </c>
      <c r="H202">
        <v>370</v>
      </c>
      <c r="J202">
        <v>377</v>
      </c>
      <c r="L202">
        <v>4.7892711685002904</v>
      </c>
    </row>
    <row r="203" spans="1:12" x14ac:dyDescent="0.25">
      <c r="A203" t="s">
        <v>580</v>
      </c>
      <c r="B203" t="s">
        <v>581</v>
      </c>
      <c r="C203" t="s">
        <v>614</v>
      </c>
      <c r="D203" t="s">
        <v>583</v>
      </c>
      <c r="E203">
        <v>8</v>
      </c>
      <c r="H203">
        <v>375</v>
      </c>
      <c r="J203">
        <v>377</v>
      </c>
      <c r="L203">
        <v>4.7892711685002904</v>
      </c>
    </row>
    <row r="204" spans="1:12" x14ac:dyDescent="0.25">
      <c r="A204" t="s">
        <v>580</v>
      </c>
      <c r="B204" t="s">
        <v>581</v>
      </c>
      <c r="C204" t="s">
        <v>614</v>
      </c>
      <c r="D204" t="s">
        <v>587</v>
      </c>
      <c r="E204">
        <v>8</v>
      </c>
      <c r="H204">
        <v>377</v>
      </c>
      <c r="J204">
        <v>377</v>
      </c>
      <c r="L204">
        <v>4.7892711685002904</v>
      </c>
    </row>
    <row r="205" spans="1:12" x14ac:dyDescent="0.25">
      <c r="A205" t="s">
        <v>580</v>
      </c>
      <c r="B205" t="s">
        <v>581</v>
      </c>
      <c r="C205" t="s">
        <v>614</v>
      </c>
      <c r="D205" t="s">
        <v>596</v>
      </c>
      <c r="E205">
        <v>8</v>
      </c>
      <c r="H205">
        <v>385</v>
      </c>
      <c r="J205">
        <v>377</v>
      </c>
      <c r="L205">
        <v>4.7892711685002904</v>
      </c>
    </row>
    <row r="206" spans="1:12" x14ac:dyDescent="0.25">
      <c r="A206" t="s">
        <v>580</v>
      </c>
      <c r="B206" t="s">
        <v>581</v>
      </c>
      <c r="C206" t="s">
        <v>614</v>
      </c>
      <c r="D206" t="s">
        <v>586</v>
      </c>
      <c r="E206">
        <v>8</v>
      </c>
      <c r="H206">
        <v>391</v>
      </c>
      <c r="J206">
        <v>377</v>
      </c>
      <c r="L206">
        <v>4.7892711685002904</v>
      </c>
    </row>
    <row r="207" spans="1:12" x14ac:dyDescent="0.25">
      <c r="A207" t="s">
        <v>580</v>
      </c>
      <c r="B207" t="s">
        <v>581</v>
      </c>
      <c r="C207" t="s">
        <v>614</v>
      </c>
      <c r="D207" t="s">
        <v>598</v>
      </c>
      <c r="E207">
        <v>8</v>
      </c>
      <c r="H207">
        <v>396</v>
      </c>
      <c r="J207">
        <v>377</v>
      </c>
      <c r="L207">
        <v>4.7892711685002904</v>
      </c>
    </row>
    <row r="208" spans="1:12" x14ac:dyDescent="0.25">
      <c r="A208" t="s">
        <v>580</v>
      </c>
      <c r="B208" t="s">
        <v>581</v>
      </c>
      <c r="C208" t="s">
        <v>614</v>
      </c>
      <c r="D208" t="s">
        <v>599</v>
      </c>
      <c r="E208">
        <v>8</v>
      </c>
      <c r="H208">
        <v>384</v>
      </c>
      <c r="J208">
        <v>377</v>
      </c>
      <c r="L208">
        <v>4.7892711685002904</v>
      </c>
    </row>
    <row r="209" spans="1:17" x14ac:dyDescent="0.25">
      <c r="A209" t="s">
        <v>580</v>
      </c>
      <c r="B209" t="s">
        <v>581</v>
      </c>
      <c r="C209" t="s">
        <v>614</v>
      </c>
      <c r="D209" t="s">
        <v>600</v>
      </c>
      <c r="E209">
        <v>8</v>
      </c>
      <c r="H209">
        <v>383</v>
      </c>
      <c r="J209">
        <v>377</v>
      </c>
      <c r="L209">
        <v>4.7892711685002904</v>
      </c>
    </row>
    <row r="210" spans="1:17" x14ac:dyDescent="0.25">
      <c r="A210" t="s">
        <v>580</v>
      </c>
      <c r="B210" t="s">
        <v>581</v>
      </c>
      <c r="C210" t="s">
        <v>614</v>
      </c>
      <c r="D210" t="s">
        <v>591</v>
      </c>
      <c r="E210">
        <v>8</v>
      </c>
      <c r="H210">
        <v>318</v>
      </c>
      <c r="J210">
        <v>377</v>
      </c>
      <c r="L210">
        <v>4.7892711685002904</v>
      </c>
    </row>
    <row r="211" spans="1:17" x14ac:dyDescent="0.25">
      <c r="A211" t="s">
        <v>580</v>
      </c>
      <c r="B211" t="s">
        <v>581</v>
      </c>
      <c r="C211" t="s">
        <v>614</v>
      </c>
      <c r="D211" t="s">
        <v>602</v>
      </c>
      <c r="E211">
        <v>8</v>
      </c>
      <c r="H211">
        <v>361</v>
      </c>
      <c r="J211">
        <v>377</v>
      </c>
      <c r="L211">
        <v>4.7892711685002904</v>
      </c>
    </row>
    <row r="212" spans="1:17" x14ac:dyDescent="0.25">
      <c r="A212" t="s">
        <v>580</v>
      </c>
      <c r="B212" t="s">
        <v>581</v>
      </c>
      <c r="C212" t="s">
        <v>614</v>
      </c>
      <c r="D212" t="s">
        <v>604</v>
      </c>
      <c r="E212">
        <v>8</v>
      </c>
      <c r="H212">
        <v>404</v>
      </c>
      <c r="J212">
        <v>377</v>
      </c>
      <c r="L212">
        <v>4.7892711685002904</v>
      </c>
    </row>
    <row r="213" spans="1:17" x14ac:dyDescent="0.25">
      <c r="A213" t="s">
        <v>580</v>
      </c>
      <c r="B213" t="s">
        <v>581</v>
      </c>
      <c r="C213" t="s">
        <v>614</v>
      </c>
      <c r="D213" t="s">
        <v>593</v>
      </c>
      <c r="E213">
        <v>8</v>
      </c>
      <c r="H213">
        <v>357</v>
      </c>
      <c r="J213">
        <v>377</v>
      </c>
      <c r="L213">
        <v>4.7892711685002904</v>
      </c>
    </row>
    <row r="214" spans="1:17" x14ac:dyDescent="0.25">
      <c r="A214" t="s">
        <v>580</v>
      </c>
      <c r="B214" t="s">
        <v>581</v>
      </c>
      <c r="C214" t="s">
        <v>614</v>
      </c>
      <c r="D214" t="s">
        <v>605</v>
      </c>
      <c r="E214">
        <v>8</v>
      </c>
      <c r="H214">
        <v>373</v>
      </c>
      <c r="J214">
        <v>377</v>
      </c>
      <c r="L214">
        <v>4.7892711685002904</v>
      </c>
    </row>
    <row r="215" spans="1:17" x14ac:dyDescent="0.25">
      <c r="A215" t="s">
        <v>580</v>
      </c>
      <c r="B215" t="s">
        <v>581</v>
      </c>
      <c r="C215" t="s">
        <v>614</v>
      </c>
      <c r="D215" t="s">
        <v>594</v>
      </c>
      <c r="E215">
        <v>8</v>
      </c>
      <c r="H215">
        <v>364</v>
      </c>
      <c r="J215">
        <v>377</v>
      </c>
      <c r="L215">
        <v>4.7892711685002904</v>
      </c>
    </row>
    <row r="216" spans="1:17" x14ac:dyDescent="0.25">
      <c r="A216" t="s">
        <v>580</v>
      </c>
      <c r="B216" t="s">
        <v>581</v>
      </c>
      <c r="C216" t="s">
        <v>614</v>
      </c>
      <c r="D216" t="s">
        <v>588</v>
      </c>
      <c r="E216">
        <v>8</v>
      </c>
      <c r="H216">
        <v>384</v>
      </c>
      <c r="J216">
        <v>377</v>
      </c>
      <c r="L216">
        <v>4.7892711685002904</v>
      </c>
    </row>
    <row r="217" spans="1:17" x14ac:dyDescent="0.25">
      <c r="A217" t="s">
        <v>580</v>
      </c>
      <c r="B217" t="s">
        <v>581</v>
      </c>
      <c r="C217" t="s">
        <v>614</v>
      </c>
      <c r="D217" t="s">
        <v>584</v>
      </c>
      <c r="E217">
        <v>8</v>
      </c>
      <c r="H217">
        <v>386</v>
      </c>
      <c r="J217">
        <v>377</v>
      </c>
      <c r="L217">
        <v>4.7892711685002904</v>
      </c>
    </row>
    <row r="218" spans="1:17" x14ac:dyDescent="0.25">
      <c r="A218" t="s">
        <v>580</v>
      </c>
      <c r="B218" t="s">
        <v>581</v>
      </c>
      <c r="C218" t="s">
        <v>614</v>
      </c>
      <c r="D218" t="s">
        <v>585</v>
      </c>
      <c r="E218">
        <v>8</v>
      </c>
      <c r="H218">
        <v>364</v>
      </c>
      <c r="J218">
        <v>377</v>
      </c>
      <c r="L218">
        <v>4.7892711685002904</v>
      </c>
    </row>
    <row r="219" spans="1:17" x14ac:dyDescent="0.25">
      <c r="A219" t="s">
        <v>580</v>
      </c>
      <c r="B219" t="s">
        <v>615</v>
      </c>
      <c r="C219" t="s">
        <v>582</v>
      </c>
      <c r="D219" t="s">
        <v>616</v>
      </c>
      <c r="E219">
        <v>1</v>
      </c>
      <c r="F219">
        <v>2</v>
      </c>
      <c r="H219">
        <v>389</v>
      </c>
      <c r="I219">
        <v>389</v>
      </c>
      <c r="J219">
        <v>401</v>
      </c>
      <c r="K219">
        <v>400.5</v>
      </c>
      <c r="L219">
        <v>4.0607880068141302</v>
      </c>
      <c r="O219" t="s">
        <v>417</v>
      </c>
      <c r="P219" t="s">
        <v>417</v>
      </c>
      <c r="Q219" t="s">
        <v>417</v>
      </c>
    </row>
    <row r="220" spans="1:17" x14ac:dyDescent="0.25">
      <c r="A220" t="s">
        <v>580</v>
      </c>
      <c r="B220" t="s">
        <v>615</v>
      </c>
      <c r="C220" t="s">
        <v>582</v>
      </c>
      <c r="D220" t="s">
        <v>617</v>
      </c>
      <c r="E220">
        <v>1</v>
      </c>
      <c r="F220">
        <v>2</v>
      </c>
      <c r="H220">
        <v>412</v>
      </c>
      <c r="I220">
        <v>412</v>
      </c>
      <c r="J220">
        <v>401</v>
      </c>
      <c r="K220">
        <v>400.5</v>
      </c>
      <c r="L220">
        <v>4.0607880068141302</v>
      </c>
      <c r="O220">
        <v>8.7460672256920498E-3</v>
      </c>
      <c r="P220" t="s">
        <v>417</v>
      </c>
      <c r="Q220" t="s">
        <v>417</v>
      </c>
    </row>
    <row r="221" spans="1:17" x14ac:dyDescent="0.25">
      <c r="A221" t="s">
        <v>580</v>
      </c>
      <c r="B221" t="s">
        <v>615</v>
      </c>
      <c r="C221" t="s">
        <v>607</v>
      </c>
      <c r="D221" t="s">
        <v>617</v>
      </c>
      <c r="E221">
        <v>5</v>
      </c>
      <c r="F221">
        <v>2</v>
      </c>
      <c r="H221">
        <v>247</v>
      </c>
      <c r="I221">
        <v>247</v>
      </c>
      <c r="J221">
        <v>253</v>
      </c>
      <c r="K221">
        <v>253</v>
      </c>
      <c r="L221">
        <v>3.3538661558255201</v>
      </c>
      <c r="O221">
        <v>0.12259303707881</v>
      </c>
      <c r="P221">
        <v>0.30043025805994999</v>
      </c>
      <c r="Q221">
        <v>83.713208992445104</v>
      </c>
    </row>
    <row r="222" spans="1:17" x14ac:dyDescent="0.25">
      <c r="A222" t="s">
        <v>580</v>
      </c>
      <c r="B222" t="s">
        <v>615</v>
      </c>
      <c r="C222" t="s">
        <v>607</v>
      </c>
      <c r="D222" t="s">
        <v>616</v>
      </c>
      <c r="E222">
        <v>5</v>
      </c>
      <c r="F222">
        <v>2</v>
      </c>
      <c r="H222">
        <v>259</v>
      </c>
      <c r="I222">
        <v>259</v>
      </c>
      <c r="J222">
        <v>253</v>
      </c>
      <c r="K222">
        <v>253</v>
      </c>
      <c r="L222">
        <v>3.3538661558255201</v>
      </c>
      <c r="O222">
        <v>0.47826747904108902</v>
      </c>
      <c r="P222">
        <v>0.30043025805994999</v>
      </c>
      <c r="Q222">
        <v>83.713208992445104</v>
      </c>
    </row>
    <row r="223" spans="1:17" x14ac:dyDescent="0.25">
      <c r="A223" t="s">
        <v>580</v>
      </c>
      <c r="B223" t="s">
        <v>615</v>
      </c>
      <c r="C223" t="s">
        <v>608</v>
      </c>
      <c r="D223" t="s">
        <v>617</v>
      </c>
      <c r="E223">
        <v>9</v>
      </c>
      <c r="F223">
        <v>2</v>
      </c>
      <c r="H223">
        <v>398</v>
      </c>
      <c r="I223">
        <v>398</v>
      </c>
      <c r="J223">
        <v>409</v>
      </c>
      <c r="K223">
        <v>408.5</v>
      </c>
      <c r="L223">
        <v>3.6350654602001198</v>
      </c>
      <c r="O223" t="s">
        <v>417</v>
      </c>
      <c r="P223" t="s">
        <v>417</v>
      </c>
      <c r="Q223" t="s">
        <v>417</v>
      </c>
    </row>
    <row r="224" spans="1:17" x14ac:dyDescent="0.25">
      <c r="A224" t="s">
        <v>580</v>
      </c>
      <c r="B224" t="s">
        <v>615</v>
      </c>
      <c r="C224" t="s">
        <v>608</v>
      </c>
      <c r="D224" t="s">
        <v>616</v>
      </c>
      <c r="E224">
        <v>9</v>
      </c>
      <c r="F224">
        <v>2</v>
      </c>
      <c r="H224">
        <v>419</v>
      </c>
      <c r="I224">
        <v>419</v>
      </c>
      <c r="J224">
        <v>409</v>
      </c>
      <c r="K224">
        <v>408.5</v>
      </c>
      <c r="L224">
        <v>3.6350654602001198</v>
      </c>
      <c r="O224">
        <v>4.2926639314060804</v>
      </c>
      <c r="P224" t="s">
        <v>417</v>
      </c>
      <c r="Q224" t="s">
        <v>417</v>
      </c>
    </row>
    <row r="225" spans="1:17" x14ac:dyDescent="0.25">
      <c r="A225" t="s">
        <v>580</v>
      </c>
      <c r="B225" t="s">
        <v>615</v>
      </c>
      <c r="C225" t="s">
        <v>609</v>
      </c>
      <c r="D225" t="s">
        <v>617</v>
      </c>
      <c r="E225">
        <v>2</v>
      </c>
      <c r="F225">
        <v>2</v>
      </c>
      <c r="H225">
        <v>1211</v>
      </c>
      <c r="I225">
        <v>1211</v>
      </c>
      <c r="J225">
        <v>1202</v>
      </c>
      <c r="K225">
        <v>1201.5</v>
      </c>
      <c r="L225">
        <v>1.1181880018763499</v>
      </c>
      <c r="O225">
        <v>0.176872456658862</v>
      </c>
      <c r="P225">
        <v>0.12971093288868399</v>
      </c>
      <c r="Q225">
        <v>51.419309885932797</v>
      </c>
    </row>
    <row r="226" spans="1:17" x14ac:dyDescent="0.25">
      <c r="A226" t="s">
        <v>580</v>
      </c>
      <c r="B226" t="s">
        <v>615</v>
      </c>
      <c r="C226" t="s">
        <v>609</v>
      </c>
      <c r="D226" t="s">
        <v>616</v>
      </c>
      <c r="E226">
        <v>2</v>
      </c>
      <c r="F226">
        <v>2</v>
      </c>
      <c r="H226">
        <v>1192</v>
      </c>
      <c r="I226">
        <v>1192</v>
      </c>
      <c r="J226">
        <v>1202</v>
      </c>
      <c r="K226">
        <v>1201.5</v>
      </c>
      <c r="L226">
        <v>1.1181880018763499</v>
      </c>
      <c r="O226">
        <v>8.2549409118506098E-2</v>
      </c>
      <c r="P226">
        <v>0.12971093288868399</v>
      </c>
      <c r="Q226">
        <v>51.419309885932797</v>
      </c>
    </row>
    <row r="227" spans="1:17" x14ac:dyDescent="0.25">
      <c r="A227" t="s">
        <v>580</v>
      </c>
      <c r="B227" t="s">
        <v>615</v>
      </c>
      <c r="C227" t="s">
        <v>610</v>
      </c>
      <c r="D227" t="s">
        <v>617</v>
      </c>
      <c r="E227">
        <v>3</v>
      </c>
      <c r="F227">
        <v>2</v>
      </c>
      <c r="H227">
        <v>504</v>
      </c>
      <c r="I227">
        <v>504</v>
      </c>
      <c r="J227">
        <v>505</v>
      </c>
      <c r="K227">
        <v>505</v>
      </c>
      <c r="L227">
        <v>0.28004228957882998</v>
      </c>
      <c r="O227" t="s">
        <v>417</v>
      </c>
      <c r="P227" t="s">
        <v>417</v>
      </c>
      <c r="Q227" t="s">
        <v>417</v>
      </c>
    </row>
    <row r="228" spans="1:17" x14ac:dyDescent="0.25">
      <c r="A228" t="s">
        <v>580</v>
      </c>
      <c r="B228" t="s">
        <v>615</v>
      </c>
      <c r="C228" t="s">
        <v>610</v>
      </c>
      <c r="D228" t="s">
        <v>616</v>
      </c>
      <c r="E228">
        <v>3</v>
      </c>
      <c r="F228">
        <v>2</v>
      </c>
      <c r="H228">
        <v>506</v>
      </c>
      <c r="I228">
        <v>506</v>
      </c>
      <c r="J228">
        <v>505</v>
      </c>
      <c r="K228">
        <v>505</v>
      </c>
      <c r="L228">
        <v>0.28004228957882998</v>
      </c>
      <c r="O228" t="s">
        <v>417</v>
      </c>
      <c r="P228" t="s">
        <v>417</v>
      </c>
      <c r="Q228" t="s">
        <v>417</v>
      </c>
    </row>
    <row r="229" spans="1:17" x14ac:dyDescent="0.25">
      <c r="A229" t="s">
        <v>580</v>
      </c>
      <c r="B229" t="s">
        <v>615</v>
      </c>
      <c r="C229" t="s">
        <v>611</v>
      </c>
      <c r="D229" t="s">
        <v>617</v>
      </c>
      <c r="E229">
        <v>4</v>
      </c>
      <c r="F229">
        <v>2</v>
      </c>
      <c r="H229">
        <v>480</v>
      </c>
      <c r="I229">
        <v>480</v>
      </c>
      <c r="J229">
        <v>478</v>
      </c>
      <c r="K229">
        <v>477.5</v>
      </c>
      <c r="L229">
        <v>0.74042594888643698</v>
      </c>
      <c r="O229">
        <v>8.2943964377790493</v>
      </c>
      <c r="P229">
        <v>8.14234321934617</v>
      </c>
      <c r="Q229">
        <v>2.6409562691894601</v>
      </c>
    </row>
    <row r="230" spans="1:17" x14ac:dyDescent="0.25">
      <c r="A230" t="s">
        <v>580</v>
      </c>
      <c r="B230" t="s">
        <v>615</v>
      </c>
      <c r="C230" t="s">
        <v>611</v>
      </c>
      <c r="D230" t="s">
        <v>616</v>
      </c>
      <c r="E230">
        <v>4</v>
      </c>
      <c r="F230">
        <v>2</v>
      </c>
      <c r="H230">
        <v>475</v>
      </c>
      <c r="I230">
        <v>475</v>
      </c>
      <c r="J230">
        <v>478</v>
      </c>
      <c r="K230">
        <v>477.5</v>
      </c>
      <c r="L230">
        <v>0.74042594888643698</v>
      </c>
      <c r="O230">
        <v>7.9902900009133004</v>
      </c>
      <c r="P230">
        <v>8.14234321934617</v>
      </c>
      <c r="Q230">
        <v>2.6409562691894601</v>
      </c>
    </row>
    <row r="231" spans="1:17" x14ac:dyDescent="0.25">
      <c r="A231" t="s">
        <v>580</v>
      </c>
      <c r="B231" t="s">
        <v>615</v>
      </c>
      <c r="C231" t="s">
        <v>612</v>
      </c>
      <c r="D231" t="s">
        <v>617</v>
      </c>
      <c r="E231">
        <v>7</v>
      </c>
      <c r="F231">
        <v>2</v>
      </c>
      <c r="H231">
        <v>9126</v>
      </c>
      <c r="I231">
        <v>9126</v>
      </c>
      <c r="J231">
        <v>9061</v>
      </c>
      <c r="K231">
        <v>9060.5</v>
      </c>
      <c r="L231">
        <v>1.02236066812469</v>
      </c>
      <c r="O231">
        <v>27.331310164017999</v>
      </c>
      <c r="P231">
        <v>27.136073581108398</v>
      </c>
      <c r="Q231">
        <v>1.0174877459587299</v>
      </c>
    </row>
    <row r="232" spans="1:17" x14ac:dyDescent="0.25">
      <c r="A232" t="s">
        <v>580</v>
      </c>
      <c r="B232" t="s">
        <v>615</v>
      </c>
      <c r="C232" t="s">
        <v>612</v>
      </c>
      <c r="D232" t="s">
        <v>616</v>
      </c>
      <c r="E232">
        <v>7</v>
      </c>
      <c r="F232">
        <v>2</v>
      </c>
      <c r="H232">
        <v>8995</v>
      </c>
      <c r="I232">
        <v>8995</v>
      </c>
      <c r="J232">
        <v>9061</v>
      </c>
      <c r="K232">
        <v>9060.5</v>
      </c>
      <c r="L232">
        <v>1.02236066812469</v>
      </c>
      <c r="O232">
        <v>26.940836998198801</v>
      </c>
      <c r="P232">
        <v>27.136073581108398</v>
      </c>
      <c r="Q232">
        <v>1.0174877459587299</v>
      </c>
    </row>
    <row r="233" spans="1:17" x14ac:dyDescent="0.25">
      <c r="A233" t="s">
        <v>580</v>
      </c>
      <c r="B233" t="s">
        <v>615</v>
      </c>
      <c r="C233" t="s">
        <v>613</v>
      </c>
      <c r="D233" t="s">
        <v>617</v>
      </c>
      <c r="E233">
        <v>10</v>
      </c>
      <c r="F233">
        <v>2</v>
      </c>
      <c r="H233">
        <v>506</v>
      </c>
      <c r="I233">
        <v>506</v>
      </c>
      <c r="J233">
        <v>508</v>
      </c>
      <c r="K233">
        <v>507.5</v>
      </c>
      <c r="L233">
        <v>0.417994156366431</v>
      </c>
      <c r="O233">
        <v>4.0575836393419804</v>
      </c>
      <c r="P233">
        <v>4.0797098381277204</v>
      </c>
      <c r="Q233">
        <v>0.76699499837249596</v>
      </c>
    </row>
    <row r="234" spans="1:17" x14ac:dyDescent="0.25">
      <c r="A234" t="s">
        <v>580</v>
      </c>
      <c r="B234" t="s">
        <v>615</v>
      </c>
      <c r="C234" t="s">
        <v>613</v>
      </c>
      <c r="D234" t="s">
        <v>616</v>
      </c>
      <c r="E234">
        <v>10</v>
      </c>
      <c r="F234">
        <v>2</v>
      </c>
      <c r="H234">
        <v>509</v>
      </c>
      <c r="I234">
        <v>509</v>
      </c>
      <c r="J234">
        <v>508</v>
      </c>
      <c r="K234">
        <v>507.5</v>
      </c>
      <c r="L234">
        <v>0.417994156366431</v>
      </c>
      <c r="O234">
        <v>4.1018360369134497</v>
      </c>
      <c r="P234">
        <v>4.0797098381277204</v>
      </c>
      <c r="Q234">
        <v>0.76699499837249596</v>
      </c>
    </row>
    <row r="235" spans="1:17" x14ac:dyDescent="0.25">
      <c r="A235" t="s">
        <v>580</v>
      </c>
      <c r="B235" t="s">
        <v>615</v>
      </c>
      <c r="C235" t="s">
        <v>614</v>
      </c>
      <c r="D235" t="s">
        <v>617</v>
      </c>
      <c r="E235">
        <v>8</v>
      </c>
      <c r="F235">
        <v>2</v>
      </c>
      <c r="H235">
        <v>355</v>
      </c>
      <c r="I235">
        <v>355</v>
      </c>
      <c r="J235">
        <v>353</v>
      </c>
      <c r="K235">
        <v>353</v>
      </c>
      <c r="L235">
        <v>0.80125414298758901</v>
      </c>
      <c r="O235">
        <v>5.2666055017650301E-2</v>
      </c>
      <c r="P235">
        <v>4.28949152013164E-2</v>
      </c>
      <c r="Q235">
        <v>32.214723780778499</v>
      </c>
    </row>
    <row r="236" spans="1:17" x14ac:dyDescent="0.25">
      <c r="A236" t="s">
        <v>580</v>
      </c>
      <c r="B236" t="s">
        <v>615</v>
      </c>
      <c r="C236" t="s">
        <v>614</v>
      </c>
      <c r="D236" t="s">
        <v>616</v>
      </c>
      <c r="E236">
        <v>8</v>
      </c>
      <c r="F236">
        <v>2</v>
      </c>
      <c r="H236">
        <v>351</v>
      </c>
      <c r="I236">
        <v>351</v>
      </c>
      <c r="J236">
        <v>353</v>
      </c>
      <c r="K236">
        <v>353</v>
      </c>
      <c r="L236">
        <v>0.80125414298758901</v>
      </c>
      <c r="O236">
        <v>3.3123775384982401E-2</v>
      </c>
      <c r="P236">
        <v>4.28949152013164E-2</v>
      </c>
      <c r="Q236">
        <v>32.214723780778499</v>
      </c>
    </row>
    <row r="237" spans="1:17" x14ac:dyDescent="0.25">
      <c r="A237" t="s">
        <v>580</v>
      </c>
      <c r="B237" t="s">
        <v>618</v>
      </c>
      <c r="C237" t="s">
        <v>582</v>
      </c>
      <c r="D237" t="s">
        <v>619</v>
      </c>
      <c r="E237">
        <v>1</v>
      </c>
      <c r="F237">
        <v>2</v>
      </c>
      <c r="H237">
        <v>384</v>
      </c>
      <c r="I237">
        <v>384</v>
      </c>
      <c r="J237">
        <v>402</v>
      </c>
      <c r="K237">
        <v>401.5</v>
      </c>
      <c r="L237">
        <v>6.1640690763459904</v>
      </c>
      <c r="O237" t="s">
        <v>417</v>
      </c>
      <c r="P237" t="s">
        <v>417</v>
      </c>
      <c r="Q237" t="s">
        <v>417</v>
      </c>
    </row>
    <row r="238" spans="1:17" x14ac:dyDescent="0.25">
      <c r="A238" t="s">
        <v>580</v>
      </c>
      <c r="B238" t="s">
        <v>618</v>
      </c>
      <c r="C238" t="s">
        <v>582</v>
      </c>
      <c r="D238" t="s">
        <v>620</v>
      </c>
      <c r="E238">
        <v>1</v>
      </c>
      <c r="F238">
        <v>2</v>
      </c>
      <c r="H238">
        <v>419</v>
      </c>
      <c r="I238">
        <v>419</v>
      </c>
      <c r="J238">
        <v>402</v>
      </c>
      <c r="K238">
        <v>401.5</v>
      </c>
      <c r="L238">
        <v>6.1640690763459904</v>
      </c>
      <c r="O238">
        <v>2.6364706115157999E-2</v>
      </c>
      <c r="P238" t="s">
        <v>417</v>
      </c>
      <c r="Q238" t="s">
        <v>417</v>
      </c>
    </row>
    <row r="239" spans="1:17" x14ac:dyDescent="0.25">
      <c r="A239" t="s">
        <v>580</v>
      </c>
      <c r="B239" t="s">
        <v>618</v>
      </c>
      <c r="C239" t="s">
        <v>607</v>
      </c>
      <c r="D239" t="s">
        <v>619</v>
      </c>
      <c r="E239">
        <v>5</v>
      </c>
      <c r="F239">
        <v>2</v>
      </c>
      <c r="H239">
        <v>244</v>
      </c>
      <c r="I239">
        <v>244</v>
      </c>
      <c r="J239">
        <v>262</v>
      </c>
      <c r="K239">
        <v>262</v>
      </c>
      <c r="L239">
        <v>9.7159710392044705</v>
      </c>
      <c r="O239">
        <v>3.3410468604052002E-2</v>
      </c>
      <c r="P239">
        <v>0.56636557364823203</v>
      </c>
      <c r="Q239">
        <v>133.07876974838601</v>
      </c>
    </row>
    <row r="240" spans="1:17" x14ac:dyDescent="0.25">
      <c r="A240" t="s">
        <v>580</v>
      </c>
      <c r="B240" t="s">
        <v>618</v>
      </c>
      <c r="C240" t="s">
        <v>607</v>
      </c>
      <c r="D240" t="s">
        <v>620</v>
      </c>
      <c r="E240">
        <v>5</v>
      </c>
      <c r="F240">
        <v>2</v>
      </c>
      <c r="H240">
        <v>280</v>
      </c>
      <c r="I240">
        <v>280</v>
      </c>
      <c r="J240">
        <v>262</v>
      </c>
      <c r="K240">
        <v>262</v>
      </c>
      <c r="L240">
        <v>9.7159710392044705</v>
      </c>
      <c r="O240">
        <v>1.0993206786924099</v>
      </c>
      <c r="P240">
        <v>0.56636557364823203</v>
      </c>
      <c r="Q240">
        <v>133.07876974838601</v>
      </c>
    </row>
    <row r="241" spans="1:17" x14ac:dyDescent="0.25">
      <c r="A241" t="s">
        <v>580</v>
      </c>
      <c r="B241" t="s">
        <v>618</v>
      </c>
      <c r="C241" t="s">
        <v>608</v>
      </c>
      <c r="D241" t="s">
        <v>619</v>
      </c>
      <c r="E241">
        <v>9</v>
      </c>
      <c r="F241">
        <v>2</v>
      </c>
      <c r="H241">
        <v>421</v>
      </c>
      <c r="I241">
        <v>421</v>
      </c>
      <c r="J241">
        <v>417</v>
      </c>
      <c r="K241">
        <v>417</v>
      </c>
      <c r="L241">
        <v>1.35655977206052</v>
      </c>
      <c r="O241">
        <v>4.8168022366255796</v>
      </c>
      <c r="P241">
        <v>3.7642725770042098</v>
      </c>
      <c r="Q241">
        <v>39.5428781786336</v>
      </c>
    </row>
    <row r="242" spans="1:17" x14ac:dyDescent="0.25">
      <c r="A242" t="s">
        <v>580</v>
      </c>
      <c r="B242" t="s">
        <v>618</v>
      </c>
      <c r="C242" t="s">
        <v>608</v>
      </c>
      <c r="D242" t="s">
        <v>620</v>
      </c>
      <c r="E242">
        <v>9</v>
      </c>
      <c r="F242">
        <v>2</v>
      </c>
      <c r="H242">
        <v>413</v>
      </c>
      <c r="I242">
        <v>413</v>
      </c>
      <c r="J242">
        <v>417</v>
      </c>
      <c r="K242">
        <v>417</v>
      </c>
      <c r="L242">
        <v>1.35655977206052</v>
      </c>
      <c r="O242">
        <v>2.7117429173828298</v>
      </c>
      <c r="P242">
        <v>3.7642725770042098</v>
      </c>
      <c r="Q242">
        <v>39.5428781786336</v>
      </c>
    </row>
    <row r="243" spans="1:17" x14ac:dyDescent="0.25">
      <c r="A243" t="s">
        <v>580</v>
      </c>
      <c r="B243" t="s">
        <v>618</v>
      </c>
      <c r="C243" t="s">
        <v>609</v>
      </c>
      <c r="D243" t="s">
        <v>619</v>
      </c>
      <c r="E243">
        <v>2</v>
      </c>
      <c r="F243">
        <v>2</v>
      </c>
      <c r="H243">
        <v>1163</v>
      </c>
      <c r="I243">
        <v>1163</v>
      </c>
      <c r="J243">
        <v>1178</v>
      </c>
      <c r="K243">
        <v>1177.5</v>
      </c>
      <c r="L243">
        <v>1.7414944080178201</v>
      </c>
      <c r="O243" t="s">
        <v>417</v>
      </c>
      <c r="P243" t="s">
        <v>417</v>
      </c>
      <c r="Q243" t="s">
        <v>417</v>
      </c>
    </row>
    <row r="244" spans="1:17" x14ac:dyDescent="0.25">
      <c r="A244" t="s">
        <v>580</v>
      </c>
      <c r="B244" t="s">
        <v>618</v>
      </c>
      <c r="C244" t="s">
        <v>609</v>
      </c>
      <c r="D244" t="s">
        <v>620</v>
      </c>
      <c r="E244">
        <v>2</v>
      </c>
      <c r="F244">
        <v>2</v>
      </c>
      <c r="H244">
        <v>1192</v>
      </c>
      <c r="I244">
        <v>1192</v>
      </c>
      <c r="J244">
        <v>1178</v>
      </c>
      <c r="K244">
        <v>1177.5</v>
      </c>
      <c r="L244">
        <v>1.7414944080178201</v>
      </c>
      <c r="O244">
        <v>8.2549409118506098E-2</v>
      </c>
      <c r="P244">
        <v>8.2549409118506098E-2</v>
      </c>
      <c r="Q244" t="s">
        <v>417</v>
      </c>
    </row>
    <row r="245" spans="1:17" x14ac:dyDescent="0.25">
      <c r="A245" t="s">
        <v>580</v>
      </c>
      <c r="B245" t="s">
        <v>618</v>
      </c>
      <c r="C245" t="s">
        <v>610</v>
      </c>
      <c r="D245" t="s">
        <v>619</v>
      </c>
      <c r="E245">
        <v>3</v>
      </c>
      <c r="F245">
        <v>2</v>
      </c>
      <c r="H245">
        <v>508</v>
      </c>
      <c r="I245">
        <v>508</v>
      </c>
      <c r="J245">
        <v>509</v>
      </c>
      <c r="K245">
        <v>508.5</v>
      </c>
      <c r="L245">
        <v>0.13905738076431601</v>
      </c>
      <c r="O245" t="s">
        <v>417</v>
      </c>
      <c r="P245" t="s">
        <v>417</v>
      </c>
      <c r="Q245" t="s">
        <v>417</v>
      </c>
    </row>
    <row r="246" spans="1:17" x14ac:dyDescent="0.25">
      <c r="A246" t="s">
        <v>580</v>
      </c>
      <c r="B246" t="s">
        <v>618</v>
      </c>
      <c r="C246" t="s">
        <v>610</v>
      </c>
      <c r="D246" t="s">
        <v>620</v>
      </c>
      <c r="E246">
        <v>3</v>
      </c>
      <c r="F246">
        <v>2</v>
      </c>
      <c r="H246">
        <v>509</v>
      </c>
      <c r="I246">
        <v>509</v>
      </c>
      <c r="J246">
        <v>509</v>
      </c>
      <c r="K246">
        <v>508.5</v>
      </c>
      <c r="L246">
        <v>0.13905738076431601</v>
      </c>
      <c r="O246" t="s">
        <v>417</v>
      </c>
      <c r="P246" t="s">
        <v>417</v>
      </c>
      <c r="Q246" t="s">
        <v>417</v>
      </c>
    </row>
    <row r="247" spans="1:17" x14ac:dyDescent="0.25">
      <c r="A247" t="s">
        <v>580</v>
      </c>
      <c r="B247" t="s">
        <v>618</v>
      </c>
      <c r="C247" t="s">
        <v>611</v>
      </c>
      <c r="D247" t="s">
        <v>619</v>
      </c>
      <c r="E247">
        <v>4</v>
      </c>
      <c r="F247">
        <v>2</v>
      </c>
      <c r="H247">
        <v>11267</v>
      </c>
      <c r="I247">
        <v>11267</v>
      </c>
      <c r="J247">
        <v>11240</v>
      </c>
      <c r="K247">
        <v>11239.5</v>
      </c>
      <c r="L247">
        <v>0.346019600206949</v>
      </c>
      <c r="O247">
        <v>471.96080801995703</v>
      </c>
      <c r="P247">
        <v>470.88834248591297</v>
      </c>
      <c r="Q247">
        <v>0.32209234474057002</v>
      </c>
    </row>
    <row r="248" spans="1:17" x14ac:dyDescent="0.25">
      <c r="A248" t="s">
        <v>580</v>
      </c>
      <c r="B248" t="s">
        <v>618</v>
      </c>
      <c r="C248" t="s">
        <v>611</v>
      </c>
      <c r="D248" t="s">
        <v>620</v>
      </c>
      <c r="E248">
        <v>4</v>
      </c>
      <c r="F248">
        <v>2</v>
      </c>
      <c r="H248">
        <v>11212</v>
      </c>
      <c r="I248">
        <v>11212</v>
      </c>
      <c r="J248">
        <v>11240</v>
      </c>
      <c r="K248">
        <v>11239.5</v>
      </c>
      <c r="L248">
        <v>0.346019600206949</v>
      </c>
      <c r="O248">
        <v>469.81587695186897</v>
      </c>
      <c r="P248">
        <v>470.88834248591297</v>
      </c>
      <c r="Q248">
        <v>0.32209234474057002</v>
      </c>
    </row>
    <row r="249" spans="1:17" x14ac:dyDescent="0.25">
      <c r="A249" t="s">
        <v>580</v>
      </c>
      <c r="B249" t="s">
        <v>618</v>
      </c>
      <c r="C249" t="s">
        <v>612</v>
      </c>
      <c r="D249" t="s">
        <v>619</v>
      </c>
      <c r="E249">
        <v>7</v>
      </c>
      <c r="F249">
        <v>2</v>
      </c>
      <c r="H249">
        <v>90243</v>
      </c>
      <c r="I249">
        <v>90243</v>
      </c>
      <c r="J249">
        <v>87065</v>
      </c>
      <c r="K249">
        <v>87064.5</v>
      </c>
      <c r="L249">
        <v>5.1629284128466599</v>
      </c>
      <c r="O249">
        <v>255.25397624113199</v>
      </c>
      <c r="P249">
        <v>246.559982141783</v>
      </c>
      <c r="Q249">
        <v>4.9866828589486198</v>
      </c>
    </row>
    <row r="250" spans="1:17" x14ac:dyDescent="0.25">
      <c r="A250" t="s">
        <v>580</v>
      </c>
      <c r="B250" t="s">
        <v>618</v>
      </c>
      <c r="C250" t="s">
        <v>612</v>
      </c>
      <c r="D250" t="s">
        <v>620</v>
      </c>
      <c r="E250">
        <v>7</v>
      </c>
      <c r="F250">
        <v>2</v>
      </c>
      <c r="H250">
        <v>83886</v>
      </c>
      <c r="I250">
        <v>83886</v>
      </c>
      <c r="J250">
        <v>87065</v>
      </c>
      <c r="K250">
        <v>87064.5</v>
      </c>
      <c r="L250">
        <v>5.1629284128466599</v>
      </c>
      <c r="O250">
        <v>237.865988042434</v>
      </c>
      <c r="P250">
        <v>246.559982141783</v>
      </c>
      <c r="Q250">
        <v>4.9866828589486198</v>
      </c>
    </row>
    <row r="251" spans="1:17" x14ac:dyDescent="0.25">
      <c r="A251" t="s">
        <v>580</v>
      </c>
      <c r="B251" t="s">
        <v>618</v>
      </c>
      <c r="C251" t="s">
        <v>613</v>
      </c>
      <c r="D251" t="s">
        <v>620</v>
      </c>
      <c r="E251">
        <v>10</v>
      </c>
      <c r="F251">
        <v>2</v>
      </c>
      <c r="H251">
        <v>21546</v>
      </c>
      <c r="I251">
        <v>21546</v>
      </c>
      <c r="J251">
        <v>22901</v>
      </c>
      <c r="K251">
        <v>22901</v>
      </c>
      <c r="L251">
        <v>8.3675794813132303</v>
      </c>
      <c r="O251">
        <v>117.318068923987</v>
      </c>
      <c r="P251">
        <v>122.609826073714</v>
      </c>
      <c r="Q251">
        <v>6.1036500658837696</v>
      </c>
    </row>
    <row r="252" spans="1:17" x14ac:dyDescent="0.25">
      <c r="A252" t="s">
        <v>580</v>
      </c>
      <c r="B252" t="s">
        <v>618</v>
      </c>
      <c r="C252" t="s">
        <v>613</v>
      </c>
      <c r="D252" t="s">
        <v>619</v>
      </c>
      <c r="E252">
        <v>10</v>
      </c>
      <c r="F252">
        <v>2</v>
      </c>
      <c r="H252">
        <v>24256</v>
      </c>
      <c r="I252">
        <v>24256</v>
      </c>
      <c r="J252">
        <v>22901</v>
      </c>
      <c r="K252">
        <v>22901</v>
      </c>
      <c r="L252">
        <v>8.3675794813132303</v>
      </c>
      <c r="O252">
        <v>127.90158322344</v>
      </c>
      <c r="P252">
        <v>122.609826073714</v>
      </c>
      <c r="Q252">
        <v>6.1036500658837696</v>
      </c>
    </row>
    <row r="253" spans="1:17" x14ac:dyDescent="0.25">
      <c r="A253" t="s">
        <v>580</v>
      </c>
      <c r="B253" t="s">
        <v>618</v>
      </c>
      <c r="C253" t="s">
        <v>614</v>
      </c>
      <c r="D253" t="s">
        <v>619</v>
      </c>
      <c r="E253">
        <v>8</v>
      </c>
      <c r="F253">
        <v>2</v>
      </c>
      <c r="H253">
        <v>447</v>
      </c>
      <c r="I253">
        <v>447</v>
      </c>
      <c r="J253">
        <v>448</v>
      </c>
      <c r="K253">
        <v>447.5</v>
      </c>
      <c r="L253">
        <v>0.15801268853330599</v>
      </c>
      <c r="O253">
        <v>0.51414935512103799</v>
      </c>
      <c r="P253">
        <v>0.51668582382391604</v>
      </c>
      <c r="Q253">
        <v>0.69425331115105604</v>
      </c>
    </row>
    <row r="254" spans="1:17" x14ac:dyDescent="0.25">
      <c r="A254" t="s">
        <v>580</v>
      </c>
      <c r="B254" t="s">
        <v>618</v>
      </c>
      <c r="C254" t="s">
        <v>614</v>
      </c>
      <c r="D254" t="s">
        <v>620</v>
      </c>
      <c r="E254">
        <v>8</v>
      </c>
      <c r="F254">
        <v>2</v>
      </c>
      <c r="H254">
        <v>448</v>
      </c>
      <c r="I254">
        <v>448</v>
      </c>
      <c r="J254">
        <v>448</v>
      </c>
      <c r="K254">
        <v>447.5</v>
      </c>
      <c r="L254">
        <v>0.15801268853330599</v>
      </c>
      <c r="O254">
        <v>0.51922229252679497</v>
      </c>
      <c r="P254">
        <v>0.51668582382391604</v>
      </c>
      <c r="Q254">
        <v>0.69425331115105604</v>
      </c>
    </row>
    <row r="255" spans="1:17" x14ac:dyDescent="0.25">
      <c r="A255" t="s">
        <v>580</v>
      </c>
      <c r="B255" t="s">
        <v>621</v>
      </c>
      <c r="C255" t="s">
        <v>582</v>
      </c>
      <c r="D255" t="s">
        <v>622</v>
      </c>
      <c r="E255">
        <v>1</v>
      </c>
      <c r="F255">
        <v>2</v>
      </c>
      <c r="H255">
        <v>413</v>
      </c>
      <c r="I255">
        <v>413</v>
      </c>
      <c r="J255">
        <v>407</v>
      </c>
      <c r="K255">
        <v>407</v>
      </c>
      <c r="L255">
        <v>2.0848357184861301</v>
      </c>
      <c r="O255">
        <v>1.1308164177391699E-2</v>
      </c>
      <c r="P255" t="s">
        <v>417</v>
      </c>
      <c r="Q255" t="s">
        <v>417</v>
      </c>
    </row>
    <row r="256" spans="1:17" x14ac:dyDescent="0.25">
      <c r="A256" t="s">
        <v>580</v>
      </c>
      <c r="B256" t="s">
        <v>621</v>
      </c>
      <c r="C256" t="s">
        <v>582</v>
      </c>
      <c r="D256" t="s">
        <v>623</v>
      </c>
      <c r="E256">
        <v>1</v>
      </c>
      <c r="F256">
        <v>2</v>
      </c>
      <c r="H256">
        <v>401</v>
      </c>
      <c r="I256">
        <v>401</v>
      </c>
      <c r="J256">
        <v>407</v>
      </c>
      <c r="K256">
        <v>407</v>
      </c>
      <c r="L256">
        <v>2.0848357184861301</v>
      </c>
      <c r="O256" t="s">
        <v>417</v>
      </c>
      <c r="P256" t="s">
        <v>417</v>
      </c>
      <c r="Q256" t="s">
        <v>417</v>
      </c>
    </row>
    <row r="257" spans="1:17" x14ac:dyDescent="0.25">
      <c r="A257" t="s">
        <v>580</v>
      </c>
      <c r="B257" t="s">
        <v>621</v>
      </c>
      <c r="C257" t="s">
        <v>607</v>
      </c>
      <c r="D257" t="s">
        <v>623</v>
      </c>
      <c r="E257">
        <v>5</v>
      </c>
      <c r="F257">
        <v>2</v>
      </c>
      <c r="H257">
        <v>263</v>
      </c>
      <c r="I257">
        <v>263</v>
      </c>
      <c r="J257">
        <v>264</v>
      </c>
      <c r="K257">
        <v>264</v>
      </c>
      <c r="L257">
        <v>0.53568695544435396</v>
      </c>
      <c r="O257">
        <v>0.596656954518756</v>
      </c>
      <c r="P257">
        <v>0.626244233970358</v>
      </c>
      <c r="Q257">
        <v>6.6815356700209296</v>
      </c>
    </row>
    <row r="258" spans="1:17" x14ac:dyDescent="0.25">
      <c r="A258" t="s">
        <v>580</v>
      </c>
      <c r="B258" t="s">
        <v>621</v>
      </c>
      <c r="C258" t="s">
        <v>607</v>
      </c>
      <c r="D258" t="s">
        <v>622</v>
      </c>
      <c r="E258">
        <v>5</v>
      </c>
      <c r="F258">
        <v>2</v>
      </c>
      <c r="H258">
        <v>265</v>
      </c>
      <c r="I258">
        <v>265</v>
      </c>
      <c r="J258">
        <v>264</v>
      </c>
      <c r="K258">
        <v>264</v>
      </c>
      <c r="L258">
        <v>0.53568695544435396</v>
      </c>
      <c r="O258">
        <v>0.655831513421961</v>
      </c>
      <c r="P258">
        <v>0.626244233970358</v>
      </c>
      <c r="Q258">
        <v>6.6815356700209296</v>
      </c>
    </row>
    <row r="259" spans="1:17" x14ac:dyDescent="0.25">
      <c r="A259" t="s">
        <v>580</v>
      </c>
      <c r="B259" t="s">
        <v>621</v>
      </c>
      <c r="C259" t="s">
        <v>608</v>
      </c>
      <c r="D259" t="s">
        <v>623</v>
      </c>
      <c r="E259">
        <v>9</v>
      </c>
      <c r="F259">
        <v>2</v>
      </c>
      <c r="H259">
        <v>410</v>
      </c>
      <c r="I259">
        <v>410</v>
      </c>
      <c r="J259">
        <v>423</v>
      </c>
      <c r="K259">
        <v>422.5</v>
      </c>
      <c r="L259">
        <v>4.1840637940032401</v>
      </c>
      <c r="O259">
        <v>1.9147705322955799</v>
      </c>
      <c r="P259">
        <v>5.18701502620097</v>
      </c>
      <c r="Q259">
        <v>89.216100576269596</v>
      </c>
    </row>
    <row r="260" spans="1:17" x14ac:dyDescent="0.25">
      <c r="A260" t="s">
        <v>580</v>
      </c>
      <c r="B260" t="s">
        <v>621</v>
      </c>
      <c r="C260" t="s">
        <v>608</v>
      </c>
      <c r="D260" t="s">
        <v>622</v>
      </c>
      <c r="E260">
        <v>9</v>
      </c>
      <c r="F260">
        <v>2</v>
      </c>
      <c r="H260">
        <v>435</v>
      </c>
      <c r="I260">
        <v>435</v>
      </c>
      <c r="J260">
        <v>423</v>
      </c>
      <c r="K260">
        <v>422.5</v>
      </c>
      <c r="L260">
        <v>4.1840637940032401</v>
      </c>
      <c r="O260">
        <v>8.4592595201063503</v>
      </c>
      <c r="P260">
        <v>5.18701502620097</v>
      </c>
      <c r="Q260">
        <v>89.216100576269596</v>
      </c>
    </row>
    <row r="261" spans="1:17" x14ac:dyDescent="0.25">
      <c r="A261" t="s">
        <v>580</v>
      </c>
      <c r="B261" t="s">
        <v>621</v>
      </c>
      <c r="C261" t="s">
        <v>609</v>
      </c>
      <c r="D261" t="s">
        <v>623</v>
      </c>
      <c r="E261">
        <v>2</v>
      </c>
      <c r="F261">
        <v>2</v>
      </c>
      <c r="H261">
        <v>1276</v>
      </c>
      <c r="I261">
        <v>1276</v>
      </c>
      <c r="J261">
        <v>1269</v>
      </c>
      <c r="K261">
        <v>1269</v>
      </c>
      <c r="L261">
        <v>0.78010204386222703</v>
      </c>
      <c r="O261">
        <v>0.51842704033975595</v>
      </c>
      <c r="P261">
        <v>0.480834113238571</v>
      </c>
      <c r="Q261">
        <v>11.0567087259508</v>
      </c>
    </row>
    <row r="262" spans="1:17" x14ac:dyDescent="0.25">
      <c r="A262" t="s">
        <v>580</v>
      </c>
      <c r="B262" t="s">
        <v>621</v>
      </c>
      <c r="C262" t="s">
        <v>609</v>
      </c>
      <c r="D262" t="s">
        <v>622</v>
      </c>
      <c r="E262">
        <v>2</v>
      </c>
      <c r="F262">
        <v>2</v>
      </c>
      <c r="H262">
        <v>1262</v>
      </c>
      <c r="I262">
        <v>1262</v>
      </c>
      <c r="J262">
        <v>1269</v>
      </c>
      <c r="K262">
        <v>1269</v>
      </c>
      <c r="L262">
        <v>0.78010204386222703</v>
      </c>
      <c r="O262">
        <v>0.443241186137387</v>
      </c>
      <c r="P262">
        <v>0.480834113238571</v>
      </c>
      <c r="Q262">
        <v>11.0567087259508</v>
      </c>
    </row>
    <row r="263" spans="1:17" x14ac:dyDescent="0.25">
      <c r="A263" t="s">
        <v>580</v>
      </c>
      <c r="B263" t="s">
        <v>621</v>
      </c>
      <c r="C263" t="s">
        <v>610</v>
      </c>
      <c r="D263" t="s">
        <v>623</v>
      </c>
      <c r="E263">
        <v>3</v>
      </c>
      <c r="F263">
        <v>2</v>
      </c>
      <c r="H263">
        <v>525</v>
      </c>
      <c r="I263">
        <v>525</v>
      </c>
      <c r="J263">
        <v>536</v>
      </c>
      <c r="K263">
        <v>535.5</v>
      </c>
      <c r="L263">
        <v>2.7729677693590098</v>
      </c>
      <c r="O263">
        <v>6.5824135070999504E-2</v>
      </c>
      <c r="P263">
        <v>0.11150078682673201</v>
      </c>
      <c r="Q263">
        <v>57.933708124527399</v>
      </c>
    </row>
    <row r="264" spans="1:17" x14ac:dyDescent="0.25">
      <c r="A264" t="s">
        <v>580</v>
      </c>
      <c r="B264" t="s">
        <v>621</v>
      </c>
      <c r="C264" t="s">
        <v>610</v>
      </c>
      <c r="D264" t="s">
        <v>622</v>
      </c>
      <c r="E264">
        <v>3</v>
      </c>
      <c r="F264">
        <v>2</v>
      </c>
      <c r="H264">
        <v>546</v>
      </c>
      <c r="I264">
        <v>546</v>
      </c>
      <c r="J264">
        <v>536</v>
      </c>
      <c r="K264">
        <v>535.5</v>
      </c>
      <c r="L264">
        <v>2.7729677693590098</v>
      </c>
      <c r="O264">
        <v>0.15717743858246599</v>
      </c>
      <c r="P264">
        <v>0.11150078682673201</v>
      </c>
      <c r="Q264">
        <v>57.933708124527399</v>
      </c>
    </row>
    <row r="265" spans="1:17" x14ac:dyDescent="0.25">
      <c r="A265" t="s">
        <v>580</v>
      </c>
      <c r="B265" t="s">
        <v>621</v>
      </c>
      <c r="C265" t="s">
        <v>611</v>
      </c>
      <c r="D265" t="s">
        <v>623</v>
      </c>
      <c r="E265">
        <v>4</v>
      </c>
      <c r="F265">
        <v>2</v>
      </c>
      <c r="H265">
        <v>14062</v>
      </c>
      <c r="I265">
        <v>14062</v>
      </c>
      <c r="J265">
        <v>13702</v>
      </c>
      <c r="K265">
        <v>13701.5</v>
      </c>
      <c r="L265">
        <v>3.72093558541401</v>
      </c>
      <c r="O265">
        <v>579.67191602577304</v>
      </c>
      <c r="P265">
        <v>565.89280047360103</v>
      </c>
      <c r="Q265">
        <v>3.4435165238150098</v>
      </c>
    </row>
    <row r="266" spans="1:17" x14ac:dyDescent="0.25">
      <c r="A266" t="s">
        <v>580</v>
      </c>
      <c r="B266" t="s">
        <v>621</v>
      </c>
      <c r="C266" t="s">
        <v>611</v>
      </c>
      <c r="D266" t="s">
        <v>622</v>
      </c>
      <c r="E266">
        <v>4</v>
      </c>
      <c r="F266">
        <v>2</v>
      </c>
      <c r="H266">
        <v>13341</v>
      </c>
      <c r="I266">
        <v>13341</v>
      </c>
      <c r="J266">
        <v>13702</v>
      </c>
      <c r="K266">
        <v>13701.5</v>
      </c>
      <c r="L266">
        <v>3.72093558541401</v>
      </c>
      <c r="O266">
        <v>552.11368492142901</v>
      </c>
      <c r="P266">
        <v>565.89280047360103</v>
      </c>
      <c r="Q266">
        <v>3.4435165238150098</v>
      </c>
    </row>
    <row r="267" spans="1:17" x14ac:dyDescent="0.25">
      <c r="A267" t="s">
        <v>580</v>
      </c>
      <c r="B267" t="s">
        <v>621</v>
      </c>
      <c r="C267" t="s">
        <v>612</v>
      </c>
      <c r="D267" t="s">
        <v>623</v>
      </c>
      <c r="E267">
        <v>7</v>
      </c>
      <c r="F267">
        <v>2</v>
      </c>
      <c r="H267">
        <v>124990</v>
      </c>
      <c r="I267">
        <v>124990</v>
      </c>
      <c r="J267">
        <v>119566</v>
      </c>
      <c r="K267">
        <v>119566</v>
      </c>
      <c r="L267">
        <v>6.4154478382748099</v>
      </c>
      <c r="O267">
        <v>349.558178348843</v>
      </c>
      <c r="P267">
        <v>334.89762592618899</v>
      </c>
      <c r="Q267">
        <v>6.1908925184699699</v>
      </c>
    </row>
    <row r="268" spans="1:17" x14ac:dyDescent="0.25">
      <c r="A268" t="s">
        <v>580</v>
      </c>
      <c r="B268" t="s">
        <v>621</v>
      </c>
      <c r="C268" t="s">
        <v>612</v>
      </c>
      <c r="D268" t="s">
        <v>622</v>
      </c>
      <c r="E268">
        <v>7</v>
      </c>
      <c r="F268">
        <v>2</v>
      </c>
      <c r="H268">
        <v>114142</v>
      </c>
      <c r="I268">
        <v>114142</v>
      </c>
      <c r="J268">
        <v>119566</v>
      </c>
      <c r="K268">
        <v>119566</v>
      </c>
      <c r="L268">
        <v>6.4154478382748099</v>
      </c>
      <c r="O268">
        <v>320.23707350353601</v>
      </c>
      <c r="P268">
        <v>334.89762592618899</v>
      </c>
      <c r="Q268">
        <v>6.1908925184699699</v>
      </c>
    </row>
    <row r="269" spans="1:17" x14ac:dyDescent="0.25">
      <c r="A269" t="s">
        <v>580</v>
      </c>
      <c r="B269" t="s">
        <v>621</v>
      </c>
      <c r="C269" t="s">
        <v>613</v>
      </c>
      <c r="D269" t="s">
        <v>623</v>
      </c>
      <c r="E269">
        <v>10</v>
      </c>
      <c r="F269">
        <v>2</v>
      </c>
      <c r="H269">
        <v>59515</v>
      </c>
      <c r="I269">
        <v>59515</v>
      </c>
      <c r="J269">
        <v>59224</v>
      </c>
      <c r="K269">
        <v>59223.5</v>
      </c>
      <c r="L269">
        <v>0.69608053126167302</v>
      </c>
      <c r="O269">
        <v>245.25836419199899</v>
      </c>
      <c r="P269">
        <v>244.388546029374</v>
      </c>
      <c r="Q269">
        <v>0.50334136454787104</v>
      </c>
    </row>
    <row r="270" spans="1:17" x14ac:dyDescent="0.25">
      <c r="A270" t="s">
        <v>580</v>
      </c>
      <c r="B270" t="s">
        <v>621</v>
      </c>
      <c r="C270" t="s">
        <v>613</v>
      </c>
      <c r="D270" t="s">
        <v>622</v>
      </c>
      <c r="E270">
        <v>10</v>
      </c>
      <c r="F270">
        <v>2</v>
      </c>
      <c r="H270">
        <v>58932</v>
      </c>
      <c r="I270">
        <v>58932</v>
      </c>
      <c r="J270">
        <v>59224</v>
      </c>
      <c r="K270">
        <v>59223.5</v>
      </c>
      <c r="L270">
        <v>0.69608053126167302</v>
      </c>
      <c r="O270">
        <v>243.518727866749</v>
      </c>
      <c r="P270">
        <v>244.388546029374</v>
      </c>
      <c r="Q270">
        <v>0.50334136454787104</v>
      </c>
    </row>
    <row r="271" spans="1:17" x14ac:dyDescent="0.25">
      <c r="A271" t="s">
        <v>580</v>
      </c>
      <c r="B271" t="s">
        <v>621</v>
      </c>
      <c r="C271" t="s">
        <v>614</v>
      </c>
      <c r="D271" t="s">
        <v>623</v>
      </c>
      <c r="E271">
        <v>8</v>
      </c>
      <c r="F271">
        <v>2</v>
      </c>
      <c r="H271">
        <v>590</v>
      </c>
      <c r="I271">
        <v>590</v>
      </c>
      <c r="J271">
        <v>573</v>
      </c>
      <c r="K271">
        <v>572.5</v>
      </c>
      <c r="L271">
        <v>4.3229235531055297</v>
      </c>
      <c r="O271">
        <v>1.24507874565014</v>
      </c>
      <c r="P271">
        <v>1.1552207954523199</v>
      </c>
      <c r="Q271">
        <v>11.000350093858</v>
      </c>
    </row>
    <row r="272" spans="1:17" x14ac:dyDescent="0.25">
      <c r="A272" t="s">
        <v>580</v>
      </c>
      <c r="B272" t="s">
        <v>621</v>
      </c>
      <c r="C272" t="s">
        <v>614</v>
      </c>
      <c r="D272" t="s">
        <v>622</v>
      </c>
      <c r="E272">
        <v>8</v>
      </c>
      <c r="F272">
        <v>2</v>
      </c>
      <c r="H272">
        <v>555</v>
      </c>
      <c r="I272">
        <v>555</v>
      </c>
      <c r="J272">
        <v>573</v>
      </c>
      <c r="K272">
        <v>572.5</v>
      </c>
      <c r="L272">
        <v>4.3229235531055297</v>
      </c>
      <c r="O272">
        <v>1.0653628452544901</v>
      </c>
      <c r="P272">
        <v>1.1552207954523199</v>
      </c>
      <c r="Q272">
        <v>11.000350093858</v>
      </c>
    </row>
    <row r="273" spans="1:17" x14ac:dyDescent="0.25">
      <c r="A273" t="s">
        <v>580</v>
      </c>
      <c r="B273" t="s">
        <v>624</v>
      </c>
      <c r="C273" t="s">
        <v>582</v>
      </c>
      <c r="D273" t="s">
        <v>625</v>
      </c>
      <c r="E273">
        <v>1</v>
      </c>
      <c r="F273">
        <v>2</v>
      </c>
      <c r="H273">
        <v>436</v>
      </c>
      <c r="I273">
        <v>436</v>
      </c>
      <c r="J273">
        <v>416</v>
      </c>
      <c r="K273">
        <v>416</v>
      </c>
      <c r="L273">
        <v>6.7991036652552603</v>
      </c>
      <c r="O273">
        <v>6.7716129869317604E-2</v>
      </c>
      <c r="P273" t="s">
        <v>417</v>
      </c>
      <c r="Q273" t="s">
        <v>417</v>
      </c>
    </row>
    <row r="274" spans="1:17" x14ac:dyDescent="0.25">
      <c r="A274" t="s">
        <v>580</v>
      </c>
      <c r="B274" t="s">
        <v>624</v>
      </c>
      <c r="C274" t="s">
        <v>582</v>
      </c>
      <c r="D274" t="s">
        <v>626</v>
      </c>
      <c r="E274">
        <v>1</v>
      </c>
      <c r="F274">
        <v>2</v>
      </c>
      <c r="H274">
        <v>396</v>
      </c>
      <c r="I274">
        <v>396</v>
      </c>
      <c r="J274">
        <v>416</v>
      </c>
      <c r="K274">
        <v>416</v>
      </c>
      <c r="L274">
        <v>6.7991036652552603</v>
      </c>
      <c r="O274" t="s">
        <v>417</v>
      </c>
      <c r="P274" t="s">
        <v>417</v>
      </c>
      <c r="Q274" t="s">
        <v>417</v>
      </c>
    </row>
    <row r="275" spans="1:17" x14ac:dyDescent="0.25">
      <c r="A275" t="s">
        <v>580</v>
      </c>
      <c r="B275" t="s">
        <v>624</v>
      </c>
      <c r="C275" t="s">
        <v>607</v>
      </c>
      <c r="D275" t="s">
        <v>625</v>
      </c>
      <c r="E275">
        <v>5</v>
      </c>
      <c r="F275">
        <v>2</v>
      </c>
      <c r="H275">
        <v>272</v>
      </c>
      <c r="I275">
        <v>272</v>
      </c>
      <c r="J275">
        <v>269</v>
      </c>
      <c r="K275">
        <v>268.5</v>
      </c>
      <c r="L275">
        <v>1.8434813662219101</v>
      </c>
      <c r="O275">
        <v>0.86285567860908896</v>
      </c>
      <c r="P275">
        <v>0.75934359601552504</v>
      </c>
      <c r="Q275">
        <v>19.278254513693099</v>
      </c>
    </row>
    <row r="276" spans="1:17" x14ac:dyDescent="0.25">
      <c r="A276" t="s">
        <v>580</v>
      </c>
      <c r="B276" t="s">
        <v>624</v>
      </c>
      <c r="C276" t="s">
        <v>607</v>
      </c>
      <c r="D276" t="s">
        <v>626</v>
      </c>
      <c r="E276">
        <v>5</v>
      </c>
      <c r="F276">
        <v>2</v>
      </c>
      <c r="H276">
        <v>265</v>
      </c>
      <c r="I276">
        <v>265</v>
      </c>
      <c r="J276">
        <v>269</v>
      </c>
      <c r="K276">
        <v>268.5</v>
      </c>
      <c r="L276">
        <v>1.8434813662219101</v>
      </c>
      <c r="O276">
        <v>0.655831513421961</v>
      </c>
      <c r="P276">
        <v>0.75934359601552504</v>
      </c>
      <c r="Q276">
        <v>19.278254513693099</v>
      </c>
    </row>
    <row r="277" spans="1:17" x14ac:dyDescent="0.25">
      <c r="A277" t="s">
        <v>580</v>
      </c>
      <c r="B277" t="s">
        <v>624</v>
      </c>
      <c r="C277" t="s">
        <v>608</v>
      </c>
      <c r="D277" t="s">
        <v>625</v>
      </c>
      <c r="E277">
        <v>9</v>
      </c>
      <c r="F277">
        <v>2</v>
      </c>
      <c r="H277">
        <v>411</v>
      </c>
      <c r="I277">
        <v>411</v>
      </c>
      <c r="J277">
        <v>410</v>
      </c>
      <c r="K277">
        <v>410</v>
      </c>
      <c r="L277">
        <v>0.34493013716416898</v>
      </c>
      <c r="O277">
        <v>2.1810527341950499</v>
      </c>
      <c r="P277">
        <v>1.9143983997740299</v>
      </c>
      <c r="Q277">
        <v>19.698416810643099</v>
      </c>
    </row>
    <row r="278" spans="1:17" x14ac:dyDescent="0.25">
      <c r="A278" t="s">
        <v>580</v>
      </c>
      <c r="B278" t="s">
        <v>624</v>
      </c>
      <c r="C278" t="s">
        <v>608</v>
      </c>
      <c r="D278" t="s">
        <v>626</v>
      </c>
      <c r="E278">
        <v>9</v>
      </c>
      <c r="F278">
        <v>2</v>
      </c>
      <c r="H278">
        <v>409</v>
      </c>
      <c r="I278">
        <v>409</v>
      </c>
      <c r="J278">
        <v>410</v>
      </c>
      <c r="K278">
        <v>410</v>
      </c>
      <c r="L278">
        <v>0.34493013716416898</v>
      </c>
      <c r="O278">
        <v>1.64774406535302</v>
      </c>
      <c r="P278">
        <v>1.9143983997740299</v>
      </c>
      <c r="Q278">
        <v>19.698416810643099</v>
      </c>
    </row>
    <row r="279" spans="1:17" x14ac:dyDescent="0.25">
      <c r="A279" t="s">
        <v>580</v>
      </c>
      <c r="B279" t="s">
        <v>624</v>
      </c>
      <c r="C279" t="s">
        <v>609</v>
      </c>
      <c r="D279" t="s">
        <v>625</v>
      </c>
      <c r="E279">
        <v>2</v>
      </c>
      <c r="F279">
        <v>2</v>
      </c>
      <c r="H279">
        <v>1234</v>
      </c>
      <c r="I279">
        <v>1234</v>
      </c>
      <c r="J279">
        <v>1250</v>
      </c>
      <c r="K279">
        <v>1249.5</v>
      </c>
      <c r="L279">
        <v>1.75432654796182</v>
      </c>
      <c r="O279">
        <v>0.29524618005117798</v>
      </c>
      <c r="P279">
        <v>0.37726970140062199</v>
      </c>
      <c r="Q279">
        <v>30.746910206500701</v>
      </c>
    </row>
    <row r="280" spans="1:17" x14ac:dyDescent="0.25">
      <c r="A280" t="s">
        <v>580</v>
      </c>
      <c r="B280" t="s">
        <v>624</v>
      </c>
      <c r="C280" t="s">
        <v>609</v>
      </c>
      <c r="D280" t="s">
        <v>626</v>
      </c>
      <c r="E280">
        <v>2</v>
      </c>
      <c r="F280">
        <v>2</v>
      </c>
      <c r="H280">
        <v>1265</v>
      </c>
      <c r="I280">
        <v>1265</v>
      </c>
      <c r="J280">
        <v>1250</v>
      </c>
      <c r="K280">
        <v>1249.5</v>
      </c>
      <c r="L280">
        <v>1.75432654796182</v>
      </c>
      <c r="O280">
        <v>0.45929322275006601</v>
      </c>
      <c r="P280">
        <v>0.37726970140062199</v>
      </c>
      <c r="Q280">
        <v>30.746910206500701</v>
      </c>
    </row>
    <row r="281" spans="1:17" x14ac:dyDescent="0.25">
      <c r="A281" t="s">
        <v>580</v>
      </c>
      <c r="B281" t="s">
        <v>624</v>
      </c>
      <c r="C281" t="s">
        <v>610</v>
      </c>
      <c r="D281" t="s">
        <v>625</v>
      </c>
      <c r="E281">
        <v>3</v>
      </c>
      <c r="F281">
        <v>2</v>
      </c>
      <c r="H281">
        <v>547</v>
      </c>
      <c r="I281">
        <v>547</v>
      </c>
      <c r="J281">
        <v>535</v>
      </c>
      <c r="K281">
        <v>534.5</v>
      </c>
      <c r="L281">
        <v>3.3073282562513899</v>
      </c>
      <c r="O281">
        <v>0.161527591325309</v>
      </c>
      <c r="P281">
        <v>0.107150604136098</v>
      </c>
      <c r="Q281">
        <v>71.768771985917496</v>
      </c>
    </row>
    <row r="282" spans="1:17" x14ac:dyDescent="0.25">
      <c r="A282" t="s">
        <v>580</v>
      </c>
      <c r="B282" t="s">
        <v>624</v>
      </c>
      <c r="C282" t="s">
        <v>610</v>
      </c>
      <c r="D282" t="s">
        <v>626</v>
      </c>
      <c r="E282">
        <v>3</v>
      </c>
      <c r="F282">
        <v>2</v>
      </c>
      <c r="H282">
        <v>522</v>
      </c>
      <c r="I282">
        <v>522</v>
      </c>
      <c r="J282">
        <v>535</v>
      </c>
      <c r="K282">
        <v>534.5</v>
      </c>
      <c r="L282">
        <v>3.3073282562513899</v>
      </c>
      <c r="O282">
        <v>5.2773616946887897E-2</v>
      </c>
      <c r="P282">
        <v>0.107150604136098</v>
      </c>
      <c r="Q282">
        <v>71.768771985917496</v>
      </c>
    </row>
    <row r="283" spans="1:17" x14ac:dyDescent="0.25">
      <c r="A283" t="s">
        <v>580</v>
      </c>
      <c r="B283" t="s">
        <v>624</v>
      </c>
      <c r="C283" t="s">
        <v>611</v>
      </c>
      <c r="D283" t="s">
        <v>625</v>
      </c>
      <c r="E283">
        <v>4</v>
      </c>
      <c r="F283">
        <v>2</v>
      </c>
      <c r="H283">
        <v>456</v>
      </c>
      <c r="I283">
        <v>456</v>
      </c>
      <c r="J283">
        <v>424</v>
      </c>
      <c r="K283">
        <v>423.5</v>
      </c>
      <c r="L283">
        <v>10.8528785778336</v>
      </c>
      <c r="O283">
        <v>6.8225203368760399</v>
      </c>
      <c r="P283">
        <v>4.7167956085716298</v>
      </c>
      <c r="Q283">
        <v>63.134905909020098</v>
      </c>
    </row>
    <row r="284" spans="1:17" x14ac:dyDescent="0.25">
      <c r="A284" t="s">
        <v>580</v>
      </c>
      <c r="B284" t="s">
        <v>624</v>
      </c>
      <c r="C284" t="s">
        <v>611</v>
      </c>
      <c r="D284" t="s">
        <v>626</v>
      </c>
      <c r="E284">
        <v>4</v>
      </c>
      <c r="F284">
        <v>2</v>
      </c>
      <c r="H284">
        <v>391</v>
      </c>
      <c r="I284">
        <v>391</v>
      </c>
      <c r="J284">
        <v>424</v>
      </c>
      <c r="K284">
        <v>423.5</v>
      </c>
      <c r="L284">
        <v>10.8528785778336</v>
      </c>
      <c r="O284">
        <v>2.6110708802672198</v>
      </c>
      <c r="P284">
        <v>4.7167956085716298</v>
      </c>
      <c r="Q284">
        <v>63.134905909020098</v>
      </c>
    </row>
    <row r="285" spans="1:17" x14ac:dyDescent="0.25">
      <c r="A285" t="s">
        <v>580</v>
      </c>
      <c r="B285" t="s">
        <v>624</v>
      </c>
      <c r="C285" t="s">
        <v>612</v>
      </c>
      <c r="D285" t="s">
        <v>625</v>
      </c>
      <c r="E285">
        <v>7</v>
      </c>
      <c r="F285">
        <v>2</v>
      </c>
      <c r="H285">
        <v>6167</v>
      </c>
      <c r="I285">
        <v>6167</v>
      </c>
      <c r="J285">
        <v>5408</v>
      </c>
      <c r="K285">
        <v>5407.5</v>
      </c>
      <c r="L285">
        <v>19.863064274107501</v>
      </c>
      <c r="O285">
        <v>18.450596906329299</v>
      </c>
      <c r="P285">
        <v>16.1401333305629</v>
      </c>
      <c r="Q285">
        <v>20.244497720663901</v>
      </c>
    </row>
    <row r="286" spans="1:17" x14ac:dyDescent="0.25">
      <c r="A286" t="s">
        <v>580</v>
      </c>
      <c r="B286" t="s">
        <v>624</v>
      </c>
      <c r="C286" t="s">
        <v>612</v>
      </c>
      <c r="D286" t="s">
        <v>626</v>
      </c>
      <c r="E286">
        <v>7</v>
      </c>
      <c r="F286">
        <v>2</v>
      </c>
      <c r="H286">
        <v>4648</v>
      </c>
      <c r="I286">
        <v>4648</v>
      </c>
      <c r="J286">
        <v>5408</v>
      </c>
      <c r="K286">
        <v>5407.5</v>
      </c>
      <c r="L286">
        <v>19.863064274107501</v>
      </c>
      <c r="O286">
        <v>13.8296697547965</v>
      </c>
      <c r="P286">
        <v>16.1401333305629</v>
      </c>
      <c r="Q286">
        <v>20.244497720663901</v>
      </c>
    </row>
    <row r="287" spans="1:17" x14ac:dyDescent="0.25">
      <c r="A287" t="s">
        <v>580</v>
      </c>
      <c r="B287" t="s">
        <v>624</v>
      </c>
      <c r="C287" t="s">
        <v>613</v>
      </c>
      <c r="D287" t="s">
        <v>626</v>
      </c>
      <c r="E287">
        <v>10</v>
      </c>
      <c r="F287">
        <v>2</v>
      </c>
      <c r="H287">
        <v>425</v>
      </c>
      <c r="I287">
        <v>425</v>
      </c>
      <c r="J287">
        <v>434</v>
      </c>
      <c r="K287">
        <v>434</v>
      </c>
      <c r="L287">
        <v>2.9327009357967402</v>
      </c>
      <c r="O287">
        <v>2.7752145528002199</v>
      </c>
      <c r="P287">
        <v>2.92638557349638</v>
      </c>
      <c r="Q287">
        <v>7.3055345010760497</v>
      </c>
    </row>
    <row r="288" spans="1:17" x14ac:dyDescent="0.25">
      <c r="A288" t="s">
        <v>580</v>
      </c>
      <c r="B288" t="s">
        <v>624</v>
      </c>
      <c r="C288" t="s">
        <v>613</v>
      </c>
      <c r="D288" t="s">
        <v>625</v>
      </c>
      <c r="E288">
        <v>10</v>
      </c>
      <c r="F288">
        <v>2</v>
      </c>
      <c r="H288">
        <v>443</v>
      </c>
      <c r="I288">
        <v>443</v>
      </c>
      <c r="J288">
        <v>434</v>
      </c>
      <c r="K288">
        <v>434</v>
      </c>
      <c r="L288">
        <v>2.9327009357967402</v>
      </c>
      <c r="O288">
        <v>3.0775565941925298</v>
      </c>
      <c r="P288">
        <v>2.92638557349638</v>
      </c>
      <c r="Q288">
        <v>7.3055345010760497</v>
      </c>
    </row>
    <row r="289" spans="1:17" x14ac:dyDescent="0.25">
      <c r="A289" t="s">
        <v>580</v>
      </c>
      <c r="B289" t="s">
        <v>624</v>
      </c>
      <c r="C289" t="s">
        <v>614</v>
      </c>
      <c r="D289" t="s">
        <v>625</v>
      </c>
      <c r="E289">
        <v>8</v>
      </c>
      <c r="F289">
        <v>2</v>
      </c>
      <c r="H289">
        <v>390</v>
      </c>
      <c r="I289">
        <v>390</v>
      </c>
      <c r="J289">
        <v>368</v>
      </c>
      <c r="K289">
        <v>368</v>
      </c>
      <c r="L289">
        <v>8.4545376011434996</v>
      </c>
      <c r="O289">
        <v>0.22655509415859801</v>
      </c>
      <c r="P289">
        <v>0.117765532466249</v>
      </c>
      <c r="Q289">
        <v>130.64236230073101</v>
      </c>
    </row>
    <row r="290" spans="1:17" x14ac:dyDescent="0.25">
      <c r="A290" t="s">
        <v>580</v>
      </c>
      <c r="B290" t="s">
        <v>624</v>
      </c>
      <c r="C290" t="s">
        <v>614</v>
      </c>
      <c r="D290" t="s">
        <v>626</v>
      </c>
      <c r="E290">
        <v>8</v>
      </c>
      <c r="F290">
        <v>2</v>
      </c>
      <c r="H290">
        <v>346</v>
      </c>
      <c r="I290">
        <v>346</v>
      </c>
      <c r="J290">
        <v>368</v>
      </c>
      <c r="K290">
        <v>368</v>
      </c>
      <c r="L290">
        <v>8.4545376011434996</v>
      </c>
      <c r="O290">
        <v>8.9759707739016491E-3</v>
      </c>
      <c r="P290">
        <v>0.117765532466249</v>
      </c>
      <c r="Q290">
        <v>130.64236230073101</v>
      </c>
    </row>
    <row r="291" spans="1:17" x14ac:dyDescent="0.25">
      <c r="A291" t="s">
        <v>580</v>
      </c>
      <c r="B291" t="s">
        <v>627</v>
      </c>
      <c r="C291" t="s">
        <v>582</v>
      </c>
      <c r="D291" t="s">
        <v>628</v>
      </c>
      <c r="E291">
        <v>1</v>
      </c>
      <c r="F291">
        <v>2</v>
      </c>
      <c r="H291">
        <v>392</v>
      </c>
      <c r="I291">
        <v>392</v>
      </c>
      <c r="J291">
        <v>404</v>
      </c>
      <c r="K291">
        <v>403.5</v>
      </c>
      <c r="L291">
        <v>4.0305962744214598</v>
      </c>
      <c r="O291" t="s">
        <v>417</v>
      </c>
      <c r="P291" t="s">
        <v>417</v>
      </c>
      <c r="Q291" t="s">
        <v>417</v>
      </c>
    </row>
    <row r="292" spans="1:17" x14ac:dyDescent="0.25">
      <c r="A292" t="s">
        <v>580</v>
      </c>
      <c r="B292" t="s">
        <v>627</v>
      </c>
      <c r="C292" t="s">
        <v>582</v>
      </c>
      <c r="D292" t="s">
        <v>629</v>
      </c>
      <c r="E292">
        <v>1</v>
      </c>
      <c r="F292">
        <v>2</v>
      </c>
      <c r="H292">
        <v>415</v>
      </c>
      <c r="I292">
        <v>415</v>
      </c>
      <c r="J292">
        <v>404</v>
      </c>
      <c r="K292">
        <v>403.5</v>
      </c>
      <c r="L292">
        <v>4.0305962744214598</v>
      </c>
      <c r="O292">
        <v>1.6376532190855001E-2</v>
      </c>
      <c r="P292" t="s">
        <v>417</v>
      </c>
      <c r="Q292" t="s">
        <v>417</v>
      </c>
    </row>
    <row r="293" spans="1:17" x14ac:dyDescent="0.25">
      <c r="A293" t="s">
        <v>580</v>
      </c>
      <c r="B293" t="s">
        <v>627</v>
      </c>
      <c r="C293" t="s">
        <v>607</v>
      </c>
      <c r="D293" t="s">
        <v>629</v>
      </c>
      <c r="E293">
        <v>5</v>
      </c>
      <c r="F293">
        <v>2</v>
      </c>
      <c r="H293">
        <v>257</v>
      </c>
      <c r="I293">
        <v>257</v>
      </c>
      <c r="J293">
        <v>257</v>
      </c>
      <c r="K293">
        <v>257</v>
      </c>
      <c r="L293">
        <v>0</v>
      </c>
      <c r="O293">
        <v>0.41904932046445298</v>
      </c>
      <c r="P293">
        <v>0.41904932046445298</v>
      </c>
      <c r="Q293">
        <v>0</v>
      </c>
    </row>
    <row r="294" spans="1:17" x14ac:dyDescent="0.25">
      <c r="A294" t="s">
        <v>580</v>
      </c>
      <c r="B294" t="s">
        <v>627</v>
      </c>
      <c r="C294" t="s">
        <v>607</v>
      </c>
      <c r="D294" t="s">
        <v>628</v>
      </c>
      <c r="E294">
        <v>5</v>
      </c>
      <c r="F294">
        <v>2</v>
      </c>
      <c r="H294">
        <v>257</v>
      </c>
      <c r="I294">
        <v>257</v>
      </c>
      <c r="J294">
        <v>257</v>
      </c>
      <c r="K294">
        <v>257</v>
      </c>
      <c r="L294">
        <v>0</v>
      </c>
      <c r="O294">
        <v>0.41904932046445298</v>
      </c>
      <c r="P294">
        <v>0.41904932046445298</v>
      </c>
      <c r="Q294">
        <v>0</v>
      </c>
    </row>
    <row r="295" spans="1:17" x14ac:dyDescent="0.25">
      <c r="A295" t="s">
        <v>580</v>
      </c>
      <c r="B295" t="s">
        <v>627</v>
      </c>
      <c r="C295" t="s">
        <v>608</v>
      </c>
      <c r="D295" t="s">
        <v>629</v>
      </c>
      <c r="E295">
        <v>9</v>
      </c>
      <c r="F295">
        <v>2</v>
      </c>
      <c r="H295">
        <v>423</v>
      </c>
      <c r="I295">
        <v>423</v>
      </c>
      <c r="J295">
        <v>428</v>
      </c>
      <c r="K295">
        <v>428</v>
      </c>
      <c r="L295">
        <v>1.6521186476321199</v>
      </c>
      <c r="O295">
        <v>5.3398051309320502</v>
      </c>
      <c r="P295">
        <v>6.6405105233651698</v>
      </c>
      <c r="Q295">
        <v>27.700810053058401</v>
      </c>
    </row>
    <row r="296" spans="1:17" x14ac:dyDescent="0.25">
      <c r="A296" t="s">
        <v>580</v>
      </c>
      <c r="B296" t="s">
        <v>627</v>
      </c>
      <c r="C296" t="s">
        <v>608</v>
      </c>
      <c r="D296" t="s">
        <v>628</v>
      </c>
      <c r="E296">
        <v>9</v>
      </c>
      <c r="F296">
        <v>2</v>
      </c>
      <c r="H296">
        <v>433</v>
      </c>
      <c r="I296">
        <v>433</v>
      </c>
      <c r="J296">
        <v>428</v>
      </c>
      <c r="K296">
        <v>428</v>
      </c>
      <c r="L296">
        <v>1.6521186476321199</v>
      </c>
      <c r="O296">
        <v>7.9412159157982902</v>
      </c>
      <c r="P296">
        <v>6.6405105233651698</v>
      </c>
      <c r="Q296">
        <v>27.700810053058401</v>
      </c>
    </row>
    <row r="297" spans="1:17" x14ac:dyDescent="0.25">
      <c r="A297" t="s">
        <v>580</v>
      </c>
      <c r="B297" t="s">
        <v>627</v>
      </c>
      <c r="C297" t="s">
        <v>609</v>
      </c>
      <c r="D297" t="s">
        <v>629</v>
      </c>
      <c r="E297">
        <v>2</v>
      </c>
      <c r="F297">
        <v>2</v>
      </c>
      <c r="H297">
        <v>1295</v>
      </c>
      <c r="I297">
        <v>1295</v>
      </c>
      <c r="J297">
        <v>1250</v>
      </c>
      <c r="K297">
        <v>1249.5</v>
      </c>
      <c r="L297">
        <v>5.1497972859524399</v>
      </c>
      <c r="O297">
        <v>0.62149127102101698</v>
      </c>
      <c r="P297">
        <v>0.38157205986325698</v>
      </c>
      <c r="Q297">
        <v>88.920819416063097</v>
      </c>
    </row>
    <row r="298" spans="1:17" x14ac:dyDescent="0.25">
      <c r="A298" t="s">
        <v>580</v>
      </c>
      <c r="B298" t="s">
        <v>627</v>
      </c>
      <c r="C298" t="s">
        <v>609</v>
      </c>
      <c r="D298" t="s">
        <v>628</v>
      </c>
      <c r="E298">
        <v>2</v>
      </c>
      <c r="F298">
        <v>2</v>
      </c>
      <c r="H298">
        <v>1204</v>
      </c>
      <c r="I298">
        <v>1204</v>
      </c>
      <c r="J298">
        <v>1250</v>
      </c>
      <c r="K298">
        <v>1249.5</v>
      </c>
      <c r="L298">
        <v>5.1497972859524399</v>
      </c>
      <c r="O298">
        <v>0.14165284870549599</v>
      </c>
      <c r="P298">
        <v>0.38157205986325698</v>
      </c>
      <c r="Q298">
        <v>88.920819416063097</v>
      </c>
    </row>
    <row r="299" spans="1:17" x14ac:dyDescent="0.25">
      <c r="A299" t="s">
        <v>580</v>
      </c>
      <c r="B299" t="s">
        <v>627</v>
      </c>
      <c r="C299" t="s">
        <v>610</v>
      </c>
      <c r="D299" t="s">
        <v>629</v>
      </c>
      <c r="E299">
        <v>3</v>
      </c>
      <c r="F299">
        <v>2</v>
      </c>
      <c r="H299">
        <v>514</v>
      </c>
      <c r="I299">
        <v>514</v>
      </c>
      <c r="J299">
        <v>510</v>
      </c>
      <c r="K299">
        <v>509.5</v>
      </c>
      <c r="L299">
        <v>1.24906006490263</v>
      </c>
      <c r="O299">
        <v>1.7972050090162499E-2</v>
      </c>
      <c r="P299">
        <v>1.7972050090162499E-2</v>
      </c>
      <c r="Q299" t="s">
        <v>417</v>
      </c>
    </row>
    <row r="300" spans="1:17" x14ac:dyDescent="0.25">
      <c r="A300" t="s">
        <v>580</v>
      </c>
      <c r="B300" t="s">
        <v>627</v>
      </c>
      <c r="C300" t="s">
        <v>610</v>
      </c>
      <c r="D300" t="s">
        <v>628</v>
      </c>
      <c r="E300">
        <v>3</v>
      </c>
      <c r="F300">
        <v>2</v>
      </c>
      <c r="H300">
        <v>505</v>
      </c>
      <c r="I300">
        <v>505</v>
      </c>
      <c r="J300">
        <v>510</v>
      </c>
      <c r="K300">
        <v>509.5</v>
      </c>
      <c r="L300">
        <v>1.24906006490263</v>
      </c>
      <c r="O300" t="s">
        <v>417</v>
      </c>
      <c r="P300" t="s">
        <v>417</v>
      </c>
      <c r="Q300" t="s">
        <v>417</v>
      </c>
    </row>
    <row r="301" spans="1:17" x14ac:dyDescent="0.25">
      <c r="A301" t="s">
        <v>580</v>
      </c>
      <c r="B301" t="s">
        <v>627</v>
      </c>
      <c r="C301" t="s">
        <v>611</v>
      </c>
      <c r="D301" t="s">
        <v>629</v>
      </c>
      <c r="E301">
        <v>4</v>
      </c>
      <c r="F301">
        <v>2</v>
      </c>
      <c r="H301">
        <v>341</v>
      </c>
      <c r="I301">
        <v>341</v>
      </c>
      <c r="J301">
        <v>338</v>
      </c>
      <c r="K301">
        <v>337.5</v>
      </c>
      <c r="L301">
        <v>1.4665918424609801</v>
      </c>
      <c r="O301" t="s">
        <v>417</v>
      </c>
      <c r="P301" t="s">
        <v>417</v>
      </c>
      <c r="Q301" t="s">
        <v>417</v>
      </c>
    </row>
    <row r="302" spans="1:17" x14ac:dyDescent="0.25">
      <c r="A302" t="s">
        <v>580</v>
      </c>
      <c r="B302" t="s">
        <v>627</v>
      </c>
      <c r="C302" t="s">
        <v>611</v>
      </c>
      <c r="D302" t="s">
        <v>628</v>
      </c>
      <c r="E302">
        <v>4</v>
      </c>
      <c r="F302">
        <v>2</v>
      </c>
      <c r="H302">
        <v>334</v>
      </c>
      <c r="I302">
        <v>334</v>
      </c>
      <c r="J302">
        <v>338</v>
      </c>
      <c r="K302">
        <v>337.5</v>
      </c>
      <c r="L302">
        <v>1.4665918424609801</v>
      </c>
      <c r="O302" t="s">
        <v>417</v>
      </c>
      <c r="P302" t="s">
        <v>417</v>
      </c>
      <c r="Q302" t="s">
        <v>417</v>
      </c>
    </row>
    <row r="303" spans="1:17" x14ac:dyDescent="0.25">
      <c r="A303" t="s">
        <v>580</v>
      </c>
      <c r="B303" t="s">
        <v>627</v>
      </c>
      <c r="C303" t="s">
        <v>612</v>
      </c>
      <c r="D303" t="s">
        <v>629</v>
      </c>
      <c r="E303">
        <v>7</v>
      </c>
      <c r="F303">
        <v>2</v>
      </c>
      <c r="H303">
        <v>1958</v>
      </c>
      <c r="I303">
        <v>1958</v>
      </c>
      <c r="J303">
        <v>1950</v>
      </c>
      <c r="K303">
        <v>1950</v>
      </c>
      <c r="L303">
        <v>0.58019017943511597</v>
      </c>
      <c r="O303">
        <v>5.4714371163981097</v>
      </c>
      <c r="P303">
        <v>5.4460507878679296</v>
      </c>
      <c r="Q303">
        <v>0.65922429857253595</v>
      </c>
    </row>
    <row r="304" spans="1:17" x14ac:dyDescent="0.25">
      <c r="A304" t="s">
        <v>580</v>
      </c>
      <c r="B304" t="s">
        <v>627</v>
      </c>
      <c r="C304" t="s">
        <v>612</v>
      </c>
      <c r="D304" t="s">
        <v>628</v>
      </c>
      <c r="E304">
        <v>7</v>
      </c>
      <c r="F304">
        <v>2</v>
      </c>
      <c r="H304">
        <v>1942</v>
      </c>
      <c r="I304">
        <v>1942</v>
      </c>
      <c r="J304">
        <v>1950</v>
      </c>
      <c r="K304">
        <v>1950</v>
      </c>
      <c r="L304">
        <v>0.58019017943511597</v>
      </c>
      <c r="O304">
        <v>5.4206644593377602</v>
      </c>
      <c r="P304">
        <v>5.4460507878679296</v>
      </c>
      <c r="Q304">
        <v>0.65922429857253595</v>
      </c>
    </row>
    <row r="305" spans="1:17" x14ac:dyDescent="0.25">
      <c r="A305" t="s">
        <v>580</v>
      </c>
      <c r="B305" t="s">
        <v>627</v>
      </c>
      <c r="C305" t="s">
        <v>613</v>
      </c>
      <c r="D305" t="s">
        <v>629</v>
      </c>
      <c r="E305">
        <v>10</v>
      </c>
      <c r="F305">
        <v>2</v>
      </c>
      <c r="H305">
        <v>316</v>
      </c>
      <c r="I305">
        <v>316</v>
      </c>
      <c r="J305">
        <v>322</v>
      </c>
      <c r="K305">
        <v>321.5</v>
      </c>
      <c r="L305">
        <v>2.4193389091919202</v>
      </c>
      <c r="O305">
        <v>0.38219403576392902</v>
      </c>
      <c r="P305">
        <v>0.55923082448141104</v>
      </c>
      <c r="Q305">
        <v>44.770033532292501</v>
      </c>
    </row>
    <row r="306" spans="1:17" x14ac:dyDescent="0.25">
      <c r="A306" t="s">
        <v>580</v>
      </c>
      <c r="B306" t="s">
        <v>627</v>
      </c>
      <c r="C306" t="s">
        <v>613</v>
      </c>
      <c r="D306" t="s">
        <v>628</v>
      </c>
      <c r="E306">
        <v>10</v>
      </c>
      <c r="F306">
        <v>2</v>
      </c>
      <c r="H306">
        <v>327</v>
      </c>
      <c r="I306">
        <v>327</v>
      </c>
      <c r="J306">
        <v>322</v>
      </c>
      <c r="K306">
        <v>321.5</v>
      </c>
      <c r="L306">
        <v>2.4193389091919202</v>
      </c>
      <c r="O306">
        <v>0.736267613198894</v>
      </c>
      <c r="P306">
        <v>0.55923082448141104</v>
      </c>
      <c r="Q306">
        <v>44.770033532292501</v>
      </c>
    </row>
    <row r="307" spans="1:17" x14ac:dyDescent="0.25">
      <c r="A307" t="s">
        <v>580</v>
      </c>
      <c r="B307" t="s">
        <v>627</v>
      </c>
      <c r="C307" t="s">
        <v>614</v>
      </c>
      <c r="D307" t="s">
        <v>629</v>
      </c>
      <c r="E307">
        <v>8</v>
      </c>
      <c r="F307">
        <v>2</v>
      </c>
      <c r="H307">
        <v>342</v>
      </c>
      <c r="I307">
        <v>342</v>
      </c>
      <c r="J307">
        <v>342</v>
      </c>
      <c r="K307">
        <v>342</v>
      </c>
      <c r="L307">
        <v>0</v>
      </c>
      <c r="O307" t="s">
        <v>417</v>
      </c>
      <c r="P307" t="s">
        <v>417</v>
      </c>
      <c r="Q307" t="s">
        <v>417</v>
      </c>
    </row>
    <row r="308" spans="1:17" x14ac:dyDescent="0.25">
      <c r="A308" t="s">
        <v>580</v>
      </c>
      <c r="B308" t="s">
        <v>627</v>
      </c>
      <c r="C308" t="s">
        <v>614</v>
      </c>
      <c r="D308" t="s">
        <v>628</v>
      </c>
      <c r="E308">
        <v>8</v>
      </c>
      <c r="F308">
        <v>2</v>
      </c>
      <c r="H308">
        <v>342</v>
      </c>
      <c r="I308">
        <v>342</v>
      </c>
      <c r="J308">
        <v>342</v>
      </c>
      <c r="K308">
        <v>342</v>
      </c>
      <c r="L308">
        <v>0</v>
      </c>
      <c r="O308" t="s">
        <v>417</v>
      </c>
      <c r="P308" t="s">
        <v>417</v>
      </c>
      <c r="Q308" t="s">
        <v>417</v>
      </c>
    </row>
    <row r="309" spans="1:17" x14ac:dyDescent="0.25">
      <c r="A309" t="s">
        <v>580</v>
      </c>
      <c r="B309" t="s">
        <v>630</v>
      </c>
      <c r="C309" t="s">
        <v>582</v>
      </c>
      <c r="D309" t="s">
        <v>631</v>
      </c>
      <c r="E309">
        <v>1</v>
      </c>
      <c r="F309">
        <v>2</v>
      </c>
      <c r="H309">
        <v>381</v>
      </c>
      <c r="I309">
        <v>381</v>
      </c>
      <c r="J309">
        <v>385</v>
      </c>
      <c r="K309">
        <v>384.5</v>
      </c>
      <c r="L309">
        <v>1.2873205379208901</v>
      </c>
      <c r="O309" t="s">
        <v>417</v>
      </c>
      <c r="P309" t="s">
        <v>417</v>
      </c>
      <c r="Q309" t="s">
        <v>417</v>
      </c>
    </row>
    <row r="310" spans="1:17" x14ac:dyDescent="0.25">
      <c r="A310" t="s">
        <v>580</v>
      </c>
      <c r="B310" t="s">
        <v>630</v>
      </c>
      <c r="C310" t="s">
        <v>582</v>
      </c>
      <c r="D310" t="s">
        <v>632</v>
      </c>
      <c r="E310">
        <v>1</v>
      </c>
      <c r="F310">
        <v>2</v>
      </c>
      <c r="H310">
        <v>388</v>
      </c>
      <c r="I310">
        <v>388</v>
      </c>
      <c r="J310">
        <v>385</v>
      </c>
      <c r="K310">
        <v>384.5</v>
      </c>
      <c r="L310">
        <v>1.2873205379208901</v>
      </c>
      <c r="O310" t="s">
        <v>417</v>
      </c>
      <c r="P310" t="s">
        <v>417</v>
      </c>
      <c r="Q310" t="s">
        <v>417</v>
      </c>
    </row>
    <row r="311" spans="1:17" x14ac:dyDescent="0.25">
      <c r="A311" t="s">
        <v>580</v>
      </c>
      <c r="B311" t="s">
        <v>630</v>
      </c>
      <c r="C311" t="s">
        <v>607</v>
      </c>
      <c r="D311" t="s">
        <v>632</v>
      </c>
      <c r="E311">
        <v>5</v>
      </c>
      <c r="F311">
        <v>2</v>
      </c>
      <c r="H311">
        <v>252</v>
      </c>
      <c r="I311">
        <v>252</v>
      </c>
      <c r="J311">
        <v>249</v>
      </c>
      <c r="K311">
        <v>249</v>
      </c>
      <c r="L311">
        <v>1.7038717618952901</v>
      </c>
      <c r="O311">
        <v>0.27091576789932698</v>
      </c>
      <c r="P311">
        <v>0.18190311465895401</v>
      </c>
      <c r="Q311">
        <v>69.203268823275707</v>
      </c>
    </row>
    <row r="312" spans="1:17" x14ac:dyDescent="0.25">
      <c r="A312" t="s">
        <v>580</v>
      </c>
      <c r="B312" t="s">
        <v>630</v>
      </c>
      <c r="C312" t="s">
        <v>607</v>
      </c>
      <c r="D312" t="s">
        <v>631</v>
      </c>
      <c r="E312">
        <v>5</v>
      </c>
      <c r="F312">
        <v>2</v>
      </c>
      <c r="H312">
        <v>246</v>
      </c>
      <c r="I312">
        <v>246</v>
      </c>
      <c r="J312">
        <v>249</v>
      </c>
      <c r="K312">
        <v>249</v>
      </c>
      <c r="L312">
        <v>1.7038717618952901</v>
      </c>
      <c r="O312">
        <v>9.2890461418582496E-2</v>
      </c>
      <c r="P312">
        <v>0.18190311465895401</v>
      </c>
      <c r="Q312">
        <v>69.203268823275707</v>
      </c>
    </row>
    <row r="313" spans="1:17" x14ac:dyDescent="0.25">
      <c r="A313" t="s">
        <v>580</v>
      </c>
      <c r="B313" t="s">
        <v>630</v>
      </c>
      <c r="C313" t="s">
        <v>608</v>
      </c>
      <c r="D313" t="s">
        <v>632</v>
      </c>
      <c r="E313">
        <v>9</v>
      </c>
      <c r="F313">
        <v>2</v>
      </c>
      <c r="H313">
        <v>420</v>
      </c>
      <c r="I313">
        <v>420</v>
      </c>
      <c r="J313">
        <v>416</v>
      </c>
      <c r="K313">
        <v>416</v>
      </c>
      <c r="L313">
        <v>1.3598207330510499</v>
      </c>
      <c r="O313">
        <v>4.5548833202116699</v>
      </c>
      <c r="P313">
        <v>3.5007844854889498</v>
      </c>
      <c r="Q313">
        <v>42.5824804219084</v>
      </c>
    </row>
    <row r="314" spans="1:17" x14ac:dyDescent="0.25">
      <c r="A314" t="s">
        <v>580</v>
      </c>
      <c r="B314" t="s">
        <v>630</v>
      </c>
      <c r="C314" t="s">
        <v>608</v>
      </c>
      <c r="D314" t="s">
        <v>631</v>
      </c>
      <c r="E314">
        <v>9</v>
      </c>
      <c r="F314">
        <v>2</v>
      </c>
      <c r="H314">
        <v>412</v>
      </c>
      <c r="I314">
        <v>412</v>
      </c>
      <c r="J314">
        <v>416</v>
      </c>
      <c r="K314">
        <v>416</v>
      </c>
      <c r="L314">
        <v>1.3598207330510499</v>
      </c>
      <c r="O314">
        <v>2.4466856507662298</v>
      </c>
      <c r="P314">
        <v>3.5007844854889498</v>
      </c>
      <c r="Q314">
        <v>42.5824804219084</v>
      </c>
    </row>
    <row r="315" spans="1:17" x14ac:dyDescent="0.25">
      <c r="A315" t="s">
        <v>580</v>
      </c>
      <c r="B315" t="s">
        <v>630</v>
      </c>
      <c r="C315" t="s">
        <v>609</v>
      </c>
      <c r="D315" t="s">
        <v>631</v>
      </c>
      <c r="E315">
        <v>2</v>
      </c>
      <c r="F315">
        <v>2</v>
      </c>
      <c r="H315">
        <v>1177</v>
      </c>
      <c r="I315">
        <v>1177</v>
      </c>
      <c r="J315">
        <v>1198</v>
      </c>
      <c r="K315">
        <v>1198</v>
      </c>
      <c r="L315">
        <v>2.47900540983597</v>
      </c>
      <c r="O315">
        <v>1.273371947578E-2</v>
      </c>
      <c r="P315">
        <v>0.115184329378508</v>
      </c>
      <c r="Q315">
        <v>125.787112517466</v>
      </c>
    </row>
    <row r="316" spans="1:17" x14ac:dyDescent="0.25">
      <c r="A316" t="s">
        <v>580</v>
      </c>
      <c r="B316" t="s">
        <v>630</v>
      </c>
      <c r="C316" t="s">
        <v>609</v>
      </c>
      <c r="D316" t="s">
        <v>632</v>
      </c>
      <c r="E316">
        <v>2</v>
      </c>
      <c r="F316">
        <v>2</v>
      </c>
      <c r="H316">
        <v>1219</v>
      </c>
      <c r="I316">
        <v>1219</v>
      </c>
      <c r="J316">
        <v>1198</v>
      </c>
      <c r="K316">
        <v>1198</v>
      </c>
      <c r="L316">
        <v>2.47900540983597</v>
      </c>
      <c r="O316">
        <v>0.21763493928123701</v>
      </c>
      <c r="P316">
        <v>0.115184329378508</v>
      </c>
      <c r="Q316">
        <v>125.787112517466</v>
      </c>
    </row>
    <row r="317" spans="1:17" x14ac:dyDescent="0.25">
      <c r="A317" t="s">
        <v>580</v>
      </c>
      <c r="B317" t="s">
        <v>630</v>
      </c>
      <c r="C317" t="s">
        <v>610</v>
      </c>
      <c r="D317" t="s">
        <v>631</v>
      </c>
      <c r="E317">
        <v>3</v>
      </c>
      <c r="F317">
        <v>2</v>
      </c>
      <c r="H317">
        <v>542</v>
      </c>
      <c r="I317">
        <v>542</v>
      </c>
      <c r="J317">
        <v>520</v>
      </c>
      <c r="K317">
        <v>519.5</v>
      </c>
      <c r="L317">
        <v>6.1250828014234102</v>
      </c>
      <c r="O317">
        <v>0.13977682724600399</v>
      </c>
      <c r="P317">
        <v>0.13977682724600399</v>
      </c>
      <c r="Q317" t="s">
        <v>417</v>
      </c>
    </row>
    <row r="318" spans="1:17" x14ac:dyDescent="0.25">
      <c r="A318" t="s">
        <v>580</v>
      </c>
      <c r="B318" t="s">
        <v>630</v>
      </c>
      <c r="C318" t="s">
        <v>610</v>
      </c>
      <c r="D318" t="s">
        <v>632</v>
      </c>
      <c r="E318">
        <v>3</v>
      </c>
      <c r="F318">
        <v>2</v>
      </c>
      <c r="H318">
        <v>497</v>
      </c>
      <c r="I318">
        <v>497</v>
      </c>
      <c r="J318">
        <v>520</v>
      </c>
      <c r="K318">
        <v>519.5</v>
      </c>
      <c r="L318">
        <v>6.1250828014234102</v>
      </c>
      <c r="O318" t="s">
        <v>417</v>
      </c>
      <c r="P318" t="s">
        <v>417</v>
      </c>
      <c r="Q318" t="s">
        <v>417</v>
      </c>
    </row>
    <row r="319" spans="1:17" x14ac:dyDescent="0.25">
      <c r="A319" t="s">
        <v>580</v>
      </c>
      <c r="B319" t="s">
        <v>630</v>
      </c>
      <c r="C319" t="s">
        <v>611</v>
      </c>
      <c r="D319" t="s">
        <v>632</v>
      </c>
      <c r="E319">
        <v>4</v>
      </c>
      <c r="F319">
        <v>2</v>
      </c>
      <c r="H319">
        <v>14179</v>
      </c>
      <c r="I319">
        <v>14179</v>
      </c>
      <c r="J319">
        <v>13276</v>
      </c>
      <c r="K319">
        <v>13276</v>
      </c>
      <c r="L319">
        <v>9.6191235825768597</v>
      </c>
      <c r="O319">
        <v>584.130238806031</v>
      </c>
      <c r="P319">
        <v>549.50241583390198</v>
      </c>
      <c r="Q319">
        <v>8.9119056571067699</v>
      </c>
    </row>
    <row r="320" spans="1:17" x14ac:dyDescent="0.25">
      <c r="A320" t="s">
        <v>580</v>
      </c>
      <c r="B320" t="s">
        <v>630</v>
      </c>
      <c r="C320" t="s">
        <v>611</v>
      </c>
      <c r="D320" t="s">
        <v>631</v>
      </c>
      <c r="E320">
        <v>4</v>
      </c>
      <c r="F320">
        <v>2</v>
      </c>
      <c r="H320">
        <v>12373</v>
      </c>
      <c r="I320">
        <v>12373</v>
      </c>
      <c r="J320">
        <v>13276</v>
      </c>
      <c r="K320">
        <v>13276</v>
      </c>
      <c r="L320">
        <v>9.6191235825768597</v>
      </c>
      <c r="O320">
        <v>514.87459286177295</v>
      </c>
      <c r="P320">
        <v>549.50241583390198</v>
      </c>
      <c r="Q320">
        <v>8.9119056571067699</v>
      </c>
    </row>
    <row r="321" spans="1:17" x14ac:dyDescent="0.25">
      <c r="A321" t="s">
        <v>580</v>
      </c>
      <c r="B321" t="s">
        <v>630</v>
      </c>
      <c r="C321" t="s">
        <v>612</v>
      </c>
      <c r="D321" t="s">
        <v>632</v>
      </c>
      <c r="E321">
        <v>7</v>
      </c>
      <c r="F321">
        <v>2</v>
      </c>
      <c r="H321">
        <v>53407</v>
      </c>
      <c r="I321">
        <v>53407</v>
      </c>
      <c r="J321">
        <v>50115</v>
      </c>
      <c r="K321">
        <v>50115</v>
      </c>
      <c r="L321">
        <v>9.2898155189708191</v>
      </c>
      <c r="O321">
        <v>153.723463676374</v>
      </c>
      <c r="P321">
        <v>144.52977986118401</v>
      </c>
      <c r="Q321">
        <v>8.9959538803000605</v>
      </c>
    </row>
    <row r="322" spans="1:17" x14ac:dyDescent="0.25">
      <c r="A322" t="s">
        <v>580</v>
      </c>
      <c r="B322" t="s">
        <v>630</v>
      </c>
      <c r="C322" t="s">
        <v>612</v>
      </c>
      <c r="D322" t="s">
        <v>631</v>
      </c>
      <c r="E322">
        <v>7</v>
      </c>
      <c r="F322">
        <v>2</v>
      </c>
      <c r="H322">
        <v>46823</v>
      </c>
      <c r="I322">
        <v>46823</v>
      </c>
      <c r="J322">
        <v>50115</v>
      </c>
      <c r="K322">
        <v>50115</v>
      </c>
      <c r="L322">
        <v>9.2898155189708191</v>
      </c>
      <c r="O322">
        <v>135.33609604599499</v>
      </c>
      <c r="P322">
        <v>144.52977986118401</v>
      </c>
      <c r="Q322">
        <v>8.9959538803000605</v>
      </c>
    </row>
    <row r="323" spans="1:17" x14ac:dyDescent="0.25">
      <c r="A323" t="s">
        <v>580</v>
      </c>
      <c r="B323" t="s">
        <v>630</v>
      </c>
      <c r="C323" t="s">
        <v>613</v>
      </c>
      <c r="D323" t="s">
        <v>631</v>
      </c>
      <c r="E323">
        <v>10</v>
      </c>
      <c r="F323">
        <v>2</v>
      </c>
      <c r="H323">
        <v>238816</v>
      </c>
      <c r="I323">
        <v>238816</v>
      </c>
      <c r="J323">
        <v>246922</v>
      </c>
      <c r="K323">
        <v>246921.5</v>
      </c>
      <c r="L323">
        <v>4.6423288493772796</v>
      </c>
      <c r="O323">
        <v>668.47522424958402</v>
      </c>
      <c r="P323">
        <v>684.68243332289796</v>
      </c>
      <c r="Q323">
        <v>3.3476037596669199</v>
      </c>
    </row>
    <row r="324" spans="1:17" x14ac:dyDescent="0.25">
      <c r="A324" t="s">
        <v>580</v>
      </c>
      <c r="B324" t="s">
        <v>630</v>
      </c>
      <c r="C324" t="s">
        <v>613</v>
      </c>
      <c r="D324" t="s">
        <v>632</v>
      </c>
      <c r="E324">
        <v>10</v>
      </c>
      <c r="F324">
        <v>2</v>
      </c>
      <c r="H324">
        <v>255027</v>
      </c>
      <c r="I324">
        <v>255027</v>
      </c>
      <c r="J324">
        <v>246922</v>
      </c>
      <c r="K324">
        <v>246921.5</v>
      </c>
      <c r="L324">
        <v>4.6423288493772796</v>
      </c>
      <c r="O324">
        <v>700.889642396211</v>
      </c>
      <c r="P324">
        <v>684.68243332289796</v>
      </c>
      <c r="Q324">
        <v>3.3476037596669199</v>
      </c>
    </row>
    <row r="325" spans="1:17" x14ac:dyDescent="0.25">
      <c r="A325" t="s">
        <v>580</v>
      </c>
      <c r="B325" t="s">
        <v>630</v>
      </c>
      <c r="C325" t="s">
        <v>614</v>
      </c>
      <c r="D325" t="s">
        <v>632</v>
      </c>
      <c r="E325">
        <v>8</v>
      </c>
      <c r="F325">
        <v>2</v>
      </c>
      <c r="H325">
        <v>576</v>
      </c>
      <c r="I325">
        <v>576</v>
      </c>
      <c r="J325">
        <v>536</v>
      </c>
      <c r="K325">
        <v>536</v>
      </c>
      <c r="L325">
        <v>10.553832555023</v>
      </c>
      <c r="O325">
        <v>1.17314202906068</v>
      </c>
      <c r="P325">
        <v>0.96831845510158598</v>
      </c>
      <c r="Q325">
        <v>29.914154239299702</v>
      </c>
    </row>
    <row r="326" spans="1:17" x14ac:dyDescent="0.25">
      <c r="A326" t="s">
        <v>580</v>
      </c>
      <c r="B326" t="s">
        <v>630</v>
      </c>
      <c r="C326" t="s">
        <v>614</v>
      </c>
      <c r="D326" t="s">
        <v>631</v>
      </c>
      <c r="E326">
        <v>8</v>
      </c>
      <c r="F326">
        <v>2</v>
      </c>
      <c r="H326">
        <v>496</v>
      </c>
      <c r="I326">
        <v>496</v>
      </c>
      <c r="J326">
        <v>536</v>
      </c>
      <c r="K326">
        <v>536</v>
      </c>
      <c r="L326">
        <v>10.553832555023</v>
      </c>
      <c r="O326">
        <v>0.76349488114248198</v>
      </c>
      <c r="P326">
        <v>0.96831845510158598</v>
      </c>
      <c r="Q326">
        <v>29.914154239299702</v>
      </c>
    </row>
    <row r="327" spans="1:17" x14ac:dyDescent="0.25">
      <c r="A327" t="s">
        <v>580</v>
      </c>
      <c r="B327" t="s">
        <v>633</v>
      </c>
      <c r="C327" t="s">
        <v>582</v>
      </c>
      <c r="D327" t="s">
        <v>634</v>
      </c>
      <c r="E327">
        <v>1</v>
      </c>
      <c r="F327">
        <v>2</v>
      </c>
      <c r="H327">
        <v>407</v>
      </c>
      <c r="I327">
        <v>407</v>
      </c>
      <c r="J327">
        <v>398</v>
      </c>
      <c r="K327">
        <v>397.5</v>
      </c>
      <c r="L327">
        <v>3.3798814698224899</v>
      </c>
      <c r="O327" t="s">
        <v>417</v>
      </c>
      <c r="P327" t="s">
        <v>417</v>
      </c>
      <c r="Q327" t="s">
        <v>417</v>
      </c>
    </row>
    <row r="328" spans="1:17" x14ac:dyDescent="0.25">
      <c r="A328" t="s">
        <v>580</v>
      </c>
      <c r="B328" t="s">
        <v>633</v>
      </c>
      <c r="C328" t="s">
        <v>582</v>
      </c>
      <c r="D328" t="s">
        <v>635</v>
      </c>
      <c r="E328">
        <v>1</v>
      </c>
      <c r="F328">
        <v>2</v>
      </c>
      <c r="H328">
        <v>388</v>
      </c>
      <c r="I328">
        <v>388</v>
      </c>
      <c r="J328">
        <v>398</v>
      </c>
      <c r="K328">
        <v>397.5</v>
      </c>
      <c r="L328">
        <v>3.3798814698224899</v>
      </c>
      <c r="O328" t="s">
        <v>417</v>
      </c>
      <c r="P328" t="s">
        <v>417</v>
      </c>
      <c r="Q328" t="s">
        <v>417</v>
      </c>
    </row>
    <row r="329" spans="1:17" x14ac:dyDescent="0.25">
      <c r="A329" t="s">
        <v>580</v>
      </c>
      <c r="B329" t="s">
        <v>633</v>
      </c>
      <c r="C329" t="s">
        <v>607</v>
      </c>
      <c r="D329" t="s">
        <v>635</v>
      </c>
      <c r="E329">
        <v>5</v>
      </c>
      <c r="F329">
        <v>2</v>
      </c>
      <c r="H329">
        <v>253</v>
      </c>
      <c r="I329">
        <v>253</v>
      </c>
      <c r="J329">
        <v>254</v>
      </c>
      <c r="K329">
        <v>254</v>
      </c>
      <c r="L329">
        <v>0.55677699306027295</v>
      </c>
      <c r="O329">
        <v>0.30055431850201703</v>
      </c>
      <c r="P329">
        <v>0.33018347466405901</v>
      </c>
      <c r="Q329">
        <v>12.690506249188701</v>
      </c>
    </row>
    <row r="330" spans="1:17" x14ac:dyDescent="0.25">
      <c r="A330" t="s">
        <v>580</v>
      </c>
      <c r="B330" t="s">
        <v>633</v>
      </c>
      <c r="C330" t="s">
        <v>607</v>
      </c>
      <c r="D330" t="s">
        <v>634</v>
      </c>
      <c r="E330">
        <v>5</v>
      </c>
      <c r="F330">
        <v>2</v>
      </c>
      <c r="H330">
        <v>255</v>
      </c>
      <c r="I330">
        <v>255</v>
      </c>
      <c r="J330">
        <v>254</v>
      </c>
      <c r="K330">
        <v>254</v>
      </c>
      <c r="L330">
        <v>0.55677699306027295</v>
      </c>
      <c r="O330">
        <v>0.35981263082610199</v>
      </c>
      <c r="P330">
        <v>0.33018347466405901</v>
      </c>
      <c r="Q330">
        <v>12.690506249188701</v>
      </c>
    </row>
    <row r="331" spans="1:17" x14ac:dyDescent="0.25">
      <c r="A331" t="s">
        <v>580</v>
      </c>
      <c r="B331" t="s">
        <v>633</v>
      </c>
      <c r="C331" t="s">
        <v>608</v>
      </c>
      <c r="D331" t="s">
        <v>635</v>
      </c>
      <c r="E331">
        <v>9</v>
      </c>
      <c r="F331">
        <v>2</v>
      </c>
      <c r="H331">
        <v>413</v>
      </c>
      <c r="I331">
        <v>413</v>
      </c>
      <c r="J331">
        <v>418</v>
      </c>
      <c r="K331">
        <v>417.5</v>
      </c>
      <c r="L331">
        <v>1.5243020432763801</v>
      </c>
      <c r="O331">
        <v>2.7117429173828298</v>
      </c>
      <c r="P331">
        <v>3.8950903354452202</v>
      </c>
      <c r="Q331">
        <v>42.964496930768199</v>
      </c>
    </row>
    <row r="332" spans="1:17" x14ac:dyDescent="0.25">
      <c r="A332" t="s">
        <v>580</v>
      </c>
      <c r="B332" t="s">
        <v>633</v>
      </c>
      <c r="C332" t="s">
        <v>608</v>
      </c>
      <c r="D332" t="s">
        <v>634</v>
      </c>
      <c r="E332">
        <v>9</v>
      </c>
      <c r="F332">
        <v>2</v>
      </c>
      <c r="H332">
        <v>422</v>
      </c>
      <c r="I332">
        <v>422</v>
      </c>
      <c r="J332">
        <v>418</v>
      </c>
      <c r="K332">
        <v>417.5</v>
      </c>
      <c r="L332">
        <v>1.5243020432763801</v>
      </c>
      <c r="O332">
        <v>5.0784377535076004</v>
      </c>
      <c r="P332">
        <v>3.8950903354452202</v>
      </c>
      <c r="Q332">
        <v>42.964496930768199</v>
      </c>
    </row>
    <row r="333" spans="1:17" x14ac:dyDescent="0.25">
      <c r="A333" t="s">
        <v>580</v>
      </c>
      <c r="B333" t="s">
        <v>633</v>
      </c>
      <c r="C333" t="s">
        <v>609</v>
      </c>
      <c r="D333" t="s">
        <v>635</v>
      </c>
      <c r="E333">
        <v>2</v>
      </c>
      <c r="F333">
        <v>2</v>
      </c>
      <c r="H333">
        <v>1208</v>
      </c>
      <c r="I333">
        <v>1208</v>
      </c>
      <c r="J333">
        <v>1255</v>
      </c>
      <c r="K333">
        <v>1255</v>
      </c>
      <c r="L333">
        <v>5.29625796267214</v>
      </c>
      <c r="O333">
        <v>0.16172225554658601</v>
      </c>
      <c r="P333">
        <v>0.41072505132825199</v>
      </c>
      <c r="Q333">
        <v>85.736949748851799</v>
      </c>
    </row>
    <row r="334" spans="1:17" x14ac:dyDescent="0.25">
      <c r="A334" t="s">
        <v>580</v>
      </c>
      <c r="B334" t="s">
        <v>633</v>
      </c>
      <c r="C334" t="s">
        <v>609</v>
      </c>
      <c r="D334" t="s">
        <v>634</v>
      </c>
      <c r="E334">
        <v>2</v>
      </c>
      <c r="F334">
        <v>2</v>
      </c>
      <c r="H334">
        <v>1302</v>
      </c>
      <c r="I334">
        <v>1302</v>
      </c>
      <c r="J334">
        <v>1255</v>
      </c>
      <c r="K334">
        <v>1255</v>
      </c>
      <c r="L334">
        <v>5.29625796267214</v>
      </c>
      <c r="O334">
        <v>0.65972784710991805</v>
      </c>
      <c r="P334">
        <v>0.41072505132825199</v>
      </c>
      <c r="Q334">
        <v>85.736949748851799</v>
      </c>
    </row>
    <row r="335" spans="1:17" x14ac:dyDescent="0.25">
      <c r="A335" t="s">
        <v>580</v>
      </c>
      <c r="B335" t="s">
        <v>633</v>
      </c>
      <c r="C335" t="s">
        <v>610</v>
      </c>
      <c r="D335" t="s">
        <v>635</v>
      </c>
      <c r="E335">
        <v>3</v>
      </c>
      <c r="F335">
        <v>2</v>
      </c>
      <c r="H335">
        <v>502</v>
      </c>
      <c r="I335">
        <v>502</v>
      </c>
      <c r="J335">
        <v>522</v>
      </c>
      <c r="K335">
        <v>521.5</v>
      </c>
      <c r="L335">
        <v>5.2880468775216398</v>
      </c>
      <c r="O335" t="s">
        <v>417</v>
      </c>
      <c r="P335">
        <v>0.135426674077049</v>
      </c>
      <c r="Q335" t="s">
        <v>417</v>
      </c>
    </row>
    <row r="336" spans="1:17" x14ac:dyDescent="0.25">
      <c r="A336" t="s">
        <v>580</v>
      </c>
      <c r="B336" t="s">
        <v>633</v>
      </c>
      <c r="C336" t="s">
        <v>610</v>
      </c>
      <c r="D336" t="s">
        <v>634</v>
      </c>
      <c r="E336">
        <v>3</v>
      </c>
      <c r="F336">
        <v>2</v>
      </c>
      <c r="H336">
        <v>541</v>
      </c>
      <c r="I336">
        <v>541</v>
      </c>
      <c r="J336">
        <v>522</v>
      </c>
      <c r="K336">
        <v>521.5</v>
      </c>
      <c r="L336">
        <v>5.2880468775216398</v>
      </c>
      <c r="O336">
        <v>0.135426674077049</v>
      </c>
      <c r="P336">
        <v>0.135426674077049</v>
      </c>
      <c r="Q336" t="s">
        <v>417</v>
      </c>
    </row>
    <row r="337" spans="1:17" x14ac:dyDescent="0.25">
      <c r="A337" t="s">
        <v>580</v>
      </c>
      <c r="B337" t="s">
        <v>633</v>
      </c>
      <c r="C337" t="s">
        <v>611</v>
      </c>
      <c r="D337" t="s">
        <v>635</v>
      </c>
      <c r="E337">
        <v>4</v>
      </c>
      <c r="F337">
        <v>2</v>
      </c>
      <c r="H337">
        <v>3025</v>
      </c>
      <c r="I337">
        <v>3025</v>
      </c>
      <c r="J337">
        <v>2498</v>
      </c>
      <c r="K337">
        <v>2497.5</v>
      </c>
      <c r="L337">
        <v>29.8697759420143</v>
      </c>
      <c r="O337">
        <v>132.63585242891301</v>
      </c>
      <c r="P337">
        <v>108.455537009446</v>
      </c>
      <c r="Q337">
        <v>31.530091456455899</v>
      </c>
    </row>
    <row r="338" spans="1:17" x14ac:dyDescent="0.25">
      <c r="A338" t="s">
        <v>580</v>
      </c>
      <c r="B338" t="s">
        <v>633</v>
      </c>
      <c r="C338" t="s">
        <v>611</v>
      </c>
      <c r="D338" t="s">
        <v>634</v>
      </c>
      <c r="E338">
        <v>4</v>
      </c>
      <c r="F338">
        <v>2</v>
      </c>
      <c r="H338">
        <v>1970</v>
      </c>
      <c r="I338">
        <v>1970</v>
      </c>
      <c r="J338">
        <v>2498</v>
      </c>
      <c r="K338">
        <v>2497.5</v>
      </c>
      <c r="L338">
        <v>29.8697759420143</v>
      </c>
      <c r="O338">
        <v>84.275221589980006</v>
      </c>
      <c r="P338">
        <v>108.455537009446</v>
      </c>
      <c r="Q338">
        <v>31.530091456455899</v>
      </c>
    </row>
    <row r="339" spans="1:17" x14ac:dyDescent="0.25">
      <c r="A339" t="s">
        <v>580</v>
      </c>
      <c r="B339" t="s">
        <v>633</v>
      </c>
      <c r="C339" t="s">
        <v>612</v>
      </c>
      <c r="D339" t="s">
        <v>635</v>
      </c>
      <c r="E339">
        <v>7</v>
      </c>
      <c r="F339">
        <v>2</v>
      </c>
      <c r="H339">
        <v>17248</v>
      </c>
      <c r="I339">
        <v>17248</v>
      </c>
      <c r="J339">
        <v>13298</v>
      </c>
      <c r="K339">
        <v>13297.5</v>
      </c>
      <c r="L339">
        <v>42.014293499942902</v>
      </c>
      <c r="O339">
        <v>51.208562119877101</v>
      </c>
      <c r="P339">
        <v>39.599059292023398</v>
      </c>
      <c r="Q339">
        <v>41.461379752691997</v>
      </c>
    </row>
    <row r="340" spans="1:17" x14ac:dyDescent="0.25">
      <c r="A340" t="s">
        <v>580</v>
      </c>
      <c r="B340" t="s">
        <v>633</v>
      </c>
      <c r="C340" t="s">
        <v>612</v>
      </c>
      <c r="D340" t="s">
        <v>634</v>
      </c>
      <c r="E340">
        <v>7</v>
      </c>
      <c r="F340">
        <v>2</v>
      </c>
      <c r="H340">
        <v>9347</v>
      </c>
      <c r="I340">
        <v>9347</v>
      </c>
      <c r="J340">
        <v>13298</v>
      </c>
      <c r="K340">
        <v>13297.5</v>
      </c>
      <c r="L340">
        <v>42.014293499942902</v>
      </c>
      <c r="O340">
        <v>27.989556464169699</v>
      </c>
      <c r="P340">
        <v>39.599059292023398</v>
      </c>
      <c r="Q340">
        <v>41.461379752691997</v>
      </c>
    </row>
    <row r="341" spans="1:17" x14ac:dyDescent="0.25">
      <c r="A341" t="s">
        <v>580</v>
      </c>
      <c r="B341" t="s">
        <v>633</v>
      </c>
      <c r="C341" t="s">
        <v>613</v>
      </c>
      <c r="D341" t="s">
        <v>635</v>
      </c>
      <c r="E341">
        <v>10</v>
      </c>
      <c r="F341">
        <v>2</v>
      </c>
      <c r="H341">
        <v>61641</v>
      </c>
      <c r="I341">
        <v>61641</v>
      </c>
      <c r="J341">
        <v>45949</v>
      </c>
      <c r="K341">
        <v>45949</v>
      </c>
      <c r="L341">
        <v>48.2966750544268</v>
      </c>
      <c r="O341">
        <v>251.562031111983</v>
      </c>
      <c r="P341">
        <v>200.89006423141799</v>
      </c>
      <c r="Q341">
        <v>35.671740694982503</v>
      </c>
    </row>
    <row r="342" spans="1:17" x14ac:dyDescent="0.25">
      <c r="A342" t="s">
        <v>580</v>
      </c>
      <c r="B342" t="s">
        <v>633</v>
      </c>
      <c r="C342" t="s">
        <v>613</v>
      </c>
      <c r="D342" t="s">
        <v>634</v>
      </c>
      <c r="E342">
        <v>10</v>
      </c>
      <c r="F342">
        <v>2</v>
      </c>
      <c r="H342">
        <v>30257</v>
      </c>
      <c r="I342">
        <v>30257</v>
      </c>
      <c r="J342">
        <v>45949</v>
      </c>
      <c r="K342">
        <v>45949</v>
      </c>
      <c r="L342">
        <v>48.2966750544268</v>
      </c>
      <c r="O342">
        <v>150.21809735085299</v>
      </c>
      <c r="P342">
        <v>200.89006423141799</v>
      </c>
      <c r="Q342">
        <v>35.671740694982503</v>
      </c>
    </row>
    <row r="343" spans="1:17" x14ac:dyDescent="0.25">
      <c r="A343" t="s">
        <v>580</v>
      </c>
      <c r="B343" t="s">
        <v>633</v>
      </c>
      <c r="C343" t="s">
        <v>614</v>
      </c>
      <c r="D343" t="s">
        <v>635</v>
      </c>
      <c r="E343">
        <v>8</v>
      </c>
      <c r="F343">
        <v>2</v>
      </c>
      <c r="H343">
        <v>418</v>
      </c>
      <c r="I343">
        <v>418</v>
      </c>
      <c r="J343">
        <v>409</v>
      </c>
      <c r="K343">
        <v>409</v>
      </c>
      <c r="L343">
        <v>3.11196138419507</v>
      </c>
      <c r="O343">
        <v>0.36739645342243998</v>
      </c>
      <c r="P343">
        <v>0.32206634799046702</v>
      </c>
      <c r="Q343">
        <v>19.9047340045589</v>
      </c>
    </row>
    <row r="344" spans="1:17" x14ac:dyDescent="0.25">
      <c r="A344" t="s">
        <v>580</v>
      </c>
      <c r="B344" t="s">
        <v>633</v>
      </c>
      <c r="C344" t="s">
        <v>614</v>
      </c>
      <c r="D344" t="s">
        <v>634</v>
      </c>
      <c r="E344">
        <v>8</v>
      </c>
      <c r="F344">
        <v>2</v>
      </c>
      <c r="H344">
        <v>400</v>
      </c>
      <c r="I344">
        <v>400</v>
      </c>
      <c r="J344">
        <v>409</v>
      </c>
      <c r="K344">
        <v>409</v>
      </c>
      <c r="L344">
        <v>3.11196138419507</v>
      </c>
      <c r="O344">
        <v>0.276736242558493</v>
      </c>
      <c r="P344">
        <v>0.32206634799046702</v>
      </c>
      <c r="Q344">
        <v>19.9047340045589</v>
      </c>
    </row>
    <row r="345" spans="1:17" x14ac:dyDescent="0.25">
      <c r="A345" t="s">
        <v>580</v>
      </c>
      <c r="B345" t="s">
        <v>636</v>
      </c>
      <c r="C345" t="s">
        <v>582</v>
      </c>
      <c r="D345" t="s">
        <v>637</v>
      </c>
      <c r="E345">
        <v>1</v>
      </c>
      <c r="F345">
        <v>2</v>
      </c>
      <c r="H345">
        <v>409</v>
      </c>
      <c r="I345">
        <v>409</v>
      </c>
      <c r="J345">
        <v>398</v>
      </c>
      <c r="K345">
        <v>397.5</v>
      </c>
      <c r="L345">
        <v>4.0914354634693302</v>
      </c>
      <c r="O345" s="162">
        <v>8.2381783380408905E-4</v>
      </c>
      <c r="P345" t="s">
        <v>417</v>
      </c>
      <c r="Q345" t="s">
        <v>417</v>
      </c>
    </row>
    <row r="346" spans="1:17" x14ac:dyDescent="0.25">
      <c r="A346" t="s">
        <v>580</v>
      </c>
      <c r="B346" t="s">
        <v>636</v>
      </c>
      <c r="C346" t="s">
        <v>582</v>
      </c>
      <c r="D346" t="s">
        <v>638</v>
      </c>
      <c r="E346">
        <v>1</v>
      </c>
      <c r="F346">
        <v>2</v>
      </c>
      <c r="H346">
        <v>386</v>
      </c>
      <c r="I346">
        <v>386</v>
      </c>
      <c r="J346">
        <v>398</v>
      </c>
      <c r="K346">
        <v>397.5</v>
      </c>
      <c r="L346">
        <v>4.0914354634693302</v>
      </c>
      <c r="O346" t="s">
        <v>417</v>
      </c>
      <c r="P346" t="s">
        <v>417</v>
      </c>
      <c r="Q346" t="s">
        <v>417</v>
      </c>
    </row>
    <row r="347" spans="1:17" x14ac:dyDescent="0.25">
      <c r="A347" t="s">
        <v>580</v>
      </c>
      <c r="B347" t="s">
        <v>636</v>
      </c>
      <c r="C347" t="s">
        <v>607</v>
      </c>
      <c r="D347" t="s">
        <v>637</v>
      </c>
      <c r="E347">
        <v>5</v>
      </c>
      <c r="F347">
        <v>2</v>
      </c>
      <c r="H347">
        <v>263</v>
      </c>
      <c r="I347">
        <v>263</v>
      </c>
      <c r="J347">
        <v>263</v>
      </c>
      <c r="K347">
        <v>263</v>
      </c>
      <c r="L347">
        <v>0</v>
      </c>
      <c r="O347">
        <v>0.596656954518756</v>
      </c>
      <c r="P347">
        <v>0.596656954518756</v>
      </c>
      <c r="Q347">
        <v>0</v>
      </c>
    </row>
    <row r="348" spans="1:17" x14ac:dyDescent="0.25">
      <c r="A348" t="s">
        <v>580</v>
      </c>
      <c r="B348" t="s">
        <v>636</v>
      </c>
      <c r="C348" t="s">
        <v>607</v>
      </c>
      <c r="D348" t="s">
        <v>638</v>
      </c>
      <c r="E348">
        <v>5</v>
      </c>
      <c r="F348">
        <v>2</v>
      </c>
      <c r="H348">
        <v>263</v>
      </c>
      <c r="I348">
        <v>263</v>
      </c>
      <c r="J348">
        <v>263</v>
      </c>
      <c r="K348">
        <v>263</v>
      </c>
      <c r="L348">
        <v>0</v>
      </c>
      <c r="O348">
        <v>0.596656954518756</v>
      </c>
      <c r="P348">
        <v>0.596656954518756</v>
      </c>
      <c r="Q348">
        <v>0</v>
      </c>
    </row>
    <row r="349" spans="1:17" x14ac:dyDescent="0.25">
      <c r="A349" t="s">
        <v>580</v>
      </c>
      <c r="B349" t="s">
        <v>636</v>
      </c>
      <c r="C349" t="s">
        <v>608</v>
      </c>
      <c r="D349" t="s">
        <v>637</v>
      </c>
      <c r="E349">
        <v>9</v>
      </c>
      <c r="F349">
        <v>2</v>
      </c>
      <c r="H349">
        <v>417</v>
      </c>
      <c r="I349">
        <v>417</v>
      </c>
      <c r="J349">
        <v>432</v>
      </c>
      <c r="K349">
        <v>432</v>
      </c>
      <c r="L349">
        <v>4.91046375823991</v>
      </c>
      <c r="O349">
        <v>3.7672442365032102</v>
      </c>
      <c r="P349">
        <v>7.6613791850385198</v>
      </c>
      <c r="Q349">
        <v>71.881815596391107</v>
      </c>
    </row>
    <row r="350" spans="1:17" x14ac:dyDescent="0.25">
      <c r="A350" t="s">
        <v>580</v>
      </c>
      <c r="B350" t="s">
        <v>636</v>
      </c>
      <c r="C350" t="s">
        <v>608</v>
      </c>
      <c r="D350" t="s">
        <v>638</v>
      </c>
      <c r="E350">
        <v>9</v>
      </c>
      <c r="F350">
        <v>2</v>
      </c>
      <c r="H350">
        <v>447</v>
      </c>
      <c r="I350">
        <v>447</v>
      </c>
      <c r="J350">
        <v>432</v>
      </c>
      <c r="K350">
        <v>432</v>
      </c>
      <c r="L350">
        <v>4.91046375823991</v>
      </c>
      <c r="O350">
        <v>11.5555141335738</v>
      </c>
      <c r="P350">
        <v>7.6613791850385198</v>
      </c>
      <c r="Q350">
        <v>71.881815596391107</v>
      </c>
    </row>
    <row r="351" spans="1:17" x14ac:dyDescent="0.25">
      <c r="A351" t="s">
        <v>580</v>
      </c>
      <c r="B351" t="s">
        <v>636</v>
      </c>
      <c r="C351" t="s">
        <v>609</v>
      </c>
      <c r="D351" t="s">
        <v>637</v>
      </c>
      <c r="E351">
        <v>2</v>
      </c>
      <c r="F351">
        <v>2</v>
      </c>
      <c r="H351">
        <v>1196</v>
      </c>
      <c r="I351">
        <v>1196</v>
      </c>
      <c r="J351">
        <v>1201</v>
      </c>
      <c r="K351">
        <v>1200.5</v>
      </c>
      <c r="L351">
        <v>0.53010920705363795</v>
      </c>
      <c r="O351">
        <v>0.102038200024581</v>
      </c>
      <c r="P351">
        <v>0.12434678473072899</v>
      </c>
      <c r="Q351">
        <v>25.371868775781302</v>
      </c>
    </row>
    <row r="352" spans="1:17" x14ac:dyDescent="0.25">
      <c r="A352" t="s">
        <v>580</v>
      </c>
      <c r="B352" t="s">
        <v>636</v>
      </c>
      <c r="C352" t="s">
        <v>609</v>
      </c>
      <c r="D352" t="s">
        <v>638</v>
      </c>
      <c r="E352">
        <v>2</v>
      </c>
      <c r="F352">
        <v>2</v>
      </c>
      <c r="H352">
        <v>1205</v>
      </c>
      <c r="I352">
        <v>1205</v>
      </c>
      <c r="J352">
        <v>1201</v>
      </c>
      <c r="K352">
        <v>1200.5</v>
      </c>
      <c r="L352">
        <v>0.53010920705363795</v>
      </c>
      <c r="O352">
        <v>0.14665536943687699</v>
      </c>
      <c r="P352">
        <v>0.12434678473072899</v>
      </c>
      <c r="Q352">
        <v>25.371868775781302</v>
      </c>
    </row>
    <row r="353" spans="1:17" x14ac:dyDescent="0.25">
      <c r="A353" t="s">
        <v>580</v>
      </c>
      <c r="B353" t="s">
        <v>636</v>
      </c>
      <c r="C353" t="s">
        <v>610</v>
      </c>
      <c r="D353" t="s">
        <v>637</v>
      </c>
      <c r="E353">
        <v>3</v>
      </c>
      <c r="F353">
        <v>2</v>
      </c>
      <c r="H353">
        <v>531</v>
      </c>
      <c r="I353">
        <v>531</v>
      </c>
      <c r="J353">
        <v>515</v>
      </c>
      <c r="K353">
        <v>514.5</v>
      </c>
      <c r="L353">
        <v>4.5353787714589</v>
      </c>
      <c r="O353">
        <v>9.1925117391413694E-2</v>
      </c>
      <c r="P353">
        <v>9.1925117391413694E-2</v>
      </c>
      <c r="Q353" t="s">
        <v>417</v>
      </c>
    </row>
    <row r="354" spans="1:17" x14ac:dyDescent="0.25">
      <c r="A354" t="s">
        <v>580</v>
      </c>
      <c r="B354" t="s">
        <v>636</v>
      </c>
      <c r="C354" t="s">
        <v>610</v>
      </c>
      <c r="D354" t="s">
        <v>638</v>
      </c>
      <c r="E354">
        <v>3</v>
      </c>
      <c r="F354">
        <v>2</v>
      </c>
      <c r="H354">
        <v>498</v>
      </c>
      <c r="I354">
        <v>498</v>
      </c>
      <c r="J354">
        <v>515</v>
      </c>
      <c r="K354">
        <v>514.5</v>
      </c>
      <c r="L354">
        <v>4.5353787714589</v>
      </c>
      <c r="O354" t="s">
        <v>417</v>
      </c>
      <c r="P354" t="s">
        <v>417</v>
      </c>
      <c r="Q354" t="s">
        <v>417</v>
      </c>
    </row>
    <row r="355" spans="1:17" x14ac:dyDescent="0.25">
      <c r="A355" t="s">
        <v>580</v>
      </c>
      <c r="B355" t="s">
        <v>636</v>
      </c>
      <c r="C355" t="s">
        <v>611</v>
      </c>
      <c r="D355" t="s">
        <v>637</v>
      </c>
      <c r="E355">
        <v>4</v>
      </c>
      <c r="F355">
        <v>2</v>
      </c>
      <c r="H355">
        <v>6842</v>
      </c>
      <c r="I355">
        <v>6842</v>
      </c>
      <c r="J355">
        <v>7303</v>
      </c>
      <c r="K355">
        <v>7302.5</v>
      </c>
      <c r="L355">
        <v>8.9181149671045503</v>
      </c>
      <c r="O355">
        <v>295.32118566658397</v>
      </c>
      <c r="P355">
        <v>314.09539435057701</v>
      </c>
      <c r="Q355">
        <v>8.4530817774714393</v>
      </c>
    </row>
    <row r="356" spans="1:17" x14ac:dyDescent="0.25">
      <c r="A356" t="s">
        <v>580</v>
      </c>
      <c r="B356" t="s">
        <v>636</v>
      </c>
      <c r="C356" t="s">
        <v>611</v>
      </c>
      <c r="D356" t="s">
        <v>638</v>
      </c>
      <c r="E356">
        <v>4</v>
      </c>
      <c r="F356">
        <v>2</v>
      </c>
      <c r="H356">
        <v>7763</v>
      </c>
      <c r="I356">
        <v>7763</v>
      </c>
      <c r="J356">
        <v>7303</v>
      </c>
      <c r="K356">
        <v>7302.5</v>
      </c>
      <c r="L356">
        <v>8.9181149671045503</v>
      </c>
      <c r="O356">
        <v>332.86960303457101</v>
      </c>
      <c r="P356">
        <v>314.09539435057701</v>
      </c>
      <c r="Q356">
        <v>8.4530817774714393</v>
      </c>
    </row>
    <row r="357" spans="1:17" x14ac:dyDescent="0.25">
      <c r="A357" t="s">
        <v>580</v>
      </c>
      <c r="B357" t="s">
        <v>636</v>
      </c>
      <c r="C357" t="s">
        <v>612</v>
      </c>
      <c r="D357" t="s">
        <v>637</v>
      </c>
      <c r="E357">
        <v>7</v>
      </c>
      <c r="F357">
        <v>2</v>
      </c>
      <c r="H357">
        <v>33535</v>
      </c>
      <c r="I357">
        <v>33535</v>
      </c>
      <c r="J357">
        <v>35640</v>
      </c>
      <c r="K357">
        <v>35639.5</v>
      </c>
      <c r="L357">
        <v>8.3508815836759105</v>
      </c>
      <c r="O357">
        <v>97.909843607579802</v>
      </c>
      <c r="P357">
        <v>103.86322751641799</v>
      </c>
      <c r="Q357">
        <v>8.1061954911453409</v>
      </c>
    </row>
    <row r="358" spans="1:17" x14ac:dyDescent="0.25">
      <c r="A358" t="s">
        <v>580</v>
      </c>
      <c r="B358" t="s">
        <v>636</v>
      </c>
      <c r="C358" t="s">
        <v>612</v>
      </c>
      <c r="D358" t="s">
        <v>638</v>
      </c>
      <c r="E358">
        <v>7</v>
      </c>
      <c r="F358">
        <v>2</v>
      </c>
      <c r="H358">
        <v>37744</v>
      </c>
      <c r="I358">
        <v>37744</v>
      </c>
      <c r="J358">
        <v>35640</v>
      </c>
      <c r="K358">
        <v>35639.5</v>
      </c>
      <c r="L358">
        <v>8.3508815836759105</v>
      </c>
      <c r="O358">
        <v>109.816611425258</v>
      </c>
      <c r="P358">
        <v>103.86322751641799</v>
      </c>
      <c r="Q358">
        <v>8.1061954911453409</v>
      </c>
    </row>
    <row r="359" spans="1:17" x14ac:dyDescent="0.25">
      <c r="A359" t="s">
        <v>580</v>
      </c>
      <c r="B359" t="s">
        <v>636</v>
      </c>
      <c r="C359" t="s">
        <v>613</v>
      </c>
      <c r="D359" t="s">
        <v>637</v>
      </c>
      <c r="E359">
        <v>10</v>
      </c>
      <c r="F359">
        <v>2</v>
      </c>
      <c r="H359">
        <v>338924</v>
      </c>
      <c r="I359">
        <v>338924</v>
      </c>
      <c r="J359">
        <v>352670</v>
      </c>
      <c r="K359">
        <v>352670</v>
      </c>
      <c r="L359">
        <v>5.5121727474354296</v>
      </c>
      <c r="O359">
        <v>860.41559742387597</v>
      </c>
      <c r="P359">
        <v>885.30525073701801</v>
      </c>
      <c r="Q359">
        <v>3.9759490016473702</v>
      </c>
    </row>
    <row r="360" spans="1:17" x14ac:dyDescent="0.25">
      <c r="A360" t="s">
        <v>580</v>
      </c>
      <c r="B360" t="s">
        <v>636</v>
      </c>
      <c r="C360" t="s">
        <v>613</v>
      </c>
      <c r="D360" t="s">
        <v>638</v>
      </c>
      <c r="E360">
        <v>10</v>
      </c>
      <c r="F360">
        <v>2</v>
      </c>
      <c r="H360">
        <v>366416</v>
      </c>
      <c r="I360">
        <v>366416</v>
      </c>
      <c r="J360">
        <v>352670</v>
      </c>
      <c r="K360">
        <v>352670</v>
      </c>
      <c r="L360">
        <v>5.5121727474354296</v>
      </c>
      <c r="O360">
        <v>910.19490405015995</v>
      </c>
      <c r="P360">
        <v>885.30525073701801</v>
      </c>
      <c r="Q360">
        <v>3.9759490016473702</v>
      </c>
    </row>
    <row r="361" spans="1:17" x14ac:dyDescent="0.25">
      <c r="A361" t="s">
        <v>580</v>
      </c>
      <c r="B361" t="s">
        <v>636</v>
      </c>
      <c r="C361" t="s">
        <v>614</v>
      </c>
      <c r="D361" t="s">
        <v>637</v>
      </c>
      <c r="E361">
        <v>8</v>
      </c>
      <c r="F361">
        <v>2</v>
      </c>
      <c r="H361">
        <v>619</v>
      </c>
      <c r="I361">
        <v>619</v>
      </c>
      <c r="J361">
        <v>636</v>
      </c>
      <c r="K361">
        <v>636</v>
      </c>
      <c r="L361">
        <v>3.7801305912488301</v>
      </c>
      <c r="O361">
        <v>1.39428626201589</v>
      </c>
      <c r="P361">
        <v>1.48190561840438</v>
      </c>
      <c r="Q361">
        <v>8.3616986528759103</v>
      </c>
    </row>
    <row r="362" spans="1:17" x14ac:dyDescent="0.25">
      <c r="A362" t="s">
        <v>580</v>
      </c>
      <c r="B362" t="s">
        <v>636</v>
      </c>
      <c r="C362" t="s">
        <v>614</v>
      </c>
      <c r="D362" t="s">
        <v>638</v>
      </c>
      <c r="E362">
        <v>8</v>
      </c>
      <c r="F362">
        <v>2</v>
      </c>
      <c r="H362">
        <v>653</v>
      </c>
      <c r="I362">
        <v>653</v>
      </c>
      <c r="J362">
        <v>636</v>
      </c>
      <c r="K362">
        <v>636</v>
      </c>
      <c r="L362">
        <v>3.7801305912488301</v>
      </c>
      <c r="O362">
        <v>1.5695249747928799</v>
      </c>
      <c r="P362">
        <v>1.48190561840438</v>
      </c>
      <c r="Q362">
        <v>8.3616986528759103</v>
      </c>
    </row>
    <row r="363" spans="1:17" x14ac:dyDescent="0.25">
      <c r="A363" t="s">
        <v>580</v>
      </c>
      <c r="B363" t="s">
        <v>639</v>
      </c>
      <c r="C363" t="s">
        <v>582</v>
      </c>
      <c r="D363" t="s">
        <v>640</v>
      </c>
      <c r="E363">
        <v>1</v>
      </c>
      <c r="F363">
        <v>2</v>
      </c>
      <c r="H363">
        <v>428</v>
      </c>
      <c r="I363">
        <v>428</v>
      </c>
      <c r="J363">
        <v>406</v>
      </c>
      <c r="K363">
        <v>405.5</v>
      </c>
      <c r="L363">
        <v>7.8470542918359101</v>
      </c>
      <c r="O363">
        <v>4.8415463743080499E-2</v>
      </c>
      <c r="P363" t="s">
        <v>417</v>
      </c>
      <c r="Q363" t="s">
        <v>417</v>
      </c>
    </row>
    <row r="364" spans="1:17" x14ac:dyDescent="0.25">
      <c r="A364" t="s">
        <v>580</v>
      </c>
      <c r="B364" t="s">
        <v>639</v>
      </c>
      <c r="C364" t="s">
        <v>582</v>
      </c>
      <c r="D364" t="s">
        <v>641</v>
      </c>
      <c r="E364">
        <v>1</v>
      </c>
      <c r="F364">
        <v>2</v>
      </c>
      <c r="H364">
        <v>383</v>
      </c>
      <c r="I364">
        <v>383</v>
      </c>
      <c r="J364">
        <v>406</v>
      </c>
      <c r="K364">
        <v>405.5</v>
      </c>
      <c r="L364">
        <v>7.8470542918359101</v>
      </c>
      <c r="O364" t="s">
        <v>417</v>
      </c>
      <c r="P364" t="s">
        <v>417</v>
      </c>
      <c r="Q364" t="s">
        <v>417</v>
      </c>
    </row>
    <row r="365" spans="1:17" x14ac:dyDescent="0.25">
      <c r="A365" t="s">
        <v>580</v>
      </c>
      <c r="B365" t="s">
        <v>639</v>
      </c>
      <c r="C365" t="s">
        <v>607</v>
      </c>
      <c r="D365" t="s">
        <v>640</v>
      </c>
      <c r="E365">
        <v>5</v>
      </c>
      <c r="F365">
        <v>2</v>
      </c>
      <c r="H365">
        <v>266</v>
      </c>
      <c r="I365">
        <v>266</v>
      </c>
      <c r="J365">
        <v>240</v>
      </c>
      <c r="K365">
        <v>240</v>
      </c>
      <c r="L365">
        <v>15.3206469257085</v>
      </c>
      <c r="O365">
        <v>0.68541430490995303</v>
      </c>
      <c r="P365">
        <v>0.68541430490995303</v>
      </c>
      <c r="Q365" t="s">
        <v>417</v>
      </c>
    </row>
    <row r="366" spans="1:17" x14ac:dyDescent="0.25">
      <c r="A366" t="s">
        <v>580</v>
      </c>
      <c r="B366" t="s">
        <v>639</v>
      </c>
      <c r="C366" t="s">
        <v>607</v>
      </c>
      <c r="D366" t="s">
        <v>641</v>
      </c>
      <c r="E366">
        <v>5</v>
      </c>
      <c r="F366">
        <v>2</v>
      </c>
      <c r="H366">
        <v>214</v>
      </c>
      <c r="I366">
        <v>214</v>
      </c>
      <c r="J366">
        <v>240</v>
      </c>
      <c r="K366">
        <v>240</v>
      </c>
      <c r="L366">
        <v>15.3206469257085</v>
      </c>
      <c r="O366" t="s">
        <v>417</v>
      </c>
      <c r="P366" t="s">
        <v>417</v>
      </c>
      <c r="Q366" t="s">
        <v>417</v>
      </c>
    </row>
    <row r="367" spans="1:17" x14ac:dyDescent="0.25">
      <c r="A367" t="s">
        <v>580</v>
      </c>
      <c r="B367" t="s">
        <v>639</v>
      </c>
      <c r="C367" t="s">
        <v>608</v>
      </c>
      <c r="D367" t="s">
        <v>641</v>
      </c>
      <c r="E367">
        <v>9</v>
      </c>
      <c r="F367">
        <v>2</v>
      </c>
      <c r="H367">
        <v>522</v>
      </c>
      <c r="I367">
        <v>522</v>
      </c>
      <c r="J367">
        <v>514</v>
      </c>
      <c r="K367">
        <v>514</v>
      </c>
      <c r="L367">
        <v>2.2011106029153198</v>
      </c>
      <c r="O367">
        <v>30.6372904315695</v>
      </c>
      <c r="P367">
        <v>28.615347345163901</v>
      </c>
      <c r="Q367">
        <v>9.9927472508019708</v>
      </c>
    </row>
    <row r="368" spans="1:17" x14ac:dyDescent="0.25">
      <c r="A368" t="s">
        <v>580</v>
      </c>
      <c r="B368" t="s">
        <v>639</v>
      </c>
      <c r="C368" t="s">
        <v>608</v>
      </c>
      <c r="D368" t="s">
        <v>640</v>
      </c>
      <c r="E368">
        <v>9</v>
      </c>
      <c r="F368">
        <v>2</v>
      </c>
      <c r="H368">
        <v>506</v>
      </c>
      <c r="I368">
        <v>506</v>
      </c>
      <c r="J368">
        <v>514</v>
      </c>
      <c r="K368">
        <v>514</v>
      </c>
      <c r="L368">
        <v>2.2011106029153198</v>
      </c>
      <c r="O368">
        <v>26.593404258758301</v>
      </c>
      <c r="P368">
        <v>28.615347345163901</v>
      </c>
      <c r="Q368">
        <v>9.9927472508019708</v>
      </c>
    </row>
    <row r="369" spans="1:17" x14ac:dyDescent="0.25">
      <c r="A369" t="s">
        <v>580</v>
      </c>
      <c r="B369" t="s">
        <v>639</v>
      </c>
      <c r="C369" t="s">
        <v>609</v>
      </c>
      <c r="D369" t="s">
        <v>640</v>
      </c>
      <c r="E369">
        <v>2</v>
      </c>
      <c r="F369">
        <v>2</v>
      </c>
      <c r="H369">
        <v>1276</v>
      </c>
      <c r="I369">
        <v>1276</v>
      </c>
      <c r="J369">
        <v>1277</v>
      </c>
      <c r="K369">
        <v>1276.5</v>
      </c>
      <c r="L369">
        <v>5.5394185756877899E-2</v>
      </c>
      <c r="O369">
        <v>0.51842704033975595</v>
      </c>
      <c r="P369">
        <v>0.52112519451876405</v>
      </c>
      <c r="Q369">
        <v>0.73221680192435301</v>
      </c>
    </row>
    <row r="370" spans="1:17" x14ac:dyDescent="0.25">
      <c r="A370" t="s">
        <v>580</v>
      </c>
      <c r="B370" t="s">
        <v>639</v>
      </c>
      <c r="C370" t="s">
        <v>609</v>
      </c>
      <c r="D370" t="s">
        <v>641</v>
      </c>
      <c r="E370">
        <v>2</v>
      </c>
      <c r="F370">
        <v>2</v>
      </c>
      <c r="H370">
        <v>1277</v>
      </c>
      <c r="I370">
        <v>1277</v>
      </c>
      <c r="J370">
        <v>1277</v>
      </c>
      <c r="K370">
        <v>1276.5</v>
      </c>
      <c r="L370">
        <v>5.5394185756877899E-2</v>
      </c>
      <c r="O370">
        <v>0.52382334869777203</v>
      </c>
      <c r="P370">
        <v>0.52112519451876405</v>
      </c>
      <c r="Q370">
        <v>0.73221680192435301</v>
      </c>
    </row>
    <row r="371" spans="1:17" x14ac:dyDescent="0.25">
      <c r="A371" t="s">
        <v>580</v>
      </c>
      <c r="B371" t="s">
        <v>639</v>
      </c>
      <c r="C371" t="s">
        <v>610</v>
      </c>
      <c r="D371" t="s">
        <v>640</v>
      </c>
      <c r="E371">
        <v>3</v>
      </c>
      <c r="F371">
        <v>2</v>
      </c>
      <c r="H371">
        <v>594</v>
      </c>
      <c r="I371">
        <v>594</v>
      </c>
      <c r="J371">
        <v>563</v>
      </c>
      <c r="K371">
        <v>563</v>
      </c>
      <c r="L371">
        <v>7.7869663292301796</v>
      </c>
      <c r="O371">
        <v>0.36598528528345198</v>
      </c>
      <c r="P371">
        <v>0.23113028081331</v>
      </c>
      <c r="Q371">
        <v>82.513539811602499</v>
      </c>
    </row>
    <row r="372" spans="1:17" x14ac:dyDescent="0.25">
      <c r="A372" t="s">
        <v>580</v>
      </c>
      <c r="B372" t="s">
        <v>639</v>
      </c>
      <c r="C372" t="s">
        <v>610</v>
      </c>
      <c r="D372" t="s">
        <v>641</v>
      </c>
      <c r="E372">
        <v>3</v>
      </c>
      <c r="F372">
        <v>2</v>
      </c>
      <c r="H372">
        <v>532</v>
      </c>
      <c r="I372">
        <v>532</v>
      </c>
      <c r="J372">
        <v>563</v>
      </c>
      <c r="K372">
        <v>563</v>
      </c>
      <c r="L372">
        <v>7.7869663292301796</v>
      </c>
      <c r="O372">
        <v>9.6275276343168098E-2</v>
      </c>
      <c r="P372">
        <v>0.23113028081331</v>
      </c>
      <c r="Q372">
        <v>82.513539811602499</v>
      </c>
    </row>
    <row r="373" spans="1:17" x14ac:dyDescent="0.25">
      <c r="A373" t="s">
        <v>580</v>
      </c>
      <c r="B373" t="s">
        <v>639</v>
      </c>
      <c r="C373" t="s">
        <v>611</v>
      </c>
      <c r="D373" t="s">
        <v>640</v>
      </c>
      <c r="E373">
        <v>4</v>
      </c>
      <c r="F373">
        <v>2</v>
      </c>
      <c r="H373">
        <v>18087</v>
      </c>
      <c r="I373">
        <v>18087</v>
      </c>
      <c r="J373">
        <v>17560</v>
      </c>
      <c r="K373">
        <v>17559.5</v>
      </c>
      <c r="L373">
        <v>4.2483991807956203</v>
      </c>
      <c r="O373">
        <v>731.09499005957503</v>
      </c>
      <c r="P373">
        <v>711.43160571084798</v>
      </c>
      <c r="Q373">
        <v>3.9087699513066601</v>
      </c>
    </row>
    <row r="374" spans="1:17" x14ac:dyDescent="0.25">
      <c r="A374" t="s">
        <v>580</v>
      </c>
      <c r="B374" t="s">
        <v>639</v>
      </c>
      <c r="C374" t="s">
        <v>611</v>
      </c>
      <c r="D374" t="s">
        <v>641</v>
      </c>
      <c r="E374">
        <v>4</v>
      </c>
      <c r="F374">
        <v>2</v>
      </c>
      <c r="H374">
        <v>17032</v>
      </c>
      <c r="I374">
        <v>17032</v>
      </c>
      <c r="J374">
        <v>17560</v>
      </c>
      <c r="K374">
        <v>17559.5</v>
      </c>
      <c r="L374">
        <v>4.2483991807956203</v>
      </c>
      <c r="O374">
        <v>691.76822136212195</v>
      </c>
      <c r="P374">
        <v>711.43160571084798</v>
      </c>
      <c r="Q374">
        <v>3.9087699513066601</v>
      </c>
    </row>
    <row r="375" spans="1:17" x14ac:dyDescent="0.25">
      <c r="A375" t="s">
        <v>580</v>
      </c>
      <c r="B375" t="s">
        <v>639</v>
      </c>
      <c r="C375" t="s">
        <v>612</v>
      </c>
      <c r="D375" t="s">
        <v>640</v>
      </c>
      <c r="E375">
        <v>7</v>
      </c>
      <c r="F375">
        <v>2</v>
      </c>
      <c r="H375">
        <v>122104</v>
      </c>
      <c r="I375">
        <v>122104</v>
      </c>
      <c r="J375">
        <v>120406</v>
      </c>
      <c r="K375">
        <v>120406</v>
      </c>
      <c r="L375">
        <v>1.9943645905598599</v>
      </c>
      <c r="O375">
        <v>341.76726345343002</v>
      </c>
      <c r="P375">
        <v>337.17899182271998</v>
      </c>
      <c r="Q375">
        <v>1.9244366124132399</v>
      </c>
    </row>
    <row r="376" spans="1:17" x14ac:dyDescent="0.25">
      <c r="A376" t="s">
        <v>580</v>
      </c>
      <c r="B376" t="s">
        <v>639</v>
      </c>
      <c r="C376" t="s">
        <v>612</v>
      </c>
      <c r="D376" t="s">
        <v>641</v>
      </c>
      <c r="E376">
        <v>7</v>
      </c>
      <c r="F376">
        <v>2</v>
      </c>
      <c r="H376">
        <v>118708</v>
      </c>
      <c r="I376">
        <v>118708</v>
      </c>
      <c r="J376">
        <v>120406</v>
      </c>
      <c r="K376">
        <v>120406</v>
      </c>
      <c r="L376">
        <v>1.9943645905598599</v>
      </c>
      <c r="O376">
        <v>332.59072019200897</v>
      </c>
      <c r="P376">
        <v>337.17899182271998</v>
      </c>
      <c r="Q376">
        <v>1.9244366124132399</v>
      </c>
    </row>
    <row r="377" spans="1:17" x14ac:dyDescent="0.25">
      <c r="A377" t="s">
        <v>580</v>
      </c>
      <c r="B377" t="s">
        <v>639</v>
      </c>
      <c r="C377" t="s">
        <v>613</v>
      </c>
      <c r="D377" t="s">
        <v>641</v>
      </c>
      <c r="E377">
        <v>10</v>
      </c>
      <c r="F377">
        <v>2</v>
      </c>
      <c r="H377">
        <v>1686461</v>
      </c>
      <c r="I377">
        <v>1686461</v>
      </c>
      <c r="J377">
        <v>1700650</v>
      </c>
      <c r="K377">
        <v>1700649.5</v>
      </c>
      <c r="L377">
        <v>1.1798768135192199</v>
      </c>
      <c r="O377">
        <v>2743.98697752726</v>
      </c>
      <c r="P377">
        <v>2760.7089359285801</v>
      </c>
      <c r="Q377">
        <v>0.85660679591422795</v>
      </c>
    </row>
    <row r="378" spans="1:17" x14ac:dyDescent="0.25">
      <c r="A378" t="s">
        <v>580</v>
      </c>
      <c r="B378" t="s">
        <v>639</v>
      </c>
      <c r="C378" t="s">
        <v>613</v>
      </c>
      <c r="D378" t="s">
        <v>640</v>
      </c>
      <c r="E378">
        <v>10</v>
      </c>
      <c r="F378">
        <v>2</v>
      </c>
      <c r="H378">
        <v>1714838</v>
      </c>
      <c r="I378">
        <v>1714838</v>
      </c>
      <c r="J378">
        <v>1700650</v>
      </c>
      <c r="K378">
        <v>1700649.5</v>
      </c>
      <c r="L378">
        <v>1.1798768135192199</v>
      </c>
      <c r="O378">
        <v>2777.4308943298902</v>
      </c>
      <c r="P378">
        <v>2760.7089359285801</v>
      </c>
      <c r="Q378">
        <v>0.85660679591422795</v>
      </c>
    </row>
    <row r="379" spans="1:17" x14ac:dyDescent="0.25">
      <c r="A379" t="s">
        <v>580</v>
      </c>
      <c r="B379" t="s">
        <v>639</v>
      </c>
      <c r="C379" t="s">
        <v>614</v>
      </c>
      <c r="D379" t="s">
        <v>641</v>
      </c>
      <c r="E379">
        <v>8</v>
      </c>
      <c r="F379">
        <v>2</v>
      </c>
      <c r="H379">
        <v>1586</v>
      </c>
      <c r="I379">
        <v>1586</v>
      </c>
      <c r="J379">
        <v>1590</v>
      </c>
      <c r="K379">
        <v>1589.5</v>
      </c>
      <c r="L379">
        <v>0.311402797628551</v>
      </c>
      <c r="O379">
        <v>6.4457323900586099</v>
      </c>
      <c r="P379">
        <v>6.46417678335317</v>
      </c>
      <c r="Q379">
        <v>0.40352100539824298</v>
      </c>
    </row>
    <row r="380" spans="1:17" x14ac:dyDescent="0.25">
      <c r="A380" t="s">
        <v>580</v>
      </c>
      <c r="B380" t="s">
        <v>639</v>
      </c>
      <c r="C380" t="s">
        <v>614</v>
      </c>
      <c r="D380" t="s">
        <v>640</v>
      </c>
      <c r="E380">
        <v>8</v>
      </c>
      <c r="F380">
        <v>2</v>
      </c>
      <c r="H380">
        <v>1593</v>
      </c>
      <c r="I380">
        <v>1593</v>
      </c>
      <c r="J380">
        <v>1590</v>
      </c>
      <c r="K380">
        <v>1589.5</v>
      </c>
      <c r="L380">
        <v>0.311402797628551</v>
      </c>
      <c r="O380">
        <v>6.4826211766477204</v>
      </c>
      <c r="P380">
        <v>6.46417678335317</v>
      </c>
      <c r="Q380">
        <v>0.40352100539824298</v>
      </c>
    </row>
    <row r="381" spans="1:17" x14ac:dyDescent="0.25">
      <c r="A381" t="s">
        <v>580</v>
      </c>
      <c r="B381" t="s">
        <v>642</v>
      </c>
      <c r="C381" t="s">
        <v>582</v>
      </c>
      <c r="D381" t="s">
        <v>643</v>
      </c>
      <c r="E381">
        <v>1</v>
      </c>
      <c r="F381">
        <v>2</v>
      </c>
      <c r="H381">
        <v>338</v>
      </c>
      <c r="I381">
        <v>338</v>
      </c>
      <c r="J381">
        <v>344</v>
      </c>
      <c r="K381">
        <v>344</v>
      </c>
      <c r="L381">
        <v>2.46665156227865</v>
      </c>
      <c r="O381" t="s">
        <v>417</v>
      </c>
      <c r="P381" t="s">
        <v>417</v>
      </c>
      <c r="Q381" t="s">
        <v>417</v>
      </c>
    </row>
    <row r="382" spans="1:17" x14ac:dyDescent="0.25">
      <c r="A382" t="s">
        <v>580</v>
      </c>
      <c r="B382" t="s">
        <v>642</v>
      </c>
      <c r="C382" t="s">
        <v>582</v>
      </c>
      <c r="D382" t="s">
        <v>644</v>
      </c>
      <c r="E382">
        <v>1</v>
      </c>
      <c r="F382">
        <v>2</v>
      </c>
      <c r="H382">
        <v>350</v>
      </c>
      <c r="I382">
        <v>350</v>
      </c>
      <c r="J382">
        <v>344</v>
      </c>
      <c r="K382">
        <v>344</v>
      </c>
      <c r="L382">
        <v>2.46665156227865</v>
      </c>
      <c r="O382" t="s">
        <v>417</v>
      </c>
      <c r="P382" t="s">
        <v>417</v>
      </c>
      <c r="Q382" t="s">
        <v>417</v>
      </c>
    </row>
    <row r="383" spans="1:17" x14ac:dyDescent="0.25">
      <c r="A383" t="s">
        <v>580</v>
      </c>
      <c r="B383" t="s">
        <v>642</v>
      </c>
      <c r="C383" t="s">
        <v>607</v>
      </c>
      <c r="D383" t="s">
        <v>643</v>
      </c>
      <c r="E383">
        <v>5</v>
      </c>
      <c r="F383">
        <v>2</v>
      </c>
      <c r="H383">
        <v>218</v>
      </c>
      <c r="I383">
        <v>218</v>
      </c>
      <c r="J383">
        <v>233</v>
      </c>
      <c r="K383">
        <v>233</v>
      </c>
      <c r="L383">
        <v>9.1043791569083297</v>
      </c>
      <c r="O383" t="s">
        <v>417</v>
      </c>
      <c r="P383">
        <v>0.15227958433264199</v>
      </c>
      <c r="Q383" t="s">
        <v>417</v>
      </c>
    </row>
    <row r="384" spans="1:17" x14ac:dyDescent="0.25">
      <c r="A384" t="s">
        <v>580</v>
      </c>
      <c r="B384" t="s">
        <v>642</v>
      </c>
      <c r="C384" t="s">
        <v>607</v>
      </c>
      <c r="D384" t="s">
        <v>644</v>
      </c>
      <c r="E384">
        <v>5</v>
      </c>
      <c r="F384">
        <v>2</v>
      </c>
      <c r="H384">
        <v>248</v>
      </c>
      <c r="I384">
        <v>248</v>
      </c>
      <c r="J384">
        <v>233</v>
      </c>
      <c r="K384">
        <v>233</v>
      </c>
      <c r="L384">
        <v>9.1043791569083297</v>
      </c>
      <c r="O384">
        <v>0.15227958433264199</v>
      </c>
      <c r="P384" t="s">
        <v>417</v>
      </c>
      <c r="Q384" t="s">
        <v>417</v>
      </c>
    </row>
    <row r="385" spans="1:17" x14ac:dyDescent="0.25">
      <c r="A385" t="s">
        <v>580</v>
      </c>
      <c r="B385" t="s">
        <v>642</v>
      </c>
      <c r="C385" t="s">
        <v>608</v>
      </c>
      <c r="D385" t="s">
        <v>644</v>
      </c>
      <c r="E385">
        <v>9</v>
      </c>
      <c r="F385">
        <v>2</v>
      </c>
      <c r="H385">
        <v>431</v>
      </c>
      <c r="I385">
        <v>431</v>
      </c>
      <c r="J385">
        <v>424</v>
      </c>
      <c r="K385">
        <v>424</v>
      </c>
      <c r="L385">
        <v>2.3347865416536902</v>
      </c>
      <c r="O385">
        <v>7.4225004937804897</v>
      </c>
      <c r="P385">
        <v>5.5948723651418497</v>
      </c>
      <c r="Q385">
        <v>46.196880246968597</v>
      </c>
    </row>
    <row r="386" spans="1:17" x14ac:dyDescent="0.25">
      <c r="A386" t="s">
        <v>580</v>
      </c>
      <c r="B386" t="s">
        <v>642</v>
      </c>
      <c r="C386" t="s">
        <v>608</v>
      </c>
      <c r="D386" t="s">
        <v>643</v>
      </c>
      <c r="E386">
        <v>9</v>
      </c>
      <c r="F386">
        <v>2</v>
      </c>
      <c r="H386">
        <v>417</v>
      </c>
      <c r="I386">
        <v>417</v>
      </c>
      <c r="J386">
        <v>424</v>
      </c>
      <c r="K386">
        <v>424</v>
      </c>
      <c r="L386">
        <v>2.3347865416536902</v>
      </c>
      <c r="O386">
        <v>3.7672442365032102</v>
      </c>
      <c r="P386">
        <v>5.5948723651418497</v>
      </c>
      <c r="Q386">
        <v>46.196880246968597</v>
      </c>
    </row>
    <row r="387" spans="1:17" x14ac:dyDescent="0.25">
      <c r="A387" t="s">
        <v>580</v>
      </c>
      <c r="B387" t="s">
        <v>642</v>
      </c>
      <c r="C387" t="s">
        <v>609</v>
      </c>
      <c r="D387" t="s">
        <v>643</v>
      </c>
      <c r="E387">
        <v>2</v>
      </c>
      <c r="F387">
        <v>2</v>
      </c>
      <c r="H387">
        <v>1175</v>
      </c>
      <c r="I387">
        <v>1175</v>
      </c>
      <c r="J387">
        <v>1180</v>
      </c>
      <c r="K387">
        <v>1180</v>
      </c>
      <c r="L387">
        <v>0.599243034903853</v>
      </c>
      <c r="O387">
        <v>4.2889534770651702E-3</v>
      </c>
      <c r="P387">
        <v>2.67120474983478E-2</v>
      </c>
      <c r="Q387">
        <v>118.714387870216</v>
      </c>
    </row>
    <row r="388" spans="1:17" x14ac:dyDescent="0.25">
      <c r="A388" t="s">
        <v>580</v>
      </c>
      <c r="B388" t="s">
        <v>642</v>
      </c>
      <c r="C388" t="s">
        <v>609</v>
      </c>
      <c r="D388" t="s">
        <v>644</v>
      </c>
      <c r="E388">
        <v>2</v>
      </c>
      <c r="F388">
        <v>2</v>
      </c>
      <c r="H388">
        <v>1185</v>
      </c>
      <c r="I388">
        <v>1185</v>
      </c>
      <c r="J388">
        <v>1180</v>
      </c>
      <c r="K388">
        <v>1180</v>
      </c>
      <c r="L388">
        <v>0.599243034903853</v>
      </c>
      <c r="O388">
        <v>4.9135141519630499E-2</v>
      </c>
      <c r="P388">
        <v>2.67120474983478E-2</v>
      </c>
      <c r="Q388">
        <v>118.714387870216</v>
      </c>
    </row>
    <row r="389" spans="1:17" x14ac:dyDescent="0.25">
      <c r="A389" t="s">
        <v>580</v>
      </c>
      <c r="B389" t="s">
        <v>642</v>
      </c>
      <c r="C389" t="s">
        <v>610</v>
      </c>
      <c r="D389" t="s">
        <v>643</v>
      </c>
      <c r="E389">
        <v>3</v>
      </c>
      <c r="F389">
        <v>2</v>
      </c>
      <c r="H389">
        <v>495</v>
      </c>
      <c r="I389">
        <v>495</v>
      </c>
      <c r="J389">
        <v>493</v>
      </c>
      <c r="K389">
        <v>492.5</v>
      </c>
      <c r="L389">
        <v>0.71787490475791604</v>
      </c>
      <c r="O389" t="s">
        <v>417</v>
      </c>
      <c r="P389" t="s">
        <v>417</v>
      </c>
      <c r="Q389" t="s">
        <v>417</v>
      </c>
    </row>
    <row r="390" spans="1:17" x14ac:dyDescent="0.25">
      <c r="A390" t="s">
        <v>580</v>
      </c>
      <c r="B390" t="s">
        <v>642</v>
      </c>
      <c r="C390" t="s">
        <v>610</v>
      </c>
      <c r="D390" t="s">
        <v>644</v>
      </c>
      <c r="E390">
        <v>3</v>
      </c>
      <c r="F390">
        <v>2</v>
      </c>
      <c r="H390">
        <v>490</v>
      </c>
      <c r="I390">
        <v>490</v>
      </c>
      <c r="J390">
        <v>493</v>
      </c>
      <c r="K390">
        <v>492.5</v>
      </c>
      <c r="L390">
        <v>0.71787490475791604</v>
      </c>
      <c r="O390" t="s">
        <v>417</v>
      </c>
      <c r="P390" t="s">
        <v>417</v>
      </c>
      <c r="Q390" t="s">
        <v>417</v>
      </c>
    </row>
    <row r="391" spans="1:17" x14ac:dyDescent="0.25">
      <c r="A391" t="s">
        <v>580</v>
      </c>
      <c r="B391" t="s">
        <v>642</v>
      </c>
      <c r="C391" t="s">
        <v>611</v>
      </c>
      <c r="D391" t="s">
        <v>643</v>
      </c>
      <c r="E391">
        <v>4</v>
      </c>
      <c r="F391">
        <v>2</v>
      </c>
      <c r="H391">
        <v>37611</v>
      </c>
      <c r="I391">
        <v>37611</v>
      </c>
      <c r="J391">
        <v>39496</v>
      </c>
      <c r="K391">
        <v>39496</v>
      </c>
      <c r="L391">
        <v>6.7495254331407804</v>
      </c>
      <c r="O391">
        <v>1427.6313378918301</v>
      </c>
      <c r="P391">
        <v>1492.4270723421801</v>
      </c>
      <c r="Q391">
        <v>6.1399989414422498</v>
      </c>
    </row>
    <row r="392" spans="1:17" x14ac:dyDescent="0.25">
      <c r="A392" t="s">
        <v>580</v>
      </c>
      <c r="B392" t="s">
        <v>642</v>
      </c>
      <c r="C392" t="s">
        <v>611</v>
      </c>
      <c r="D392" t="s">
        <v>644</v>
      </c>
      <c r="E392">
        <v>4</v>
      </c>
      <c r="F392">
        <v>2</v>
      </c>
      <c r="H392">
        <v>41381</v>
      </c>
      <c r="I392">
        <v>41381</v>
      </c>
      <c r="J392">
        <v>39496</v>
      </c>
      <c r="K392">
        <v>39496</v>
      </c>
      <c r="L392">
        <v>6.7495254331407804</v>
      </c>
      <c r="O392">
        <v>1557.22280679253</v>
      </c>
      <c r="P392">
        <v>1492.4270723421801</v>
      </c>
      <c r="Q392">
        <v>6.1399989414422498</v>
      </c>
    </row>
    <row r="393" spans="1:17" x14ac:dyDescent="0.25">
      <c r="A393" t="s">
        <v>580</v>
      </c>
      <c r="B393" t="s">
        <v>642</v>
      </c>
      <c r="C393" t="s">
        <v>612</v>
      </c>
      <c r="D393" t="s">
        <v>644</v>
      </c>
      <c r="E393">
        <v>7</v>
      </c>
      <c r="F393">
        <v>2</v>
      </c>
      <c r="H393">
        <v>216383</v>
      </c>
      <c r="I393">
        <v>216383</v>
      </c>
      <c r="J393">
        <v>207540</v>
      </c>
      <c r="K393">
        <v>207539.5</v>
      </c>
      <c r="L393">
        <v>6.0261288279322498</v>
      </c>
      <c r="O393">
        <v>593.42775409002195</v>
      </c>
      <c r="P393">
        <v>570.01273923778695</v>
      </c>
      <c r="Q393">
        <v>5.8093142990940896</v>
      </c>
    </row>
    <row r="394" spans="1:17" x14ac:dyDescent="0.25">
      <c r="A394" t="s">
        <v>580</v>
      </c>
      <c r="B394" t="s">
        <v>642</v>
      </c>
      <c r="C394" t="s">
        <v>612</v>
      </c>
      <c r="D394" t="s">
        <v>643</v>
      </c>
      <c r="E394">
        <v>7</v>
      </c>
      <c r="F394">
        <v>2</v>
      </c>
      <c r="H394">
        <v>198696</v>
      </c>
      <c r="I394">
        <v>198696</v>
      </c>
      <c r="J394">
        <v>207540</v>
      </c>
      <c r="K394">
        <v>207539.5</v>
      </c>
      <c r="L394">
        <v>6.0261288279322498</v>
      </c>
      <c r="O394">
        <v>546.59772438555103</v>
      </c>
      <c r="P394">
        <v>570.01273923778695</v>
      </c>
      <c r="Q394">
        <v>5.8093142990940896</v>
      </c>
    </row>
    <row r="395" spans="1:17" x14ac:dyDescent="0.25">
      <c r="A395" t="s">
        <v>580</v>
      </c>
      <c r="B395" t="s">
        <v>642</v>
      </c>
      <c r="C395" t="s">
        <v>613</v>
      </c>
      <c r="D395" t="s">
        <v>644</v>
      </c>
      <c r="E395">
        <v>10</v>
      </c>
      <c r="F395">
        <v>2</v>
      </c>
      <c r="H395">
        <v>23847</v>
      </c>
      <c r="I395">
        <v>23847</v>
      </c>
      <c r="J395">
        <v>22665</v>
      </c>
      <c r="K395">
        <v>22664.5</v>
      </c>
      <c r="L395">
        <v>7.37853267226801</v>
      </c>
      <c r="O395">
        <v>126.32673941351899</v>
      </c>
      <c r="P395">
        <v>121.69521787953001</v>
      </c>
      <c r="Q395">
        <v>5.3822661908322402</v>
      </c>
    </row>
    <row r="396" spans="1:17" x14ac:dyDescent="0.25">
      <c r="A396" t="s">
        <v>580</v>
      </c>
      <c r="B396" t="s">
        <v>642</v>
      </c>
      <c r="C396" t="s">
        <v>613</v>
      </c>
      <c r="D396" t="s">
        <v>643</v>
      </c>
      <c r="E396">
        <v>10</v>
      </c>
      <c r="F396">
        <v>2</v>
      </c>
      <c r="H396">
        <v>21482</v>
      </c>
      <c r="I396">
        <v>21482</v>
      </c>
      <c r="J396">
        <v>22665</v>
      </c>
      <c r="K396">
        <v>22664.5</v>
      </c>
      <c r="L396">
        <v>7.37853267226801</v>
      </c>
      <c r="O396">
        <v>117.063696345542</v>
      </c>
      <c r="P396">
        <v>121.69521787953001</v>
      </c>
      <c r="Q396">
        <v>5.3822661908322402</v>
      </c>
    </row>
    <row r="397" spans="1:17" x14ac:dyDescent="0.25">
      <c r="A397" t="s">
        <v>580</v>
      </c>
      <c r="B397" t="s">
        <v>642</v>
      </c>
      <c r="C397" t="s">
        <v>614</v>
      </c>
      <c r="D397" t="s">
        <v>644</v>
      </c>
      <c r="E397">
        <v>8</v>
      </c>
      <c r="F397">
        <v>2</v>
      </c>
      <c r="H397">
        <v>424</v>
      </c>
      <c r="I397">
        <v>424</v>
      </c>
      <c r="J397">
        <v>408</v>
      </c>
      <c r="K397">
        <v>408</v>
      </c>
      <c r="L397">
        <v>5.5459355387180196</v>
      </c>
      <c r="O397">
        <v>0.39769640864238298</v>
      </c>
      <c r="P397">
        <v>0.31713770403673303</v>
      </c>
      <c r="Q397">
        <v>35.923578675880897</v>
      </c>
    </row>
    <row r="398" spans="1:17" x14ac:dyDescent="0.25">
      <c r="A398" t="s">
        <v>580</v>
      </c>
      <c r="B398" t="s">
        <v>642</v>
      </c>
      <c r="C398" t="s">
        <v>614</v>
      </c>
      <c r="D398" t="s">
        <v>643</v>
      </c>
      <c r="E398">
        <v>8</v>
      </c>
      <c r="F398">
        <v>2</v>
      </c>
      <c r="H398">
        <v>392</v>
      </c>
      <c r="I398">
        <v>392</v>
      </c>
      <c r="J398">
        <v>408</v>
      </c>
      <c r="K398">
        <v>408</v>
      </c>
      <c r="L398">
        <v>5.5459355387180196</v>
      </c>
      <c r="O398">
        <v>0.23657899943108299</v>
      </c>
      <c r="P398">
        <v>0.31713770403673303</v>
      </c>
      <c r="Q398">
        <v>35.923578675880897</v>
      </c>
    </row>
    <row r="399" spans="1:17" x14ac:dyDescent="0.25">
      <c r="A399" t="s">
        <v>580</v>
      </c>
      <c r="B399" t="s">
        <v>645</v>
      </c>
      <c r="C399" t="s">
        <v>582</v>
      </c>
      <c r="D399" t="s">
        <v>646</v>
      </c>
      <c r="E399">
        <v>1</v>
      </c>
      <c r="F399">
        <v>2</v>
      </c>
      <c r="H399">
        <v>444</v>
      </c>
      <c r="I399">
        <v>444</v>
      </c>
      <c r="J399">
        <v>411</v>
      </c>
      <c r="K399">
        <v>410.5</v>
      </c>
      <c r="L399">
        <v>11.541085100974099</v>
      </c>
      <c r="O399">
        <v>8.6827385800883103E-2</v>
      </c>
      <c r="P399" t="s">
        <v>417</v>
      </c>
      <c r="Q399" t="s">
        <v>417</v>
      </c>
    </row>
    <row r="400" spans="1:17" x14ac:dyDescent="0.25">
      <c r="A400" t="s">
        <v>580</v>
      </c>
      <c r="B400" t="s">
        <v>645</v>
      </c>
      <c r="C400" t="s">
        <v>582</v>
      </c>
      <c r="D400" t="s">
        <v>647</v>
      </c>
      <c r="E400">
        <v>1</v>
      </c>
      <c r="F400">
        <v>2</v>
      </c>
      <c r="H400">
        <v>377</v>
      </c>
      <c r="I400">
        <v>377</v>
      </c>
      <c r="J400">
        <v>411</v>
      </c>
      <c r="K400">
        <v>410.5</v>
      </c>
      <c r="L400">
        <v>11.541085100974099</v>
      </c>
      <c r="O400" t="s">
        <v>417</v>
      </c>
      <c r="P400" t="s">
        <v>417</v>
      </c>
      <c r="Q400" t="s">
        <v>417</v>
      </c>
    </row>
    <row r="401" spans="1:17" x14ac:dyDescent="0.25">
      <c r="A401" t="s">
        <v>580</v>
      </c>
      <c r="B401" t="s">
        <v>645</v>
      </c>
      <c r="C401" t="s">
        <v>607</v>
      </c>
      <c r="D401" t="s">
        <v>647</v>
      </c>
      <c r="E401">
        <v>5</v>
      </c>
      <c r="F401">
        <v>2</v>
      </c>
      <c r="H401">
        <v>231</v>
      </c>
      <c r="I401">
        <v>231</v>
      </c>
      <c r="J401">
        <v>248</v>
      </c>
      <c r="K401">
        <v>248</v>
      </c>
      <c r="L401">
        <v>9.6942058711058898</v>
      </c>
      <c r="O401" t="s">
        <v>417</v>
      </c>
      <c r="P401" t="s">
        <v>417</v>
      </c>
      <c r="Q401" t="s">
        <v>417</v>
      </c>
    </row>
    <row r="402" spans="1:17" x14ac:dyDescent="0.25">
      <c r="A402" t="s">
        <v>580</v>
      </c>
      <c r="B402" t="s">
        <v>645</v>
      </c>
      <c r="C402" t="s">
        <v>607</v>
      </c>
      <c r="D402" t="s">
        <v>646</v>
      </c>
      <c r="E402">
        <v>5</v>
      </c>
      <c r="F402">
        <v>2</v>
      </c>
      <c r="H402">
        <v>265</v>
      </c>
      <c r="I402">
        <v>265</v>
      </c>
      <c r="J402">
        <v>248</v>
      </c>
      <c r="K402">
        <v>248</v>
      </c>
      <c r="L402">
        <v>9.6942058711058898</v>
      </c>
      <c r="O402">
        <v>0.655831513421961</v>
      </c>
      <c r="P402" t="s">
        <v>417</v>
      </c>
      <c r="Q402" t="s">
        <v>417</v>
      </c>
    </row>
    <row r="403" spans="1:17" x14ac:dyDescent="0.25">
      <c r="A403" t="s">
        <v>580</v>
      </c>
      <c r="B403" t="s">
        <v>645</v>
      </c>
      <c r="C403" t="s">
        <v>608</v>
      </c>
      <c r="D403" t="s">
        <v>647</v>
      </c>
      <c r="E403">
        <v>9</v>
      </c>
      <c r="F403">
        <v>2</v>
      </c>
      <c r="H403">
        <v>437</v>
      </c>
      <c r="I403">
        <v>437</v>
      </c>
      <c r="J403">
        <v>448</v>
      </c>
      <c r="K403">
        <v>448</v>
      </c>
      <c r="L403">
        <v>3.47239937189822</v>
      </c>
      <c r="O403">
        <v>8.9766744609962501</v>
      </c>
      <c r="P403">
        <v>11.805965764315999</v>
      </c>
      <c r="Q403">
        <v>33.891527494963199</v>
      </c>
    </row>
    <row r="404" spans="1:17" x14ac:dyDescent="0.25">
      <c r="A404" t="s">
        <v>580</v>
      </c>
      <c r="B404" t="s">
        <v>645</v>
      </c>
      <c r="C404" t="s">
        <v>608</v>
      </c>
      <c r="D404" t="s">
        <v>646</v>
      </c>
      <c r="E404">
        <v>9</v>
      </c>
      <c r="F404">
        <v>2</v>
      </c>
      <c r="H404">
        <v>459</v>
      </c>
      <c r="I404">
        <v>459</v>
      </c>
      <c r="J404">
        <v>448</v>
      </c>
      <c r="K404">
        <v>448</v>
      </c>
      <c r="L404">
        <v>3.47239937189822</v>
      </c>
      <c r="O404">
        <v>14.6352570676358</v>
      </c>
      <c r="P404">
        <v>11.805965764315999</v>
      </c>
      <c r="Q404">
        <v>33.891527494963199</v>
      </c>
    </row>
    <row r="405" spans="1:17" x14ac:dyDescent="0.25">
      <c r="A405" t="s">
        <v>580</v>
      </c>
      <c r="B405" t="s">
        <v>645</v>
      </c>
      <c r="C405" t="s">
        <v>609</v>
      </c>
      <c r="D405" t="s">
        <v>646</v>
      </c>
      <c r="E405">
        <v>2</v>
      </c>
      <c r="F405">
        <v>2</v>
      </c>
      <c r="H405">
        <v>1353</v>
      </c>
      <c r="I405">
        <v>1353</v>
      </c>
      <c r="J405">
        <v>1299</v>
      </c>
      <c r="K405">
        <v>1298.5</v>
      </c>
      <c r="L405">
        <v>5.9356672429213404</v>
      </c>
      <c r="O405">
        <v>0.94191211657432306</v>
      </c>
      <c r="P405">
        <v>0.64480106415357796</v>
      </c>
      <c r="Q405">
        <v>65.164048762221498</v>
      </c>
    </row>
    <row r="406" spans="1:17" x14ac:dyDescent="0.25">
      <c r="A406" t="s">
        <v>580</v>
      </c>
      <c r="B406" t="s">
        <v>645</v>
      </c>
      <c r="C406" t="s">
        <v>609</v>
      </c>
      <c r="D406" t="s">
        <v>647</v>
      </c>
      <c r="E406">
        <v>2</v>
      </c>
      <c r="F406">
        <v>2</v>
      </c>
      <c r="H406">
        <v>1244</v>
      </c>
      <c r="I406">
        <v>1244</v>
      </c>
      <c r="J406">
        <v>1299</v>
      </c>
      <c r="K406">
        <v>1298.5</v>
      </c>
      <c r="L406">
        <v>5.9356672429213404</v>
      </c>
      <c r="O406">
        <v>0.34769001173283298</v>
      </c>
      <c r="P406">
        <v>0.64480106415357796</v>
      </c>
      <c r="Q406">
        <v>65.164048762221498</v>
      </c>
    </row>
    <row r="407" spans="1:17" x14ac:dyDescent="0.25">
      <c r="A407" t="s">
        <v>580</v>
      </c>
      <c r="B407" t="s">
        <v>645</v>
      </c>
      <c r="C407" t="s">
        <v>610</v>
      </c>
      <c r="D407" t="s">
        <v>646</v>
      </c>
      <c r="E407">
        <v>3</v>
      </c>
      <c r="F407">
        <v>2</v>
      </c>
      <c r="H407">
        <v>577</v>
      </c>
      <c r="I407">
        <v>577</v>
      </c>
      <c r="J407">
        <v>569</v>
      </c>
      <c r="K407">
        <v>569</v>
      </c>
      <c r="L407">
        <v>1.9883494725808</v>
      </c>
      <c r="O407">
        <v>0.29203233412184998</v>
      </c>
      <c r="P407">
        <v>0.25723104279307202</v>
      </c>
      <c r="Q407">
        <v>19.133172128391301</v>
      </c>
    </row>
    <row r="408" spans="1:17" x14ac:dyDescent="0.25">
      <c r="A408" t="s">
        <v>580</v>
      </c>
      <c r="B408" t="s">
        <v>645</v>
      </c>
      <c r="C408" t="s">
        <v>610</v>
      </c>
      <c r="D408" t="s">
        <v>647</v>
      </c>
      <c r="E408">
        <v>3</v>
      </c>
      <c r="F408">
        <v>2</v>
      </c>
      <c r="H408">
        <v>561</v>
      </c>
      <c r="I408">
        <v>561</v>
      </c>
      <c r="J408">
        <v>569</v>
      </c>
      <c r="K408">
        <v>569</v>
      </c>
      <c r="L408">
        <v>1.9883494725808</v>
      </c>
      <c r="O408">
        <v>0.222429751464294</v>
      </c>
      <c r="P408">
        <v>0.25723104279307202</v>
      </c>
      <c r="Q408">
        <v>19.133172128391301</v>
      </c>
    </row>
    <row r="409" spans="1:17" x14ac:dyDescent="0.25">
      <c r="A409" t="s">
        <v>580</v>
      </c>
      <c r="B409" t="s">
        <v>645</v>
      </c>
      <c r="C409" t="s">
        <v>611</v>
      </c>
      <c r="D409" t="s">
        <v>647</v>
      </c>
      <c r="E409">
        <v>4</v>
      </c>
      <c r="F409">
        <v>2</v>
      </c>
      <c r="H409">
        <v>266289</v>
      </c>
      <c r="I409">
        <v>266289</v>
      </c>
      <c r="J409">
        <v>278731</v>
      </c>
      <c r="K409">
        <v>278730.5</v>
      </c>
      <c r="L409">
        <v>6.3125269879919301</v>
      </c>
      <c r="O409">
        <v>8396.7292700342095</v>
      </c>
      <c r="P409">
        <v>8749.39258491699</v>
      </c>
      <c r="Q409">
        <v>5.7002956264468096</v>
      </c>
    </row>
    <row r="410" spans="1:17" x14ac:dyDescent="0.25">
      <c r="A410" t="s">
        <v>580</v>
      </c>
      <c r="B410" t="s">
        <v>645</v>
      </c>
      <c r="C410" t="s">
        <v>611</v>
      </c>
      <c r="D410" t="s">
        <v>646</v>
      </c>
      <c r="E410">
        <v>4</v>
      </c>
      <c r="F410">
        <v>2</v>
      </c>
      <c r="H410">
        <v>291172</v>
      </c>
      <c r="I410">
        <v>291172</v>
      </c>
      <c r="J410">
        <v>278731</v>
      </c>
      <c r="K410">
        <v>278730.5</v>
      </c>
      <c r="L410">
        <v>6.3125269879919301</v>
      </c>
      <c r="O410">
        <v>9102.0558997997705</v>
      </c>
      <c r="P410">
        <v>8749.39258491699</v>
      </c>
      <c r="Q410">
        <v>5.7002956264468096</v>
      </c>
    </row>
    <row r="411" spans="1:17" x14ac:dyDescent="0.25">
      <c r="A411" t="s">
        <v>580</v>
      </c>
      <c r="B411" t="s">
        <v>645</v>
      </c>
      <c r="C411" t="s">
        <v>612</v>
      </c>
      <c r="D411" t="s">
        <v>647</v>
      </c>
      <c r="E411">
        <v>7</v>
      </c>
      <c r="F411">
        <v>2</v>
      </c>
      <c r="H411">
        <v>721674</v>
      </c>
      <c r="I411">
        <v>721674</v>
      </c>
      <c r="J411">
        <v>738721</v>
      </c>
      <c r="K411">
        <v>738721</v>
      </c>
      <c r="L411">
        <v>3.2634917103715901</v>
      </c>
      <c r="O411">
        <v>1894.02251577987</v>
      </c>
      <c r="P411">
        <v>1937.0828484818201</v>
      </c>
      <c r="Q411">
        <v>3.1437223531831302</v>
      </c>
    </row>
    <row r="412" spans="1:17" x14ac:dyDescent="0.25">
      <c r="A412" t="s">
        <v>580</v>
      </c>
      <c r="B412" t="s">
        <v>645</v>
      </c>
      <c r="C412" t="s">
        <v>612</v>
      </c>
      <c r="D412" t="s">
        <v>646</v>
      </c>
      <c r="E412">
        <v>7</v>
      </c>
      <c r="F412">
        <v>2</v>
      </c>
      <c r="H412">
        <v>755768</v>
      </c>
      <c r="I412">
        <v>755768</v>
      </c>
      <c r="J412">
        <v>738721</v>
      </c>
      <c r="K412">
        <v>738721</v>
      </c>
      <c r="L412">
        <v>3.2634917103715901</v>
      </c>
      <c r="O412">
        <v>1980.1431811837699</v>
      </c>
      <c r="P412">
        <v>1937.0828484818201</v>
      </c>
      <c r="Q412">
        <v>3.1437223531831302</v>
      </c>
    </row>
    <row r="413" spans="1:17" x14ac:dyDescent="0.25">
      <c r="A413" t="s">
        <v>580</v>
      </c>
      <c r="B413" t="s">
        <v>645</v>
      </c>
      <c r="C413" t="s">
        <v>613</v>
      </c>
      <c r="D413" t="s">
        <v>646</v>
      </c>
      <c r="E413">
        <v>10</v>
      </c>
      <c r="F413">
        <v>2</v>
      </c>
      <c r="H413">
        <v>275465</v>
      </c>
      <c r="I413">
        <v>275465</v>
      </c>
      <c r="J413">
        <v>270773</v>
      </c>
      <c r="K413">
        <v>270772.5</v>
      </c>
      <c r="L413">
        <v>2.4508386713701502</v>
      </c>
      <c r="O413">
        <v>740.94946018522205</v>
      </c>
      <c r="P413">
        <v>731.80520797731299</v>
      </c>
      <c r="Q413">
        <v>1.76712673662542</v>
      </c>
    </row>
    <row r="414" spans="1:17" x14ac:dyDescent="0.25">
      <c r="A414" t="s">
        <v>580</v>
      </c>
      <c r="B414" t="s">
        <v>645</v>
      </c>
      <c r="C414" t="s">
        <v>613</v>
      </c>
      <c r="D414" t="s">
        <v>647</v>
      </c>
      <c r="E414">
        <v>10</v>
      </c>
      <c r="F414">
        <v>2</v>
      </c>
      <c r="H414">
        <v>266080</v>
      </c>
      <c r="I414">
        <v>266080</v>
      </c>
      <c r="J414">
        <v>270773</v>
      </c>
      <c r="K414">
        <v>270772.5</v>
      </c>
      <c r="L414">
        <v>2.4508386713701502</v>
      </c>
      <c r="O414">
        <v>722.66095576940495</v>
      </c>
      <c r="P414">
        <v>731.80520797731299</v>
      </c>
      <c r="Q414">
        <v>1.76712673662542</v>
      </c>
    </row>
    <row r="415" spans="1:17" x14ac:dyDescent="0.25">
      <c r="A415" t="s">
        <v>580</v>
      </c>
      <c r="B415" t="s">
        <v>645</v>
      </c>
      <c r="C415" t="s">
        <v>614</v>
      </c>
      <c r="D415" t="s">
        <v>647</v>
      </c>
      <c r="E415">
        <v>8</v>
      </c>
      <c r="F415">
        <v>2</v>
      </c>
      <c r="H415">
        <v>583</v>
      </c>
      <c r="I415">
        <v>583</v>
      </c>
      <c r="J415">
        <v>608</v>
      </c>
      <c r="K415">
        <v>607.5</v>
      </c>
      <c r="L415">
        <v>5.7034127206816096</v>
      </c>
      <c r="O415">
        <v>1.20910232403338</v>
      </c>
      <c r="P415">
        <v>1.33517728024743</v>
      </c>
      <c r="Q415">
        <v>13.3538006968235</v>
      </c>
    </row>
    <row r="416" spans="1:17" x14ac:dyDescent="0.25">
      <c r="A416" t="s">
        <v>580</v>
      </c>
      <c r="B416" t="s">
        <v>645</v>
      </c>
      <c r="C416" t="s">
        <v>614</v>
      </c>
      <c r="D416" t="s">
        <v>646</v>
      </c>
      <c r="E416">
        <v>8</v>
      </c>
      <c r="F416">
        <v>2</v>
      </c>
      <c r="H416">
        <v>632</v>
      </c>
      <c r="I416">
        <v>632</v>
      </c>
      <c r="J416">
        <v>608</v>
      </c>
      <c r="K416">
        <v>607.5</v>
      </c>
      <c r="L416">
        <v>5.7034127206816096</v>
      </c>
      <c r="O416">
        <v>1.4612522364614899</v>
      </c>
      <c r="P416">
        <v>1.33517728024743</v>
      </c>
      <c r="Q416">
        <v>13.3538006968235</v>
      </c>
    </row>
    <row r="417" spans="1:17" x14ac:dyDescent="0.25">
      <c r="A417" t="s">
        <v>580</v>
      </c>
      <c r="B417" t="s">
        <v>648</v>
      </c>
      <c r="C417" t="s">
        <v>582</v>
      </c>
      <c r="D417" t="s">
        <v>649</v>
      </c>
      <c r="E417">
        <v>1</v>
      </c>
      <c r="F417">
        <v>2</v>
      </c>
      <c r="H417">
        <v>349</v>
      </c>
      <c r="I417">
        <v>349</v>
      </c>
      <c r="J417">
        <v>338</v>
      </c>
      <c r="K417">
        <v>338</v>
      </c>
      <c r="L417">
        <v>4.6024701734035602</v>
      </c>
      <c r="O417" t="s">
        <v>417</v>
      </c>
      <c r="P417" t="s">
        <v>417</v>
      </c>
      <c r="Q417" t="s">
        <v>417</v>
      </c>
    </row>
    <row r="418" spans="1:17" x14ac:dyDescent="0.25">
      <c r="A418" t="s">
        <v>580</v>
      </c>
      <c r="B418" t="s">
        <v>648</v>
      </c>
      <c r="C418" t="s">
        <v>582</v>
      </c>
      <c r="D418" t="s">
        <v>650</v>
      </c>
      <c r="E418">
        <v>1</v>
      </c>
      <c r="F418">
        <v>2</v>
      </c>
      <c r="H418">
        <v>327</v>
      </c>
      <c r="I418">
        <v>327</v>
      </c>
      <c r="J418">
        <v>338</v>
      </c>
      <c r="K418">
        <v>338</v>
      </c>
      <c r="L418">
        <v>4.6024701734035602</v>
      </c>
      <c r="O418" t="s">
        <v>417</v>
      </c>
      <c r="P418" t="s">
        <v>417</v>
      </c>
      <c r="Q418" t="s">
        <v>417</v>
      </c>
    </row>
    <row r="419" spans="1:17" x14ac:dyDescent="0.25">
      <c r="A419" t="s">
        <v>580</v>
      </c>
      <c r="B419" t="s">
        <v>648</v>
      </c>
      <c r="C419" t="s">
        <v>607</v>
      </c>
      <c r="D419" t="s">
        <v>650</v>
      </c>
      <c r="E419">
        <v>5</v>
      </c>
      <c r="F419">
        <v>2</v>
      </c>
      <c r="H419">
        <v>251</v>
      </c>
      <c r="I419">
        <v>251</v>
      </c>
      <c r="J419">
        <v>253</v>
      </c>
      <c r="K419">
        <v>252.5</v>
      </c>
      <c r="L419">
        <v>0.84012686873649201</v>
      </c>
      <c r="O419">
        <v>0.241270047329604</v>
      </c>
      <c r="P419">
        <v>0.2857282294679</v>
      </c>
      <c r="Q419">
        <v>22.004603554754699</v>
      </c>
    </row>
    <row r="420" spans="1:17" x14ac:dyDescent="0.25">
      <c r="A420" t="s">
        <v>580</v>
      </c>
      <c r="B420" t="s">
        <v>648</v>
      </c>
      <c r="C420" t="s">
        <v>607</v>
      </c>
      <c r="D420" t="s">
        <v>649</v>
      </c>
      <c r="E420">
        <v>5</v>
      </c>
      <c r="F420">
        <v>2</v>
      </c>
      <c r="H420">
        <v>254</v>
      </c>
      <c r="I420">
        <v>254</v>
      </c>
      <c r="J420">
        <v>253</v>
      </c>
      <c r="K420">
        <v>252.5</v>
      </c>
      <c r="L420">
        <v>0.84012686873649201</v>
      </c>
      <c r="O420">
        <v>0.330186411606196</v>
      </c>
      <c r="P420">
        <v>0.2857282294679</v>
      </c>
      <c r="Q420">
        <v>22.004603554754699</v>
      </c>
    </row>
    <row r="421" spans="1:17" x14ac:dyDescent="0.25">
      <c r="A421" t="s">
        <v>580</v>
      </c>
      <c r="B421" t="s">
        <v>648</v>
      </c>
      <c r="C421" t="s">
        <v>608</v>
      </c>
      <c r="D421" t="s">
        <v>650</v>
      </c>
      <c r="E421">
        <v>9</v>
      </c>
      <c r="F421">
        <v>2</v>
      </c>
      <c r="H421">
        <v>420</v>
      </c>
      <c r="I421">
        <v>420</v>
      </c>
      <c r="J421">
        <v>460</v>
      </c>
      <c r="K421">
        <v>460</v>
      </c>
      <c r="L421">
        <v>12.297509238026899</v>
      </c>
      <c r="O421">
        <v>4.5548833202116699</v>
      </c>
      <c r="P421">
        <v>14.8144201935611</v>
      </c>
      <c r="Q421">
        <v>97.939548091553903</v>
      </c>
    </row>
    <row r="422" spans="1:17" x14ac:dyDescent="0.25">
      <c r="A422" t="s">
        <v>580</v>
      </c>
      <c r="B422" t="s">
        <v>648</v>
      </c>
      <c r="C422" t="s">
        <v>608</v>
      </c>
      <c r="D422" t="s">
        <v>649</v>
      </c>
      <c r="E422">
        <v>9</v>
      </c>
      <c r="F422">
        <v>2</v>
      </c>
      <c r="H422">
        <v>500</v>
      </c>
      <c r="I422">
        <v>500</v>
      </c>
      <c r="J422">
        <v>460</v>
      </c>
      <c r="K422">
        <v>460</v>
      </c>
      <c r="L422">
        <v>12.297509238026899</v>
      </c>
      <c r="O422">
        <v>25.073957066910602</v>
      </c>
      <c r="P422">
        <v>14.8144201935611</v>
      </c>
      <c r="Q422">
        <v>97.939548091553903</v>
      </c>
    </row>
    <row r="423" spans="1:17" x14ac:dyDescent="0.25">
      <c r="A423" t="s">
        <v>580</v>
      </c>
      <c r="B423" t="s">
        <v>648</v>
      </c>
      <c r="C423" t="s">
        <v>609</v>
      </c>
      <c r="D423" t="s">
        <v>650</v>
      </c>
      <c r="E423">
        <v>2</v>
      </c>
      <c r="F423">
        <v>2</v>
      </c>
      <c r="H423">
        <v>1241</v>
      </c>
      <c r="I423">
        <v>1241</v>
      </c>
      <c r="J423">
        <v>1240</v>
      </c>
      <c r="K423">
        <v>1240</v>
      </c>
      <c r="L423">
        <v>0.114049480836539</v>
      </c>
      <c r="O423">
        <v>0.33190433127216901</v>
      </c>
      <c r="P423">
        <v>0.32665464660063798</v>
      </c>
      <c r="Q423">
        <v>2.2727903423146998</v>
      </c>
    </row>
    <row r="424" spans="1:17" x14ac:dyDescent="0.25">
      <c r="A424" t="s">
        <v>580</v>
      </c>
      <c r="B424" t="s">
        <v>648</v>
      </c>
      <c r="C424" t="s">
        <v>609</v>
      </c>
      <c r="D424" t="s">
        <v>649</v>
      </c>
      <c r="E424">
        <v>2</v>
      </c>
      <c r="F424">
        <v>2</v>
      </c>
      <c r="H424">
        <v>1239</v>
      </c>
      <c r="I424">
        <v>1239</v>
      </c>
      <c r="J424">
        <v>1240</v>
      </c>
      <c r="K424">
        <v>1240</v>
      </c>
      <c r="L424">
        <v>0.114049480836539</v>
      </c>
      <c r="O424">
        <v>0.321404961929107</v>
      </c>
      <c r="P424">
        <v>0.32665464660063798</v>
      </c>
      <c r="Q424">
        <v>2.2727903423146998</v>
      </c>
    </row>
    <row r="425" spans="1:17" x14ac:dyDescent="0.25">
      <c r="A425" t="s">
        <v>580</v>
      </c>
      <c r="B425" t="s">
        <v>648</v>
      </c>
      <c r="C425" t="s">
        <v>610</v>
      </c>
      <c r="D425" t="s">
        <v>650</v>
      </c>
      <c r="E425">
        <v>3</v>
      </c>
      <c r="F425">
        <v>2</v>
      </c>
      <c r="H425">
        <v>567</v>
      </c>
      <c r="I425">
        <v>567</v>
      </c>
      <c r="J425">
        <v>564</v>
      </c>
      <c r="K425">
        <v>563.5</v>
      </c>
      <c r="L425">
        <v>0.87839351700192203</v>
      </c>
      <c r="O425">
        <v>0.24853070156286899</v>
      </c>
      <c r="P425">
        <v>0.23330514823319401</v>
      </c>
      <c r="Q425">
        <v>9.2291936875475802</v>
      </c>
    </row>
    <row r="426" spans="1:17" x14ac:dyDescent="0.25">
      <c r="A426" t="s">
        <v>580</v>
      </c>
      <c r="B426" t="s">
        <v>648</v>
      </c>
      <c r="C426" t="s">
        <v>610</v>
      </c>
      <c r="D426" t="s">
        <v>649</v>
      </c>
      <c r="E426">
        <v>3</v>
      </c>
      <c r="F426">
        <v>2</v>
      </c>
      <c r="H426">
        <v>560</v>
      </c>
      <c r="I426">
        <v>560</v>
      </c>
      <c r="J426">
        <v>564</v>
      </c>
      <c r="K426">
        <v>563.5</v>
      </c>
      <c r="L426">
        <v>0.87839351700192203</v>
      </c>
      <c r="O426">
        <v>0.218079594903519</v>
      </c>
      <c r="P426">
        <v>0.23330514823319401</v>
      </c>
      <c r="Q426">
        <v>9.2291936875475802</v>
      </c>
    </row>
    <row r="427" spans="1:17" x14ac:dyDescent="0.25">
      <c r="A427" t="s">
        <v>580</v>
      </c>
      <c r="B427" t="s">
        <v>648</v>
      </c>
      <c r="C427" t="s">
        <v>611</v>
      </c>
      <c r="D427" t="s">
        <v>650</v>
      </c>
      <c r="E427">
        <v>4</v>
      </c>
      <c r="F427">
        <v>2</v>
      </c>
      <c r="H427">
        <v>289744</v>
      </c>
      <c r="I427">
        <v>289744</v>
      </c>
      <c r="J427">
        <v>297844</v>
      </c>
      <c r="K427">
        <v>297843.5</v>
      </c>
      <c r="L427">
        <v>3.8457857057283</v>
      </c>
      <c r="O427">
        <v>9061.7425455022803</v>
      </c>
      <c r="P427">
        <v>9289.8388279887095</v>
      </c>
      <c r="Q427">
        <v>3.4723622464505999</v>
      </c>
    </row>
    <row r="428" spans="1:17" x14ac:dyDescent="0.25">
      <c r="A428" t="s">
        <v>580</v>
      </c>
      <c r="B428" t="s">
        <v>648</v>
      </c>
      <c r="C428" t="s">
        <v>611</v>
      </c>
      <c r="D428" t="s">
        <v>649</v>
      </c>
      <c r="E428">
        <v>4</v>
      </c>
      <c r="F428">
        <v>2</v>
      </c>
      <c r="H428">
        <v>305943</v>
      </c>
      <c r="I428">
        <v>305943</v>
      </c>
      <c r="J428">
        <v>297844</v>
      </c>
      <c r="K428">
        <v>297843.5</v>
      </c>
      <c r="L428">
        <v>3.8457857057283</v>
      </c>
      <c r="O428">
        <v>9517.9351104751295</v>
      </c>
      <c r="P428">
        <v>9289.8388279887095</v>
      </c>
      <c r="Q428">
        <v>3.4723622464505999</v>
      </c>
    </row>
    <row r="429" spans="1:17" x14ac:dyDescent="0.25">
      <c r="A429" t="s">
        <v>580</v>
      </c>
      <c r="B429" t="s">
        <v>648</v>
      </c>
      <c r="C429" t="s">
        <v>612</v>
      </c>
      <c r="D429" t="s">
        <v>650</v>
      </c>
      <c r="E429">
        <v>7</v>
      </c>
      <c r="F429">
        <v>2</v>
      </c>
      <c r="H429">
        <v>898062</v>
      </c>
      <c r="I429">
        <v>898062</v>
      </c>
      <c r="J429">
        <v>913180</v>
      </c>
      <c r="K429">
        <v>913179.5</v>
      </c>
      <c r="L429">
        <v>2.3412016508446798</v>
      </c>
      <c r="O429">
        <v>2338.1090535018202</v>
      </c>
      <c r="P429">
        <v>2376.00049610614</v>
      </c>
      <c r="Q429">
        <v>2.2553274764348799</v>
      </c>
    </row>
    <row r="430" spans="1:17" x14ac:dyDescent="0.25">
      <c r="A430" t="s">
        <v>580</v>
      </c>
      <c r="B430" t="s">
        <v>648</v>
      </c>
      <c r="C430" t="s">
        <v>612</v>
      </c>
      <c r="D430" t="s">
        <v>649</v>
      </c>
      <c r="E430">
        <v>7</v>
      </c>
      <c r="F430">
        <v>2</v>
      </c>
      <c r="H430">
        <v>928297</v>
      </c>
      <c r="I430">
        <v>928297</v>
      </c>
      <c r="J430">
        <v>913180</v>
      </c>
      <c r="K430">
        <v>913179.5</v>
      </c>
      <c r="L430">
        <v>2.3412016508446798</v>
      </c>
      <c r="O430">
        <v>2413.8919387104602</v>
      </c>
      <c r="P430">
        <v>2376.00049610614</v>
      </c>
      <c r="Q430">
        <v>2.2553274764348799</v>
      </c>
    </row>
    <row r="431" spans="1:17" x14ac:dyDescent="0.25">
      <c r="A431" t="s">
        <v>580</v>
      </c>
      <c r="B431" t="s">
        <v>648</v>
      </c>
      <c r="C431" t="s">
        <v>613</v>
      </c>
      <c r="D431" t="s">
        <v>650</v>
      </c>
      <c r="E431">
        <v>10</v>
      </c>
      <c r="F431">
        <v>2</v>
      </c>
      <c r="H431">
        <v>414378</v>
      </c>
      <c r="I431">
        <v>414378</v>
      </c>
      <c r="J431">
        <v>429054</v>
      </c>
      <c r="K431">
        <v>429053.5</v>
      </c>
      <c r="L431">
        <v>4.8372268573980497</v>
      </c>
      <c r="O431">
        <v>994.63421217811299</v>
      </c>
      <c r="P431">
        <v>1019.79964940411</v>
      </c>
      <c r="Q431">
        <v>3.4898327969474701</v>
      </c>
    </row>
    <row r="432" spans="1:17" x14ac:dyDescent="0.25">
      <c r="A432" t="s">
        <v>580</v>
      </c>
      <c r="B432" t="s">
        <v>648</v>
      </c>
      <c r="C432" t="s">
        <v>613</v>
      </c>
      <c r="D432" t="s">
        <v>649</v>
      </c>
      <c r="E432">
        <v>10</v>
      </c>
      <c r="F432">
        <v>2</v>
      </c>
      <c r="H432">
        <v>443729</v>
      </c>
      <c r="I432">
        <v>443729</v>
      </c>
      <c r="J432">
        <v>429054</v>
      </c>
      <c r="K432">
        <v>429053.5</v>
      </c>
      <c r="L432">
        <v>4.8372268573980497</v>
      </c>
      <c r="O432">
        <v>1044.9650866301099</v>
      </c>
      <c r="P432">
        <v>1019.79964940411</v>
      </c>
      <c r="Q432">
        <v>3.4898327969474701</v>
      </c>
    </row>
    <row r="433" spans="1:17" x14ac:dyDescent="0.25">
      <c r="A433" t="s">
        <v>580</v>
      </c>
      <c r="B433" t="s">
        <v>648</v>
      </c>
      <c r="C433" t="s">
        <v>614</v>
      </c>
      <c r="D433" t="s">
        <v>650</v>
      </c>
      <c r="E433">
        <v>8</v>
      </c>
      <c r="F433">
        <v>2</v>
      </c>
      <c r="H433">
        <v>598</v>
      </c>
      <c r="I433">
        <v>598</v>
      </c>
      <c r="J433">
        <v>618</v>
      </c>
      <c r="K433">
        <v>617.5</v>
      </c>
      <c r="L433">
        <v>4.4659375653887201</v>
      </c>
      <c r="O433">
        <v>1.2862138233048499</v>
      </c>
      <c r="P433">
        <v>1.38661732122436</v>
      </c>
      <c r="Q433">
        <v>10.240171263841001</v>
      </c>
    </row>
    <row r="434" spans="1:17" x14ac:dyDescent="0.25">
      <c r="A434" t="s">
        <v>580</v>
      </c>
      <c r="B434" t="s">
        <v>648</v>
      </c>
      <c r="C434" t="s">
        <v>614</v>
      </c>
      <c r="D434" t="s">
        <v>649</v>
      </c>
      <c r="E434">
        <v>8</v>
      </c>
      <c r="F434">
        <v>2</v>
      </c>
      <c r="H434">
        <v>637</v>
      </c>
      <c r="I434">
        <v>637</v>
      </c>
      <c r="J434">
        <v>618</v>
      </c>
      <c r="K434">
        <v>617.5</v>
      </c>
      <c r="L434">
        <v>4.4659375653887201</v>
      </c>
      <c r="O434">
        <v>1.4870208191438601</v>
      </c>
      <c r="P434">
        <v>1.38661732122436</v>
      </c>
      <c r="Q434">
        <v>10.240171263841001</v>
      </c>
    </row>
    <row r="435" spans="1:17" x14ac:dyDescent="0.25">
      <c r="A435" t="s">
        <v>580</v>
      </c>
      <c r="B435" t="s">
        <v>651</v>
      </c>
      <c r="C435" t="s">
        <v>582</v>
      </c>
      <c r="D435" t="s">
        <v>652</v>
      </c>
      <c r="E435">
        <v>1</v>
      </c>
      <c r="F435">
        <v>2</v>
      </c>
      <c r="H435">
        <v>376</v>
      </c>
      <c r="I435">
        <v>376</v>
      </c>
      <c r="J435">
        <v>366</v>
      </c>
      <c r="K435">
        <v>366</v>
      </c>
      <c r="L435">
        <v>3.8639714818936999</v>
      </c>
      <c r="O435" t="s">
        <v>417</v>
      </c>
      <c r="P435" t="s">
        <v>417</v>
      </c>
      <c r="Q435" t="s">
        <v>417</v>
      </c>
    </row>
    <row r="436" spans="1:17" x14ac:dyDescent="0.25">
      <c r="A436" t="s">
        <v>580</v>
      </c>
      <c r="B436" t="s">
        <v>651</v>
      </c>
      <c r="C436" t="s">
        <v>582</v>
      </c>
      <c r="D436" t="s">
        <v>653</v>
      </c>
      <c r="E436">
        <v>1</v>
      </c>
      <c r="F436">
        <v>2</v>
      </c>
      <c r="H436">
        <v>356</v>
      </c>
      <c r="I436">
        <v>356</v>
      </c>
      <c r="J436">
        <v>366</v>
      </c>
      <c r="K436">
        <v>366</v>
      </c>
      <c r="L436">
        <v>3.8639714818936999</v>
      </c>
      <c r="O436" t="s">
        <v>417</v>
      </c>
      <c r="P436" t="s">
        <v>417</v>
      </c>
      <c r="Q436" t="s">
        <v>417</v>
      </c>
    </row>
    <row r="437" spans="1:17" x14ac:dyDescent="0.25">
      <c r="A437" t="s">
        <v>580</v>
      </c>
      <c r="B437" t="s">
        <v>651</v>
      </c>
      <c r="C437" t="s">
        <v>607</v>
      </c>
      <c r="D437" t="s">
        <v>653</v>
      </c>
      <c r="E437">
        <v>5</v>
      </c>
      <c r="F437">
        <v>2</v>
      </c>
      <c r="H437">
        <v>205</v>
      </c>
      <c r="I437">
        <v>205</v>
      </c>
      <c r="J437">
        <v>232</v>
      </c>
      <c r="K437">
        <v>232</v>
      </c>
      <c r="L437">
        <v>16.458519906928199</v>
      </c>
      <c r="O437" t="s">
        <v>417</v>
      </c>
      <c r="P437">
        <v>0.47826747904108902</v>
      </c>
      <c r="Q437" t="s">
        <v>417</v>
      </c>
    </row>
    <row r="438" spans="1:17" x14ac:dyDescent="0.25">
      <c r="A438" t="s">
        <v>580</v>
      </c>
      <c r="B438" t="s">
        <v>651</v>
      </c>
      <c r="C438" t="s">
        <v>607</v>
      </c>
      <c r="D438" t="s">
        <v>652</v>
      </c>
      <c r="E438">
        <v>5</v>
      </c>
      <c r="F438">
        <v>2</v>
      </c>
      <c r="H438">
        <v>259</v>
      </c>
      <c r="I438">
        <v>259</v>
      </c>
      <c r="J438">
        <v>232</v>
      </c>
      <c r="K438">
        <v>232</v>
      </c>
      <c r="L438">
        <v>16.458519906928199</v>
      </c>
      <c r="O438">
        <v>0.47826747904108902</v>
      </c>
      <c r="P438" t="s">
        <v>417</v>
      </c>
      <c r="Q438" t="s">
        <v>417</v>
      </c>
    </row>
    <row r="439" spans="1:17" x14ac:dyDescent="0.25">
      <c r="A439" t="s">
        <v>580</v>
      </c>
      <c r="B439" t="s">
        <v>651</v>
      </c>
      <c r="C439" t="s">
        <v>608</v>
      </c>
      <c r="D439" t="s">
        <v>653</v>
      </c>
      <c r="E439">
        <v>9</v>
      </c>
      <c r="F439">
        <v>2</v>
      </c>
      <c r="H439">
        <v>414</v>
      </c>
      <c r="I439">
        <v>414</v>
      </c>
      <c r="J439">
        <v>436</v>
      </c>
      <c r="K439">
        <v>436</v>
      </c>
      <c r="L439">
        <v>7.1359399936257004</v>
      </c>
      <c r="O439">
        <v>2.9762832892737801</v>
      </c>
      <c r="P439">
        <v>8.6777119695496197</v>
      </c>
      <c r="Q439">
        <v>92.916632781112</v>
      </c>
    </row>
    <row r="440" spans="1:17" x14ac:dyDescent="0.25">
      <c r="A440" t="s">
        <v>580</v>
      </c>
      <c r="B440" t="s">
        <v>651</v>
      </c>
      <c r="C440" t="s">
        <v>608</v>
      </c>
      <c r="D440" t="s">
        <v>652</v>
      </c>
      <c r="E440">
        <v>9</v>
      </c>
      <c r="F440">
        <v>2</v>
      </c>
      <c r="H440">
        <v>458</v>
      </c>
      <c r="I440">
        <v>458</v>
      </c>
      <c r="J440">
        <v>436</v>
      </c>
      <c r="K440">
        <v>436</v>
      </c>
      <c r="L440">
        <v>7.1359399936257004</v>
      </c>
      <c r="O440">
        <v>14.3791406498254</v>
      </c>
      <c r="P440">
        <v>8.6777119695496197</v>
      </c>
      <c r="Q440">
        <v>92.916632781112</v>
      </c>
    </row>
    <row r="441" spans="1:17" x14ac:dyDescent="0.25">
      <c r="A441" t="s">
        <v>580</v>
      </c>
      <c r="B441" t="s">
        <v>651</v>
      </c>
      <c r="C441" t="s">
        <v>609</v>
      </c>
      <c r="D441" t="s">
        <v>652</v>
      </c>
      <c r="E441">
        <v>2</v>
      </c>
      <c r="F441">
        <v>2</v>
      </c>
      <c r="H441">
        <v>1325</v>
      </c>
      <c r="I441">
        <v>1325</v>
      </c>
      <c r="J441">
        <v>1257</v>
      </c>
      <c r="K441">
        <v>1257</v>
      </c>
      <c r="L441">
        <v>7.6504790963699598</v>
      </c>
      <c r="O441">
        <v>0.78625322250977003</v>
      </c>
      <c r="P441">
        <v>0.42717984804012399</v>
      </c>
      <c r="Q441">
        <v>118.874155321659</v>
      </c>
    </row>
    <row r="442" spans="1:17" x14ac:dyDescent="0.25">
      <c r="A442" t="s">
        <v>580</v>
      </c>
      <c r="B442" t="s">
        <v>651</v>
      </c>
      <c r="C442" t="s">
        <v>609</v>
      </c>
      <c r="D442" t="s">
        <v>653</v>
      </c>
      <c r="E442">
        <v>2</v>
      </c>
      <c r="F442">
        <v>2</v>
      </c>
      <c r="H442">
        <v>1189</v>
      </c>
      <c r="I442">
        <v>1189</v>
      </c>
      <c r="J442">
        <v>1257</v>
      </c>
      <c r="K442">
        <v>1257</v>
      </c>
      <c r="L442">
        <v>7.6504790963699598</v>
      </c>
      <c r="O442">
        <v>6.8106473570477694E-2</v>
      </c>
      <c r="P442">
        <v>0.42717984804012399</v>
      </c>
      <c r="Q442">
        <v>118.874155321659</v>
      </c>
    </row>
    <row r="443" spans="1:17" x14ac:dyDescent="0.25">
      <c r="A443" t="s">
        <v>580</v>
      </c>
      <c r="B443" t="s">
        <v>651</v>
      </c>
      <c r="C443" t="s">
        <v>610</v>
      </c>
      <c r="D443" t="s">
        <v>652</v>
      </c>
      <c r="E443">
        <v>3</v>
      </c>
      <c r="F443">
        <v>2</v>
      </c>
      <c r="H443">
        <v>540</v>
      </c>
      <c r="I443">
        <v>540</v>
      </c>
      <c r="J443">
        <v>534</v>
      </c>
      <c r="K443">
        <v>533.5</v>
      </c>
      <c r="L443">
        <v>1.7230343309137901</v>
      </c>
      <c r="O443">
        <v>0.13107652066848599</v>
      </c>
      <c r="P443">
        <v>0.102800494854678</v>
      </c>
      <c r="Q443">
        <v>38.898975391535998</v>
      </c>
    </row>
    <row r="444" spans="1:17" x14ac:dyDescent="0.25">
      <c r="A444" t="s">
        <v>580</v>
      </c>
      <c r="B444" t="s">
        <v>651</v>
      </c>
      <c r="C444" t="s">
        <v>610</v>
      </c>
      <c r="D444" t="s">
        <v>653</v>
      </c>
      <c r="E444">
        <v>3</v>
      </c>
      <c r="F444">
        <v>2</v>
      </c>
      <c r="H444">
        <v>527</v>
      </c>
      <c r="I444">
        <v>527</v>
      </c>
      <c r="J444">
        <v>534</v>
      </c>
      <c r="K444">
        <v>533.5</v>
      </c>
      <c r="L444">
        <v>1.7230343309137901</v>
      </c>
      <c r="O444">
        <v>7.4524469040870803E-2</v>
      </c>
      <c r="P444">
        <v>0.102800494854678</v>
      </c>
      <c r="Q444">
        <v>38.898975391535998</v>
      </c>
    </row>
    <row r="445" spans="1:17" x14ac:dyDescent="0.25">
      <c r="A445" t="s">
        <v>580</v>
      </c>
      <c r="B445" t="s">
        <v>651</v>
      </c>
      <c r="C445" t="s">
        <v>611</v>
      </c>
      <c r="D445" t="s">
        <v>653</v>
      </c>
      <c r="E445">
        <v>4</v>
      </c>
      <c r="F445">
        <v>2</v>
      </c>
      <c r="H445">
        <v>69171</v>
      </c>
      <c r="I445">
        <v>69171</v>
      </c>
      <c r="J445">
        <v>71061</v>
      </c>
      <c r="K445">
        <v>71060.5</v>
      </c>
      <c r="L445">
        <v>3.7603964595013499</v>
      </c>
      <c r="O445">
        <v>2482.1750889666801</v>
      </c>
      <c r="P445">
        <v>2543.4472317589102</v>
      </c>
      <c r="Q445">
        <v>3.4068682161145998</v>
      </c>
    </row>
    <row r="446" spans="1:17" x14ac:dyDescent="0.25">
      <c r="A446" t="s">
        <v>580</v>
      </c>
      <c r="B446" t="s">
        <v>651</v>
      </c>
      <c r="C446" t="s">
        <v>611</v>
      </c>
      <c r="D446" t="s">
        <v>652</v>
      </c>
      <c r="E446">
        <v>4</v>
      </c>
      <c r="F446">
        <v>2</v>
      </c>
      <c r="H446">
        <v>72950</v>
      </c>
      <c r="I446">
        <v>72950</v>
      </c>
      <c r="J446">
        <v>71061</v>
      </c>
      <c r="K446">
        <v>71060.5</v>
      </c>
      <c r="L446">
        <v>3.7603964595013499</v>
      </c>
      <c r="O446">
        <v>2604.7193745511499</v>
      </c>
      <c r="P446">
        <v>2543.4472317589102</v>
      </c>
      <c r="Q446">
        <v>3.4068682161145998</v>
      </c>
    </row>
    <row r="447" spans="1:17" x14ac:dyDescent="0.25">
      <c r="A447" t="s">
        <v>580</v>
      </c>
      <c r="B447" t="s">
        <v>651</v>
      </c>
      <c r="C447" t="s">
        <v>612</v>
      </c>
      <c r="D447" t="s">
        <v>653</v>
      </c>
      <c r="E447">
        <v>7</v>
      </c>
      <c r="F447">
        <v>2</v>
      </c>
      <c r="H447">
        <v>310586</v>
      </c>
      <c r="I447">
        <v>310586</v>
      </c>
      <c r="J447">
        <v>324721</v>
      </c>
      <c r="K447">
        <v>324720.5</v>
      </c>
      <c r="L447">
        <v>6.1558175715307497</v>
      </c>
      <c r="O447">
        <v>840.68825921794803</v>
      </c>
      <c r="P447">
        <v>877.49325446219905</v>
      </c>
      <c r="Q447">
        <v>5.9316835967470798</v>
      </c>
    </row>
    <row r="448" spans="1:17" x14ac:dyDescent="0.25">
      <c r="A448" t="s">
        <v>580</v>
      </c>
      <c r="B448" t="s">
        <v>651</v>
      </c>
      <c r="C448" t="s">
        <v>612</v>
      </c>
      <c r="D448" t="s">
        <v>652</v>
      </c>
      <c r="E448">
        <v>7</v>
      </c>
      <c r="F448">
        <v>2</v>
      </c>
      <c r="H448">
        <v>338855</v>
      </c>
      <c r="I448">
        <v>338855</v>
      </c>
      <c r="J448">
        <v>324721</v>
      </c>
      <c r="K448">
        <v>324720.5</v>
      </c>
      <c r="L448">
        <v>6.1558175715307497</v>
      </c>
      <c r="O448">
        <v>914.29824970644904</v>
      </c>
      <c r="P448">
        <v>877.49325446219905</v>
      </c>
      <c r="Q448">
        <v>5.9316835967470798</v>
      </c>
    </row>
    <row r="449" spans="1:17" x14ac:dyDescent="0.25">
      <c r="A449" t="s">
        <v>580</v>
      </c>
      <c r="B449" t="s">
        <v>651</v>
      </c>
      <c r="C449" t="s">
        <v>613</v>
      </c>
      <c r="D449" t="s">
        <v>653</v>
      </c>
      <c r="E449">
        <v>10</v>
      </c>
      <c r="F449">
        <v>2</v>
      </c>
      <c r="H449">
        <v>55641</v>
      </c>
      <c r="I449">
        <v>55641</v>
      </c>
      <c r="J449">
        <v>58035</v>
      </c>
      <c r="K449">
        <v>58034.5</v>
      </c>
      <c r="L449">
        <v>5.8325998527427698</v>
      </c>
      <c r="O449">
        <v>233.605635080962</v>
      </c>
      <c r="P449">
        <v>240.78936123608301</v>
      </c>
      <c r="Q449">
        <v>4.2191743459068203</v>
      </c>
    </row>
    <row r="450" spans="1:17" x14ac:dyDescent="0.25">
      <c r="A450" t="s">
        <v>580</v>
      </c>
      <c r="B450" t="s">
        <v>651</v>
      </c>
      <c r="C450" t="s">
        <v>613</v>
      </c>
      <c r="D450" t="s">
        <v>652</v>
      </c>
      <c r="E450">
        <v>10</v>
      </c>
      <c r="F450">
        <v>2</v>
      </c>
      <c r="H450">
        <v>60428</v>
      </c>
      <c r="I450">
        <v>60428</v>
      </c>
      <c r="J450">
        <v>58035</v>
      </c>
      <c r="K450">
        <v>58034.5</v>
      </c>
      <c r="L450">
        <v>5.8325998527427698</v>
      </c>
      <c r="O450">
        <v>247.97308739120299</v>
      </c>
      <c r="P450">
        <v>240.78936123608301</v>
      </c>
      <c r="Q450">
        <v>4.2191743459068203</v>
      </c>
    </row>
    <row r="451" spans="1:17" x14ac:dyDescent="0.25">
      <c r="A451" t="s">
        <v>580</v>
      </c>
      <c r="B451" t="s">
        <v>651</v>
      </c>
      <c r="C451" t="s">
        <v>614</v>
      </c>
      <c r="D451" t="s">
        <v>653</v>
      </c>
      <c r="E451">
        <v>8</v>
      </c>
      <c r="F451">
        <v>2</v>
      </c>
      <c r="H451">
        <v>375</v>
      </c>
      <c r="I451">
        <v>375</v>
      </c>
      <c r="J451">
        <v>369</v>
      </c>
      <c r="K451">
        <v>369</v>
      </c>
      <c r="L451">
        <v>2.2995342477611298</v>
      </c>
      <c r="O451">
        <v>0.15161255490867601</v>
      </c>
      <c r="P451">
        <v>0.12183501558568301</v>
      </c>
      <c r="Q451">
        <v>34.564611628467901</v>
      </c>
    </row>
    <row r="452" spans="1:17" x14ac:dyDescent="0.25">
      <c r="A452" t="s">
        <v>580</v>
      </c>
      <c r="B452" t="s">
        <v>651</v>
      </c>
      <c r="C452" t="s">
        <v>614</v>
      </c>
      <c r="D452" t="s">
        <v>652</v>
      </c>
      <c r="E452">
        <v>8</v>
      </c>
      <c r="F452">
        <v>2</v>
      </c>
      <c r="H452">
        <v>363</v>
      </c>
      <c r="I452">
        <v>363</v>
      </c>
      <c r="J452">
        <v>369</v>
      </c>
      <c r="K452">
        <v>369</v>
      </c>
      <c r="L452">
        <v>2.2995342477611298</v>
      </c>
      <c r="O452">
        <v>9.2057476262690494E-2</v>
      </c>
      <c r="P452">
        <v>0.12183501558568301</v>
      </c>
      <c r="Q452">
        <v>34.564611628467901</v>
      </c>
    </row>
    <row r="453" spans="1:17" x14ac:dyDescent="0.25">
      <c r="A453" t="s">
        <v>580</v>
      </c>
      <c r="B453" t="s">
        <v>654</v>
      </c>
      <c r="C453" t="s">
        <v>582</v>
      </c>
      <c r="D453" t="s">
        <v>655</v>
      </c>
      <c r="E453">
        <v>1</v>
      </c>
      <c r="F453">
        <v>2</v>
      </c>
      <c r="H453">
        <v>355</v>
      </c>
      <c r="I453">
        <v>355</v>
      </c>
      <c r="J453">
        <v>407</v>
      </c>
      <c r="K453">
        <v>407</v>
      </c>
      <c r="L453">
        <v>18.068576226879799</v>
      </c>
      <c r="O453" t="s">
        <v>417</v>
      </c>
      <c r="P453" t="s">
        <v>417</v>
      </c>
      <c r="Q453" t="s">
        <v>417</v>
      </c>
    </row>
    <row r="454" spans="1:17" x14ac:dyDescent="0.25">
      <c r="A454" t="s">
        <v>580</v>
      </c>
      <c r="B454" t="s">
        <v>654</v>
      </c>
      <c r="C454" t="s">
        <v>582</v>
      </c>
      <c r="D454" t="s">
        <v>656</v>
      </c>
      <c r="E454">
        <v>1</v>
      </c>
      <c r="F454">
        <v>2</v>
      </c>
      <c r="H454">
        <v>459</v>
      </c>
      <c r="I454">
        <v>459</v>
      </c>
      <c r="J454">
        <v>407</v>
      </c>
      <c r="K454">
        <v>407</v>
      </c>
      <c r="L454">
        <v>18.068576226879799</v>
      </c>
      <c r="O454">
        <v>0.12229415863521501</v>
      </c>
      <c r="P454" t="s">
        <v>417</v>
      </c>
      <c r="Q454" t="s">
        <v>417</v>
      </c>
    </row>
    <row r="455" spans="1:17" x14ac:dyDescent="0.25">
      <c r="A455" t="s">
        <v>580</v>
      </c>
      <c r="B455" t="s">
        <v>654</v>
      </c>
      <c r="C455" t="s">
        <v>607</v>
      </c>
      <c r="D455" t="s">
        <v>655</v>
      </c>
      <c r="E455">
        <v>5</v>
      </c>
      <c r="F455">
        <v>2</v>
      </c>
      <c r="H455">
        <v>243</v>
      </c>
      <c r="I455">
        <v>243</v>
      </c>
      <c r="J455">
        <v>272</v>
      </c>
      <c r="K455">
        <v>271.5</v>
      </c>
      <c r="L455">
        <v>14.8453357376181</v>
      </c>
      <c r="O455">
        <v>3.58317856895571E-3</v>
      </c>
      <c r="P455">
        <v>0.84680721243827095</v>
      </c>
      <c r="Q455">
        <v>140.822946155984</v>
      </c>
    </row>
    <row r="456" spans="1:17" x14ac:dyDescent="0.25">
      <c r="A456" t="s">
        <v>580</v>
      </c>
      <c r="B456" t="s">
        <v>654</v>
      </c>
      <c r="C456" t="s">
        <v>607</v>
      </c>
      <c r="D456" t="s">
        <v>656</v>
      </c>
      <c r="E456">
        <v>5</v>
      </c>
      <c r="F456">
        <v>2</v>
      </c>
      <c r="H456">
        <v>300</v>
      </c>
      <c r="I456">
        <v>300</v>
      </c>
      <c r="J456">
        <v>272</v>
      </c>
      <c r="K456">
        <v>271.5</v>
      </c>
      <c r="L456">
        <v>14.8453357376181</v>
      </c>
      <c r="O456">
        <v>1.6900312463075799</v>
      </c>
      <c r="P456">
        <v>0.84680721243827095</v>
      </c>
      <c r="Q456">
        <v>140.822946155984</v>
      </c>
    </row>
    <row r="457" spans="1:17" x14ac:dyDescent="0.25">
      <c r="A457" t="s">
        <v>580</v>
      </c>
      <c r="B457" t="s">
        <v>654</v>
      </c>
      <c r="C457" t="s">
        <v>608</v>
      </c>
      <c r="D457" t="s">
        <v>655</v>
      </c>
      <c r="E457">
        <v>9</v>
      </c>
      <c r="F457">
        <v>2</v>
      </c>
      <c r="H457">
        <v>450</v>
      </c>
      <c r="I457">
        <v>450</v>
      </c>
      <c r="J457">
        <v>451</v>
      </c>
      <c r="K457">
        <v>450.5</v>
      </c>
      <c r="L457">
        <v>0.15696043977503801</v>
      </c>
      <c r="O457">
        <v>12.3268206716674</v>
      </c>
      <c r="P457">
        <v>12.455264439993201</v>
      </c>
      <c r="Q457">
        <v>1.45839472171634</v>
      </c>
    </row>
    <row r="458" spans="1:17" x14ac:dyDescent="0.25">
      <c r="A458" t="s">
        <v>580</v>
      </c>
      <c r="B458" t="s">
        <v>654</v>
      </c>
      <c r="C458" t="s">
        <v>608</v>
      </c>
      <c r="D458" t="s">
        <v>656</v>
      </c>
      <c r="E458">
        <v>9</v>
      </c>
      <c r="F458">
        <v>2</v>
      </c>
      <c r="H458">
        <v>451</v>
      </c>
      <c r="I458">
        <v>451</v>
      </c>
      <c r="J458">
        <v>451</v>
      </c>
      <c r="K458">
        <v>450.5</v>
      </c>
      <c r="L458">
        <v>0.15696043977503801</v>
      </c>
      <c r="O458">
        <v>12.5837082083191</v>
      </c>
      <c r="P458">
        <v>12.455264439993201</v>
      </c>
      <c r="Q458">
        <v>1.45839472171634</v>
      </c>
    </row>
    <row r="459" spans="1:17" x14ac:dyDescent="0.25">
      <c r="A459" t="s">
        <v>580</v>
      </c>
      <c r="B459" t="s">
        <v>654</v>
      </c>
      <c r="C459" t="s">
        <v>609</v>
      </c>
      <c r="D459" t="s">
        <v>655</v>
      </c>
      <c r="E459">
        <v>2</v>
      </c>
      <c r="F459">
        <v>2</v>
      </c>
      <c r="H459">
        <v>1215</v>
      </c>
      <c r="I459">
        <v>1215</v>
      </c>
      <c r="J459">
        <v>1192</v>
      </c>
      <c r="K459">
        <v>1192</v>
      </c>
      <c r="L459">
        <v>2.72876777974674</v>
      </c>
      <c r="O459">
        <v>0.19719150462910801</v>
      </c>
      <c r="P459" t="s">
        <v>417</v>
      </c>
      <c r="Q459" t="s">
        <v>417</v>
      </c>
    </row>
    <row r="460" spans="1:17" x14ac:dyDescent="0.25">
      <c r="A460" t="s">
        <v>580</v>
      </c>
      <c r="B460" t="s">
        <v>654</v>
      </c>
      <c r="C460" t="s">
        <v>609</v>
      </c>
      <c r="D460" t="s">
        <v>656</v>
      </c>
      <c r="E460">
        <v>2</v>
      </c>
      <c r="F460">
        <v>2</v>
      </c>
      <c r="H460">
        <v>1169</v>
      </c>
      <c r="I460">
        <v>1169</v>
      </c>
      <c r="J460">
        <v>1192</v>
      </c>
      <c r="K460">
        <v>1192</v>
      </c>
      <c r="L460">
        <v>2.72876777974674</v>
      </c>
      <c r="O460" t="s">
        <v>417</v>
      </c>
      <c r="P460" t="s">
        <v>417</v>
      </c>
      <c r="Q460" t="s">
        <v>417</v>
      </c>
    </row>
    <row r="461" spans="1:17" x14ac:dyDescent="0.25">
      <c r="A461" t="s">
        <v>580</v>
      </c>
      <c r="B461" t="s">
        <v>654</v>
      </c>
      <c r="C461" t="s">
        <v>610</v>
      </c>
      <c r="D461" t="s">
        <v>655</v>
      </c>
      <c r="E461">
        <v>3</v>
      </c>
      <c r="F461">
        <v>2</v>
      </c>
      <c r="H461">
        <v>556</v>
      </c>
      <c r="I461">
        <v>556</v>
      </c>
      <c r="J461">
        <v>588</v>
      </c>
      <c r="K461">
        <v>588</v>
      </c>
      <c r="L461">
        <v>7.6964003394454101</v>
      </c>
      <c r="O461">
        <v>0.20067897295287601</v>
      </c>
      <c r="P461">
        <v>0.339884646210242</v>
      </c>
      <c r="Q461">
        <v>57.9215781809893</v>
      </c>
    </row>
    <row r="462" spans="1:17" x14ac:dyDescent="0.25">
      <c r="A462" t="s">
        <v>580</v>
      </c>
      <c r="B462" t="s">
        <v>654</v>
      </c>
      <c r="C462" t="s">
        <v>610</v>
      </c>
      <c r="D462" t="s">
        <v>656</v>
      </c>
      <c r="E462">
        <v>3</v>
      </c>
      <c r="F462">
        <v>2</v>
      </c>
      <c r="H462">
        <v>620</v>
      </c>
      <c r="I462">
        <v>620</v>
      </c>
      <c r="J462">
        <v>588</v>
      </c>
      <c r="K462">
        <v>588</v>
      </c>
      <c r="L462">
        <v>7.6964003394454101</v>
      </c>
      <c r="O462">
        <v>0.47909031946760799</v>
      </c>
      <c r="P462">
        <v>0.339884646210242</v>
      </c>
      <c r="Q462">
        <v>57.9215781809893</v>
      </c>
    </row>
    <row r="463" spans="1:17" x14ac:dyDescent="0.25">
      <c r="A463" t="s">
        <v>580</v>
      </c>
      <c r="B463" t="s">
        <v>654</v>
      </c>
      <c r="C463" t="s">
        <v>611</v>
      </c>
      <c r="D463" t="s">
        <v>655</v>
      </c>
      <c r="E463">
        <v>4</v>
      </c>
      <c r="F463">
        <v>2</v>
      </c>
      <c r="H463">
        <v>316498</v>
      </c>
      <c r="I463">
        <v>316498</v>
      </c>
      <c r="J463">
        <v>292659</v>
      </c>
      <c r="K463">
        <v>292658.5</v>
      </c>
      <c r="L463">
        <v>11.5199607119538</v>
      </c>
      <c r="O463">
        <v>9813.90628796282</v>
      </c>
      <c r="P463">
        <v>9141.3177606169302</v>
      </c>
      <c r="Q463">
        <v>10.4053249452397</v>
      </c>
    </row>
    <row r="464" spans="1:17" x14ac:dyDescent="0.25">
      <c r="A464" t="s">
        <v>580</v>
      </c>
      <c r="B464" t="s">
        <v>654</v>
      </c>
      <c r="C464" t="s">
        <v>611</v>
      </c>
      <c r="D464" t="s">
        <v>656</v>
      </c>
      <c r="E464">
        <v>4</v>
      </c>
      <c r="F464">
        <v>2</v>
      </c>
      <c r="H464">
        <v>268819</v>
      </c>
      <c r="I464">
        <v>268819</v>
      </c>
      <c r="J464">
        <v>292659</v>
      </c>
      <c r="K464">
        <v>292658.5</v>
      </c>
      <c r="L464">
        <v>11.5199607119538</v>
      </c>
      <c r="O464">
        <v>8468.7292332710404</v>
      </c>
      <c r="P464">
        <v>9141.3177606169302</v>
      </c>
      <c r="Q464">
        <v>10.4053249452397</v>
      </c>
    </row>
    <row r="465" spans="1:17" x14ac:dyDescent="0.25">
      <c r="A465" t="s">
        <v>580</v>
      </c>
      <c r="B465" t="s">
        <v>654</v>
      </c>
      <c r="C465" t="s">
        <v>612</v>
      </c>
      <c r="D465" t="s">
        <v>655</v>
      </c>
      <c r="E465">
        <v>7</v>
      </c>
      <c r="F465">
        <v>2</v>
      </c>
      <c r="H465">
        <v>1181724</v>
      </c>
      <c r="I465">
        <v>1181724</v>
      </c>
      <c r="J465">
        <v>1101156</v>
      </c>
      <c r="K465">
        <v>1101155.5</v>
      </c>
      <c r="L465">
        <v>10.3474091897154</v>
      </c>
      <c r="O465">
        <v>3045.8274366563001</v>
      </c>
      <c r="P465">
        <v>2845.2485887675998</v>
      </c>
      <c r="Q465">
        <v>9.9696500379338495</v>
      </c>
    </row>
    <row r="466" spans="1:17" x14ac:dyDescent="0.25">
      <c r="A466" t="s">
        <v>580</v>
      </c>
      <c r="B466" t="s">
        <v>654</v>
      </c>
      <c r="C466" t="s">
        <v>612</v>
      </c>
      <c r="D466" t="s">
        <v>656</v>
      </c>
      <c r="E466">
        <v>7</v>
      </c>
      <c r="F466">
        <v>2</v>
      </c>
      <c r="H466">
        <v>1020587</v>
      </c>
      <c r="I466">
        <v>1020587</v>
      </c>
      <c r="J466">
        <v>1101156</v>
      </c>
      <c r="K466">
        <v>1101155.5</v>
      </c>
      <c r="L466">
        <v>10.3474091897154</v>
      </c>
      <c r="O466">
        <v>2644.66974087889</v>
      </c>
      <c r="P466">
        <v>2845.2485887675998</v>
      </c>
      <c r="Q466">
        <v>9.9696500379338495</v>
      </c>
    </row>
    <row r="467" spans="1:17" x14ac:dyDescent="0.25">
      <c r="A467" t="s">
        <v>580</v>
      </c>
      <c r="B467" t="s">
        <v>654</v>
      </c>
      <c r="C467" t="s">
        <v>613</v>
      </c>
      <c r="D467" t="s">
        <v>655</v>
      </c>
      <c r="E467">
        <v>10</v>
      </c>
      <c r="F467">
        <v>2</v>
      </c>
      <c r="H467">
        <v>501812</v>
      </c>
      <c r="I467">
        <v>501812</v>
      </c>
      <c r="J467">
        <v>461008</v>
      </c>
      <c r="K467">
        <v>461008</v>
      </c>
      <c r="L467">
        <v>12.5172600473466</v>
      </c>
      <c r="O467">
        <v>1141.9407690805101</v>
      </c>
      <c r="P467">
        <v>1073.3209697769601</v>
      </c>
      <c r="Q467">
        <v>9.0413821731774604</v>
      </c>
    </row>
    <row r="468" spans="1:17" x14ac:dyDescent="0.25">
      <c r="A468" t="s">
        <v>580</v>
      </c>
      <c r="B468" t="s">
        <v>654</v>
      </c>
      <c r="C468" t="s">
        <v>613</v>
      </c>
      <c r="D468" t="s">
        <v>656</v>
      </c>
      <c r="E468">
        <v>10</v>
      </c>
      <c r="F468">
        <v>2</v>
      </c>
      <c r="H468">
        <v>420204</v>
      </c>
      <c r="I468">
        <v>420204</v>
      </c>
      <c r="J468">
        <v>461008</v>
      </c>
      <c r="K468">
        <v>461008</v>
      </c>
      <c r="L468">
        <v>12.5172600473466</v>
      </c>
      <c r="O468">
        <v>1004.70117047342</v>
      </c>
      <c r="P468">
        <v>1073.3209697769601</v>
      </c>
      <c r="Q468">
        <v>9.0413821731774604</v>
      </c>
    </row>
    <row r="469" spans="1:17" x14ac:dyDescent="0.25">
      <c r="A469" t="s">
        <v>580</v>
      </c>
      <c r="B469" t="s">
        <v>654</v>
      </c>
      <c r="C469" t="s">
        <v>614</v>
      </c>
      <c r="D469" t="s">
        <v>655</v>
      </c>
      <c r="E469">
        <v>8</v>
      </c>
      <c r="F469">
        <v>2</v>
      </c>
      <c r="H469">
        <v>1284</v>
      </c>
      <c r="I469">
        <v>1284</v>
      </c>
      <c r="J469">
        <v>1244</v>
      </c>
      <c r="K469">
        <v>1243.5</v>
      </c>
      <c r="L469">
        <v>4.6060031585130901</v>
      </c>
      <c r="O469">
        <v>4.8575446331208898</v>
      </c>
      <c r="P469">
        <v>4.6451782691977197</v>
      </c>
      <c r="Q469">
        <v>6.46544383546067</v>
      </c>
    </row>
    <row r="470" spans="1:17" x14ac:dyDescent="0.25">
      <c r="A470" t="s">
        <v>580</v>
      </c>
      <c r="B470" t="s">
        <v>654</v>
      </c>
      <c r="C470" t="s">
        <v>614</v>
      </c>
      <c r="D470" t="s">
        <v>656</v>
      </c>
      <c r="E470">
        <v>8</v>
      </c>
      <c r="F470">
        <v>2</v>
      </c>
      <c r="H470">
        <v>1203</v>
      </c>
      <c r="I470">
        <v>1203</v>
      </c>
      <c r="J470">
        <v>1244</v>
      </c>
      <c r="K470">
        <v>1243.5</v>
      </c>
      <c r="L470">
        <v>4.6060031585130901</v>
      </c>
      <c r="O470">
        <v>4.4328119052745496</v>
      </c>
      <c r="P470">
        <v>4.6451782691977197</v>
      </c>
      <c r="Q470">
        <v>6.46544383546067</v>
      </c>
    </row>
    <row r="471" spans="1:17" x14ac:dyDescent="0.25">
      <c r="A471" t="s">
        <v>580</v>
      </c>
      <c r="B471" t="s">
        <v>657</v>
      </c>
      <c r="C471" t="s">
        <v>582</v>
      </c>
      <c r="D471" t="s">
        <v>658</v>
      </c>
      <c r="E471">
        <v>1</v>
      </c>
      <c r="F471">
        <v>2</v>
      </c>
      <c r="H471">
        <v>411</v>
      </c>
      <c r="I471">
        <v>411</v>
      </c>
      <c r="J471">
        <v>403</v>
      </c>
      <c r="K471">
        <v>402.5</v>
      </c>
      <c r="L471">
        <v>2.9865379578065299</v>
      </c>
      <c r="O471">
        <v>6.1575724059833598E-3</v>
      </c>
      <c r="P471" t="s">
        <v>417</v>
      </c>
      <c r="Q471" t="s">
        <v>417</v>
      </c>
    </row>
    <row r="472" spans="1:17" x14ac:dyDescent="0.25">
      <c r="A472" t="s">
        <v>580</v>
      </c>
      <c r="B472" t="s">
        <v>657</v>
      </c>
      <c r="C472" t="s">
        <v>582</v>
      </c>
      <c r="D472" t="s">
        <v>659</v>
      </c>
      <c r="E472">
        <v>1</v>
      </c>
      <c r="F472">
        <v>2</v>
      </c>
      <c r="H472">
        <v>394</v>
      </c>
      <c r="I472">
        <v>394</v>
      </c>
      <c r="J472">
        <v>403</v>
      </c>
      <c r="K472">
        <v>402.5</v>
      </c>
      <c r="L472">
        <v>2.9865379578065299</v>
      </c>
      <c r="O472" t="s">
        <v>417</v>
      </c>
      <c r="P472" t="s">
        <v>417</v>
      </c>
      <c r="Q472" t="s">
        <v>417</v>
      </c>
    </row>
    <row r="473" spans="1:17" x14ac:dyDescent="0.25">
      <c r="A473" t="s">
        <v>580</v>
      </c>
      <c r="B473" t="s">
        <v>657</v>
      </c>
      <c r="C473" t="s">
        <v>607</v>
      </c>
      <c r="D473" t="s">
        <v>659</v>
      </c>
      <c r="E473">
        <v>5</v>
      </c>
      <c r="F473">
        <v>2</v>
      </c>
      <c r="H473">
        <v>251</v>
      </c>
      <c r="I473">
        <v>251</v>
      </c>
      <c r="J473">
        <v>257</v>
      </c>
      <c r="K473">
        <v>256.5</v>
      </c>
      <c r="L473">
        <v>3.0324267419306099</v>
      </c>
      <c r="O473">
        <v>0.241270047329604</v>
      </c>
      <c r="P473">
        <v>0.404167470370071</v>
      </c>
      <c r="Q473">
        <v>56.999081278985201</v>
      </c>
    </row>
    <row r="474" spans="1:17" x14ac:dyDescent="0.25">
      <c r="A474" t="s">
        <v>580</v>
      </c>
      <c r="B474" t="s">
        <v>657</v>
      </c>
      <c r="C474" t="s">
        <v>607</v>
      </c>
      <c r="D474" t="s">
        <v>658</v>
      </c>
      <c r="E474">
        <v>5</v>
      </c>
      <c r="F474">
        <v>2</v>
      </c>
      <c r="H474">
        <v>262</v>
      </c>
      <c r="I474">
        <v>262</v>
      </c>
      <c r="J474">
        <v>257</v>
      </c>
      <c r="K474">
        <v>256.5</v>
      </c>
      <c r="L474">
        <v>3.0324267419306099</v>
      </c>
      <c r="O474">
        <v>0.56706489341053801</v>
      </c>
      <c r="P474">
        <v>0.404167470370071</v>
      </c>
      <c r="Q474">
        <v>56.999081278985201</v>
      </c>
    </row>
    <row r="475" spans="1:17" x14ac:dyDescent="0.25">
      <c r="A475" t="s">
        <v>580</v>
      </c>
      <c r="B475" t="s">
        <v>657</v>
      </c>
      <c r="C475" t="s">
        <v>608</v>
      </c>
      <c r="D475" t="s">
        <v>659</v>
      </c>
      <c r="E475">
        <v>9</v>
      </c>
      <c r="F475">
        <v>2</v>
      </c>
      <c r="H475">
        <v>453</v>
      </c>
      <c r="I475">
        <v>453</v>
      </c>
      <c r="J475">
        <v>448</v>
      </c>
      <c r="K475">
        <v>448</v>
      </c>
      <c r="L475">
        <v>1.5783633508628201</v>
      </c>
      <c r="O475">
        <v>13.097175119753301</v>
      </c>
      <c r="P475">
        <v>11.8113410170993</v>
      </c>
      <c r="Q475">
        <v>15.395745701547501</v>
      </c>
    </row>
    <row r="476" spans="1:17" x14ac:dyDescent="0.25">
      <c r="A476" t="s">
        <v>580</v>
      </c>
      <c r="B476" t="s">
        <v>657</v>
      </c>
      <c r="C476" t="s">
        <v>608</v>
      </c>
      <c r="D476" t="s">
        <v>658</v>
      </c>
      <c r="E476">
        <v>9</v>
      </c>
      <c r="F476">
        <v>2</v>
      </c>
      <c r="H476">
        <v>443</v>
      </c>
      <c r="I476">
        <v>443</v>
      </c>
      <c r="J476">
        <v>448</v>
      </c>
      <c r="K476">
        <v>448</v>
      </c>
      <c r="L476">
        <v>1.5783633508628201</v>
      </c>
      <c r="O476">
        <v>10.5255069144452</v>
      </c>
      <c r="P476">
        <v>11.8113410170993</v>
      </c>
      <c r="Q476">
        <v>15.395745701547501</v>
      </c>
    </row>
    <row r="477" spans="1:17" x14ac:dyDescent="0.25">
      <c r="A477" t="s">
        <v>580</v>
      </c>
      <c r="B477" t="s">
        <v>657</v>
      </c>
      <c r="C477" t="s">
        <v>609</v>
      </c>
      <c r="D477" t="s">
        <v>658</v>
      </c>
      <c r="E477">
        <v>2</v>
      </c>
      <c r="F477">
        <v>2</v>
      </c>
      <c r="H477">
        <v>1296</v>
      </c>
      <c r="I477">
        <v>1296</v>
      </c>
      <c r="J477">
        <v>1294</v>
      </c>
      <c r="K477">
        <v>1293.5</v>
      </c>
      <c r="L477">
        <v>0.27333080061327603</v>
      </c>
      <c r="O477">
        <v>0.62694534284001102</v>
      </c>
      <c r="P477">
        <v>0.61332438414619095</v>
      </c>
      <c r="Q477">
        <v>3.1407433024436302</v>
      </c>
    </row>
    <row r="478" spans="1:17" x14ac:dyDescent="0.25">
      <c r="A478" t="s">
        <v>580</v>
      </c>
      <c r="B478" t="s">
        <v>657</v>
      </c>
      <c r="C478" t="s">
        <v>609</v>
      </c>
      <c r="D478" t="s">
        <v>659</v>
      </c>
      <c r="E478">
        <v>2</v>
      </c>
      <c r="F478">
        <v>2</v>
      </c>
      <c r="H478">
        <v>1291</v>
      </c>
      <c r="I478">
        <v>1291</v>
      </c>
      <c r="J478">
        <v>1294</v>
      </c>
      <c r="K478">
        <v>1293.5</v>
      </c>
      <c r="L478">
        <v>0.27333080061327603</v>
      </c>
      <c r="O478">
        <v>0.59970342545236999</v>
      </c>
      <c r="P478">
        <v>0.61332438414619095</v>
      </c>
      <c r="Q478">
        <v>3.1407433024436302</v>
      </c>
    </row>
    <row r="479" spans="1:17" x14ac:dyDescent="0.25">
      <c r="A479" t="s">
        <v>580</v>
      </c>
      <c r="B479" t="s">
        <v>657</v>
      </c>
      <c r="C479" t="s">
        <v>610</v>
      </c>
      <c r="D479" t="s">
        <v>658</v>
      </c>
      <c r="E479">
        <v>3</v>
      </c>
      <c r="F479">
        <v>2</v>
      </c>
      <c r="H479">
        <v>566</v>
      </c>
      <c r="I479">
        <v>566</v>
      </c>
      <c r="J479">
        <v>570</v>
      </c>
      <c r="K479">
        <v>569.5</v>
      </c>
      <c r="L479">
        <v>0.86913915159013699</v>
      </c>
      <c r="O479">
        <v>0.24418054183794599</v>
      </c>
      <c r="P479">
        <v>0.259406107399684</v>
      </c>
      <c r="Q479">
        <v>8.3005760843685792</v>
      </c>
    </row>
    <row r="480" spans="1:17" x14ac:dyDescent="0.25">
      <c r="A480" t="s">
        <v>580</v>
      </c>
      <c r="B480" t="s">
        <v>657</v>
      </c>
      <c r="C480" t="s">
        <v>610</v>
      </c>
      <c r="D480" t="s">
        <v>659</v>
      </c>
      <c r="E480">
        <v>3</v>
      </c>
      <c r="F480">
        <v>2</v>
      </c>
      <c r="H480">
        <v>573</v>
      </c>
      <c r="I480">
        <v>573</v>
      </c>
      <c r="J480">
        <v>570</v>
      </c>
      <c r="K480">
        <v>569.5</v>
      </c>
      <c r="L480">
        <v>0.86913915159013699</v>
      </c>
      <c r="O480">
        <v>0.27463167296142099</v>
      </c>
      <c r="P480">
        <v>0.259406107399684</v>
      </c>
      <c r="Q480">
        <v>8.3005760843685792</v>
      </c>
    </row>
    <row r="481" spans="1:17" x14ac:dyDescent="0.25">
      <c r="A481" t="s">
        <v>580</v>
      </c>
      <c r="B481" t="s">
        <v>657</v>
      </c>
      <c r="C481" t="s">
        <v>611</v>
      </c>
      <c r="D481" t="s">
        <v>659</v>
      </c>
      <c r="E481">
        <v>4</v>
      </c>
      <c r="F481">
        <v>2</v>
      </c>
      <c r="H481">
        <v>26057</v>
      </c>
      <c r="I481">
        <v>26057</v>
      </c>
      <c r="J481">
        <v>26729</v>
      </c>
      <c r="K481">
        <v>26728.5</v>
      </c>
      <c r="L481">
        <v>3.5529281745460199</v>
      </c>
      <c r="O481">
        <v>1021.61326913549</v>
      </c>
      <c r="P481">
        <v>1045.61135332104</v>
      </c>
      <c r="Q481">
        <v>3.2457964441934299</v>
      </c>
    </row>
    <row r="482" spans="1:17" x14ac:dyDescent="0.25">
      <c r="A482" t="s">
        <v>580</v>
      </c>
      <c r="B482" t="s">
        <v>657</v>
      </c>
      <c r="C482" t="s">
        <v>611</v>
      </c>
      <c r="D482" t="s">
        <v>658</v>
      </c>
      <c r="E482">
        <v>4</v>
      </c>
      <c r="F482">
        <v>2</v>
      </c>
      <c r="H482">
        <v>27400</v>
      </c>
      <c r="I482">
        <v>27400</v>
      </c>
      <c r="J482">
        <v>26729</v>
      </c>
      <c r="K482">
        <v>26728.5</v>
      </c>
      <c r="L482">
        <v>3.5529281745460199</v>
      </c>
      <c r="O482">
        <v>1069.60943750659</v>
      </c>
      <c r="P482">
        <v>1045.61135332104</v>
      </c>
      <c r="Q482">
        <v>3.2457964441934299</v>
      </c>
    </row>
    <row r="483" spans="1:17" x14ac:dyDescent="0.25">
      <c r="A483" t="s">
        <v>580</v>
      </c>
      <c r="B483" t="s">
        <v>657</v>
      </c>
      <c r="C483" t="s">
        <v>612</v>
      </c>
      <c r="D483" t="s">
        <v>659</v>
      </c>
      <c r="E483">
        <v>7</v>
      </c>
      <c r="F483">
        <v>2</v>
      </c>
      <c r="H483">
        <v>163656</v>
      </c>
      <c r="I483">
        <v>163656</v>
      </c>
      <c r="J483">
        <v>169462</v>
      </c>
      <c r="K483">
        <v>169461.5</v>
      </c>
      <c r="L483">
        <v>4.84488620504185</v>
      </c>
      <c r="O483">
        <v>453.34538089672401</v>
      </c>
      <c r="P483">
        <v>468.83345289864798</v>
      </c>
      <c r="Q483">
        <v>4.6719024303214498</v>
      </c>
    </row>
    <row r="484" spans="1:17" x14ac:dyDescent="0.25">
      <c r="A484" t="s">
        <v>580</v>
      </c>
      <c r="B484" t="s">
        <v>657</v>
      </c>
      <c r="C484" t="s">
        <v>612</v>
      </c>
      <c r="D484" t="s">
        <v>658</v>
      </c>
      <c r="E484">
        <v>7</v>
      </c>
      <c r="F484">
        <v>2</v>
      </c>
      <c r="H484">
        <v>175267</v>
      </c>
      <c r="I484">
        <v>175267</v>
      </c>
      <c r="J484">
        <v>169462</v>
      </c>
      <c r="K484">
        <v>169461.5</v>
      </c>
      <c r="L484">
        <v>4.84488620504185</v>
      </c>
      <c r="O484">
        <v>484.321524900572</v>
      </c>
      <c r="P484">
        <v>468.83345289864798</v>
      </c>
      <c r="Q484">
        <v>4.6719024303214498</v>
      </c>
    </row>
    <row r="485" spans="1:17" x14ac:dyDescent="0.25">
      <c r="A485" t="s">
        <v>580</v>
      </c>
      <c r="B485" t="s">
        <v>657</v>
      </c>
      <c r="C485" t="s">
        <v>613</v>
      </c>
      <c r="D485" t="s">
        <v>658</v>
      </c>
      <c r="E485">
        <v>10</v>
      </c>
      <c r="F485">
        <v>2</v>
      </c>
      <c r="H485">
        <v>27726</v>
      </c>
      <c r="I485">
        <v>27726</v>
      </c>
      <c r="J485">
        <v>27543</v>
      </c>
      <c r="K485">
        <v>27543</v>
      </c>
      <c r="L485">
        <v>0.93962561055177796</v>
      </c>
      <c r="O485">
        <v>140.975015112698</v>
      </c>
      <c r="P485">
        <v>140.29699602602</v>
      </c>
      <c r="Q485">
        <v>0.68345282870544399</v>
      </c>
    </row>
    <row r="486" spans="1:17" x14ac:dyDescent="0.25">
      <c r="A486" t="s">
        <v>580</v>
      </c>
      <c r="B486" t="s">
        <v>657</v>
      </c>
      <c r="C486" t="s">
        <v>613</v>
      </c>
      <c r="D486" t="s">
        <v>659</v>
      </c>
      <c r="E486">
        <v>10</v>
      </c>
      <c r="F486">
        <v>2</v>
      </c>
      <c r="H486">
        <v>27360</v>
      </c>
      <c r="I486">
        <v>27360</v>
      </c>
      <c r="J486">
        <v>27543</v>
      </c>
      <c r="K486">
        <v>27543</v>
      </c>
      <c r="L486">
        <v>0.93962561055177796</v>
      </c>
      <c r="O486">
        <v>139.618976939341</v>
      </c>
      <c r="P486">
        <v>140.29699602602</v>
      </c>
      <c r="Q486">
        <v>0.68345282870544399</v>
      </c>
    </row>
    <row r="487" spans="1:17" x14ac:dyDescent="0.25">
      <c r="A487" t="s">
        <v>580</v>
      </c>
      <c r="B487" t="s">
        <v>657</v>
      </c>
      <c r="C487" t="s">
        <v>614</v>
      </c>
      <c r="D487" t="s">
        <v>659</v>
      </c>
      <c r="E487">
        <v>8</v>
      </c>
      <c r="F487">
        <v>2</v>
      </c>
      <c r="H487">
        <v>378</v>
      </c>
      <c r="I487">
        <v>378</v>
      </c>
      <c r="J487">
        <v>367</v>
      </c>
      <c r="K487">
        <v>367</v>
      </c>
      <c r="L487">
        <v>4.23878724417004</v>
      </c>
      <c r="O487">
        <v>0.166563532889517</v>
      </c>
      <c r="P487">
        <v>0.112067142441588</v>
      </c>
      <c r="Q487">
        <v>68.770857177884096</v>
      </c>
    </row>
    <row r="488" spans="1:17" x14ac:dyDescent="0.25">
      <c r="A488" t="s">
        <v>580</v>
      </c>
      <c r="B488" t="s">
        <v>657</v>
      </c>
      <c r="C488" t="s">
        <v>614</v>
      </c>
      <c r="D488" t="s">
        <v>658</v>
      </c>
      <c r="E488">
        <v>8</v>
      </c>
      <c r="F488">
        <v>2</v>
      </c>
      <c r="H488">
        <v>356</v>
      </c>
      <c r="I488">
        <v>356</v>
      </c>
      <c r="J488">
        <v>367</v>
      </c>
      <c r="K488">
        <v>367</v>
      </c>
      <c r="L488">
        <v>4.23878724417004</v>
      </c>
      <c r="O488">
        <v>5.7570751993659498E-2</v>
      </c>
      <c r="P488">
        <v>0.112067142441588</v>
      </c>
      <c r="Q488">
        <v>68.770857177884096</v>
      </c>
    </row>
    <row r="489" spans="1:17" x14ac:dyDescent="0.25">
      <c r="A489" t="s">
        <v>580</v>
      </c>
      <c r="B489" t="s">
        <v>660</v>
      </c>
      <c r="C489" t="s">
        <v>582</v>
      </c>
      <c r="D489" t="s">
        <v>661</v>
      </c>
      <c r="E489">
        <v>1</v>
      </c>
      <c r="F489">
        <v>2</v>
      </c>
      <c r="H489">
        <v>360</v>
      </c>
      <c r="I489">
        <v>360</v>
      </c>
      <c r="J489">
        <v>358</v>
      </c>
      <c r="K489">
        <v>358</v>
      </c>
      <c r="L489">
        <v>0.79006344266653294</v>
      </c>
      <c r="O489" t="s">
        <v>417</v>
      </c>
      <c r="P489" t="s">
        <v>417</v>
      </c>
      <c r="Q489" t="s">
        <v>417</v>
      </c>
    </row>
    <row r="490" spans="1:17" x14ac:dyDescent="0.25">
      <c r="A490" t="s">
        <v>580</v>
      </c>
      <c r="B490" t="s">
        <v>660</v>
      </c>
      <c r="C490" t="s">
        <v>582</v>
      </c>
      <c r="D490" t="s">
        <v>662</v>
      </c>
      <c r="E490">
        <v>1</v>
      </c>
      <c r="F490">
        <v>2</v>
      </c>
      <c r="H490">
        <v>356</v>
      </c>
      <c r="I490">
        <v>356</v>
      </c>
      <c r="J490">
        <v>358</v>
      </c>
      <c r="K490">
        <v>358</v>
      </c>
      <c r="L490">
        <v>0.79006344266653294</v>
      </c>
      <c r="O490" t="s">
        <v>417</v>
      </c>
      <c r="P490" t="s">
        <v>417</v>
      </c>
      <c r="Q490" t="s">
        <v>417</v>
      </c>
    </row>
    <row r="491" spans="1:17" x14ac:dyDescent="0.25">
      <c r="A491" t="s">
        <v>580</v>
      </c>
      <c r="B491" t="s">
        <v>660</v>
      </c>
      <c r="C491" t="s">
        <v>607</v>
      </c>
      <c r="D491" t="s">
        <v>662</v>
      </c>
      <c r="E491">
        <v>5</v>
      </c>
      <c r="F491">
        <v>2</v>
      </c>
      <c r="H491">
        <v>245</v>
      </c>
      <c r="I491">
        <v>245</v>
      </c>
      <c r="J491">
        <v>246</v>
      </c>
      <c r="K491">
        <v>246</v>
      </c>
      <c r="L491">
        <v>0.57488356194028201</v>
      </c>
      <c r="O491">
        <v>6.3166541844516699E-2</v>
      </c>
      <c r="P491">
        <v>9.2879789461663795E-2</v>
      </c>
      <c r="Q491">
        <v>45.2422190078968</v>
      </c>
    </row>
    <row r="492" spans="1:17" x14ac:dyDescent="0.25">
      <c r="A492" t="s">
        <v>580</v>
      </c>
      <c r="B492" t="s">
        <v>660</v>
      </c>
      <c r="C492" t="s">
        <v>607</v>
      </c>
      <c r="D492" t="s">
        <v>661</v>
      </c>
      <c r="E492">
        <v>5</v>
      </c>
      <c r="F492">
        <v>2</v>
      </c>
      <c r="H492">
        <v>247</v>
      </c>
      <c r="I492">
        <v>247</v>
      </c>
      <c r="J492">
        <v>246</v>
      </c>
      <c r="K492">
        <v>246</v>
      </c>
      <c r="L492">
        <v>0.57488356194028201</v>
      </c>
      <c r="O492">
        <v>0.12259303707881</v>
      </c>
      <c r="P492">
        <v>9.2879789461663795E-2</v>
      </c>
      <c r="Q492">
        <v>45.2422190078968</v>
      </c>
    </row>
    <row r="493" spans="1:17" x14ac:dyDescent="0.25">
      <c r="A493" t="s">
        <v>580</v>
      </c>
      <c r="B493" t="s">
        <v>660</v>
      </c>
      <c r="C493" t="s">
        <v>608</v>
      </c>
      <c r="D493" t="s">
        <v>662</v>
      </c>
      <c r="E493">
        <v>9</v>
      </c>
      <c r="F493">
        <v>2</v>
      </c>
      <c r="H493">
        <v>431</v>
      </c>
      <c r="I493">
        <v>431</v>
      </c>
      <c r="J493">
        <v>446</v>
      </c>
      <c r="K493">
        <v>445.5</v>
      </c>
      <c r="L493">
        <v>4.60293976529963</v>
      </c>
      <c r="O493">
        <v>7.4225004937804897</v>
      </c>
      <c r="P493">
        <v>11.156892887349899</v>
      </c>
      <c r="Q493">
        <v>47.336013920119697</v>
      </c>
    </row>
    <row r="494" spans="1:17" x14ac:dyDescent="0.25">
      <c r="A494" t="s">
        <v>580</v>
      </c>
      <c r="B494" t="s">
        <v>660</v>
      </c>
      <c r="C494" t="s">
        <v>608</v>
      </c>
      <c r="D494" t="s">
        <v>661</v>
      </c>
      <c r="E494">
        <v>9</v>
      </c>
      <c r="F494">
        <v>2</v>
      </c>
      <c r="H494">
        <v>460</v>
      </c>
      <c r="I494">
        <v>460</v>
      </c>
      <c r="J494">
        <v>446</v>
      </c>
      <c r="K494">
        <v>445.5</v>
      </c>
      <c r="L494">
        <v>4.60293976529963</v>
      </c>
      <c r="O494">
        <v>14.8912852809193</v>
      </c>
      <c r="P494">
        <v>11.156892887349899</v>
      </c>
      <c r="Q494">
        <v>47.336013920119697</v>
      </c>
    </row>
    <row r="495" spans="1:17" x14ac:dyDescent="0.25">
      <c r="A495" t="s">
        <v>580</v>
      </c>
      <c r="B495" t="s">
        <v>660</v>
      </c>
      <c r="C495" t="s">
        <v>609</v>
      </c>
      <c r="D495" t="s">
        <v>662</v>
      </c>
      <c r="E495">
        <v>2</v>
      </c>
      <c r="F495">
        <v>2</v>
      </c>
      <c r="H495">
        <v>1242</v>
      </c>
      <c r="I495">
        <v>1242</v>
      </c>
      <c r="J495">
        <v>1236</v>
      </c>
      <c r="K495">
        <v>1235.5</v>
      </c>
      <c r="L495">
        <v>0.74402170420276104</v>
      </c>
      <c r="O495">
        <v>0.33716140874450901</v>
      </c>
      <c r="P495">
        <v>0.303192454377817</v>
      </c>
      <c r="Q495">
        <v>15.844509080408701</v>
      </c>
    </row>
    <row r="496" spans="1:17" x14ac:dyDescent="0.25">
      <c r="A496" t="s">
        <v>580</v>
      </c>
      <c r="B496" t="s">
        <v>660</v>
      </c>
      <c r="C496" t="s">
        <v>609</v>
      </c>
      <c r="D496" t="s">
        <v>661</v>
      </c>
      <c r="E496">
        <v>2</v>
      </c>
      <c r="F496">
        <v>2</v>
      </c>
      <c r="H496">
        <v>1229</v>
      </c>
      <c r="I496">
        <v>1229</v>
      </c>
      <c r="J496">
        <v>1236</v>
      </c>
      <c r="K496">
        <v>1235.5</v>
      </c>
      <c r="L496">
        <v>0.74402170420276104</v>
      </c>
      <c r="O496">
        <v>0.26922350001112599</v>
      </c>
      <c r="P496">
        <v>0.303192454377817</v>
      </c>
      <c r="Q496">
        <v>15.844509080408701</v>
      </c>
    </row>
    <row r="497" spans="1:17" x14ac:dyDescent="0.25">
      <c r="A497" t="s">
        <v>580</v>
      </c>
      <c r="B497" t="s">
        <v>660</v>
      </c>
      <c r="C497" t="s">
        <v>610</v>
      </c>
      <c r="D497" t="s">
        <v>662</v>
      </c>
      <c r="E497">
        <v>3</v>
      </c>
      <c r="F497">
        <v>2</v>
      </c>
      <c r="H497">
        <v>587</v>
      </c>
      <c r="I497">
        <v>587</v>
      </c>
      <c r="J497">
        <v>567</v>
      </c>
      <c r="K497">
        <v>567</v>
      </c>
      <c r="L497">
        <v>4.9884076274183196</v>
      </c>
      <c r="O497">
        <v>0.33553404063917303</v>
      </c>
      <c r="P497">
        <v>0.248530815982241</v>
      </c>
      <c r="Q497">
        <v>49.507398023759997</v>
      </c>
    </row>
    <row r="498" spans="1:17" x14ac:dyDescent="0.25">
      <c r="A498" t="s">
        <v>580</v>
      </c>
      <c r="B498" t="s">
        <v>660</v>
      </c>
      <c r="C498" t="s">
        <v>610</v>
      </c>
      <c r="D498" t="s">
        <v>661</v>
      </c>
      <c r="E498">
        <v>3</v>
      </c>
      <c r="F498">
        <v>2</v>
      </c>
      <c r="H498">
        <v>547</v>
      </c>
      <c r="I498">
        <v>547</v>
      </c>
      <c r="J498">
        <v>567</v>
      </c>
      <c r="K498">
        <v>567</v>
      </c>
      <c r="L498">
        <v>4.9884076274183196</v>
      </c>
      <c r="O498">
        <v>0.161527591325309</v>
      </c>
      <c r="P498">
        <v>0.248530815982241</v>
      </c>
      <c r="Q498">
        <v>49.507398023759997</v>
      </c>
    </row>
    <row r="499" spans="1:17" x14ac:dyDescent="0.25">
      <c r="A499" t="s">
        <v>580</v>
      </c>
      <c r="B499" t="s">
        <v>660</v>
      </c>
      <c r="C499" t="s">
        <v>611</v>
      </c>
      <c r="D499" t="s">
        <v>662</v>
      </c>
      <c r="E499">
        <v>4</v>
      </c>
      <c r="F499">
        <v>2</v>
      </c>
      <c r="H499">
        <v>161084</v>
      </c>
      <c r="I499">
        <v>161084</v>
      </c>
      <c r="J499">
        <v>157881</v>
      </c>
      <c r="K499">
        <v>157880.5</v>
      </c>
      <c r="L499">
        <v>2.86953306270388</v>
      </c>
      <c r="O499">
        <v>5332.6190138103202</v>
      </c>
      <c r="P499">
        <v>5236.6068521337302</v>
      </c>
      <c r="Q499">
        <v>2.59293288631092</v>
      </c>
    </row>
    <row r="500" spans="1:17" x14ac:dyDescent="0.25">
      <c r="A500" t="s">
        <v>580</v>
      </c>
      <c r="B500" t="s">
        <v>660</v>
      </c>
      <c r="C500" t="s">
        <v>611</v>
      </c>
      <c r="D500" t="s">
        <v>661</v>
      </c>
      <c r="E500">
        <v>4</v>
      </c>
      <c r="F500">
        <v>2</v>
      </c>
      <c r="H500">
        <v>154677</v>
      </c>
      <c r="I500">
        <v>154677</v>
      </c>
      <c r="J500">
        <v>157881</v>
      </c>
      <c r="K500">
        <v>157880.5</v>
      </c>
      <c r="L500">
        <v>2.86953306270388</v>
      </c>
      <c r="O500">
        <v>5140.5946904571401</v>
      </c>
      <c r="P500">
        <v>5236.6068521337302</v>
      </c>
      <c r="Q500">
        <v>2.59293288631092</v>
      </c>
    </row>
    <row r="501" spans="1:17" x14ac:dyDescent="0.25">
      <c r="A501" t="s">
        <v>580</v>
      </c>
      <c r="B501" t="s">
        <v>660</v>
      </c>
      <c r="C501" t="s">
        <v>612</v>
      </c>
      <c r="D501" t="s">
        <v>662</v>
      </c>
      <c r="E501">
        <v>7</v>
      </c>
      <c r="F501">
        <v>2</v>
      </c>
      <c r="H501">
        <v>650283</v>
      </c>
      <c r="I501">
        <v>650283</v>
      </c>
      <c r="J501">
        <v>622642</v>
      </c>
      <c r="K501">
        <v>622641.5</v>
      </c>
      <c r="L501">
        <v>6.27824907018499</v>
      </c>
      <c r="O501">
        <v>1713.1969464563999</v>
      </c>
      <c r="P501">
        <v>1642.9345196946099</v>
      </c>
      <c r="Q501">
        <v>6.0480850369035704</v>
      </c>
    </row>
    <row r="502" spans="1:17" x14ac:dyDescent="0.25">
      <c r="A502" t="s">
        <v>580</v>
      </c>
      <c r="B502" t="s">
        <v>660</v>
      </c>
      <c r="C502" t="s">
        <v>612</v>
      </c>
      <c r="D502" t="s">
        <v>661</v>
      </c>
      <c r="E502">
        <v>7</v>
      </c>
      <c r="F502">
        <v>2</v>
      </c>
      <c r="H502">
        <v>595000</v>
      </c>
      <c r="I502">
        <v>595000</v>
      </c>
      <c r="J502">
        <v>622642</v>
      </c>
      <c r="K502">
        <v>622641.5</v>
      </c>
      <c r="L502">
        <v>6.27824907018499</v>
      </c>
      <c r="O502">
        <v>1572.6720929328201</v>
      </c>
      <c r="P502">
        <v>1642.9345196946099</v>
      </c>
      <c r="Q502">
        <v>6.0480850369035704</v>
      </c>
    </row>
    <row r="503" spans="1:17" x14ac:dyDescent="0.25">
      <c r="A503" t="s">
        <v>580</v>
      </c>
      <c r="B503" t="s">
        <v>660</v>
      </c>
      <c r="C503" t="s">
        <v>613</v>
      </c>
      <c r="D503" t="s">
        <v>662</v>
      </c>
      <c r="E503">
        <v>10</v>
      </c>
      <c r="F503">
        <v>2</v>
      </c>
      <c r="H503">
        <v>241231</v>
      </c>
      <c r="I503">
        <v>241231</v>
      </c>
      <c r="J503">
        <v>238957</v>
      </c>
      <c r="K503">
        <v>238956.5</v>
      </c>
      <c r="L503">
        <v>1.3461147730309</v>
      </c>
      <c r="O503">
        <v>673.34210534991905</v>
      </c>
      <c r="P503">
        <v>668.75265076553399</v>
      </c>
      <c r="Q503">
        <v>0.97053356120574696</v>
      </c>
    </row>
    <row r="504" spans="1:17" x14ac:dyDescent="0.25">
      <c r="A504" t="s">
        <v>580</v>
      </c>
      <c r="B504" t="s">
        <v>660</v>
      </c>
      <c r="C504" t="s">
        <v>613</v>
      </c>
      <c r="D504" t="s">
        <v>661</v>
      </c>
      <c r="E504">
        <v>10</v>
      </c>
      <c r="F504">
        <v>2</v>
      </c>
      <c r="H504">
        <v>236682</v>
      </c>
      <c r="I504">
        <v>236682</v>
      </c>
      <c r="J504">
        <v>238957</v>
      </c>
      <c r="K504">
        <v>238956.5</v>
      </c>
      <c r="L504">
        <v>1.3461147730309</v>
      </c>
      <c r="O504">
        <v>664.16319618114903</v>
      </c>
      <c r="P504">
        <v>668.75265076553399</v>
      </c>
      <c r="Q504">
        <v>0.97053356120574696</v>
      </c>
    </row>
    <row r="505" spans="1:17" x14ac:dyDescent="0.25">
      <c r="A505" t="s">
        <v>580</v>
      </c>
      <c r="B505" t="s">
        <v>660</v>
      </c>
      <c r="C505" t="s">
        <v>614</v>
      </c>
      <c r="D505" t="s">
        <v>662</v>
      </c>
      <c r="E505">
        <v>8</v>
      </c>
      <c r="F505">
        <v>2</v>
      </c>
      <c r="H505">
        <v>538</v>
      </c>
      <c r="I505">
        <v>538</v>
      </c>
      <c r="J505">
        <v>545</v>
      </c>
      <c r="K505">
        <v>544.5</v>
      </c>
      <c r="L505">
        <v>1.6882255565519</v>
      </c>
      <c r="O505">
        <v>0.97823260956499203</v>
      </c>
      <c r="P505">
        <v>1.0115421100277999</v>
      </c>
      <c r="Q505">
        <v>4.6569240018177398</v>
      </c>
    </row>
    <row r="506" spans="1:17" x14ac:dyDescent="0.25">
      <c r="A506" t="s">
        <v>580</v>
      </c>
      <c r="B506" t="s">
        <v>660</v>
      </c>
      <c r="C506" t="s">
        <v>614</v>
      </c>
      <c r="D506" t="s">
        <v>661</v>
      </c>
      <c r="E506">
        <v>8</v>
      </c>
      <c r="F506">
        <v>2</v>
      </c>
      <c r="H506">
        <v>551</v>
      </c>
      <c r="I506">
        <v>551</v>
      </c>
      <c r="J506">
        <v>545</v>
      </c>
      <c r="K506">
        <v>544.5</v>
      </c>
      <c r="L506">
        <v>1.6882255565519</v>
      </c>
      <c r="O506">
        <v>1.04485161049061</v>
      </c>
      <c r="P506">
        <v>1.0115421100277999</v>
      </c>
      <c r="Q506">
        <v>4.6569240018177398</v>
      </c>
    </row>
    <row r="507" spans="1:17" x14ac:dyDescent="0.25">
      <c r="A507" t="s">
        <v>580</v>
      </c>
      <c r="B507" t="s">
        <v>663</v>
      </c>
      <c r="C507" t="s">
        <v>582</v>
      </c>
      <c r="D507" t="s">
        <v>664</v>
      </c>
      <c r="E507">
        <v>1</v>
      </c>
      <c r="F507">
        <v>2</v>
      </c>
      <c r="H507">
        <v>423</v>
      </c>
      <c r="I507">
        <v>423</v>
      </c>
      <c r="J507">
        <v>433</v>
      </c>
      <c r="K507">
        <v>432.5</v>
      </c>
      <c r="L507">
        <v>3.1063650502992801</v>
      </c>
      <c r="O507">
        <v>3.6221517809571897E-2</v>
      </c>
      <c r="P507">
        <v>5.9142994079226199E-2</v>
      </c>
      <c r="Q507">
        <v>54.809302631406901</v>
      </c>
    </row>
    <row r="508" spans="1:17" x14ac:dyDescent="0.25">
      <c r="A508" t="s">
        <v>580</v>
      </c>
      <c r="B508" t="s">
        <v>663</v>
      </c>
      <c r="C508" t="s">
        <v>582</v>
      </c>
      <c r="D508" t="s">
        <v>665</v>
      </c>
      <c r="E508">
        <v>1</v>
      </c>
      <c r="F508">
        <v>2</v>
      </c>
      <c r="H508">
        <v>442</v>
      </c>
      <c r="I508">
        <v>442</v>
      </c>
      <c r="J508">
        <v>433</v>
      </c>
      <c r="K508">
        <v>432.5</v>
      </c>
      <c r="L508">
        <v>3.1063650502992801</v>
      </c>
      <c r="O508">
        <v>8.2064470348880494E-2</v>
      </c>
      <c r="P508">
        <v>5.9142994079226199E-2</v>
      </c>
      <c r="Q508">
        <v>54.809302631406901</v>
      </c>
    </row>
    <row r="509" spans="1:17" x14ac:dyDescent="0.25">
      <c r="A509" t="s">
        <v>580</v>
      </c>
      <c r="B509" t="s">
        <v>663</v>
      </c>
      <c r="C509" t="s">
        <v>607</v>
      </c>
      <c r="D509" t="s">
        <v>664</v>
      </c>
      <c r="E509">
        <v>5</v>
      </c>
      <c r="F509">
        <v>2</v>
      </c>
      <c r="H509">
        <v>271</v>
      </c>
      <c r="I509">
        <v>271</v>
      </c>
      <c r="J509">
        <v>279</v>
      </c>
      <c r="K509">
        <v>278.5</v>
      </c>
      <c r="L509">
        <v>3.8084745844876799</v>
      </c>
      <c r="O509">
        <v>0.83328820730154995</v>
      </c>
      <c r="P509">
        <v>1.0549410964236201</v>
      </c>
      <c r="Q509">
        <v>29.713935972188601</v>
      </c>
    </row>
    <row r="510" spans="1:17" x14ac:dyDescent="0.25">
      <c r="A510" t="s">
        <v>580</v>
      </c>
      <c r="B510" t="s">
        <v>663</v>
      </c>
      <c r="C510" t="s">
        <v>607</v>
      </c>
      <c r="D510" t="s">
        <v>665</v>
      </c>
      <c r="E510">
        <v>5</v>
      </c>
      <c r="F510">
        <v>2</v>
      </c>
      <c r="H510">
        <v>286</v>
      </c>
      <c r="I510">
        <v>286</v>
      </c>
      <c r="J510">
        <v>279</v>
      </c>
      <c r="K510">
        <v>278.5</v>
      </c>
      <c r="L510">
        <v>3.8084745844876799</v>
      </c>
      <c r="O510">
        <v>1.2765939855457</v>
      </c>
      <c r="P510">
        <v>1.0549410964236201</v>
      </c>
      <c r="Q510">
        <v>29.713935972188601</v>
      </c>
    </row>
    <row r="511" spans="1:17" x14ac:dyDescent="0.25">
      <c r="A511" t="s">
        <v>580</v>
      </c>
      <c r="B511" t="s">
        <v>663</v>
      </c>
      <c r="C511" t="s">
        <v>608</v>
      </c>
      <c r="D511" t="s">
        <v>664</v>
      </c>
      <c r="E511">
        <v>9</v>
      </c>
      <c r="F511">
        <v>2</v>
      </c>
      <c r="H511">
        <v>469</v>
      </c>
      <c r="I511">
        <v>469</v>
      </c>
      <c r="J511">
        <v>466</v>
      </c>
      <c r="K511">
        <v>465.5</v>
      </c>
      <c r="L511">
        <v>1.0633184679496901</v>
      </c>
      <c r="O511">
        <v>17.191817142446101</v>
      </c>
      <c r="P511">
        <v>16.2974502940402</v>
      </c>
      <c r="Q511">
        <v>7.7608810208488999</v>
      </c>
    </row>
    <row r="512" spans="1:17" x14ac:dyDescent="0.25">
      <c r="A512" t="s">
        <v>580</v>
      </c>
      <c r="B512" t="s">
        <v>663</v>
      </c>
      <c r="C512" t="s">
        <v>608</v>
      </c>
      <c r="D512" t="s">
        <v>665</v>
      </c>
      <c r="E512">
        <v>9</v>
      </c>
      <c r="F512">
        <v>2</v>
      </c>
      <c r="H512">
        <v>462</v>
      </c>
      <c r="I512">
        <v>462</v>
      </c>
      <c r="J512">
        <v>466</v>
      </c>
      <c r="K512">
        <v>465.5</v>
      </c>
      <c r="L512">
        <v>1.0633184679496901</v>
      </c>
      <c r="O512">
        <v>15.403083445634399</v>
      </c>
      <c r="P512">
        <v>16.2974502940402</v>
      </c>
      <c r="Q512">
        <v>7.7608810208488999</v>
      </c>
    </row>
    <row r="513" spans="1:17" x14ac:dyDescent="0.25">
      <c r="A513" t="s">
        <v>580</v>
      </c>
      <c r="B513" t="s">
        <v>663</v>
      </c>
      <c r="C513" t="s">
        <v>609</v>
      </c>
      <c r="D513" t="s">
        <v>664</v>
      </c>
      <c r="E513">
        <v>2</v>
      </c>
      <c r="F513">
        <v>2</v>
      </c>
      <c r="H513">
        <v>1276</v>
      </c>
      <c r="I513">
        <v>1276</v>
      </c>
      <c r="J513">
        <v>1276</v>
      </c>
      <c r="K513">
        <v>1275.5</v>
      </c>
      <c r="L513">
        <v>5.5437615145946403E-2</v>
      </c>
      <c r="O513">
        <v>0.51842704033975595</v>
      </c>
      <c r="P513">
        <v>0.51573054163480203</v>
      </c>
      <c r="Q513">
        <v>0.73942199106117001</v>
      </c>
    </row>
    <row r="514" spans="1:17" x14ac:dyDescent="0.25">
      <c r="A514" t="s">
        <v>580</v>
      </c>
      <c r="B514" t="s">
        <v>663</v>
      </c>
      <c r="C514" t="s">
        <v>609</v>
      </c>
      <c r="D514" t="s">
        <v>665</v>
      </c>
      <c r="E514">
        <v>2</v>
      </c>
      <c r="F514">
        <v>2</v>
      </c>
      <c r="H514">
        <v>1275</v>
      </c>
      <c r="I514">
        <v>1275</v>
      </c>
      <c r="J514">
        <v>1276</v>
      </c>
      <c r="K514">
        <v>1275.5</v>
      </c>
      <c r="L514">
        <v>5.5437615145946403E-2</v>
      </c>
      <c r="O514">
        <v>0.513034042929849</v>
      </c>
      <c r="P514">
        <v>0.51573054163480203</v>
      </c>
      <c r="Q514">
        <v>0.73942199106117001</v>
      </c>
    </row>
    <row r="515" spans="1:17" x14ac:dyDescent="0.25">
      <c r="A515" t="s">
        <v>580</v>
      </c>
      <c r="B515" t="s">
        <v>663</v>
      </c>
      <c r="C515" t="s">
        <v>610</v>
      </c>
      <c r="D515" t="s">
        <v>664</v>
      </c>
      <c r="E515">
        <v>3</v>
      </c>
      <c r="F515">
        <v>2</v>
      </c>
      <c r="H515">
        <v>537</v>
      </c>
      <c r="I515">
        <v>537</v>
      </c>
      <c r="J515">
        <v>543</v>
      </c>
      <c r="K515">
        <v>543</v>
      </c>
      <c r="L515">
        <v>1.56266691974927</v>
      </c>
      <c r="O515">
        <v>0.11802605835813799</v>
      </c>
      <c r="P515">
        <v>0.14412697769329599</v>
      </c>
      <c r="Q515">
        <v>25.610940231284602</v>
      </c>
    </row>
    <row r="516" spans="1:17" x14ac:dyDescent="0.25">
      <c r="A516" t="s">
        <v>580</v>
      </c>
      <c r="B516" t="s">
        <v>663</v>
      </c>
      <c r="C516" t="s">
        <v>610</v>
      </c>
      <c r="D516" t="s">
        <v>665</v>
      </c>
      <c r="E516">
        <v>3</v>
      </c>
      <c r="F516">
        <v>2</v>
      </c>
      <c r="H516">
        <v>549</v>
      </c>
      <c r="I516">
        <v>549</v>
      </c>
      <c r="J516">
        <v>543</v>
      </c>
      <c r="K516">
        <v>543</v>
      </c>
      <c r="L516">
        <v>1.56266691974927</v>
      </c>
      <c r="O516">
        <v>0.17022789702845501</v>
      </c>
      <c r="P516">
        <v>0.14412697769329599</v>
      </c>
      <c r="Q516">
        <v>25.610940231284602</v>
      </c>
    </row>
    <row r="517" spans="1:17" x14ac:dyDescent="0.25">
      <c r="A517" t="s">
        <v>580</v>
      </c>
      <c r="B517" t="s">
        <v>663</v>
      </c>
      <c r="C517" t="s">
        <v>611</v>
      </c>
      <c r="D517" t="s">
        <v>664</v>
      </c>
      <c r="E517">
        <v>4</v>
      </c>
      <c r="F517">
        <v>2</v>
      </c>
      <c r="H517">
        <v>421089</v>
      </c>
      <c r="I517">
        <v>421089</v>
      </c>
      <c r="J517">
        <v>419915</v>
      </c>
      <c r="K517">
        <v>419914.5</v>
      </c>
      <c r="L517">
        <v>0.39555524493848099</v>
      </c>
      <c r="O517">
        <v>12699.5693025529</v>
      </c>
      <c r="P517">
        <v>12667.583782489201</v>
      </c>
      <c r="Q517">
        <v>0.35708748448307098</v>
      </c>
    </row>
    <row r="518" spans="1:17" x14ac:dyDescent="0.25">
      <c r="A518" t="s">
        <v>580</v>
      </c>
      <c r="B518" t="s">
        <v>663</v>
      </c>
      <c r="C518" t="s">
        <v>611</v>
      </c>
      <c r="D518" t="s">
        <v>665</v>
      </c>
      <c r="E518">
        <v>4</v>
      </c>
      <c r="F518">
        <v>2</v>
      </c>
      <c r="H518">
        <v>418740</v>
      </c>
      <c r="I518">
        <v>418740</v>
      </c>
      <c r="J518">
        <v>419915</v>
      </c>
      <c r="K518">
        <v>419914.5</v>
      </c>
      <c r="L518">
        <v>0.39555524493848099</v>
      </c>
      <c r="O518">
        <v>12635.598262425499</v>
      </c>
      <c r="P518">
        <v>12667.583782489201</v>
      </c>
      <c r="Q518">
        <v>0.35708748448307098</v>
      </c>
    </row>
    <row r="519" spans="1:17" x14ac:dyDescent="0.25">
      <c r="A519" t="s">
        <v>580</v>
      </c>
      <c r="B519" t="s">
        <v>663</v>
      </c>
      <c r="C519" t="s">
        <v>612</v>
      </c>
      <c r="D519" t="s">
        <v>664</v>
      </c>
      <c r="E519">
        <v>7</v>
      </c>
      <c r="F519">
        <v>2</v>
      </c>
      <c r="H519">
        <v>920047</v>
      </c>
      <c r="I519">
        <v>920047</v>
      </c>
      <c r="J519">
        <v>900190</v>
      </c>
      <c r="K519">
        <v>900190</v>
      </c>
      <c r="L519">
        <v>3.1195679476602201</v>
      </c>
      <c r="O519">
        <v>2393.2226786765</v>
      </c>
      <c r="P519">
        <v>2343.4257755173999</v>
      </c>
      <c r="Q519">
        <v>3.0051498343799601</v>
      </c>
    </row>
    <row r="520" spans="1:17" x14ac:dyDescent="0.25">
      <c r="A520" t="s">
        <v>580</v>
      </c>
      <c r="B520" t="s">
        <v>663</v>
      </c>
      <c r="C520" t="s">
        <v>612</v>
      </c>
      <c r="D520" t="s">
        <v>665</v>
      </c>
      <c r="E520">
        <v>7</v>
      </c>
      <c r="F520">
        <v>2</v>
      </c>
      <c r="H520">
        <v>880333</v>
      </c>
      <c r="I520">
        <v>880333</v>
      </c>
      <c r="J520">
        <v>900190</v>
      </c>
      <c r="K520">
        <v>900190</v>
      </c>
      <c r="L520">
        <v>3.1195679476602201</v>
      </c>
      <c r="O520">
        <v>2293.6288723583002</v>
      </c>
      <c r="P520">
        <v>2343.4257755173999</v>
      </c>
      <c r="Q520">
        <v>3.0051498343799601</v>
      </c>
    </row>
    <row r="521" spans="1:17" x14ac:dyDescent="0.25">
      <c r="A521" t="s">
        <v>580</v>
      </c>
      <c r="B521" t="s">
        <v>663</v>
      </c>
      <c r="C521" t="s">
        <v>613</v>
      </c>
      <c r="D521" t="s">
        <v>664</v>
      </c>
      <c r="E521">
        <v>10</v>
      </c>
      <c r="F521">
        <v>2</v>
      </c>
      <c r="H521">
        <v>646297</v>
      </c>
      <c r="I521">
        <v>646297</v>
      </c>
      <c r="J521">
        <v>633152</v>
      </c>
      <c r="K521">
        <v>633152</v>
      </c>
      <c r="L521">
        <v>2.93607811037386</v>
      </c>
      <c r="O521">
        <v>1370.7492185983299</v>
      </c>
      <c r="P521">
        <v>1350.50539555918</v>
      </c>
      <c r="Q521">
        <v>2.11987965323054</v>
      </c>
    </row>
    <row r="522" spans="1:17" x14ac:dyDescent="0.25">
      <c r="A522" t="s">
        <v>580</v>
      </c>
      <c r="B522" t="s">
        <v>663</v>
      </c>
      <c r="C522" t="s">
        <v>613</v>
      </c>
      <c r="D522" t="s">
        <v>665</v>
      </c>
      <c r="E522">
        <v>10</v>
      </c>
      <c r="F522">
        <v>2</v>
      </c>
      <c r="H522">
        <v>620007</v>
      </c>
      <c r="I522">
        <v>620007</v>
      </c>
      <c r="J522">
        <v>633152</v>
      </c>
      <c r="K522">
        <v>633152</v>
      </c>
      <c r="L522">
        <v>2.93607811037386</v>
      </c>
      <c r="O522">
        <v>1330.2615725200401</v>
      </c>
      <c r="P522">
        <v>1350.50539555918</v>
      </c>
      <c r="Q522">
        <v>2.11987965323054</v>
      </c>
    </row>
    <row r="523" spans="1:17" x14ac:dyDescent="0.25">
      <c r="A523" t="s">
        <v>580</v>
      </c>
      <c r="B523" t="s">
        <v>663</v>
      </c>
      <c r="C523" t="s">
        <v>614</v>
      </c>
      <c r="D523" t="s">
        <v>664</v>
      </c>
      <c r="E523">
        <v>8</v>
      </c>
      <c r="F523">
        <v>2</v>
      </c>
      <c r="H523">
        <v>748</v>
      </c>
      <c r="I523">
        <v>748</v>
      </c>
      <c r="J523">
        <v>730</v>
      </c>
      <c r="K523">
        <v>729.5</v>
      </c>
      <c r="L523">
        <v>3.5864223308981802</v>
      </c>
      <c r="O523">
        <v>2.0606426142759702</v>
      </c>
      <c r="P523">
        <v>1.96488563791575</v>
      </c>
      <c r="Q523">
        <v>6.8920456258259097</v>
      </c>
    </row>
    <row r="524" spans="1:17" x14ac:dyDescent="0.25">
      <c r="A524" t="s">
        <v>580</v>
      </c>
      <c r="B524" t="s">
        <v>663</v>
      </c>
      <c r="C524" t="s">
        <v>614</v>
      </c>
      <c r="D524" t="s">
        <v>665</v>
      </c>
      <c r="E524">
        <v>8</v>
      </c>
      <c r="F524">
        <v>2</v>
      </c>
      <c r="H524">
        <v>711</v>
      </c>
      <c r="I524">
        <v>711</v>
      </c>
      <c r="J524">
        <v>730</v>
      </c>
      <c r="K524">
        <v>729.5</v>
      </c>
      <c r="L524">
        <v>3.5864223308981802</v>
      </c>
      <c r="O524">
        <v>1.86912866155554</v>
      </c>
      <c r="P524">
        <v>1.96488563791575</v>
      </c>
      <c r="Q524">
        <v>6.8920456258259097</v>
      </c>
    </row>
    <row r="525" spans="1:17" x14ac:dyDescent="0.25">
      <c r="A525" t="s">
        <v>580</v>
      </c>
      <c r="B525" t="s">
        <v>666</v>
      </c>
      <c r="C525" t="s">
        <v>582</v>
      </c>
      <c r="D525" t="s">
        <v>667</v>
      </c>
      <c r="E525">
        <v>1</v>
      </c>
      <c r="F525">
        <v>2</v>
      </c>
      <c r="H525">
        <v>309</v>
      </c>
      <c r="I525">
        <v>309</v>
      </c>
      <c r="J525">
        <v>302</v>
      </c>
      <c r="K525">
        <v>302</v>
      </c>
      <c r="L525">
        <v>3.2779784558316698</v>
      </c>
      <c r="O525" t="s">
        <v>417</v>
      </c>
      <c r="P525" t="s">
        <v>417</v>
      </c>
      <c r="Q525" t="s">
        <v>417</v>
      </c>
    </row>
    <row r="526" spans="1:17" x14ac:dyDescent="0.25">
      <c r="A526" t="s">
        <v>580</v>
      </c>
      <c r="B526" t="s">
        <v>666</v>
      </c>
      <c r="C526" t="s">
        <v>582</v>
      </c>
      <c r="D526" t="s">
        <v>668</v>
      </c>
      <c r="E526">
        <v>1</v>
      </c>
      <c r="F526">
        <v>2</v>
      </c>
      <c r="H526">
        <v>295</v>
      </c>
      <c r="I526">
        <v>295</v>
      </c>
      <c r="J526">
        <v>302</v>
      </c>
      <c r="K526">
        <v>302</v>
      </c>
      <c r="L526">
        <v>3.2779784558316698</v>
      </c>
      <c r="O526" t="s">
        <v>417</v>
      </c>
      <c r="P526" t="s">
        <v>417</v>
      </c>
      <c r="Q526" t="s">
        <v>417</v>
      </c>
    </row>
    <row r="527" spans="1:17" x14ac:dyDescent="0.25">
      <c r="A527" t="s">
        <v>580</v>
      </c>
      <c r="B527" t="s">
        <v>666</v>
      </c>
      <c r="C527" t="s">
        <v>607</v>
      </c>
      <c r="D527" t="s">
        <v>668</v>
      </c>
      <c r="E527">
        <v>5</v>
      </c>
      <c r="F527">
        <v>2</v>
      </c>
      <c r="H527">
        <v>240</v>
      </c>
      <c r="I527">
        <v>240</v>
      </c>
      <c r="J527">
        <v>231</v>
      </c>
      <c r="K527">
        <v>230.5</v>
      </c>
      <c r="L527">
        <v>5.8286459186743604</v>
      </c>
      <c r="O527" t="s">
        <v>417</v>
      </c>
      <c r="P527" t="s">
        <v>417</v>
      </c>
      <c r="Q527" t="s">
        <v>417</v>
      </c>
    </row>
    <row r="528" spans="1:17" x14ac:dyDescent="0.25">
      <c r="A528" t="s">
        <v>580</v>
      </c>
      <c r="B528" t="s">
        <v>666</v>
      </c>
      <c r="C528" t="s">
        <v>607</v>
      </c>
      <c r="D528" t="s">
        <v>667</v>
      </c>
      <c r="E528">
        <v>5</v>
      </c>
      <c r="F528">
        <v>2</v>
      </c>
      <c r="H528">
        <v>221</v>
      </c>
      <c r="I528">
        <v>221</v>
      </c>
      <c r="J528">
        <v>231</v>
      </c>
      <c r="K528">
        <v>230.5</v>
      </c>
      <c r="L528">
        <v>5.8286459186743604</v>
      </c>
      <c r="O528" t="s">
        <v>417</v>
      </c>
      <c r="P528" t="s">
        <v>417</v>
      </c>
      <c r="Q528" t="s">
        <v>417</v>
      </c>
    </row>
    <row r="529" spans="1:17" x14ac:dyDescent="0.25">
      <c r="A529" t="s">
        <v>580</v>
      </c>
      <c r="B529" t="s">
        <v>666</v>
      </c>
      <c r="C529" t="s">
        <v>608</v>
      </c>
      <c r="D529" t="s">
        <v>668</v>
      </c>
      <c r="E529">
        <v>9</v>
      </c>
      <c r="F529">
        <v>2</v>
      </c>
      <c r="H529">
        <v>480</v>
      </c>
      <c r="I529">
        <v>480</v>
      </c>
      <c r="J529">
        <v>460</v>
      </c>
      <c r="K529">
        <v>460</v>
      </c>
      <c r="L529">
        <v>6.1487546190134497</v>
      </c>
      <c r="O529">
        <v>19.995448789441401</v>
      </c>
      <c r="P529">
        <v>14.8735744575018</v>
      </c>
      <c r="Q529">
        <v>48.6999555197457</v>
      </c>
    </row>
    <row r="530" spans="1:17" x14ac:dyDescent="0.25">
      <c r="A530" t="s">
        <v>580</v>
      </c>
      <c r="B530" t="s">
        <v>666</v>
      </c>
      <c r="C530" t="s">
        <v>608</v>
      </c>
      <c r="D530" t="s">
        <v>667</v>
      </c>
      <c r="E530">
        <v>9</v>
      </c>
      <c r="F530">
        <v>2</v>
      </c>
      <c r="H530">
        <v>440</v>
      </c>
      <c r="I530">
        <v>440</v>
      </c>
      <c r="J530">
        <v>460</v>
      </c>
      <c r="K530">
        <v>460</v>
      </c>
      <c r="L530">
        <v>6.1487546190134497</v>
      </c>
      <c r="O530">
        <v>9.7517001255622002</v>
      </c>
      <c r="P530">
        <v>14.8735744575018</v>
      </c>
      <c r="Q530">
        <v>48.6999555197457</v>
      </c>
    </row>
    <row r="531" spans="1:17" x14ac:dyDescent="0.25">
      <c r="A531" t="s">
        <v>580</v>
      </c>
      <c r="B531" t="s">
        <v>666</v>
      </c>
      <c r="C531" t="s">
        <v>609</v>
      </c>
      <c r="D531" t="s">
        <v>668</v>
      </c>
      <c r="E531">
        <v>2</v>
      </c>
      <c r="F531">
        <v>2</v>
      </c>
      <c r="H531">
        <v>1116</v>
      </c>
      <c r="I531">
        <v>1116</v>
      </c>
      <c r="J531">
        <v>1152</v>
      </c>
      <c r="K531">
        <v>1151.5</v>
      </c>
      <c r="L531">
        <v>4.3599289156964698</v>
      </c>
      <c r="O531" t="s">
        <v>417</v>
      </c>
      <c r="P531">
        <v>5.8575358099724202E-2</v>
      </c>
      <c r="Q531" t="s">
        <v>417</v>
      </c>
    </row>
    <row r="532" spans="1:17" x14ac:dyDescent="0.25">
      <c r="A532" t="s">
        <v>580</v>
      </c>
      <c r="B532" t="s">
        <v>666</v>
      </c>
      <c r="C532" t="s">
        <v>609</v>
      </c>
      <c r="D532" t="s">
        <v>667</v>
      </c>
      <c r="E532">
        <v>2</v>
      </c>
      <c r="F532">
        <v>2</v>
      </c>
      <c r="H532">
        <v>1187</v>
      </c>
      <c r="I532">
        <v>1187</v>
      </c>
      <c r="J532">
        <v>1152</v>
      </c>
      <c r="K532">
        <v>1151.5</v>
      </c>
      <c r="L532">
        <v>4.3599289156964698</v>
      </c>
      <c r="O532">
        <v>5.8575358099724202E-2</v>
      </c>
      <c r="P532" t="s">
        <v>417</v>
      </c>
      <c r="Q532" t="s">
        <v>417</v>
      </c>
    </row>
    <row r="533" spans="1:17" x14ac:dyDescent="0.25">
      <c r="A533" t="s">
        <v>580</v>
      </c>
      <c r="B533" t="s">
        <v>666</v>
      </c>
      <c r="C533" t="s">
        <v>610</v>
      </c>
      <c r="D533" t="s">
        <v>668</v>
      </c>
      <c r="E533">
        <v>3</v>
      </c>
      <c r="F533">
        <v>2</v>
      </c>
      <c r="H533">
        <v>478</v>
      </c>
      <c r="I533">
        <v>478</v>
      </c>
      <c r="J533">
        <v>501</v>
      </c>
      <c r="K533">
        <v>500.5</v>
      </c>
      <c r="L533">
        <v>6.3576034272516697</v>
      </c>
      <c r="O533" t="s">
        <v>417</v>
      </c>
      <c r="P533">
        <v>5.7123792311050803E-2</v>
      </c>
      <c r="Q533" t="s">
        <v>417</v>
      </c>
    </row>
    <row r="534" spans="1:17" x14ac:dyDescent="0.25">
      <c r="A534" t="s">
        <v>580</v>
      </c>
      <c r="B534" t="s">
        <v>666</v>
      </c>
      <c r="C534" t="s">
        <v>610</v>
      </c>
      <c r="D534" t="s">
        <v>667</v>
      </c>
      <c r="E534">
        <v>3</v>
      </c>
      <c r="F534">
        <v>2</v>
      </c>
      <c r="H534">
        <v>523</v>
      </c>
      <c r="I534">
        <v>523</v>
      </c>
      <c r="J534">
        <v>501</v>
      </c>
      <c r="K534">
        <v>500.5</v>
      </c>
      <c r="L534">
        <v>6.3576034272516697</v>
      </c>
      <c r="O534">
        <v>5.7123792311050803E-2</v>
      </c>
      <c r="P534" t="s">
        <v>417</v>
      </c>
      <c r="Q534" t="s">
        <v>417</v>
      </c>
    </row>
    <row r="535" spans="1:17" x14ac:dyDescent="0.25">
      <c r="A535" t="s">
        <v>580</v>
      </c>
      <c r="B535" t="s">
        <v>666</v>
      </c>
      <c r="C535" t="s">
        <v>611</v>
      </c>
      <c r="D535" t="s">
        <v>668</v>
      </c>
      <c r="E535">
        <v>4</v>
      </c>
      <c r="F535">
        <v>2</v>
      </c>
      <c r="H535">
        <v>93249</v>
      </c>
      <c r="I535">
        <v>93249</v>
      </c>
      <c r="J535">
        <v>94070</v>
      </c>
      <c r="K535">
        <v>94070</v>
      </c>
      <c r="L535">
        <v>1.23426101276529</v>
      </c>
      <c r="O535">
        <v>3253.02660761685</v>
      </c>
      <c r="P535">
        <v>3278.9212672650201</v>
      </c>
      <c r="Q535">
        <v>1.11684837428322</v>
      </c>
    </row>
    <row r="536" spans="1:17" x14ac:dyDescent="0.25">
      <c r="A536" t="s">
        <v>580</v>
      </c>
      <c r="B536" t="s">
        <v>666</v>
      </c>
      <c r="C536" t="s">
        <v>611</v>
      </c>
      <c r="D536" t="s">
        <v>667</v>
      </c>
      <c r="E536">
        <v>4</v>
      </c>
      <c r="F536">
        <v>2</v>
      </c>
      <c r="H536">
        <v>94891</v>
      </c>
      <c r="I536">
        <v>94891</v>
      </c>
      <c r="J536">
        <v>94070</v>
      </c>
      <c r="K536">
        <v>94070</v>
      </c>
      <c r="L536">
        <v>1.23426101276529</v>
      </c>
      <c r="O536">
        <v>3304.8159269131902</v>
      </c>
      <c r="P536">
        <v>3278.9212672650201</v>
      </c>
      <c r="Q536">
        <v>1.11684837428322</v>
      </c>
    </row>
    <row r="537" spans="1:17" x14ac:dyDescent="0.25">
      <c r="A537" t="s">
        <v>580</v>
      </c>
      <c r="B537" t="s">
        <v>666</v>
      </c>
      <c r="C537" t="s">
        <v>612</v>
      </c>
      <c r="D537" t="s">
        <v>668</v>
      </c>
      <c r="E537">
        <v>7</v>
      </c>
      <c r="F537">
        <v>2</v>
      </c>
      <c r="H537">
        <v>434175</v>
      </c>
      <c r="I537">
        <v>434175</v>
      </c>
      <c r="J537">
        <v>445295</v>
      </c>
      <c r="K537">
        <v>445294.5</v>
      </c>
      <c r="L537">
        <v>3.5314488965858799</v>
      </c>
      <c r="O537">
        <v>1160.92380882771</v>
      </c>
      <c r="P537">
        <v>1189.54048223573</v>
      </c>
      <c r="Q537">
        <v>3.4021614436836498</v>
      </c>
    </row>
    <row r="538" spans="1:17" x14ac:dyDescent="0.25">
      <c r="A538" t="s">
        <v>580</v>
      </c>
      <c r="B538" t="s">
        <v>666</v>
      </c>
      <c r="C538" t="s">
        <v>612</v>
      </c>
      <c r="D538" t="s">
        <v>667</v>
      </c>
      <c r="E538">
        <v>7</v>
      </c>
      <c r="F538">
        <v>2</v>
      </c>
      <c r="H538">
        <v>456414</v>
      </c>
      <c r="I538">
        <v>456414</v>
      </c>
      <c r="J538">
        <v>445295</v>
      </c>
      <c r="K538">
        <v>445294.5</v>
      </c>
      <c r="L538">
        <v>3.5314488965858799</v>
      </c>
      <c r="O538">
        <v>1218.15715564376</v>
      </c>
      <c r="P538">
        <v>1189.54048223573</v>
      </c>
      <c r="Q538">
        <v>3.4021614436836498</v>
      </c>
    </row>
    <row r="539" spans="1:17" x14ac:dyDescent="0.25">
      <c r="A539" t="s">
        <v>580</v>
      </c>
      <c r="B539" t="s">
        <v>666</v>
      </c>
      <c r="C539" t="s">
        <v>613</v>
      </c>
      <c r="D539" t="s">
        <v>668</v>
      </c>
      <c r="E539">
        <v>10</v>
      </c>
      <c r="F539">
        <v>2</v>
      </c>
      <c r="H539">
        <v>202604</v>
      </c>
      <c r="I539">
        <v>202604</v>
      </c>
      <c r="J539">
        <v>207019</v>
      </c>
      <c r="K539">
        <v>207018.5</v>
      </c>
      <c r="L539">
        <v>3.0156946220246099</v>
      </c>
      <c r="O539">
        <v>593.73935010236096</v>
      </c>
      <c r="P539">
        <v>603.01110716508799</v>
      </c>
      <c r="Q539">
        <v>2.1744615363356599</v>
      </c>
    </row>
    <row r="540" spans="1:17" x14ac:dyDescent="0.25">
      <c r="A540" t="s">
        <v>580</v>
      </c>
      <c r="B540" t="s">
        <v>666</v>
      </c>
      <c r="C540" t="s">
        <v>613</v>
      </c>
      <c r="D540" t="s">
        <v>667</v>
      </c>
      <c r="E540">
        <v>10</v>
      </c>
      <c r="F540">
        <v>2</v>
      </c>
      <c r="H540">
        <v>211433</v>
      </c>
      <c r="I540">
        <v>211433</v>
      </c>
      <c r="J540">
        <v>207019</v>
      </c>
      <c r="K540">
        <v>207018.5</v>
      </c>
      <c r="L540">
        <v>3.0156946220246099</v>
      </c>
      <c r="O540">
        <v>612.28286422781503</v>
      </c>
      <c r="P540">
        <v>603.01110716508799</v>
      </c>
      <c r="Q540">
        <v>2.1744615363356599</v>
      </c>
    </row>
    <row r="541" spans="1:17" x14ac:dyDescent="0.25">
      <c r="A541" t="s">
        <v>580</v>
      </c>
      <c r="B541" t="s">
        <v>666</v>
      </c>
      <c r="C541" t="s">
        <v>614</v>
      </c>
      <c r="D541" t="s">
        <v>668</v>
      </c>
      <c r="E541">
        <v>8</v>
      </c>
      <c r="F541">
        <v>2</v>
      </c>
      <c r="H541">
        <v>635</v>
      </c>
      <c r="I541">
        <v>635</v>
      </c>
      <c r="J541">
        <v>611</v>
      </c>
      <c r="K541">
        <v>610.5</v>
      </c>
      <c r="L541">
        <v>5.6753861225455902</v>
      </c>
      <c r="O541">
        <v>1.47671257189528</v>
      </c>
      <c r="P541">
        <v>1.3506157073110401</v>
      </c>
      <c r="Q541">
        <v>13.2034519591652</v>
      </c>
    </row>
    <row r="542" spans="1:17" x14ac:dyDescent="0.25">
      <c r="A542" t="s">
        <v>580</v>
      </c>
      <c r="B542" t="s">
        <v>666</v>
      </c>
      <c r="C542" t="s">
        <v>614</v>
      </c>
      <c r="D542" t="s">
        <v>667</v>
      </c>
      <c r="E542">
        <v>8</v>
      </c>
      <c r="F542">
        <v>2</v>
      </c>
      <c r="H542">
        <v>586</v>
      </c>
      <c r="I542">
        <v>586</v>
      </c>
      <c r="J542">
        <v>611</v>
      </c>
      <c r="K542">
        <v>610.5</v>
      </c>
      <c r="L542">
        <v>5.6753861225455902</v>
      </c>
      <c r="O542">
        <v>1.2245188427267999</v>
      </c>
      <c r="P542">
        <v>1.3506157073110401</v>
      </c>
      <c r="Q542">
        <v>13.2034519591652</v>
      </c>
    </row>
    <row r="543" spans="1:17" x14ac:dyDescent="0.25">
      <c r="A543" t="s">
        <v>580</v>
      </c>
      <c r="B543" t="s">
        <v>669</v>
      </c>
      <c r="C543" t="s">
        <v>582</v>
      </c>
      <c r="D543" t="s">
        <v>670</v>
      </c>
      <c r="E543">
        <v>1</v>
      </c>
      <c r="F543">
        <v>2</v>
      </c>
      <c r="H543">
        <v>408</v>
      </c>
      <c r="I543">
        <v>408</v>
      </c>
      <c r="J543">
        <v>400</v>
      </c>
      <c r="K543">
        <v>399.5</v>
      </c>
      <c r="L543">
        <v>3.0089650263257299</v>
      </c>
      <c r="O543" t="s">
        <v>417</v>
      </c>
      <c r="P543" t="s">
        <v>417</v>
      </c>
      <c r="Q543" t="s">
        <v>417</v>
      </c>
    </row>
    <row r="544" spans="1:17" x14ac:dyDescent="0.25">
      <c r="A544" t="s">
        <v>580</v>
      </c>
      <c r="B544" t="s">
        <v>669</v>
      </c>
      <c r="C544" t="s">
        <v>582</v>
      </c>
      <c r="D544" t="s">
        <v>671</v>
      </c>
      <c r="E544">
        <v>1</v>
      </c>
      <c r="F544">
        <v>2</v>
      </c>
      <c r="H544">
        <v>391</v>
      </c>
      <c r="I544">
        <v>391</v>
      </c>
      <c r="J544">
        <v>400</v>
      </c>
      <c r="K544">
        <v>399.5</v>
      </c>
      <c r="L544">
        <v>3.0089650263257299</v>
      </c>
      <c r="O544" t="s">
        <v>417</v>
      </c>
      <c r="P544" t="s">
        <v>417</v>
      </c>
      <c r="Q544" t="s">
        <v>417</v>
      </c>
    </row>
    <row r="545" spans="1:17" x14ac:dyDescent="0.25">
      <c r="A545" t="s">
        <v>580</v>
      </c>
      <c r="B545" t="s">
        <v>669</v>
      </c>
      <c r="C545" t="s">
        <v>607</v>
      </c>
      <c r="D545" t="s">
        <v>670</v>
      </c>
      <c r="E545">
        <v>5</v>
      </c>
      <c r="F545">
        <v>2</v>
      </c>
      <c r="H545">
        <v>250</v>
      </c>
      <c r="I545">
        <v>250</v>
      </c>
      <c r="J545">
        <v>249</v>
      </c>
      <c r="K545">
        <v>249</v>
      </c>
      <c r="L545">
        <v>0.567957253965098</v>
      </c>
      <c r="O545">
        <v>0.21161626740188699</v>
      </c>
      <c r="P545">
        <v>0.18194792586726499</v>
      </c>
      <c r="Q545">
        <v>23.060098526206499</v>
      </c>
    </row>
    <row r="546" spans="1:17" x14ac:dyDescent="0.25">
      <c r="A546" t="s">
        <v>580</v>
      </c>
      <c r="B546" t="s">
        <v>669</v>
      </c>
      <c r="C546" t="s">
        <v>607</v>
      </c>
      <c r="D546" t="s">
        <v>671</v>
      </c>
      <c r="E546">
        <v>5</v>
      </c>
      <c r="F546">
        <v>2</v>
      </c>
      <c r="H546">
        <v>248</v>
      </c>
      <c r="I546">
        <v>248</v>
      </c>
      <c r="J546">
        <v>249</v>
      </c>
      <c r="K546">
        <v>249</v>
      </c>
      <c r="L546">
        <v>0.567957253965098</v>
      </c>
      <c r="O546">
        <v>0.15227958433264199</v>
      </c>
      <c r="P546">
        <v>0.18194792586726499</v>
      </c>
      <c r="Q546">
        <v>23.060098526206499</v>
      </c>
    </row>
    <row r="547" spans="1:17" x14ac:dyDescent="0.25">
      <c r="A547" t="s">
        <v>580</v>
      </c>
      <c r="B547" t="s">
        <v>669</v>
      </c>
      <c r="C547" t="s">
        <v>608</v>
      </c>
      <c r="D547" t="s">
        <v>671</v>
      </c>
      <c r="E547">
        <v>9</v>
      </c>
      <c r="F547">
        <v>2</v>
      </c>
      <c r="H547">
        <v>421</v>
      </c>
      <c r="I547">
        <v>421</v>
      </c>
      <c r="J547">
        <v>413</v>
      </c>
      <c r="K547">
        <v>413</v>
      </c>
      <c r="L547">
        <v>2.7393967309890401</v>
      </c>
      <c r="O547">
        <v>4.8168022366255796</v>
      </c>
      <c r="P547">
        <v>2.6926887844330998</v>
      </c>
      <c r="Q547">
        <v>111.559496569974</v>
      </c>
    </row>
    <row r="548" spans="1:17" x14ac:dyDescent="0.25">
      <c r="A548" t="s">
        <v>580</v>
      </c>
      <c r="B548" t="s">
        <v>669</v>
      </c>
      <c r="C548" t="s">
        <v>608</v>
      </c>
      <c r="D548" t="s">
        <v>670</v>
      </c>
      <c r="E548">
        <v>9</v>
      </c>
      <c r="F548">
        <v>2</v>
      </c>
      <c r="H548">
        <v>405</v>
      </c>
      <c r="I548">
        <v>405</v>
      </c>
      <c r="J548">
        <v>413</v>
      </c>
      <c r="K548">
        <v>413</v>
      </c>
      <c r="L548">
        <v>2.7393967309890401</v>
      </c>
      <c r="O548">
        <v>0.56857533224063195</v>
      </c>
      <c r="P548">
        <v>2.6926887844330998</v>
      </c>
      <c r="Q548">
        <v>111.559496569974</v>
      </c>
    </row>
    <row r="549" spans="1:17" x14ac:dyDescent="0.25">
      <c r="A549" t="s">
        <v>580</v>
      </c>
      <c r="B549" t="s">
        <v>669</v>
      </c>
      <c r="C549" t="s">
        <v>609</v>
      </c>
      <c r="D549" t="s">
        <v>670</v>
      </c>
      <c r="E549">
        <v>2</v>
      </c>
      <c r="F549">
        <v>2</v>
      </c>
      <c r="H549">
        <v>1267</v>
      </c>
      <c r="I549">
        <v>1267</v>
      </c>
      <c r="J549">
        <v>1270</v>
      </c>
      <c r="K549">
        <v>1270</v>
      </c>
      <c r="L549">
        <v>0.33406619583616398</v>
      </c>
      <c r="O549">
        <v>0.47001306519106001</v>
      </c>
      <c r="P549">
        <v>0.48613558466408802</v>
      </c>
      <c r="Q549">
        <v>4.6901906418010997</v>
      </c>
    </row>
    <row r="550" spans="1:17" x14ac:dyDescent="0.25">
      <c r="A550" t="s">
        <v>580</v>
      </c>
      <c r="B550" t="s">
        <v>669</v>
      </c>
      <c r="C550" t="s">
        <v>609</v>
      </c>
      <c r="D550" t="s">
        <v>671</v>
      </c>
      <c r="E550">
        <v>2</v>
      </c>
      <c r="F550">
        <v>2</v>
      </c>
      <c r="H550">
        <v>1273</v>
      </c>
      <c r="I550">
        <v>1273</v>
      </c>
      <c r="J550">
        <v>1270</v>
      </c>
      <c r="K550">
        <v>1270</v>
      </c>
      <c r="L550">
        <v>0.33406619583616398</v>
      </c>
      <c r="O550">
        <v>0.50225810413711602</v>
      </c>
      <c r="P550">
        <v>0.48613558466408802</v>
      </c>
      <c r="Q550">
        <v>4.6901906418010997</v>
      </c>
    </row>
    <row r="551" spans="1:17" x14ac:dyDescent="0.25">
      <c r="A551" t="s">
        <v>580</v>
      </c>
      <c r="B551" t="s">
        <v>669</v>
      </c>
      <c r="C551" t="s">
        <v>610</v>
      </c>
      <c r="D551" t="s">
        <v>670</v>
      </c>
      <c r="E551">
        <v>3</v>
      </c>
      <c r="F551">
        <v>2</v>
      </c>
      <c r="H551">
        <v>515</v>
      </c>
      <c r="I551">
        <v>515</v>
      </c>
      <c r="J551">
        <v>527</v>
      </c>
      <c r="K551">
        <v>526.5</v>
      </c>
      <c r="L551">
        <v>3.0889754923628798</v>
      </c>
      <c r="O551">
        <v>2.2322270162418101E-2</v>
      </c>
      <c r="P551">
        <v>7.2349241518150101E-2</v>
      </c>
      <c r="Q551">
        <v>97.787924090369202</v>
      </c>
    </row>
    <row r="552" spans="1:17" x14ac:dyDescent="0.25">
      <c r="A552" t="s">
        <v>580</v>
      </c>
      <c r="B552" t="s">
        <v>669</v>
      </c>
      <c r="C552" t="s">
        <v>610</v>
      </c>
      <c r="D552" t="s">
        <v>671</v>
      </c>
      <c r="E552">
        <v>3</v>
      </c>
      <c r="F552">
        <v>2</v>
      </c>
      <c r="H552">
        <v>538</v>
      </c>
      <c r="I552">
        <v>538</v>
      </c>
      <c r="J552">
        <v>527</v>
      </c>
      <c r="K552">
        <v>526.5</v>
      </c>
      <c r="L552">
        <v>3.0889754923628798</v>
      </c>
      <c r="O552">
        <v>0.12237621287388201</v>
      </c>
      <c r="P552">
        <v>7.2349241518150101E-2</v>
      </c>
      <c r="Q552">
        <v>97.787924090369202</v>
      </c>
    </row>
    <row r="553" spans="1:17" x14ac:dyDescent="0.25">
      <c r="A553" t="s">
        <v>580</v>
      </c>
      <c r="B553" t="s">
        <v>669</v>
      </c>
      <c r="C553" t="s">
        <v>611</v>
      </c>
      <c r="D553" t="s">
        <v>670</v>
      </c>
      <c r="E553">
        <v>4</v>
      </c>
      <c r="F553">
        <v>2</v>
      </c>
      <c r="H553">
        <v>314</v>
      </c>
      <c r="I553">
        <v>314</v>
      </c>
      <c r="J553">
        <v>321</v>
      </c>
      <c r="K553">
        <v>321</v>
      </c>
      <c r="L553">
        <v>3.08395480891329</v>
      </c>
      <c r="O553" t="s">
        <v>417</v>
      </c>
      <c r="P553" t="s">
        <v>417</v>
      </c>
      <c r="Q553" t="s">
        <v>417</v>
      </c>
    </row>
    <row r="554" spans="1:17" x14ac:dyDescent="0.25">
      <c r="A554" t="s">
        <v>580</v>
      </c>
      <c r="B554" t="s">
        <v>669</v>
      </c>
      <c r="C554" t="s">
        <v>611</v>
      </c>
      <c r="D554" t="s">
        <v>671</v>
      </c>
      <c r="E554">
        <v>4</v>
      </c>
      <c r="F554">
        <v>2</v>
      </c>
      <c r="H554">
        <v>328</v>
      </c>
      <c r="I554">
        <v>328</v>
      </c>
      <c r="J554">
        <v>321</v>
      </c>
      <c r="K554">
        <v>321</v>
      </c>
      <c r="L554">
        <v>3.08395480891329</v>
      </c>
      <c r="O554" t="s">
        <v>417</v>
      </c>
      <c r="P554" t="s">
        <v>417</v>
      </c>
      <c r="Q554" t="s">
        <v>417</v>
      </c>
    </row>
    <row r="555" spans="1:17" x14ac:dyDescent="0.25">
      <c r="A555" t="s">
        <v>580</v>
      </c>
      <c r="B555" t="s">
        <v>669</v>
      </c>
      <c r="C555" t="s">
        <v>612</v>
      </c>
      <c r="D555" t="s">
        <v>671</v>
      </c>
      <c r="E555">
        <v>7</v>
      </c>
      <c r="F555">
        <v>2</v>
      </c>
      <c r="H555">
        <v>366</v>
      </c>
      <c r="I555">
        <v>366</v>
      </c>
      <c r="J555">
        <v>370</v>
      </c>
      <c r="K555">
        <v>369.5</v>
      </c>
      <c r="L555">
        <v>1.3395798290408201</v>
      </c>
      <c r="O555">
        <v>0.25204564880352298</v>
      </c>
      <c r="P555">
        <v>0.26454245783222102</v>
      </c>
      <c r="Q555">
        <v>6.6806504179301598</v>
      </c>
    </row>
    <row r="556" spans="1:17" x14ac:dyDescent="0.25">
      <c r="A556" t="s">
        <v>580</v>
      </c>
      <c r="B556" t="s">
        <v>669</v>
      </c>
      <c r="C556" t="s">
        <v>612</v>
      </c>
      <c r="D556" t="s">
        <v>670</v>
      </c>
      <c r="E556">
        <v>7</v>
      </c>
      <c r="F556">
        <v>2</v>
      </c>
      <c r="H556">
        <v>373</v>
      </c>
      <c r="I556">
        <v>373</v>
      </c>
      <c r="J556">
        <v>370</v>
      </c>
      <c r="K556">
        <v>369.5</v>
      </c>
      <c r="L556">
        <v>1.3395798290408201</v>
      </c>
      <c r="O556">
        <v>0.27703926686091801</v>
      </c>
      <c r="P556">
        <v>0.26454245783222102</v>
      </c>
      <c r="Q556">
        <v>6.6806504179301598</v>
      </c>
    </row>
    <row r="557" spans="1:17" x14ac:dyDescent="0.25">
      <c r="A557" t="s">
        <v>580</v>
      </c>
      <c r="B557" t="s">
        <v>669</v>
      </c>
      <c r="C557" t="s">
        <v>613</v>
      </c>
      <c r="D557" t="s">
        <v>671</v>
      </c>
      <c r="E557">
        <v>10</v>
      </c>
      <c r="F557">
        <v>2</v>
      </c>
      <c r="H557">
        <v>309</v>
      </c>
      <c r="I557">
        <v>309</v>
      </c>
      <c r="J557">
        <v>306</v>
      </c>
      <c r="K557">
        <v>305.5</v>
      </c>
      <c r="L557">
        <v>1.6202119372523101</v>
      </c>
      <c r="O557">
        <v>4.5985945715945803E-2</v>
      </c>
      <c r="P557">
        <v>4.5985945715945803E-2</v>
      </c>
      <c r="Q557" t="s">
        <v>417</v>
      </c>
    </row>
    <row r="558" spans="1:17" x14ac:dyDescent="0.25">
      <c r="A558" t="s">
        <v>580</v>
      </c>
      <c r="B558" t="s">
        <v>669</v>
      </c>
      <c r="C558" t="s">
        <v>613</v>
      </c>
      <c r="D558" t="s">
        <v>670</v>
      </c>
      <c r="E558">
        <v>10</v>
      </c>
      <c r="F558">
        <v>2</v>
      </c>
      <c r="H558">
        <v>302</v>
      </c>
      <c r="I558">
        <v>302</v>
      </c>
      <c r="J558">
        <v>306</v>
      </c>
      <c r="K558">
        <v>305.5</v>
      </c>
      <c r="L558">
        <v>1.6202119372523101</v>
      </c>
      <c r="O558" t="s">
        <v>417</v>
      </c>
      <c r="P558" t="s">
        <v>417</v>
      </c>
      <c r="Q558" t="s">
        <v>417</v>
      </c>
    </row>
    <row r="559" spans="1:17" x14ac:dyDescent="0.25">
      <c r="A559" t="s">
        <v>580</v>
      </c>
      <c r="B559" t="s">
        <v>669</v>
      </c>
      <c r="C559" t="s">
        <v>614</v>
      </c>
      <c r="D559" t="s">
        <v>671</v>
      </c>
      <c r="E559">
        <v>8</v>
      </c>
      <c r="F559">
        <v>2</v>
      </c>
      <c r="H559">
        <v>330</v>
      </c>
      <c r="I559">
        <v>330</v>
      </c>
      <c r="J559">
        <v>328</v>
      </c>
      <c r="K559">
        <v>328</v>
      </c>
      <c r="L559">
        <v>0.86232534291042395</v>
      </c>
      <c r="O559" t="s">
        <v>417</v>
      </c>
      <c r="P559" t="s">
        <v>417</v>
      </c>
      <c r="Q559" t="s">
        <v>417</v>
      </c>
    </row>
    <row r="560" spans="1:17" x14ac:dyDescent="0.25">
      <c r="A560" t="s">
        <v>580</v>
      </c>
      <c r="B560" t="s">
        <v>669</v>
      </c>
      <c r="C560" t="s">
        <v>614</v>
      </c>
      <c r="D560" t="s">
        <v>670</v>
      </c>
      <c r="E560">
        <v>8</v>
      </c>
      <c r="F560">
        <v>2</v>
      </c>
      <c r="H560">
        <v>326</v>
      </c>
      <c r="I560">
        <v>326</v>
      </c>
      <c r="J560">
        <v>328</v>
      </c>
      <c r="K560">
        <v>328</v>
      </c>
      <c r="L560">
        <v>0.86232534291042395</v>
      </c>
      <c r="O560" t="s">
        <v>417</v>
      </c>
      <c r="P560" t="s">
        <v>417</v>
      </c>
      <c r="Q560" t="s">
        <v>417</v>
      </c>
    </row>
    <row r="561" spans="1:17" x14ac:dyDescent="0.25">
      <c r="A561" t="s">
        <v>580</v>
      </c>
      <c r="B561" t="s">
        <v>672</v>
      </c>
      <c r="C561" t="s">
        <v>582</v>
      </c>
      <c r="D561" t="s">
        <v>673</v>
      </c>
      <c r="E561">
        <v>1</v>
      </c>
      <c r="F561">
        <v>2</v>
      </c>
      <c r="H561">
        <v>409</v>
      </c>
      <c r="I561">
        <v>409</v>
      </c>
      <c r="J561">
        <v>403</v>
      </c>
      <c r="K561">
        <v>402.5</v>
      </c>
      <c r="L561">
        <v>2.2838231442049901</v>
      </c>
      <c r="O561" s="162">
        <v>8.2381783380408905E-4</v>
      </c>
      <c r="P561" t="s">
        <v>417</v>
      </c>
      <c r="Q561" t="s">
        <v>417</v>
      </c>
    </row>
    <row r="562" spans="1:17" x14ac:dyDescent="0.25">
      <c r="A562" t="s">
        <v>580</v>
      </c>
      <c r="B562" t="s">
        <v>672</v>
      </c>
      <c r="C562" t="s">
        <v>582</v>
      </c>
      <c r="D562" t="s">
        <v>674</v>
      </c>
      <c r="E562">
        <v>1</v>
      </c>
      <c r="F562">
        <v>2</v>
      </c>
      <c r="H562">
        <v>396</v>
      </c>
      <c r="I562">
        <v>396</v>
      </c>
      <c r="J562">
        <v>403</v>
      </c>
      <c r="K562">
        <v>402.5</v>
      </c>
      <c r="L562">
        <v>2.2838231442049901</v>
      </c>
      <c r="O562" t="s">
        <v>417</v>
      </c>
      <c r="P562" t="s">
        <v>417</v>
      </c>
      <c r="Q562" t="s">
        <v>417</v>
      </c>
    </row>
    <row r="563" spans="1:17" x14ac:dyDescent="0.25">
      <c r="A563" t="s">
        <v>580</v>
      </c>
      <c r="B563" t="s">
        <v>672</v>
      </c>
      <c r="C563" t="s">
        <v>607</v>
      </c>
      <c r="D563" t="s">
        <v>673</v>
      </c>
      <c r="E563">
        <v>5</v>
      </c>
      <c r="F563">
        <v>2</v>
      </c>
      <c r="H563">
        <v>257</v>
      </c>
      <c r="I563">
        <v>257</v>
      </c>
      <c r="J563">
        <v>259</v>
      </c>
      <c r="K563">
        <v>259</v>
      </c>
      <c r="L563">
        <v>1.0920568049213</v>
      </c>
      <c r="O563">
        <v>0.41904932046445298</v>
      </c>
      <c r="P563">
        <v>0.478259371889666</v>
      </c>
      <c r="Q563">
        <v>17.508419630857102</v>
      </c>
    </row>
    <row r="564" spans="1:17" x14ac:dyDescent="0.25">
      <c r="A564" t="s">
        <v>580</v>
      </c>
      <c r="B564" t="s">
        <v>672</v>
      </c>
      <c r="C564" t="s">
        <v>607</v>
      </c>
      <c r="D564" t="s">
        <v>674</v>
      </c>
      <c r="E564">
        <v>5</v>
      </c>
      <c r="F564">
        <v>2</v>
      </c>
      <c r="H564">
        <v>261</v>
      </c>
      <c r="I564">
        <v>261</v>
      </c>
      <c r="J564">
        <v>259</v>
      </c>
      <c r="K564">
        <v>259</v>
      </c>
      <c r="L564">
        <v>1.0920568049213</v>
      </c>
      <c r="O564">
        <v>0.53746942331487901</v>
      </c>
      <c r="P564">
        <v>0.478259371889666</v>
      </c>
      <c r="Q564">
        <v>17.508419630857102</v>
      </c>
    </row>
    <row r="565" spans="1:17" x14ac:dyDescent="0.25">
      <c r="A565" t="s">
        <v>580</v>
      </c>
      <c r="B565" t="s">
        <v>672</v>
      </c>
      <c r="C565" t="s">
        <v>608</v>
      </c>
      <c r="D565" t="s">
        <v>673</v>
      </c>
      <c r="E565">
        <v>9</v>
      </c>
      <c r="F565">
        <v>2</v>
      </c>
      <c r="H565">
        <v>451</v>
      </c>
      <c r="I565">
        <v>451</v>
      </c>
      <c r="J565">
        <v>452</v>
      </c>
      <c r="K565">
        <v>451.5</v>
      </c>
      <c r="L565">
        <v>0.156612797604993</v>
      </c>
      <c r="O565">
        <v>12.5837082083191</v>
      </c>
      <c r="P565">
        <v>12.712100252965101</v>
      </c>
      <c r="Q565">
        <v>1.42835383002067</v>
      </c>
    </row>
    <row r="566" spans="1:17" x14ac:dyDescent="0.25">
      <c r="A566" t="s">
        <v>580</v>
      </c>
      <c r="B566" t="s">
        <v>672</v>
      </c>
      <c r="C566" t="s">
        <v>608</v>
      </c>
      <c r="D566" t="s">
        <v>674</v>
      </c>
      <c r="E566">
        <v>9</v>
      </c>
      <c r="F566">
        <v>2</v>
      </c>
      <c r="H566">
        <v>452</v>
      </c>
      <c r="I566">
        <v>452</v>
      </c>
      <c r="J566">
        <v>452</v>
      </c>
      <c r="K566">
        <v>451.5</v>
      </c>
      <c r="L566">
        <v>0.156612797604993</v>
      </c>
      <c r="O566">
        <v>12.840492297611201</v>
      </c>
      <c r="P566">
        <v>12.712100252965101</v>
      </c>
      <c r="Q566">
        <v>1.42835383002067</v>
      </c>
    </row>
    <row r="567" spans="1:17" x14ac:dyDescent="0.25">
      <c r="A567" t="s">
        <v>580</v>
      </c>
      <c r="B567" t="s">
        <v>672</v>
      </c>
      <c r="C567" t="s">
        <v>609</v>
      </c>
      <c r="D567" t="s">
        <v>673</v>
      </c>
      <c r="E567">
        <v>2</v>
      </c>
      <c r="F567">
        <v>2</v>
      </c>
      <c r="H567">
        <v>1253</v>
      </c>
      <c r="I567">
        <v>1253</v>
      </c>
      <c r="J567">
        <v>1228</v>
      </c>
      <c r="K567">
        <v>1227.5</v>
      </c>
      <c r="L567">
        <v>2.93787746154899</v>
      </c>
      <c r="O567">
        <v>0.39529497071966901</v>
      </c>
      <c r="P567">
        <v>0.26348714739601298</v>
      </c>
      <c r="Q567">
        <v>70.745162795751497</v>
      </c>
    </row>
    <row r="568" spans="1:17" x14ac:dyDescent="0.25">
      <c r="A568" t="s">
        <v>580</v>
      </c>
      <c r="B568" t="s">
        <v>672</v>
      </c>
      <c r="C568" t="s">
        <v>609</v>
      </c>
      <c r="D568" t="s">
        <v>674</v>
      </c>
      <c r="E568">
        <v>2</v>
      </c>
      <c r="F568">
        <v>2</v>
      </c>
      <c r="H568">
        <v>1202</v>
      </c>
      <c r="I568">
        <v>1202</v>
      </c>
      <c r="J568">
        <v>1228</v>
      </c>
      <c r="K568">
        <v>1227.5</v>
      </c>
      <c r="L568">
        <v>2.93787746154899</v>
      </c>
      <c r="O568">
        <v>0.131679324072356</v>
      </c>
      <c r="P568">
        <v>0.26348714739601298</v>
      </c>
      <c r="Q568">
        <v>70.745162795751497</v>
      </c>
    </row>
    <row r="569" spans="1:17" x14ac:dyDescent="0.25">
      <c r="A569" t="s">
        <v>580</v>
      </c>
      <c r="B569" t="s">
        <v>672</v>
      </c>
      <c r="C569" t="s">
        <v>610</v>
      </c>
      <c r="D569" t="s">
        <v>673</v>
      </c>
      <c r="E569">
        <v>3</v>
      </c>
      <c r="F569">
        <v>2</v>
      </c>
      <c r="H569">
        <v>554</v>
      </c>
      <c r="I569">
        <v>554</v>
      </c>
      <c r="J569">
        <v>540</v>
      </c>
      <c r="K569">
        <v>540</v>
      </c>
      <c r="L569">
        <v>3.66647960615246</v>
      </c>
      <c r="O569">
        <v>0.191978664206859</v>
      </c>
      <c r="P569">
        <v>0.131076483620019</v>
      </c>
      <c r="Q569">
        <v>65.708727748361596</v>
      </c>
    </row>
    <row r="570" spans="1:17" x14ac:dyDescent="0.25">
      <c r="A570" t="s">
        <v>580</v>
      </c>
      <c r="B570" t="s">
        <v>672</v>
      </c>
      <c r="C570" t="s">
        <v>610</v>
      </c>
      <c r="D570" t="s">
        <v>674</v>
      </c>
      <c r="E570">
        <v>3</v>
      </c>
      <c r="F570">
        <v>2</v>
      </c>
      <c r="H570">
        <v>526</v>
      </c>
      <c r="I570">
        <v>526</v>
      </c>
      <c r="J570">
        <v>540</v>
      </c>
      <c r="K570">
        <v>540</v>
      </c>
      <c r="L570">
        <v>3.66647960615246</v>
      </c>
      <c r="O570">
        <v>7.0174303033179494E-2</v>
      </c>
      <c r="P570">
        <v>0.131076483620019</v>
      </c>
      <c r="Q570">
        <v>65.708727748361596</v>
      </c>
    </row>
    <row r="571" spans="1:17" x14ac:dyDescent="0.25">
      <c r="A571" t="s">
        <v>580</v>
      </c>
      <c r="B571" t="s">
        <v>672</v>
      </c>
      <c r="C571" t="s">
        <v>611</v>
      </c>
      <c r="D571" t="s">
        <v>673</v>
      </c>
      <c r="E571">
        <v>4</v>
      </c>
      <c r="F571">
        <v>2</v>
      </c>
      <c r="H571">
        <v>329</v>
      </c>
      <c r="I571">
        <v>329</v>
      </c>
      <c r="J571">
        <v>314</v>
      </c>
      <c r="K571">
        <v>313.5</v>
      </c>
      <c r="L571">
        <v>6.9921244710631401</v>
      </c>
      <c r="O571" t="s">
        <v>417</v>
      </c>
      <c r="P571" t="s">
        <v>417</v>
      </c>
      <c r="Q571" t="s">
        <v>417</v>
      </c>
    </row>
    <row r="572" spans="1:17" x14ac:dyDescent="0.25">
      <c r="A572" t="s">
        <v>580</v>
      </c>
      <c r="B572" t="s">
        <v>672</v>
      </c>
      <c r="C572" t="s">
        <v>611</v>
      </c>
      <c r="D572" t="s">
        <v>674</v>
      </c>
      <c r="E572">
        <v>4</v>
      </c>
      <c r="F572">
        <v>2</v>
      </c>
      <c r="H572">
        <v>298</v>
      </c>
      <c r="I572">
        <v>298</v>
      </c>
      <c r="J572">
        <v>314</v>
      </c>
      <c r="K572">
        <v>313.5</v>
      </c>
      <c r="L572">
        <v>6.9921244710631401</v>
      </c>
      <c r="O572" t="s">
        <v>417</v>
      </c>
      <c r="P572" t="s">
        <v>417</v>
      </c>
      <c r="Q572" t="s">
        <v>417</v>
      </c>
    </row>
    <row r="573" spans="1:17" x14ac:dyDescent="0.25">
      <c r="A573" t="s">
        <v>580</v>
      </c>
      <c r="B573" t="s">
        <v>672</v>
      </c>
      <c r="C573" t="s">
        <v>612</v>
      </c>
      <c r="D573" t="s">
        <v>673</v>
      </c>
      <c r="E573">
        <v>7</v>
      </c>
      <c r="F573">
        <v>2</v>
      </c>
      <c r="H573">
        <v>375</v>
      </c>
      <c r="I573">
        <v>375</v>
      </c>
      <c r="J573">
        <v>378</v>
      </c>
      <c r="K573">
        <v>377.5</v>
      </c>
      <c r="L573">
        <v>0.93656527309476501</v>
      </c>
      <c r="O573">
        <v>0.28416381838794902</v>
      </c>
      <c r="P573">
        <v>0.29305448607054402</v>
      </c>
      <c r="Q573">
        <v>4.2904317841602104</v>
      </c>
    </row>
    <row r="574" spans="1:17" x14ac:dyDescent="0.25">
      <c r="A574" t="s">
        <v>580</v>
      </c>
      <c r="B574" t="s">
        <v>672</v>
      </c>
      <c r="C574" t="s">
        <v>612</v>
      </c>
      <c r="D574" t="s">
        <v>674</v>
      </c>
      <c r="E574">
        <v>7</v>
      </c>
      <c r="F574">
        <v>2</v>
      </c>
      <c r="H574">
        <v>380</v>
      </c>
      <c r="I574">
        <v>380</v>
      </c>
      <c r="J574">
        <v>378</v>
      </c>
      <c r="K574">
        <v>377.5</v>
      </c>
      <c r="L574">
        <v>0.93656527309476501</v>
      </c>
      <c r="O574">
        <v>0.30194515375313902</v>
      </c>
      <c r="P574">
        <v>0.29305448607054402</v>
      </c>
      <c r="Q574">
        <v>4.2904317841602104</v>
      </c>
    </row>
    <row r="575" spans="1:17" x14ac:dyDescent="0.25">
      <c r="A575" t="s">
        <v>580</v>
      </c>
      <c r="B575" t="s">
        <v>672</v>
      </c>
      <c r="C575" t="s">
        <v>613</v>
      </c>
      <c r="D575" t="s">
        <v>673</v>
      </c>
      <c r="E575">
        <v>10</v>
      </c>
      <c r="F575">
        <v>2</v>
      </c>
      <c r="H575">
        <v>307</v>
      </c>
      <c r="I575">
        <v>307</v>
      </c>
      <c r="J575">
        <v>305</v>
      </c>
      <c r="K575">
        <v>305</v>
      </c>
      <c r="L575">
        <v>0.92735315565448795</v>
      </c>
      <c r="O575" t="s">
        <v>417</v>
      </c>
      <c r="P575" t="s">
        <v>417</v>
      </c>
      <c r="Q575" t="s">
        <v>417</v>
      </c>
    </row>
    <row r="576" spans="1:17" x14ac:dyDescent="0.25">
      <c r="A576" t="s">
        <v>580</v>
      </c>
      <c r="B576" t="s">
        <v>672</v>
      </c>
      <c r="C576" t="s">
        <v>613</v>
      </c>
      <c r="D576" t="s">
        <v>674</v>
      </c>
      <c r="E576">
        <v>10</v>
      </c>
      <c r="F576">
        <v>2</v>
      </c>
      <c r="H576">
        <v>303</v>
      </c>
      <c r="I576">
        <v>303</v>
      </c>
      <c r="J576">
        <v>305</v>
      </c>
      <c r="K576">
        <v>305</v>
      </c>
      <c r="L576">
        <v>0.92735315565448795</v>
      </c>
      <c r="O576" t="s">
        <v>417</v>
      </c>
      <c r="P576" t="s">
        <v>417</v>
      </c>
      <c r="Q576" t="s">
        <v>417</v>
      </c>
    </row>
    <row r="577" spans="1:17" x14ac:dyDescent="0.25">
      <c r="A577" t="s">
        <v>580</v>
      </c>
      <c r="B577" t="s">
        <v>672</v>
      </c>
      <c r="C577" t="s">
        <v>614</v>
      </c>
      <c r="D577" t="s">
        <v>673</v>
      </c>
      <c r="E577">
        <v>8</v>
      </c>
      <c r="F577">
        <v>2</v>
      </c>
      <c r="H577">
        <v>344</v>
      </c>
      <c r="I577">
        <v>344</v>
      </c>
      <c r="J577">
        <v>344</v>
      </c>
      <c r="K577">
        <v>343.5</v>
      </c>
      <c r="L577">
        <v>0.205853502528834</v>
      </c>
      <c r="O577" t="s">
        <v>417</v>
      </c>
      <c r="P577" t="s">
        <v>417</v>
      </c>
      <c r="Q577" t="s">
        <v>417</v>
      </c>
    </row>
    <row r="578" spans="1:17" x14ac:dyDescent="0.25">
      <c r="A578" t="s">
        <v>580</v>
      </c>
      <c r="B578" t="s">
        <v>672</v>
      </c>
      <c r="C578" t="s">
        <v>614</v>
      </c>
      <c r="D578" t="s">
        <v>674</v>
      </c>
      <c r="E578">
        <v>8</v>
      </c>
      <c r="F578">
        <v>2</v>
      </c>
      <c r="H578">
        <v>343</v>
      </c>
      <c r="I578">
        <v>343</v>
      </c>
      <c r="J578">
        <v>344</v>
      </c>
      <c r="K578">
        <v>343.5</v>
      </c>
      <c r="L578">
        <v>0.205853502528834</v>
      </c>
      <c r="O578" t="s">
        <v>417</v>
      </c>
      <c r="P578" t="s">
        <v>417</v>
      </c>
      <c r="Q578" t="s">
        <v>417</v>
      </c>
    </row>
    <row r="579" spans="1:17" x14ac:dyDescent="0.25">
      <c r="A579" t="s">
        <v>580</v>
      </c>
      <c r="B579" t="s">
        <v>675</v>
      </c>
      <c r="C579" t="s">
        <v>582</v>
      </c>
      <c r="D579" t="s">
        <v>676</v>
      </c>
      <c r="E579">
        <v>1</v>
      </c>
      <c r="F579">
        <v>2</v>
      </c>
      <c r="H579">
        <v>374</v>
      </c>
      <c r="I579">
        <v>374</v>
      </c>
      <c r="J579">
        <v>380</v>
      </c>
      <c r="K579">
        <v>379.5</v>
      </c>
      <c r="L579">
        <v>2.0495848730044801</v>
      </c>
      <c r="O579" t="s">
        <v>417</v>
      </c>
      <c r="P579" t="s">
        <v>417</v>
      </c>
      <c r="Q579" t="s">
        <v>417</v>
      </c>
    </row>
    <row r="580" spans="1:17" x14ac:dyDescent="0.25">
      <c r="A580" t="s">
        <v>580</v>
      </c>
      <c r="B580" t="s">
        <v>675</v>
      </c>
      <c r="C580" t="s">
        <v>582</v>
      </c>
      <c r="D580" t="s">
        <v>677</v>
      </c>
      <c r="E580">
        <v>1</v>
      </c>
      <c r="F580">
        <v>2</v>
      </c>
      <c r="H580">
        <v>385</v>
      </c>
      <c r="I580">
        <v>385</v>
      </c>
      <c r="J580">
        <v>380</v>
      </c>
      <c r="K580">
        <v>379.5</v>
      </c>
      <c r="L580">
        <v>2.0495848730044801</v>
      </c>
      <c r="O580" t="s">
        <v>417</v>
      </c>
      <c r="P580" t="s">
        <v>417</v>
      </c>
      <c r="Q580" t="s">
        <v>417</v>
      </c>
    </row>
    <row r="581" spans="1:17" x14ac:dyDescent="0.25">
      <c r="A581" t="s">
        <v>580</v>
      </c>
      <c r="B581" t="s">
        <v>675</v>
      </c>
      <c r="C581" t="s">
        <v>607</v>
      </c>
      <c r="D581" t="s">
        <v>676</v>
      </c>
      <c r="E581">
        <v>5</v>
      </c>
      <c r="F581">
        <v>2</v>
      </c>
      <c r="H581">
        <v>261</v>
      </c>
      <c r="I581">
        <v>261</v>
      </c>
      <c r="J581">
        <v>255</v>
      </c>
      <c r="K581">
        <v>254.5</v>
      </c>
      <c r="L581">
        <v>3.6119403361198801</v>
      </c>
      <c r="O581">
        <v>0.53746942331487901</v>
      </c>
      <c r="P581">
        <v>0.34487450382376</v>
      </c>
      <c r="Q581">
        <v>78.976655034980993</v>
      </c>
    </row>
    <row r="582" spans="1:17" x14ac:dyDescent="0.25">
      <c r="A582" t="s">
        <v>580</v>
      </c>
      <c r="B582" t="s">
        <v>675</v>
      </c>
      <c r="C582" t="s">
        <v>607</v>
      </c>
      <c r="D582" t="s">
        <v>677</v>
      </c>
      <c r="E582">
        <v>5</v>
      </c>
      <c r="F582">
        <v>2</v>
      </c>
      <c r="H582">
        <v>248</v>
      </c>
      <c r="I582">
        <v>248</v>
      </c>
      <c r="J582">
        <v>255</v>
      </c>
      <c r="K582">
        <v>254.5</v>
      </c>
      <c r="L582">
        <v>3.6119403361198801</v>
      </c>
      <c r="O582">
        <v>0.15227958433264199</v>
      </c>
      <c r="P582">
        <v>0.34487450382376</v>
      </c>
      <c r="Q582">
        <v>78.976655034980993</v>
      </c>
    </row>
    <row r="583" spans="1:17" x14ac:dyDescent="0.25">
      <c r="A583" t="s">
        <v>580</v>
      </c>
      <c r="B583" t="s">
        <v>675</v>
      </c>
      <c r="C583" t="s">
        <v>608</v>
      </c>
      <c r="D583" t="s">
        <v>677</v>
      </c>
      <c r="E583">
        <v>9</v>
      </c>
      <c r="F583">
        <v>2</v>
      </c>
      <c r="H583">
        <v>425</v>
      </c>
      <c r="I583">
        <v>425</v>
      </c>
      <c r="J583">
        <v>434</v>
      </c>
      <c r="K583">
        <v>433.5</v>
      </c>
      <c r="L583">
        <v>2.7729677693590098</v>
      </c>
      <c r="O583">
        <v>5.8617890330051496</v>
      </c>
      <c r="P583">
        <v>8.0647448317604997</v>
      </c>
      <c r="Q583">
        <v>38.630484074821801</v>
      </c>
    </row>
    <row r="584" spans="1:17" x14ac:dyDescent="0.25">
      <c r="A584" t="s">
        <v>580</v>
      </c>
      <c r="B584" t="s">
        <v>675</v>
      </c>
      <c r="C584" t="s">
        <v>608</v>
      </c>
      <c r="D584" t="s">
        <v>676</v>
      </c>
      <c r="E584">
        <v>9</v>
      </c>
      <c r="F584">
        <v>2</v>
      </c>
      <c r="H584">
        <v>442</v>
      </c>
      <c r="I584">
        <v>442</v>
      </c>
      <c r="J584">
        <v>434</v>
      </c>
      <c r="K584">
        <v>433.5</v>
      </c>
      <c r="L584">
        <v>2.7729677693590098</v>
      </c>
      <c r="O584">
        <v>10.267700630515799</v>
      </c>
      <c r="P584">
        <v>8.0647448317604997</v>
      </c>
      <c r="Q584">
        <v>38.630484074821801</v>
      </c>
    </row>
    <row r="585" spans="1:17" x14ac:dyDescent="0.25">
      <c r="A585" t="s">
        <v>580</v>
      </c>
      <c r="B585" t="s">
        <v>675</v>
      </c>
      <c r="C585" t="s">
        <v>609</v>
      </c>
      <c r="D585" t="s">
        <v>676</v>
      </c>
      <c r="E585">
        <v>2</v>
      </c>
      <c r="F585">
        <v>2</v>
      </c>
      <c r="H585">
        <v>1239</v>
      </c>
      <c r="I585">
        <v>1239</v>
      </c>
      <c r="J585">
        <v>1241</v>
      </c>
      <c r="K585">
        <v>1241</v>
      </c>
      <c r="L585">
        <v>0.227915159125398</v>
      </c>
      <c r="O585">
        <v>0.321404961929107</v>
      </c>
      <c r="P585">
        <v>0.33191414301310701</v>
      </c>
      <c r="Q585">
        <v>4.4777321880621797</v>
      </c>
    </row>
    <row r="586" spans="1:17" x14ac:dyDescent="0.25">
      <c r="A586" t="s">
        <v>580</v>
      </c>
      <c r="B586" t="s">
        <v>675</v>
      </c>
      <c r="C586" t="s">
        <v>609</v>
      </c>
      <c r="D586" t="s">
        <v>677</v>
      </c>
      <c r="E586">
        <v>2</v>
      </c>
      <c r="F586">
        <v>2</v>
      </c>
      <c r="H586">
        <v>1243</v>
      </c>
      <c r="I586">
        <v>1243</v>
      </c>
      <c r="J586">
        <v>1241</v>
      </c>
      <c r="K586">
        <v>1241</v>
      </c>
      <c r="L586">
        <v>0.227915159125398</v>
      </c>
      <c r="O586">
        <v>0.34242332409710802</v>
      </c>
      <c r="P586">
        <v>0.33191414301310701</v>
      </c>
      <c r="Q586">
        <v>4.4777321880621797</v>
      </c>
    </row>
    <row r="587" spans="1:17" x14ac:dyDescent="0.25">
      <c r="A587" t="s">
        <v>580</v>
      </c>
      <c r="B587" t="s">
        <v>675</v>
      </c>
      <c r="C587" t="s">
        <v>610</v>
      </c>
      <c r="D587" t="s">
        <v>676</v>
      </c>
      <c r="E587">
        <v>3</v>
      </c>
      <c r="F587">
        <v>2</v>
      </c>
      <c r="H587">
        <v>533</v>
      </c>
      <c r="I587">
        <v>533</v>
      </c>
      <c r="J587">
        <v>526</v>
      </c>
      <c r="K587">
        <v>525.5</v>
      </c>
      <c r="L587">
        <v>2.01838281975227</v>
      </c>
      <c r="O587">
        <v>0.100625434302667</v>
      </c>
      <c r="P587">
        <v>6.7999156918894493E-2</v>
      </c>
      <c r="Q587">
        <v>67.854552992344495</v>
      </c>
    </row>
    <row r="588" spans="1:17" x14ac:dyDescent="0.25">
      <c r="A588" t="s">
        <v>580</v>
      </c>
      <c r="B588" t="s">
        <v>675</v>
      </c>
      <c r="C588" t="s">
        <v>610</v>
      </c>
      <c r="D588" t="s">
        <v>677</v>
      </c>
      <c r="E588">
        <v>3</v>
      </c>
      <c r="F588">
        <v>2</v>
      </c>
      <c r="H588">
        <v>518</v>
      </c>
      <c r="I588">
        <v>518</v>
      </c>
      <c r="J588">
        <v>526</v>
      </c>
      <c r="K588">
        <v>525.5</v>
      </c>
      <c r="L588">
        <v>2.01838281975227</v>
      </c>
      <c r="O588">
        <v>3.5372879535121103E-2</v>
      </c>
      <c r="P588">
        <v>6.7999156918894493E-2</v>
      </c>
      <c r="Q588">
        <v>67.854552992344495</v>
      </c>
    </row>
    <row r="589" spans="1:17" x14ac:dyDescent="0.25">
      <c r="A589" t="s">
        <v>580</v>
      </c>
      <c r="B589" t="s">
        <v>675</v>
      </c>
      <c r="C589" t="s">
        <v>611</v>
      </c>
      <c r="D589" t="s">
        <v>676</v>
      </c>
      <c r="E589">
        <v>4</v>
      </c>
      <c r="F589">
        <v>2</v>
      </c>
      <c r="H589">
        <v>328</v>
      </c>
      <c r="I589">
        <v>328</v>
      </c>
      <c r="J589">
        <v>320</v>
      </c>
      <c r="K589">
        <v>320</v>
      </c>
      <c r="L589">
        <v>3.5355339059327302</v>
      </c>
      <c r="O589" t="s">
        <v>417</v>
      </c>
      <c r="P589" t="s">
        <v>417</v>
      </c>
      <c r="Q589" t="s">
        <v>417</v>
      </c>
    </row>
    <row r="590" spans="1:17" x14ac:dyDescent="0.25">
      <c r="A590" t="s">
        <v>580</v>
      </c>
      <c r="B590" t="s">
        <v>675</v>
      </c>
      <c r="C590" t="s">
        <v>611</v>
      </c>
      <c r="D590" t="s">
        <v>677</v>
      </c>
      <c r="E590">
        <v>4</v>
      </c>
      <c r="F590">
        <v>2</v>
      </c>
      <c r="H590">
        <v>312</v>
      </c>
      <c r="I590">
        <v>312</v>
      </c>
      <c r="J590">
        <v>320</v>
      </c>
      <c r="K590">
        <v>320</v>
      </c>
      <c r="L590">
        <v>3.5355339059327302</v>
      </c>
      <c r="O590" t="s">
        <v>417</v>
      </c>
      <c r="P590" t="s">
        <v>417</v>
      </c>
      <c r="Q590" t="s">
        <v>417</v>
      </c>
    </row>
    <row r="591" spans="1:17" x14ac:dyDescent="0.25">
      <c r="A591" t="s">
        <v>580</v>
      </c>
      <c r="B591" t="s">
        <v>675</v>
      </c>
      <c r="C591" t="s">
        <v>612</v>
      </c>
      <c r="D591" t="s">
        <v>677</v>
      </c>
      <c r="E591">
        <v>7</v>
      </c>
      <c r="F591">
        <v>2</v>
      </c>
      <c r="H591">
        <v>358</v>
      </c>
      <c r="I591">
        <v>358</v>
      </c>
      <c r="J591">
        <v>355</v>
      </c>
      <c r="K591">
        <v>355</v>
      </c>
      <c r="L591">
        <v>1.1951100527096501</v>
      </c>
      <c r="O591">
        <v>0.22336187192668999</v>
      </c>
      <c r="P591">
        <v>0.212558534489798</v>
      </c>
      <c r="Q591">
        <v>7.1877736449479102</v>
      </c>
    </row>
    <row r="592" spans="1:17" x14ac:dyDescent="0.25">
      <c r="A592" t="s">
        <v>580</v>
      </c>
      <c r="B592" t="s">
        <v>675</v>
      </c>
      <c r="C592" t="s">
        <v>612</v>
      </c>
      <c r="D592" t="s">
        <v>676</v>
      </c>
      <c r="E592">
        <v>7</v>
      </c>
      <c r="F592">
        <v>2</v>
      </c>
      <c r="H592">
        <v>352</v>
      </c>
      <c r="I592">
        <v>352</v>
      </c>
      <c r="J592">
        <v>355</v>
      </c>
      <c r="K592">
        <v>355</v>
      </c>
      <c r="L592">
        <v>1.1951100527096501</v>
      </c>
      <c r="O592">
        <v>0.20175519705290601</v>
      </c>
      <c r="P592">
        <v>0.212558534489798</v>
      </c>
      <c r="Q592">
        <v>7.1877736449479102</v>
      </c>
    </row>
    <row r="593" spans="1:17" x14ac:dyDescent="0.25">
      <c r="A593" t="s">
        <v>580</v>
      </c>
      <c r="B593" t="s">
        <v>675</v>
      </c>
      <c r="C593" t="s">
        <v>613</v>
      </c>
      <c r="D593" t="s">
        <v>677</v>
      </c>
      <c r="E593">
        <v>10</v>
      </c>
      <c r="F593">
        <v>2</v>
      </c>
      <c r="H593">
        <v>295</v>
      </c>
      <c r="I593">
        <v>295</v>
      </c>
      <c r="J593">
        <v>296</v>
      </c>
      <c r="K593">
        <v>296</v>
      </c>
      <c r="L593">
        <v>0.47777485215307203</v>
      </c>
      <c r="O593" t="s">
        <v>417</v>
      </c>
      <c r="P593" t="s">
        <v>417</v>
      </c>
      <c r="Q593" t="s">
        <v>417</v>
      </c>
    </row>
    <row r="594" spans="1:17" x14ac:dyDescent="0.25">
      <c r="A594" t="s">
        <v>580</v>
      </c>
      <c r="B594" t="s">
        <v>675</v>
      </c>
      <c r="C594" t="s">
        <v>613</v>
      </c>
      <c r="D594" t="s">
        <v>676</v>
      </c>
      <c r="E594">
        <v>10</v>
      </c>
      <c r="F594">
        <v>2</v>
      </c>
      <c r="H594">
        <v>297</v>
      </c>
      <c r="I594">
        <v>297</v>
      </c>
      <c r="J594">
        <v>296</v>
      </c>
      <c r="K594">
        <v>296</v>
      </c>
      <c r="L594">
        <v>0.47777485215307203</v>
      </c>
      <c r="O594" t="s">
        <v>417</v>
      </c>
      <c r="P594" t="s">
        <v>417</v>
      </c>
      <c r="Q594" t="s">
        <v>417</v>
      </c>
    </row>
    <row r="595" spans="1:17" x14ac:dyDescent="0.25">
      <c r="A595" t="s">
        <v>580</v>
      </c>
      <c r="B595" t="s">
        <v>675</v>
      </c>
      <c r="C595" t="s">
        <v>614</v>
      </c>
      <c r="D595" t="s">
        <v>677</v>
      </c>
      <c r="E595">
        <v>8</v>
      </c>
      <c r="F595">
        <v>2</v>
      </c>
      <c r="H595">
        <v>363</v>
      </c>
      <c r="I595">
        <v>363</v>
      </c>
      <c r="J595">
        <v>350</v>
      </c>
      <c r="K595">
        <v>349.5</v>
      </c>
      <c r="L595">
        <v>5.4626274941449999</v>
      </c>
      <c r="O595">
        <v>9.2057476262690494E-2</v>
      </c>
      <c r="P595">
        <v>9.2057476262690494E-2</v>
      </c>
      <c r="Q595" t="s">
        <v>417</v>
      </c>
    </row>
    <row r="596" spans="1:17" x14ac:dyDescent="0.25">
      <c r="A596" t="s">
        <v>580</v>
      </c>
      <c r="B596" t="s">
        <v>675</v>
      </c>
      <c r="C596" t="s">
        <v>614</v>
      </c>
      <c r="D596" t="s">
        <v>676</v>
      </c>
      <c r="E596">
        <v>8</v>
      </c>
      <c r="F596">
        <v>2</v>
      </c>
      <c r="H596">
        <v>336</v>
      </c>
      <c r="I596">
        <v>336</v>
      </c>
      <c r="J596">
        <v>350</v>
      </c>
      <c r="K596">
        <v>349.5</v>
      </c>
      <c r="L596">
        <v>5.4626274941449999</v>
      </c>
      <c r="O596" t="s">
        <v>417</v>
      </c>
      <c r="P596" t="s">
        <v>417</v>
      </c>
      <c r="Q596" t="s">
        <v>417</v>
      </c>
    </row>
    <row r="597" spans="1:17" x14ac:dyDescent="0.25">
      <c r="A597" t="s">
        <v>580</v>
      </c>
      <c r="B597" t="s">
        <v>678</v>
      </c>
      <c r="C597" t="s">
        <v>582</v>
      </c>
      <c r="D597" t="s">
        <v>679</v>
      </c>
      <c r="E597">
        <v>1</v>
      </c>
      <c r="F597">
        <v>2</v>
      </c>
      <c r="H597">
        <v>409</v>
      </c>
      <c r="I597">
        <v>409</v>
      </c>
      <c r="J597">
        <v>406</v>
      </c>
      <c r="K597">
        <v>406</v>
      </c>
      <c r="L597">
        <v>1.04498539091608</v>
      </c>
      <c r="O597" s="162">
        <v>8.2381783380408905E-4</v>
      </c>
      <c r="P597" t="s">
        <v>417</v>
      </c>
      <c r="Q597" t="s">
        <v>417</v>
      </c>
    </row>
    <row r="598" spans="1:17" x14ac:dyDescent="0.25">
      <c r="A598" t="s">
        <v>580</v>
      </c>
      <c r="B598" t="s">
        <v>678</v>
      </c>
      <c r="C598" t="s">
        <v>582</v>
      </c>
      <c r="D598" t="s">
        <v>680</v>
      </c>
      <c r="E598">
        <v>1</v>
      </c>
      <c r="F598">
        <v>2</v>
      </c>
      <c r="H598">
        <v>403</v>
      </c>
      <c r="I598">
        <v>403</v>
      </c>
      <c r="J598">
        <v>406</v>
      </c>
      <c r="K598">
        <v>406</v>
      </c>
      <c r="L598">
        <v>1.04498539091608</v>
      </c>
      <c r="O598" t="s">
        <v>417</v>
      </c>
      <c r="P598" t="s">
        <v>417</v>
      </c>
      <c r="Q598" t="s">
        <v>417</v>
      </c>
    </row>
    <row r="599" spans="1:17" x14ac:dyDescent="0.25">
      <c r="A599" t="s">
        <v>580</v>
      </c>
      <c r="B599" t="s">
        <v>678</v>
      </c>
      <c r="C599" t="s">
        <v>607</v>
      </c>
      <c r="D599" t="s">
        <v>679</v>
      </c>
      <c r="E599">
        <v>5</v>
      </c>
      <c r="F599">
        <v>2</v>
      </c>
      <c r="H599">
        <v>246</v>
      </c>
      <c r="I599">
        <v>246</v>
      </c>
      <c r="J599">
        <v>248</v>
      </c>
      <c r="K599">
        <v>247.5</v>
      </c>
      <c r="L599">
        <v>0.85709912871096605</v>
      </c>
      <c r="O599">
        <v>9.2890461418582496E-2</v>
      </c>
      <c r="P599">
        <v>0.13742187388296701</v>
      </c>
      <c r="Q599">
        <v>45.827440478941703</v>
      </c>
    </row>
    <row r="600" spans="1:17" x14ac:dyDescent="0.25">
      <c r="A600" t="s">
        <v>580</v>
      </c>
      <c r="B600" t="s">
        <v>678</v>
      </c>
      <c r="C600" t="s">
        <v>607</v>
      </c>
      <c r="D600" t="s">
        <v>680</v>
      </c>
      <c r="E600">
        <v>5</v>
      </c>
      <c r="F600">
        <v>2</v>
      </c>
      <c r="H600">
        <v>249</v>
      </c>
      <c r="I600">
        <v>249</v>
      </c>
      <c r="J600">
        <v>248</v>
      </c>
      <c r="K600">
        <v>247.5</v>
      </c>
      <c r="L600">
        <v>0.85709912871096605</v>
      </c>
      <c r="O600">
        <v>0.181953286347352</v>
      </c>
      <c r="P600">
        <v>0.13742187388296701</v>
      </c>
      <c r="Q600">
        <v>45.827440478941703</v>
      </c>
    </row>
    <row r="601" spans="1:17" x14ac:dyDescent="0.25">
      <c r="A601" t="s">
        <v>580</v>
      </c>
      <c r="B601" t="s">
        <v>678</v>
      </c>
      <c r="C601" t="s">
        <v>608</v>
      </c>
      <c r="D601" t="s">
        <v>679</v>
      </c>
      <c r="E601">
        <v>9</v>
      </c>
      <c r="F601">
        <v>2</v>
      </c>
      <c r="H601">
        <v>430</v>
      </c>
      <c r="I601">
        <v>430</v>
      </c>
      <c r="J601">
        <v>436</v>
      </c>
      <c r="K601">
        <v>436</v>
      </c>
      <c r="L601">
        <v>1.94616545280701</v>
      </c>
      <c r="O601">
        <v>7.1628756970560996</v>
      </c>
      <c r="P601">
        <v>8.7152881637859707</v>
      </c>
      <c r="Q601">
        <v>25.190707680429998</v>
      </c>
    </row>
    <row r="602" spans="1:17" x14ac:dyDescent="0.25">
      <c r="A602" t="s">
        <v>580</v>
      </c>
      <c r="B602" t="s">
        <v>678</v>
      </c>
      <c r="C602" t="s">
        <v>608</v>
      </c>
      <c r="D602" t="s">
        <v>680</v>
      </c>
      <c r="E602">
        <v>9</v>
      </c>
      <c r="F602">
        <v>2</v>
      </c>
      <c r="H602">
        <v>442</v>
      </c>
      <c r="I602">
        <v>442</v>
      </c>
      <c r="J602">
        <v>436</v>
      </c>
      <c r="K602">
        <v>436</v>
      </c>
      <c r="L602">
        <v>1.94616545280701</v>
      </c>
      <c r="O602">
        <v>10.267700630515799</v>
      </c>
      <c r="P602">
        <v>8.7152881637859707</v>
      </c>
      <c r="Q602">
        <v>25.190707680429998</v>
      </c>
    </row>
    <row r="603" spans="1:17" x14ac:dyDescent="0.25">
      <c r="A603" t="s">
        <v>580</v>
      </c>
      <c r="B603" t="s">
        <v>678</v>
      </c>
      <c r="C603" t="s">
        <v>609</v>
      </c>
      <c r="D603" t="s">
        <v>679</v>
      </c>
      <c r="E603">
        <v>2</v>
      </c>
      <c r="F603">
        <v>2</v>
      </c>
      <c r="H603">
        <v>1201</v>
      </c>
      <c r="I603">
        <v>1201</v>
      </c>
      <c r="J603">
        <v>1230</v>
      </c>
      <c r="K603">
        <v>1230</v>
      </c>
      <c r="L603">
        <v>3.33432465925363</v>
      </c>
      <c r="O603">
        <v>0.12670901170601201</v>
      </c>
      <c r="P603">
        <v>0.27696618892569003</v>
      </c>
      <c r="Q603">
        <v>76.722627657984106</v>
      </c>
    </row>
    <row r="604" spans="1:17" x14ac:dyDescent="0.25">
      <c r="A604" t="s">
        <v>580</v>
      </c>
      <c r="B604" t="s">
        <v>678</v>
      </c>
      <c r="C604" t="s">
        <v>609</v>
      </c>
      <c r="D604" t="s">
        <v>680</v>
      </c>
      <c r="E604">
        <v>2</v>
      </c>
      <c r="F604">
        <v>2</v>
      </c>
      <c r="H604">
        <v>1259</v>
      </c>
      <c r="I604">
        <v>1259</v>
      </c>
      <c r="J604">
        <v>1230</v>
      </c>
      <c r="K604">
        <v>1230</v>
      </c>
      <c r="L604">
        <v>3.33432465925363</v>
      </c>
      <c r="O604">
        <v>0.42722336614536799</v>
      </c>
      <c r="P604">
        <v>0.27696618892569003</v>
      </c>
      <c r="Q604">
        <v>76.722627657984106</v>
      </c>
    </row>
    <row r="605" spans="1:17" x14ac:dyDescent="0.25">
      <c r="A605" t="s">
        <v>580</v>
      </c>
      <c r="B605" t="s">
        <v>678</v>
      </c>
      <c r="C605" t="s">
        <v>610</v>
      </c>
      <c r="D605" t="s">
        <v>679</v>
      </c>
      <c r="E605">
        <v>3</v>
      </c>
      <c r="F605">
        <v>2</v>
      </c>
      <c r="H605">
        <v>531</v>
      </c>
      <c r="I605">
        <v>531</v>
      </c>
      <c r="J605">
        <v>541</v>
      </c>
      <c r="K605">
        <v>541</v>
      </c>
      <c r="L605">
        <v>2.6140731282312202</v>
      </c>
      <c r="O605">
        <v>9.1925117391413694E-2</v>
      </c>
      <c r="P605">
        <v>0.13542666032461501</v>
      </c>
      <c r="Q605">
        <v>45.427149907430397</v>
      </c>
    </row>
    <row r="606" spans="1:17" x14ac:dyDescent="0.25">
      <c r="A606" t="s">
        <v>580</v>
      </c>
      <c r="B606" t="s">
        <v>678</v>
      </c>
      <c r="C606" t="s">
        <v>610</v>
      </c>
      <c r="D606" t="s">
        <v>680</v>
      </c>
      <c r="E606">
        <v>3</v>
      </c>
      <c r="F606">
        <v>2</v>
      </c>
      <c r="H606">
        <v>551</v>
      </c>
      <c r="I606">
        <v>551</v>
      </c>
      <c r="J606">
        <v>541</v>
      </c>
      <c r="K606">
        <v>541</v>
      </c>
      <c r="L606">
        <v>2.6140731282312202</v>
      </c>
      <c r="O606">
        <v>0.178928203257817</v>
      </c>
      <c r="P606">
        <v>0.13542666032461501</v>
      </c>
      <c r="Q606">
        <v>45.427149907430397</v>
      </c>
    </row>
    <row r="607" spans="1:17" x14ac:dyDescent="0.25">
      <c r="A607" t="s">
        <v>580</v>
      </c>
      <c r="B607" t="s">
        <v>678</v>
      </c>
      <c r="C607" t="s">
        <v>611</v>
      </c>
      <c r="D607" t="s">
        <v>679</v>
      </c>
      <c r="E607">
        <v>4</v>
      </c>
      <c r="F607">
        <v>2</v>
      </c>
      <c r="H607">
        <v>322</v>
      </c>
      <c r="I607">
        <v>322</v>
      </c>
      <c r="J607">
        <v>328</v>
      </c>
      <c r="K607">
        <v>328</v>
      </c>
      <c r="L607">
        <v>2.5869760287312702</v>
      </c>
      <c r="O607" t="s">
        <v>417</v>
      </c>
      <c r="P607" t="s">
        <v>417</v>
      </c>
      <c r="Q607" t="s">
        <v>417</v>
      </c>
    </row>
    <row r="608" spans="1:17" x14ac:dyDescent="0.25">
      <c r="A608" t="s">
        <v>580</v>
      </c>
      <c r="B608" t="s">
        <v>678</v>
      </c>
      <c r="C608" t="s">
        <v>611</v>
      </c>
      <c r="D608" t="s">
        <v>680</v>
      </c>
      <c r="E608">
        <v>4</v>
      </c>
      <c r="F608">
        <v>2</v>
      </c>
      <c r="H608">
        <v>334</v>
      </c>
      <c r="I608">
        <v>334</v>
      </c>
      <c r="J608">
        <v>328</v>
      </c>
      <c r="K608">
        <v>328</v>
      </c>
      <c r="L608">
        <v>2.5869760287312702</v>
      </c>
      <c r="O608" t="s">
        <v>417</v>
      </c>
      <c r="P608" t="s">
        <v>417</v>
      </c>
      <c r="Q608" t="s">
        <v>417</v>
      </c>
    </row>
    <row r="609" spans="1:17" x14ac:dyDescent="0.25">
      <c r="A609" t="s">
        <v>580</v>
      </c>
      <c r="B609" t="s">
        <v>678</v>
      </c>
      <c r="C609" t="s">
        <v>612</v>
      </c>
      <c r="D609" t="s">
        <v>679</v>
      </c>
      <c r="E609">
        <v>7</v>
      </c>
      <c r="F609">
        <v>2</v>
      </c>
      <c r="H609">
        <v>336</v>
      </c>
      <c r="I609">
        <v>336</v>
      </c>
      <c r="J609">
        <v>322</v>
      </c>
      <c r="K609">
        <v>322</v>
      </c>
      <c r="L609">
        <v>6.1487546190134497</v>
      </c>
      <c r="O609">
        <v>0.14365968215715799</v>
      </c>
      <c r="P609">
        <v>9.1440968282552104E-2</v>
      </c>
      <c r="Q609">
        <v>80.760751726684703</v>
      </c>
    </row>
    <row r="610" spans="1:17" x14ac:dyDescent="0.25">
      <c r="A610" t="s">
        <v>580</v>
      </c>
      <c r="B610" t="s">
        <v>678</v>
      </c>
      <c r="C610" t="s">
        <v>612</v>
      </c>
      <c r="D610" t="s">
        <v>680</v>
      </c>
      <c r="E610">
        <v>7</v>
      </c>
      <c r="F610">
        <v>2</v>
      </c>
      <c r="H610">
        <v>308</v>
      </c>
      <c r="I610">
        <v>308</v>
      </c>
      <c r="J610">
        <v>322</v>
      </c>
      <c r="K610">
        <v>322</v>
      </c>
      <c r="L610">
        <v>6.1487546190134497</v>
      </c>
      <c r="O610">
        <v>3.9222254407945703E-2</v>
      </c>
      <c r="P610">
        <v>9.1440968282552104E-2</v>
      </c>
      <c r="Q610">
        <v>80.760751726684703</v>
      </c>
    </row>
    <row r="611" spans="1:17" x14ac:dyDescent="0.25">
      <c r="A611" t="s">
        <v>580</v>
      </c>
      <c r="B611" t="s">
        <v>678</v>
      </c>
      <c r="C611" t="s">
        <v>613</v>
      </c>
      <c r="D611" t="s">
        <v>679</v>
      </c>
      <c r="E611">
        <v>10</v>
      </c>
      <c r="F611">
        <v>2</v>
      </c>
      <c r="H611">
        <v>281</v>
      </c>
      <c r="I611">
        <v>281</v>
      </c>
      <c r="J611">
        <v>294</v>
      </c>
      <c r="K611">
        <v>293.5</v>
      </c>
      <c r="L611">
        <v>6.0230560578070396</v>
      </c>
      <c r="O611" t="s">
        <v>417</v>
      </c>
      <c r="P611" t="s">
        <v>417</v>
      </c>
      <c r="Q611" t="s">
        <v>417</v>
      </c>
    </row>
    <row r="612" spans="1:17" x14ac:dyDescent="0.25">
      <c r="A612" t="s">
        <v>580</v>
      </c>
      <c r="B612" t="s">
        <v>678</v>
      </c>
      <c r="C612" t="s">
        <v>613</v>
      </c>
      <c r="D612" t="s">
        <v>680</v>
      </c>
      <c r="E612">
        <v>10</v>
      </c>
      <c r="F612">
        <v>2</v>
      </c>
      <c r="H612">
        <v>306</v>
      </c>
      <c r="I612">
        <v>306</v>
      </c>
      <c r="J612">
        <v>294</v>
      </c>
      <c r="K612">
        <v>293.5</v>
      </c>
      <c r="L612">
        <v>6.0230560578070396</v>
      </c>
      <c r="O612" t="s">
        <v>417</v>
      </c>
      <c r="P612" t="s">
        <v>417</v>
      </c>
      <c r="Q612" t="s">
        <v>417</v>
      </c>
    </row>
    <row r="613" spans="1:17" x14ac:dyDescent="0.25">
      <c r="A613" t="s">
        <v>580</v>
      </c>
      <c r="B613" t="s">
        <v>678</v>
      </c>
      <c r="C613" t="s">
        <v>614</v>
      </c>
      <c r="D613" t="s">
        <v>679</v>
      </c>
      <c r="E613">
        <v>8</v>
      </c>
      <c r="F613">
        <v>2</v>
      </c>
      <c r="H613">
        <v>324</v>
      </c>
      <c r="I613">
        <v>324</v>
      </c>
      <c r="J613">
        <v>329</v>
      </c>
      <c r="K613">
        <v>328.5</v>
      </c>
      <c r="L613">
        <v>1.9372788525658799</v>
      </c>
      <c r="O613" t="s">
        <v>417</v>
      </c>
      <c r="P613" t="s">
        <v>417</v>
      </c>
      <c r="Q613" t="s">
        <v>417</v>
      </c>
    </row>
    <row r="614" spans="1:17" x14ac:dyDescent="0.25">
      <c r="A614" t="s">
        <v>580</v>
      </c>
      <c r="B614" t="s">
        <v>678</v>
      </c>
      <c r="C614" t="s">
        <v>614</v>
      </c>
      <c r="D614" t="s">
        <v>680</v>
      </c>
      <c r="E614">
        <v>8</v>
      </c>
      <c r="F614">
        <v>2</v>
      </c>
      <c r="H614">
        <v>333</v>
      </c>
      <c r="I614">
        <v>333</v>
      </c>
      <c r="J614">
        <v>329</v>
      </c>
      <c r="K614">
        <v>328.5</v>
      </c>
      <c r="L614">
        <v>1.9372788525658799</v>
      </c>
      <c r="O614" t="s">
        <v>417</v>
      </c>
      <c r="P614" t="s">
        <v>417</v>
      </c>
      <c r="Q614" t="s">
        <v>417</v>
      </c>
    </row>
    <row r="615" spans="1:17" x14ac:dyDescent="0.25">
      <c r="A615" t="s">
        <v>580</v>
      </c>
      <c r="B615" t="s">
        <v>681</v>
      </c>
      <c r="C615" t="s">
        <v>582</v>
      </c>
      <c r="D615" t="s">
        <v>682</v>
      </c>
      <c r="E615">
        <v>1</v>
      </c>
      <c r="F615">
        <v>2</v>
      </c>
      <c r="H615">
        <v>308</v>
      </c>
      <c r="I615">
        <v>308</v>
      </c>
      <c r="J615">
        <v>328</v>
      </c>
      <c r="K615">
        <v>327.5</v>
      </c>
      <c r="L615">
        <v>8.4205082339772002</v>
      </c>
      <c r="O615" t="s">
        <v>417</v>
      </c>
      <c r="P615" t="s">
        <v>417</v>
      </c>
      <c r="Q615" t="s">
        <v>417</v>
      </c>
    </row>
    <row r="616" spans="1:17" x14ac:dyDescent="0.25">
      <c r="A616" t="s">
        <v>580</v>
      </c>
      <c r="B616" t="s">
        <v>681</v>
      </c>
      <c r="C616" t="s">
        <v>582</v>
      </c>
      <c r="D616" t="s">
        <v>683</v>
      </c>
      <c r="E616">
        <v>1</v>
      </c>
      <c r="F616">
        <v>2</v>
      </c>
      <c r="H616">
        <v>347</v>
      </c>
      <c r="I616">
        <v>347</v>
      </c>
      <c r="J616">
        <v>328</v>
      </c>
      <c r="K616">
        <v>327.5</v>
      </c>
      <c r="L616">
        <v>8.4205082339772002</v>
      </c>
      <c r="O616" t="s">
        <v>417</v>
      </c>
      <c r="P616" t="s">
        <v>417</v>
      </c>
      <c r="Q616" t="s">
        <v>417</v>
      </c>
    </row>
    <row r="617" spans="1:17" x14ac:dyDescent="0.25">
      <c r="A617" t="s">
        <v>580</v>
      </c>
      <c r="B617" t="s">
        <v>681</v>
      </c>
      <c r="C617" t="s">
        <v>607</v>
      </c>
      <c r="D617" t="s">
        <v>682</v>
      </c>
      <c r="E617">
        <v>5</v>
      </c>
      <c r="F617">
        <v>2</v>
      </c>
      <c r="H617">
        <v>236</v>
      </c>
      <c r="I617">
        <v>236</v>
      </c>
      <c r="J617">
        <v>231</v>
      </c>
      <c r="K617">
        <v>230.5</v>
      </c>
      <c r="L617">
        <v>3.3744792160746302</v>
      </c>
      <c r="O617" t="s">
        <v>417</v>
      </c>
      <c r="P617" t="s">
        <v>417</v>
      </c>
      <c r="Q617" t="s">
        <v>417</v>
      </c>
    </row>
    <row r="618" spans="1:17" x14ac:dyDescent="0.25">
      <c r="A618" t="s">
        <v>580</v>
      </c>
      <c r="B618" t="s">
        <v>681</v>
      </c>
      <c r="C618" t="s">
        <v>607</v>
      </c>
      <c r="D618" t="s">
        <v>683</v>
      </c>
      <c r="E618">
        <v>5</v>
      </c>
      <c r="F618">
        <v>2</v>
      </c>
      <c r="H618">
        <v>225</v>
      </c>
      <c r="I618">
        <v>225</v>
      </c>
      <c r="J618">
        <v>231</v>
      </c>
      <c r="K618">
        <v>230.5</v>
      </c>
      <c r="L618">
        <v>3.3744792160746302</v>
      </c>
      <c r="O618" t="s">
        <v>417</v>
      </c>
      <c r="P618" t="s">
        <v>417</v>
      </c>
      <c r="Q618" t="s">
        <v>417</v>
      </c>
    </row>
    <row r="619" spans="1:17" x14ac:dyDescent="0.25">
      <c r="A619" t="s">
        <v>580</v>
      </c>
      <c r="B619" t="s">
        <v>681</v>
      </c>
      <c r="C619" t="s">
        <v>608</v>
      </c>
      <c r="D619" t="s">
        <v>682</v>
      </c>
      <c r="E619">
        <v>9</v>
      </c>
      <c r="F619">
        <v>2</v>
      </c>
      <c r="H619">
        <v>557</v>
      </c>
      <c r="I619">
        <v>557</v>
      </c>
      <c r="J619">
        <v>502</v>
      </c>
      <c r="K619">
        <v>502</v>
      </c>
      <c r="L619">
        <v>15.4943716993068</v>
      </c>
      <c r="O619">
        <v>39.449099960336802</v>
      </c>
      <c r="P619">
        <v>25.502307046955298</v>
      </c>
      <c r="Q619">
        <v>77.341017239723996</v>
      </c>
    </row>
    <row r="620" spans="1:17" x14ac:dyDescent="0.25">
      <c r="A620" t="s">
        <v>580</v>
      </c>
      <c r="B620" t="s">
        <v>681</v>
      </c>
      <c r="C620" t="s">
        <v>608</v>
      </c>
      <c r="D620" t="s">
        <v>683</v>
      </c>
      <c r="E620">
        <v>9</v>
      </c>
      <c r="F620">
        <v>2</v>
      </c>
      <c r="H620">
        <v>447</v>
      </c>
      <c r="I620">
        <v>447</v>
      </c>
      <c r="J620">
        <v>502</v>
      </c>
      <c r="K620">
        <v>502</v>
      </c>
      <c r="L620">
        <v>15.4943716993068</v>
      </c>
      <c r="O620">
        <v>11.5555141335738</v>
      </c>
      <c r="P620">
        <v>25.502307046955298</v>
      </c>
      <c r="Q620">
        <v>77.341017239723996</v>
      </c>
    </row>
    <row r="621" spans="1:17" x14ac:dyDescent="0.25">
      <c r="A621" t="s">
        <v>580</v>
      </c>
      <c r="B621" t="s">
        <v>681</v>
      </c>
      <c r="C621" t="s">
        <v>609</v>
      </c>
      <c r="D621" t="s">
        <v>682</v>
      </c>
      <c r="E621">
        <v>2</v>
      </c>
      <c r="F621">
        <v>2</v>
      </c>
      <c r="H621">
        <v>1194</v>
      </c>
      <c r="I621">
        <v>1194</v>
      </c>
      <c r="J621">
        <v>1213</v>
      </c>
      <c r="K621">
        <v>1212.5</v>
      </c>
      <c r="L621">
        <v>2.15776914671358</v>
      </c>
      <c r="O621">
        <v>9.2263422969940306E-2</v>
      </c>
      <c r="P621">
        <v>0.18593948327249801</v>
      </c>
      <c r="Q621">
        <v>71.247888085936097</v>
      </c>
    </row>
    <row r="622" spans="1:17" x14ac:dyDescent="0.25">
      <c r="A622" t="s">
        <v>580</v>
      </c>
      <c r="B622" t="s">
        <v>681</v>
      </c>
      <c r="C622" t="s">
        <v>609</v>
      </c>
      <c r="D622" t="s">
        <v>683</v>
      </c>
      <c r="E622">
        <v>2</v>
      </c>
      <c r="F622">
        <v>2</v>
      </c>
      <c r="H622">
        <v>1231</v>
      </c>
      <c r="I622">
        <v>1231</v>
      </c>
      <c r="J622">
        <v>1213</v>
      </c>
      <c r="K622">
        <v>1212.5</v>
      </c>
      <c r="L622">
        <v>2.15776914671358</v>
      </c>
      <c r="O622">
        <v>0.27961554357505602</v>
      </c>
      <c r="P622">
        <v>0.18593948327249801</v>
      </c>
      <c r="Q622">
        <v>71.247888085936097</v>
      </c>
    </row>
    <row r="623" spans="1:17" x14ac:dyDescent="0.25">
      <c r="A623" t="s">
        <v>580</v>
      </c>
      <c r="B623" t="s">
        <v>681</v>
      </c>
      <c r="C623" t="s">
        <v>610</v>
      </c>
      <c r="D623" t="s">
        <v>682</v>
      </c>
      <c r="E623">
        <v>3</v>
      </c>
      <c r="F623">
        <v>2</v>
      </c>
      <c r="H623">
        <v>543</v>
      </c>
      <c r="I623">
        <v>543</v>
      </c>
      <c r="J623">
        <v>576</v>
      </c>
      <c r="K623">
        <v>576</v>
      </c>
      <c r="L623">
        <v>8.1022652010958502</v>
      </c>
      <c r="O623">
        <v>0.14412698022726</v>
      </c>
      <c r="P623">
        <v>0.28768254334515603</v>
      </c>
      <c r="Q623">
        <v>70.570227152037106</v>
      </c>
    </row>
    <row r="624" spans="1:17" x14ac:dyDescent="0.25">
      <c r="A624" t="s">
        <v>580</v>
      </c>
      <c r="B624" t="s">
        <v>681</v>
      </c>
      <c r="C624" t="s">
        <v>610</v>
      </c>
      <c r="D624" t="s">
        <v>683</v>
      </c>
      <c r="E624">
        <v>3</v>
      </c>
      <c r="F624">
        <v>2</v>
      </c>
      <c r="H624">
        <v>609</v>
      </c>
      <c r="I624">
        <v>609</v>
      </c>
      <c r="J624">
        <v>576</v>
      </c>
      <c r="K624">
        <v>576</v>
      </c>
      <c r="L624">
        <v>8.1022652010958502</v>
      </c>
      <c r="O624">
        <v>0.431238106463051</v>
      </c>
      <c r="P624">
        <v>0.28768254334515603</v>
      </c>
      <c r="Q624">
        <v>70.570227152037106</v>
      </c>
    </row>
    <row r="625" spans="1:17" x14ac:dyDescent="0.25">
      <c r="A625" t="s">
        <v>580</v>
      </c>
      <c r="B625" t="s">
        <v>681</v>
      </c>
      <c r="C625" t="s">
        <v>611</v>
      </c>
      <c r="D625" t="s">
        <v>682</v>
      </c>
      <c r="E625">
        <v>4</v>
      </c>
      <c r="F625">
        <v>2</v>
      </c>
      <c r="H625">
        <v>85427</v>
      </c>
      <c r="I625">
        <v>85427</v>
      </c>
      <c r="J625">
        <v>74235</v>
      </c>
      <c r="K625">
        <v>74235</v>
      </c>
      <c r="L625">
        <v>21.3213149997705</v>
      </c>
      <c r="O625">
        <v>3005.0483260053402</v>
      </c>
      <c r="P625">
        <v>2643.5373157055001</v>
      </c>
      <c r="Q625">
        <v>19.339760050891901</v>
      </c>
    </row>
    <row r="626" spans="1:17" x14ac:dyDescent="0.25">
      <c r="A626" t="s">
        <v>580</v>
      </c>
      <c r="B626" t="s">
        <v>681</v>
      </c>
      <c r="C626" t="s">
        <v>611</v>
      </c>
      <c r="D626" t="s">
        <v>683</v>
      </c>
      <c r="E626">
        <v>4</v>
      </c>
      <c r="F626">
        <v>2</v>
      </c>
      <c r="H626">
        <v>63043</v>
      </c>
      <c r="I626">
        <v>63043</v>
      </c>
      <c r="J626">
        <v>74235</v>
      </c>
      <c r="K626">
        <v>74235</v>
      </c>
      <c r="L626">
        <v>21.3213149997705</v>
      </c>
      <c r="O626">
        <v>2282.02630540566</v>
      </c>
      <c r="P626">
        <v>2643.5373157055001</v>
      </c>
      <c r="Q626">
        <v>19.339760050891901</v>
      </c>
    </row>
    <row r="627" spans="1:17" x14ac:dyDescent="0.25">
      <c r="A627" t="s">
        <v>580</v>
      </c>
      <c r="B627" t="s">
        <v>681</v>
      </c>
      <c r="C627" t="s">
        <v>612</v>
      </c>
      <c r="D627" t="s">
        <v>682</v>
      </c>
      <c r="E627">
        <v>7</v>
      </c>
      <c r="F627">
        <v>2</v>
      </c>
      <c r="H627">
        <v>811601</v>
      </c>
      <c r="I627">
        <v>811601</v>
      </c>
      <c r="J627">
        <v>716107</v>
      </c>
      <c r="K627">
        <v>716106.5</v>
      </c>
      <c r="L627">
        <v>18.858873230732701</v>
      </c>
      <c r="O627">
        <v>2120.8716814542499</v>
      </c>
      <c r="P627">
        <v>1879.3522841977201</v>
      </c>
      <c r="Q627">
        <v>18.174347090128801</v>
      </c>
    </row>
    <row r="628" spans="1:17" x14ac:dyDescent="0.25">
      <c r="A628" t="s">
        <v>580</v>
      </c>
      <c r="B628" t="s">
        <v>681</v>
      </c>
      <c r="C628" t="s">
        <v>612</v>
      </c>
      <c r="D628" t="s">
        <v>683</v>
      </c>
      <c r="E628">
        <v>7</v>
      </c>
      <c r="F628">
        <v>2</v>
      </c>
      <c r="H628">
        <v>620612</v>
      </c>
      <c r="I628">
        <v>620612</v>
      </c>
      <c r="J628">
        <v>716107</v>
      </c>
      <c r="K628">
        <v>716106.5</v>
      </c>
      <c r="L628">
        <v>18.858873230732701</v>
      </c>
      <c r="O628">
        <v>1637.8328869411901</v>
      </c>
      <c r="P628">
        <v>1879.3522841977201</v>
      </c>
      <c r="Q628">
        <v>18.174347090128801</v>
      </c>
    </row>
    <row r="629" spans="1:17" x14ac:dyDescent="0.25">
      <c r="A629" t="s">
        <v>580</v>
      </c>
      <c r="B629" t="s">
        <v>681</v>
      </c>
      <c r="C629" t="s">
        <v>613</v>
      </c>
      <c r="D629" t="s">
        <v>682</v>
      </c>
      <c r="E629">
        <v>10</v>
      </c>
      <c r="F629">
        <v>2</v>
      </c>
      <c r="H629">
        <v>976538</v>
      </c>
      <c r="I629">
        <v>976538</v>
      </c>
      <c r="J629">
        <v>874864</v>
      </c>
      <c r="K629">
        <v>874864</v>
      </c>
      <c r="L629">
        <v>16.435554525128701</v>
      </c>
      <c r="O629">
        <v>1847.0608606138901</v>
      </c>
      <c r="P629">
        <v>1703.64059649565</v>
      </c>
      <c r="Q629">
        <v>11.905497148422199</v>
      </c>
    </row>
    <row r="630" spans="1:17" x14ac:dyDescent="0.25">
      <c r="A630" t="s">
        <v>580</v>
      </c>
      <c r="B630" t="s">
        <v>681</v>
      </c>
      <c r="C630" t="s">
        <v>613</v>
      </c>
      <c r="D630" t="s">
        <v>683</v>
      </c>
      <c r="E630">
        <v>10</v>
      </c>
      <c r="F630">
        <v>2</v>
      </c>
      <c r="H630">
        <v>773190</v>
      </c>
      <c r="I630">
        <v>773190</v>
      </c>
      <c r="J630">
        <v>874864</v>
      </c>
      <c r="K630">
        <v>874864</v>
      </c>
      <c r="L630">
        <v>16.435554525128701</v>
      </c>
      <c r="O630">
        <v>1560.2203323773999</v>
      </c>
      <c r="P630">
        <v>1703.64059649565</v>
      </c>
      <c r="Q630">
        <v>11.905497148422199</v>
      </c>
    </row>
    <row r="631" spans="1:17" x14ac:dyDescent="0.25">
      <c r="A631" t="s">
        <v>580</v>
      </c>
      <c r="B631" t="s">
        <v>681</v>
      </c>
      <c r="C631" t="s">
        <v>614</v>
      </c>
      <c r="D631" t="s">
        <v>682</v>
      </c>
      <c r="E631">
        <v>8</v>
      </c>
      <c r="F631">
        <v>2</v>
      </c>
      <c r="H631">
        <v>1779</v>
      </c>
      <c r="I631">
        <v>1779</v>
      </c>
      <c r="J631">
        <v>1582</v>
      </c>
      <c r="K631">
        <v>1582</v>
      </c>
      <c r="L631">
        <v>17.610624006795099</v>
      </c>
      <c r="O631">
        <v>7.4639174073307801</v>
      </c>
      <c r="P631">
        <v>6.42592401790405</v>
      </c>
      <c r="Q631">
        <v>22.844097205178201</v>
      </c>
    </row>
    <row r="632" spans="1:17" x14ac:dyDescent="0.25">
      <c r="A632" t="s">
        <v>580</v>
      </c>
      <c r="B632" t="s">
        <v>681</v>
      </c>
      <c r="C632" t="s">
        <v>614</v>
      </c>
      <c r="D632" t="s">
        <v>683</v>
      </c>
      <c r="E632">
        <v>8</v>
      </c>
      <c r="F632">
        <v>2</v>
      </c>
      <c r="H632">
        <v>1385</v>
      </c>
      <c r="I632">
        <v>1385</v>
      </c>
      <c r="J632">
        <v>1582</v>
      </c>
      <c r="K632">
        <v>1582</v>
      </c>
      <c r="L632">
        <v>17.610624006795099</v>
      </c>
      <c r="O632">
        <v>5.3879306284773198</v>
      </c>
      <c r="P632">
        <v>6.42592401790405</v>
      </c>
      <c r="Q632">
        <v>22.844097205178201</v>
      </c>
    </row>
    <row r="633" spans="1:17" x14ac:dyDescent="0.25">
      <c r="A633" t="s">
        <v>580</v>
      </c>
      <c r="B633" t="s">
        <v>684</v>
      </c>
      <c r="C633" t="s">
        <v>582</v>
      </c>
      <c r="D633" t="s">
        <v>685</v>
      </c>
      <c r="E633">
        <v>1</v>
      </c>
      <c r="F633">
        <v>2</v>
      </c>
      <c r="H633">
        <v>702</v>
      </c>
      <c r="I633">
        <v>702</v>
      </c>
      <c r="J633">
        <v>625</v>
      </c>
      <c r="K633">
        <v>624.5</v>
      </c>
      <c r="L633">
        <v>17.5502884041497</v>
      </c>
      <c r="O633">
        <v>0.67278612487132705</v>
      </c>
      <c r="P633">
        <v>0.49900495688368102</v>
      </c>
      <c r="Q633">
        <v>49.2507501704942</v>
      </c>
    </row>
    <row r="634" spans="1:17" x14ac:dyDescent="0.25">
      <c r="A634" t="s">
        <v>580</v>
      </c>
      <c r="B634" t="s">
        <v>684</v>
      </c>
      <c r="C634" t="s">
        <v>582</v>
      </c>
      <c r="D634" t="s">
        <v>686</v>
      </c>
      <c r="E634">
        <v>1</v>
      </c>
      <c r="F634">
        <v>2</v>
      </c>
      <c r="H634">
        <v>547</v>
      </c>
      <c r="I634">
        <v>547</v>
      </c>
      <c r="J634">
        <v>625</v>
      </c>
      <c r="K634">
        <v>624.5</v>
      </c>
      <c r="L634">
        <v>17.5502884041497</v>
      </c>
      <c r="O634">
        <v>0.32522378889603598</v>
      </c>
      <c r="P634">
        <v>0.49900495688368102</v>
      </c>
      <c r="Q634">
        <v>49.2507501704942</v>
      </c>
    </row>
    <row r="635" spans="1:17" x14ac:dyDescent="0.25">
      <c r="A635" t="s">
        <v>580</v>
      </c>
      <c r="B635" t="s">
        <v>684</v>
      </c>
      <c r="C635" t="s">
        <v>607</v>
      </c>
      <c r="D635" t="s">
        <v>685</v>
      </c>
      <c r="E635">
        <v>5</v>
      </c>
      <c r="F635">
        <v>2</v>
      </c>
      <c r="H635">
        <v>338</v>
      </c>
      <c r="I635">
        <v>338</v>
      </c>
      <c r="J635">
        <v>358</v>
      </c>
      <c r="K635">
        <v>358</v>
      </c>
      <c r="L635">
        <v>7.9006344266653299</v>
      </c>
      <c r="O635">
        <v>2.8112043392567601</v>
      </c>
      <c r="P635">
        <v>3.4007511714337602</v>
      </c>
      <c r="Q635">
        <v>24.516498964177401</v>
      </c>
    </row>
    <row r="636" spans="1:17" x14ac:dyDescent="0.25">
      <c r="A636" t="s">
        <v>580</v>
      </c>
      <c r="B636" t="s">
        <v>684</v>
      </c>
      <c r="C636" t="s">
        <v>607</v>
      </c>
      <c r="D636" t="s">
        <v>686</v>
      </c>
      <c r="E636">
        <v>5</v>
      </c>
      <c r="F636">
        <v>2</v>
      </c>
      <c r="H636">
        <v>378</v>
      </c>
      <c r="I636">
        <v>378</v>
      </c>
      <c r="J636">
        <v>358</v>
      </c>
      <c r="K636">
        <v>358</v>
      </c>
      <c r="L636">
        <v>7.9006344266653299</v>
      </c>
      <c r="O636">
        <v>3.9902980036107598</v>
      </c>
      <c r="P636">
        <v>3.4007511714337602</v>
      </c>
      <c r="Q636">
        <v>24.516498964177401</v>
      </c>
    </row>
    <row r="637" spans="1:17" x14ac:dyDescent="0.25">
      <c r="A637" t="s">
        <v>580</v>
      </c>
      <c r="B637" t="s">
        <v>684</v>
      </c>
      <c r="C637" t="s">
        <v>608</v>
      </c>
      <c r="D637" t="s">
        <v>685</v>
      </c>
      <c r="E637">
        <v>9</v>
      </c>
      <c r="F637">
        <v>2</v>
      </c>
      <c r="H637">
        <v>572</v>
      </c>
      <c r="I637">
        <v>572</v>
      </c>
      <c r="J637">
        <v>566</v>
      </c>
      <c r="K637">
        <v>565.5</v>
      </c>
      <c r="L637">
        <v>1.6255328303139001</v>
      </c>
      <c r="O637">
        <v>43.213510491950103</v>
      </c>
      <c r="P637">
        <v>41.582457125143598</v>
      </c>
      <c r="Q637">
        <v>5.5471897328003097</v>
      </c>
    </row>
    <row r="638" spans="1:17" x14ac:dyDescent="0.25">
      <c r="A638" t="s">
        <v>580</v>
      </c>
      <c r="B638" t="s">
        <v>684</v>
      </c>
      <c r="C638" t="s">
        <v>608</v>
      </c>
      <c r="D638" t="s">
        <v>686</v>
      </c>
      <c r="E638">
        <v>9</v>
      </c>
      <c r="F638">
        <v>2</v>
      </c>
      <c r="H638">
        <v>559</v>
      </c>
      <c r="I638">
        <v>559</v>
      </c>
      <c r="J638">
        <v>566</v>
      </c>
      <c r="K638">
        <v>565.5</v>
      </c>
      <c r="L638">
        <v>1.6255328303139001</v>
      </c>
      <c r="O638">
        <v>39.951403758337101</v>
      </c>
      <c r="P638">
        <v>41.582457125143598</v>
      </c>
      <c r="Q638">
        <v>5.5471897328003097</v>
      </c>
    </row>
    <row r="639" spans="1:17" x14ac:dyDescent="0.25">
      <c r="A639" t="s">
        <v>580</v>
      </c>
      <c r="B639" t="s">
        <v>684</v>
      </c>
      <c r="C639" t="s">
        <v>609</v>
      </c>
      <c r="D639" t="s">
        <v>685</v>
      </c>
      <c r="E639">
        <v>2</v>
      </c>
      <c r="F639">
        <v>2</v>
      </c>
      <c r="H639">
        <v>1379</v>
      </c>
      <c r="I639">
        <v>1379</v>
      </c>
      <c r="J639">
        <v>1331</v>
      </c>
      <c r="K639">
        <v>1331</v>
      </c>
      <c r="L639">
        <v>5.1000939890239296</v>
      </c>
      <c r="O639">
        <v>1.08783561613335</v>
      </c>
      <c r="P639">
        <v>0.82205234932284599</v>
      </c>
      <c r="Q639">
        <v>45.723888616687603</v>
      </c>
    </row>
    <row r="640" spans="1:17" x14ac:dyDescent="0.25">
      <c r="A640" t="s">
        <v>580</v>
      </c>
      <c r="B640" t="s">
        <v>684</v>
      </c>
      <c r="C640" t="s">
        <v>609</v>
      </c>
      <c r="D640" t="s">
        <v>686</v>
      </c>
      <c r="E640">
        <v>2</v>
      </c>
      <c r="F640">
        <v>2</v>
      </c>
      <c r="H640">
        <v>1283</v>
      </c>
      <c r="I640">
        <v>1283</v>
      </c>
      <c r="J640">
        <v>1331</v>
      </c>
      <c r="K640">
        <v>1331</v>
      </c>
      <c r="L640">
        <v>5.1000939890239296</v>
      </c>
      <c r="O640">
        <v>0.55626908251234197</v>
      </c>
      <c r="P640">
        <v>0.82205234932284599</v>
      </c>
      <c r="Q640">
        <v>45.723888616687603</v>
      </c>
    </row>
    <row r="641" spans="1:17" x14ac:dyDescent="0.25">
      <c r="A641" t="s">
        <v>580</v>
      </c>
      <c r="B641" t="s">
        <v>684</v>
      </c>
      <c r="C641" t="s">
        <v>610</v>
      </c>
      <c r="D641" t="s">
        <v>685</v>
      </c>
      <c r="E641">
        <v>3</v>
      </c>
      <c r="F641">
        <v>2</v>
      </c>
      <c r="H641">
        <v>594</v>
      </c>
      <c r="I641">
        <v>594</v>
      </c>
      <c r="J641">
        <v>620</v>
      </c>
      <c r="K641">
        <v>620</v>
      </c>
      <c r="L641">
        <v>5.9305730035000703</v>
      </c>
      <c r="O641">
        <v>0.36598528528345198</v>
      </c>
      <c r="P641">
        <v>0.479090681225741</v>
      </c>
      <c r="Q641">
        <v>33.387246128420102</v>
      </c>
    </row>
    <row r="642" spans="1:17" x14ac:dyDescent="0.25">
      <c r="A642" t="s">
        <v>580</v>
      </c>
      <c r="B642" t="s">
        <v>684</v>
      </c>
      <c r="C642" t="s">
        <v>610</v>
      </c>
      <c r="D642" t="s">
        <v>686</v>
      </c>
      <c r="E642">
        <v>3</v>
      </c>
      <c r="F642">
        <v>2</v>
      </c>
      <c r="H642">
        <v>646</v>
      </c>
      <c r="I642">
        <v>646</v>
      </c>
      <c r="J642">
        <v>620</v>
      </c>
      <c r="K642">
        <v>620</v>
      </c>
      <c r="L642">
        <v>5.9305730035000703</v>
      </c>
      <c r="O642">
        <v>0.59219607716802902</v>
      </c>
      <c r="P642">
        <v>0.479090681225741</v>
      </c>
      <c r="Q642">
        <v>33.387246128420102</v>
      </c>
    </row>
    <row r="643" spans="1:17" x14ac:dyDescent="0.25">
      <c r="A643" t="s">
        <v>580</v>
      </c>
      <c r="B643" t="s">
        <v>684</v>
      </c>
      <c r="C643" t="s">
        <v>611</v>
      </c>
      <c r="D643" t="s">
        <v>685</v>
      </c>
      <c r="E643">
        <v>4</v>
      </c>
      <c r="F643">
        <v>2</v>
      </c>
      <c r="H643">
        <v>857688</v>
      </c>
      <c r="I643">
        <v>857688</v>
      </c>
      <c r="J643">
        <v>888976</v>
      </c>
      <c r="K643">
        <v>888975.5</v>
      </c>
      <c r="L643">
        <v>4.9773257905024604</v>
      </c>
      <c r="O643">
        <v>24139.659317212001</v>
      </c>
      <c r="P643">
        <v>24932.2094622849</v>
      </c>
      <c r="Q643">
        <v>4.49553083419391</v>
      </c>
    </row>
    <row r="644" spans="1:17" x14ac:dyDescent="0.25">
      <c r="A644" t="s">
        <v>580</v>
      </c>
      <c r="B644" t="s">
        <v>684</v>
      </c>
      <c r="C644" t="s">
        <v>611</v>
      </c>
      <c r="D644" t="s">
        <v>686</v>
      </c>
      <c r="E644">
        <v>4</v>
      </c>
      <c r="F644">
        <v>2</v>
      </c>
      <c r="H644">
        <v>920263</v>
      </c>
      <c r="I644">
        <v>920263</v>
      </c>
      <c r="J644">
        <v>888976</v>
      </c>
      <c r="K644">
        <v>888975.5</v>
      </c>
      <c r="L644">
        <v>4.9773257905024604</v>
      </c>
      <c r="O644">
        <v>25724.759607357799</v>
      </c>
      <c r="P644">
        <v>24932.2094622849</v>
      </c>
      <c r="Q644">
        <v>4.49553083419391</v>
      </c>
    </row>
    <row r="645" spans="1:17" x14ac:dyDescent="0.25">
      <c r="A645" t="s">
        <v>580</v>
      </c>
      <c r="B645" t="s">
        <v>684</v>
      </c>
      <c r="C645" t="s">
        <v>612</v>
      </c>
      <c r="D645" t="s">
        <v>685</v>
      </c>
      <c r="E645">
        <v>7</v>
      </c>
      <c r="F645">
        <v>2</v>
      </c>
      <c r="H645">
        <v>1718200</v>
      </c>
      <c r="I645">
        <v>1718200</v>
      </c>
      <c r="J645">
        <v>1725018</v>
      </c>
      <c r="K645">
        <v>1725018</v>
      </c>
      <c r="L645">
        <v>0.55895695397148104</v>
      </c>
      <c r="O645">
        <v>4368.4760925173196</v>
      </c>
      <c r="P645">
        <v>4385.17788143895</v>
      </c>
      <c r="Q645">
        <v>0.53863029157456299</v>
      </c>
    </row>
    <row r="646" spans="1:17" x14ac:dyDescent="0.25">
      <c r="A646" t="s">
        <v>580</v>
      </c>
      <c r="B646" t="s">
        <v>684</v>
      </c>
      <c r="C646" t="s">
        <v>612</v>
      </c>
      <c r="D646" t="s">
        <v>686</v>
      </c>
      <c r="E646">
        <v>7</v>
      </c>
      <c r="F646">
        <v>2</v>
      </c>
      <c r="H646">
        <v>1731836</v>
      </c>
      <c r="I646">
        <v>1731836</v>
      </c>
      <c r="J646">
        <v>1725018</v>
      </c>
      <c r="K646">
        <v>1725018</v>
      </c>
      <c r="L646">
        <v>0.55895695397148104</v>
      </c>
      <c r="O646">
        <v>4401.8796703605803</v>
      </c>
      <c r="P646">
        <v>4385.17788143895</v>
      </c>
      <c r="Q646">
        <v>0.53863029157456299</v>
      </c>
    </row>
    <row r="647" spans="1:17" x14ac:dyDescent="0.25">
      <c r="A647" t="s">
        <v>580</v>
      </c>
      <c r="B647" t="s">
        <v>684</v>
      </c>
      <c r="C647" t="s">
        <v>613</v>
      </c>
      <c r="D647" t="s">
        <v>685</v>
      </c>
      <c r="E647">
        <v>10</v>
      </c>
      <c r="F647">
        <v>2</v>
      </c>
      <c r="H647">
        <v>1652560</v>
      </c>
      <c r="I647">
        <v>1652560</v>
      </c>
      <c r="J647">
        <v>1668932</v>
      </c>
      <c r="K647">
        <v>1668931.5</v>
      </c>
      <c r="L647">
        <v>1.3872826617743801</v>
      </c>
      <c r="O647">
        <v>2703.8365571506401</v>
      </c>
      <c r="P647">
        <v>2723.22780760158</v>
      </c>
      <c r="Q647">
        <v>1.0070170884177501</v>
      </c>
    </row>
    <row r="648" spans="1:17" x14ac:dyDescent="0.25">
      <c r="A648" t="s">
        <v>580</v>
      </c>
      <c r="B648" t="s">
        <v>684</v>
      </c>
      <c r="C648" t="s">
        <v>613</v>
      </c>
      <c r="D648" t="s">
        <v>686</v>
      </c>
      <c r="E648">
        <v>10</v>
      </c>
      <c r="F648">
        <v>2</v>
      </c>
      <c r="H648">
        <v>1685303</v>
      </c>
      <c r="I648">
        <v>1685303</v>
      </c>
      <c r="J648">
        <v>1668932</v>
      </c>
      <c r="K648">
        <v>1668931.5</v>
      </c>
      <c r="L648">
        <v>1.3872826617743801</v>
      </c>
      <c r="O648">
        <v>2742.6190580525199</v>
      </c>
      <c r="P648">
        <v>2723.22780760158</v>
      </c>
      <c r="Q648">
        <v>1.0070170884177501</v>
      </c>
    </row>
    <row r="649" spans="1:17" x14ac:dyDescent="0.25">
      <c r="A649" t="s">
        <v>580</v>
      </c>
      <c r="B649" t="s">
        <v>684</v>
      </c>
      <c r="C649" t="s">
        <v>614</v>
      </c>
      <c r="D649" t="s">
        <v>685</v>
      </c>
      <c r="E649">
        <v>8</v>
      </c>
      <c r="F649">
        <v>2</v>
      </c>
      <c r="H649">
        <v>3889</v>
      </c>
      <c r="I649">
        <v>3889</v>
      </c>
      <c r="J649">
        <v>4039</v>
      </c>
      <c r="K649">
        <v>4039</v>
      </c>
      <c r="L649">
        <v>5.2520929526111404</v>
      </c>
      <c r="O649">
        <v>18.696451433730299</v>
      </c>
      <c r="P649">
        <v>19.500195162230298</v>
      </c>
      <c r="Q649">
        <v>5.8289943872902503</v>
      </c>
    </row>
    <row r="650" spans="1:17" x14ac:dyDescent="0.25">
      <c r="A650" t="s">
        <v>580</v>
      </c>
      <c r="B650" t="s">
        <v>684</v>
      </c>
      <c r="C650" t="s">
        <v>614</v>
      </c>
      <c r="D650" t="s">
        <v>686</v>
      </c>
      <c r="E650">
        <v>8</v>
      </c>
      <c r="F650">
        <v>2</v>
      </c>
      <c r="H650">
        <v>4189</v>
      </c>
      <c r="I650">
        <v>4189</v>
      </c>
      <c r="J650">
        <v>4039</v>
      </c>
      <c r="K650">
        <v>4039</v>
      </c>
      <c r="L650">
        <v>5.2520929526111404</v>
      </c>
      <c r="O650">
        <v>20.3039388907304</v>
      </c>
      <c r="P650">
        <v>19.500195162230298</v>
      </c>
      <c r="Q650">
        <v>5.8289943872902503</v>
      </c>
    </row>
    <row r="651" spans="1:17" x14ac:dyDescent="0.25">
      <c r="A651" t="s">
        <v>580</v>
      </c>
      <c r="B651" t="s">
        <v>687</v>
      </c>
      <c r="C651" t="s">
        <v>582</v>
      </c>
      <c r="D651" t="s">
        <v>688</v>
      </c>
      <c r="E651">
        <v>1</v>
      </c>
      <c r="F651">
        <v>2</v>
      </c>
      <c r="H651">
        <v>249</v>
      </c>
      <c r="I651">
        <v>249</v>
      </c>
      <c r="J651">
        <v>280</v>
      </c>
      <c r="K651">
        <v>279.5</v>
      </c>
      <c r="L651">
        <v>15.432384133230499</v>
      </c>
      <c r="O651" t="s">
        <v>417</v>
      </c>
      <c r="P651" t="s">
        <v>417</v>
      </c>
      <c r="Q651" t="s">
        <v>417</v>
      </c>
    </row>
    <row r="652" spans="1:17" x14ac:dyDescent="0.25">
      <c r="A652" t="s">
        <v>580</v>
      </c>
      <c r="B652" t="s">
        <v>687</v>
      </c>
      <c r="C652" t="s">
        <v>582</v>
      </c>
      <c r="D652" t="s">
        <v>689</v>
      </c>
      <c r="E652">
        <v>1</v>
      </c>
      <c r="F652">
        <v>2</v>
      </c>
      <c r="H652">
        <v>310</v>
      </c>
      <c r="I652">
        <v>310</v>
      </c>
      <c r="J652">
        <v>280</v>
      </c>
      <c r="K652">
        <v>279.5</v>
      </c>
      <c r="L652">
        <v>15.432384133230499</v>
      </c>
      <c r="O652" t="s">
        <v>417</v>
      </c>
      <c r="P652" t="s">
        <v>417</v>
      </c>
      <c r="Q652" t="s">
        <v>417</v>
      </c>
    </row>
    <row r="653" spans="1:17" x14ac:dyDescent="0.25">
      <c r="A653" t="s">
        <v>580</v>
      </c>
      <c r="B653" t="s">
        <v>687</v>
      </c>
      <c r="C653" t="s">
        <v>607</v>
      </c>
      <c r="D653" t="s">
        <v>688</v>
      </c>
      <c r="E653">
        <v>5</v>
      </c>
      <c r="F653">
        <v>2</v>
      </c>
      <c r="H653">
        <v>238</v>
      </c>
      <c r="I653">
        <v>238</v>
      </c>
      <c r="J653">
        <v>233</v>
      </c>
      <c r="K653">
        <v>232.5</v>
      </c>
      <c r="L653">
        <v>3.3454514378718301</v>
      </c>
      <c r="O653" t="s">
        <v>417</v>
      </c>
      <c r="P653" t="s">
        <v>417</v>
      </c>
      <c r="Q653" t="s">
        <v>417</v>
      </c>
    </row>
    <row r="654" spans="1:17" x14ac:dyDescent="0.25">
      <c r="A654" t="s">
        <v>580</v>
      </c>
      <c r="B654" t="s">
        <v>687</v>
      </c>
      <c r="C654" t="s">
        <v>607</v>
      </c>
      <c r="D654" t="s">
        <v>689</v>
      </c>
      <c r="E654">
        <v>5</v>
      </c>
      <c r="F654">
        <v>2</v>
      </c>
      <c r="H654">
        <v>227</v>
      </c>
      <c r="I654">
        <v>227</v>
      </c>
      <c r="J654">
        <v>233</v>
      </c>
      <c r="K654">
        <v>232.5</v>
      </c>
      <c r="L654">
        <v>3.3454514378718301</v>
      </c>
      <c r="O654" t="s">
        <v>417</v>
      </c>
      <c r="P654" t="s">
        <v>417</v>
      </c>
      <c r="Q654" t="s">
        <v>417</v>
      </c>
    </row>
    <row r="655" spans="1:17" x14ac:dyDescent="0.25">
      <c r="A655" t="s">
        <v>580</v>
      </c>
      <c r="B655" t="s">
        <v>687</v>
      </c>
      <c r="C655" t="s">
        <v>608</v>
      </c>
      <c r="D655" t="s">
        <v>688</v>
      </c>
      <c r="E655">
        <v>9</v>
      </c>
      <c r="F655">
        <v>2</v>
      </c>
      <c r="H655">
        <v>514</v>
      </c>
      <c r="I655">
        <v>514</v>
      </c>
      <c r="J655">
        <v>476</v>
      </c>
      <c r="K655">
        <v>475.5</v>
      </c>
      <c r="L655">
        <v>11.4505199056496</v>
      </c>
      <c r="O655">
        <v>28.616731483571101</v>
      </c>
      <c r="P655">
        <v>18.796702972283601</v>
      </c>
      <c r="Q655">
        <v>73.883263059648698</v>
      </c>
    </row>
    <row r="656" spans="1:17" x14ac:dyDescent="0.25">
      <c r="A656" t="s">
        <v>580</v>
      </c>
      <c r="B656" t="s">
        <v>687</v>
      </c>
      <c r="C656" t="s">
        <v>608</v>
      </c>
      <c r="D656" t="s">
        <v>689</v>
      </c>
      <c r="E656">
        <v>9</v>
      </c>
      <c r="F656">
        <v>2</v>
      </c>
      <c r="H656">
        <v>437</v>
      </c>
      <c r="I656">
        <v>437</v>
      </c>
      <c r="J656">
        <v>476</v>
      </c>
      <c r="K656">
        <v>475.5</v>
      </c>
      <c r="L656">
        <v>11.4505199056496</v>
      </c>
      <c r="O656">
        <v>8.9766744609962501</v>
      </c>
      <c r="P656">
        <v>18.796702972283601</v>
      </c>
      <c r="Q656">
        <v>73.883263059648698</v>
      </c>
    </row>
    <row r="657" spans="1:17" x14ac:dyDescent="0.25">
      <c r="A657" t="s">
        <v>580</v>
      </c>
      <c r="B657" t="s">
        <v>687</v>
      </c>
      <c r="C657" t="s">
        <v>609</v>
      </c>
      <c r="D657" t="s">
        <v>688</v>
      </c>
      <c r="E657">
        <v>2</v>
      </c>
      <c r="F657">
        <v>2</v>
      </c>
      <c r="H657">
        <v>1122</v>
      </c>
      <c r="I657">
        <v>1122</v>
      </c>
      <c r="J657">
        <v>1152</v>
      </c>
      <c r="K657">
        <v>1152</v>
      </c>
      <c r="L657">
        <v>3.6828478186799298</v>
      </c>
      <c r="O657" t="s">
        <v>417</v>
      </c>
      <c r="P657">
        <v>3.5180611328326103E-2</v>
      </c>
      <c r="Q657" t="s">
        <v>417</v>
      </c>
    </row>
    <row r="658" spans="1:17" x14ac:dyDescent="0.25">
      <c r="A658" t="s">
        <v>580</v>
      </c>
      <c r="B658" t="s">
        <v>687</v>
      </c>
      <c r="C658" t="s">
        <v>609</v>
      </c>
      <c r="D658" t="s">
        <v>689</v>
      </c>
      <c r="E658">
        <v>2</v>
      </c>
      <c r="F658">
        <v>2</v>
      </c>
      <c r="H658">
        <v>1182</v>
      </c>
      <c r="I658">
        <v>1182</v>
      </c>
      <c r="J658">
        <v>1152</v>
      </c>
      <c r="K658">
        <v>1152</v>
      </c>
      <c r="L658">
        <v>3.6828478186799298</v>
      </c>
      <c r="O658">
        <v>3.5180611328326103E-2</v>
      </c>
      <c r="P658" t="s">
        <v>417</v>
      </c>
      <c r="Q658" t="s">
        <v>417</v>
      </c>
    </row>
    <row r="659" spans="1:17" x14ac:dyDescent="0.25">
      <c r="A659" t="s">
        <v>580</v>
      </c>
      <c r="B659" t="s">
        <v>687</v>
      </c>
      <c r="C659" t="s">
        <v>610</v>
      </c>
      <c r="D659" t="s">
        <v>688</v>
      </c>
      <c r="E659">
        <v>3</v>
      </c>
      <c r="F659">
        <v>2</v>
      </c>
      <c r="H659">
        <v>484</v>
      </c>
      <c r="I659">
        <v>484</v>
      </c>
      <c r="J659">
        <v>517</v>
      </c>
      <c r="K659">
        <v>517</v>
      </c>
      <c r="L659">
        <v>9.0268950789771996</v>
      </c>
      <c r="O659" t="s">
        <v>417</v>
      </c>
      <c r="P659">
        <v>0.174578050056935</v>
      </c>
      <c r="Q659" t="s">
        <v>417</v>
      </c>
    </row>
    <row r="660" spans="1:17" x14ac:dyDescent="0.25">
      <c r="A660" t="s">
        <v>580</v>
      </c>
      <c r="B660" t="s">
        <v>687</v>
      </c>
      <c r="C660" t="s">
        <v>610</v>
      </c>
      <c r="D660" t="s">
        <v>689</v>
      </c>
      <c r="E660">
        <v>3</v>
      </c>
      <c r="F660">
        <v>2</v>
      </c>
      <c r="H660">
        <v>550</v>
      </c>
      <c r="I660">
        <v>550</v>
      </c>
      <c r="J660">
        <v>517</v>
      </c>
      <c r="K660">
        <v>517</v>
      </c>
      <c r="L660">
        <v>9.0268950789771996</v>
      </c>
      <c r="O660">
        <v>0.174578050056935</v>
      </c>
      <c r="P660" t="s">
        <v>417</v>
      </c>
      <c r="Q660" t="s">
        <v>417</v>
      </c>
    </row>
    <row r="661" spans="1:17" x14ac:dyDescent="0.25">
      <c r="A661" t="s">
        <v>580</v>
      </c>
      <c r="B661" t="s">
        <v>687</v>
      </c>
      <c r="C661" t="s">
        <v>611</v>
      </c>
      <c r="D661" t="s">
        <v>688</v>
      </c>
      <c r="E661">
        <v>4</v>
      </c>
      <c r="F661">
        <v>2</v>
      </c>
      <c r="H661">
        <v>8739</v>
      </c>
      <c r="I661">
        <v>8739</v>
      </c>
      <c r="J661">
        <v>8459</v>
      </c>
      <c r="K661">
        <v>8458.5</v>
      </c>
      <c r="L661">
        <v>4.68980202453925</v>
      </c>
      <c r="O661">
        <v>372.16037602175197</v>
      </c>
      <c r="P661">
        <v>360.89771768780099</v>
      </c>
      <c r="Q661">
        <v>4.41338456399638</v>
      </c>
    </row>
    <row r="662" spans="1:17" x14ac:dyDescent="0.25">
      <c r="A662" t="s">
        <v>580</v>
      </c>
      <c r="B662" t="s">
        <v>687</v>
      </c>
      <c r="C662" t="s">
        <v>611</v>
      </c>
      <c r="D662" t="s">
        <v>689</v>
      </c>
      <c r="E662">
        <v>4</v>
      </c>
      <c r="F662">
        <v>2</v>
      </c>
      <c r="H662">
        <v>8178</v>
      </c>
      <c r="I662">
        <v>8178</v>
      </c>
      <c r="J662">
        <v>8459</v>
      </c>
      <c r="K662">
        <v>8458.5</v>
      </c>
      <c r="L662">
        <v>4.68980202453925</v>
      </c>
      <c r="O662">
        <v>349.63505935384899</v>
      </c>
      <c r="P662">
        <v>360.89771768780099</v>
      </c>
      <c r="Q662">
        <v>4.41338456399638</v>
      </c>
    </row>
    <row r="663" spans="1:17" x14ac:dyDescent="0.25">
      <c r="A663" t="s">
        <v>580</v>
      </c>
      <c r="B663" t="s">
        <v>687</v>
      </c>
      <c r="C663" t="s">
        <v>612</v>
      </c>
      <c r="D663" t="s">
        <v>688</v>
      </c>
      <c r="E663">
        <v>7</v>
      </c>
      <c r="F663">
        <v>2</v>
      </c>
      <c r="H663">
        <v>427850</v>
      </c>
      <c r="I663">
        <v>427850</v>
      </c>
      <c r="J663">
        <v>410321</v>
      </c>
      <c r="K663">
        <v>410320.5</v>
      </c>
      <c r="L663">
        <v>6.0417299748901501</v>
      </c>
      <c r="O663">
        <v>1144.6264522717099</v>
      </c>
      <c r="P663">
        <v>1099.3759929620401</v>
      </c>
      <c r="Q663">
        <v>5.8209214744562603</v>
      </c>
    </row>
    <row r="664" spans="1:17" x14ac:dyDescent="0.25">
      <c r="A664" t="s">
        <v>580</v>
      </c>
      <c r="B664" t="s">
        <v>687</v>
      </c>
      <c r="C664" t="s">
        <v>612</v>
      </c>
      <c r="D664" t="s">
        <v>689</v>
      </c>
      <c r="E664">
        <v>7</v>
      </c>
      <c r="F664">
        <v>2</v>
      </c>
      <c r="H664">
        <v>392791</v>
      </c>
      <c r="I664">
        <v>392791</v>
      </c>
      <c r="J664">
        <v>410321</v>
      </c>
      <c r="K664">
        <v>410320.5</v>
      </c>
      <c r="L664">
        <v>6.0417299748901501</v>
      </c>
      <c r="O664">
        <v>1054.12553365237</v>
      </c>
      <c r="P664">
        <v>1099.3759929620401</v>
      </c>
      <c r="Q664">
        <v>5.8209214744562603</v>
      </c>
    </row>
    <row r="665" spans="1:17" x14ac:dyDescent="0.25">
      <c r="A665" t="s">
        <v>580</v>
      </c>
      <c r="B665" t="s">
        <v>687</v>
      </c>
      <c r="C665" t="s">
        <v>613</v>
      </c>
      <c r="D665" t="s">
        <v>688</v>
      </c>
      <c r="E665">
        <v>10</v>
      </c>
      <c r="F665">
        <v>2</v>
      </c>
      <c r="H665">
        <v>229449</v>
      </c>
      <c r="I665">
        <v>229449</v>
      </c>
      <c r="J665">
        <v>217861</v>
      </c>
      <c r="K665">
        <v>217860.5</v>
      </c>
      <c r="L665">
        <v>7.5225265101111001</v>
      </c>
      <c r="O665">
        <v>649.46640615822696</v>
      </c>
      <c r="P665">
        <v>625.46825651342704</v>
      </c>
      <c r="Q665">
        <v>5.4260961041764801</v>
      </c>
    </row>
    <row r="666" spans="1:17" x14ac:dyDescent="0.25">
      <c r="A666" t="s">
        <v>580</v>
      </c>
      <c r="B666" t="s">
        <v>687</v>
      </c>
      <c r="C666" t="s">
        <v>613</v>
      </c>
      <c r="D666" t="s">
        <v>689</v>
      </c>
      <c r="E666">
        <v>10</v>
      </c>
      <c r="F666">
        <v>2</v>
      </c>
      <c r="H666">
        <v>206272</v>
      </c>
      <c r="I666">
        <v>206272</v>
      </c>
      <c r="J666">
        <v>217861</v>
      </c>
      <c r="K666">
        <v>217860.5</v>
      </c>
      <c r="L666">
        <v>7.5225265101111001</v>
      </c>
      <c r="O666">
        <v>601.470106868627</v>
      </c>
      <c r="P666">
        <v>625.46825651342704</v>
      </c>
      <c r="Q666">
        <v>5.4260961041764801</v>
      </c>
    </row>
    <row r="667" spans="1:17" x14ac:dyDescent="0.25">
      <c r="A667" t="s">
        <v>580</v>
      </c>
      <c r="B667" t="s">
        <v>687</v>
      </c>
      <c r="C667" t="s">
        <v>614</v>
      </c>
      <c r="D667" t="s">
        <v>688</v>
      </c>
      <c r="E667">
        <v>8</v>
      </c>
      <c r="F667">
        <v>2</v>
      </c>
      <c r="H667">
        <v>828</v>
      </c>
      <c r="I667">
        <v>828</v>
      </c>
      <c r="J667">
        <v>770</v>
      </c>
      <c r="K667">
        <v>770</v>
      </c>
      <c r="L667">
        <v>10.652517742550501</v>
      </c>
      <c r="O667">
        <v>2.47561707630621</v>
      </c>
      <c r="P667">
        <v>2.1749590169731698</v>
      </c>
      <c r="Q667">
        <v>19.5495502134698</v>
      </c>
    </row>
    <row r="668" spans="1:17" x14ac:dyDescent="0.25">
      <c r="A668" t="s">
        <v>580</v>
      </c>
      <c r="B668" t="s">
        <v>687</v>
      </c>
      <c r="C668" t="s">
        <v>614</v>
      </c>
      <c r="D668" t="s">
        <v>689</v>
      </c>
      <c r="E668">
        <v>8</v>
      </c>
      <c r="F668">
        <v>2</v>
      </c>
      <c r="H668">
        <v>712</v>
      </c>
      <c r="I668">
        <v>712</v>
      </c>
      <c r="J668">
        <v>770</v>
      </c>
      <c r="K668">
        <v>770</v>
      </c>
      <c r="L668">
        <v>10.652517742550501</v>
      </c>
      <c r="O668">
        <v>1.8743009576401299</v>
      </c>
      <c r="P668">
        <v>2.1749590169731698</v>
      </c>
      <c r="Q668">
        <v>19.5495502134698</v>
      </c>
    </row>
    <row r="669" spans="1:17" x14ac:dyDescent="0.25">
      <c r="A669" t="s">
        <v>580</v>
      </c>
      <c r="B669" t="s">
        <v>690</v>
      </c>
      <c r="C669" t="s">
        <v>582</v>
      </c>
      <c r="D669" t="s">
        <v>691</v>
      </c>
      <c r="E669">
        <v>1</v>
      </c>
      <c r="F669">
        <v>2</v>
      </c>
      <c r="H669">
        <v>392</v>
      </c>
      <c r="I669">
        <v>392</v>
      </c>
      <c r="J669">
        <v>402</v>
      </c>
      <c r="K669">
        <v>401.5</v>
      </c>
      <c r="L669">
        <v>3.3462089271592501</v>
      </c>
      <c r="O669" t="s">
        <v>417</v>
      </c>
      <c r="P669" t="s">
        <v>417</v>
      </c>
      <c r="Q669" t="s">
        <v>417</v>
      </c>
    </row>
    <row r="670" spans="1:17" x14ac:dyDescent="0.25">
      <c r="A670" t="s">
        <v>580</v>
      </c>
      <c r="B670" t="s">
        <v>690</v>
      </c>
      <c r="C670" t="s">
        <v>582</v>
      </c>
      <c r="D670" t="s">
        <v>692</v>
      </c>
      <c r="E670">
        <v>1</v>
      </c>
      <c r="F670">
        <v>2</v>
      </c>
      <c r="H670">
        <v>411</v>
      </c>
      <c r="I670">
        <v>411</v>
      </c>
      <c r="J670">
        <v>402</v>
      </c>
      <c r="K670">
        <v>401.5</v>
      </c>
      <c r="L670">
        <v>3.3462089271592501</v>
      </c>
      <c r="O670">
        <v>6.1575724059833598E-3</v>
      </c>
      <c r="P670" t="s">
        <v>417</v>
      </c>
      <c r="Q670" t="s">
        <v>417</v>
      </c>
    </row>
    <row r="671" spans="1:17" x14ac:dyDescent="0.25">
      <c r="A671" t="s">
        <v>580</v>
      </c>
      <c r="B671" t="s">
        <v>690</v>
      </c>
      <c r="C671" t="s">
        <v>607</v>
      </c>
      <c r="D671" t="s">
        <v>691</v>
      </c>
      <c r="E671">
        <v>5</v>
      </c>
      <c r="F671">
        <v>2</v>
      </c>
      <c r="H671">
        <v>263</v>
      </c>
      <c r="I671">
        <v>263</v>
      </c>
      <c r="J671">
        <v>267</v>
      </c>
      <c r="K671">
        <v>266.5</v>
      </c>
      <c r="L671">
        <v>1.8573161231916799</v>
      </c>
      <c r="O671">
        <v>0.596656954518756</v>
      </c>
      <c r="P671">
        <v>0.70018768757682404</v>
      </c>
      <c r="Q671">
        <v>20.910759987776</v>
      </c>
    </row>
    <row r="672" spans="1:17" x14ac:dyDescent="0.25">
      <c r="A672" t="s">
        <v>580</v>
      </c>
      <c r="B672" t="s">
        <v>690</v>
      </c>
      <c r="C672" t="s">
        <v>607</v>
      </c>
      <c r="D672" t="s">
        <v>692</v>
      </c>
      <c r="E672">
        <v>5</v>
      </c>
      <c r="F672">
        <v>2</v>
      </c>
      <c r="H672">
        <v>270</v>
      </c>
      <c r="I672">
        <v>270</v>
      </c>
      <c r="J672">
        <v>267</v>
      </c>
      <c r="K672">
        <v>266.5</v>
      </c>
      <c r="L672">
        <v>1.8573161231916799</v>
      </c>
      <c r="O672">
        <v>0.80371842063489296</v>
      </c>
      <c r="P672">
        <v>0.70018768757682404</v>
      </c>
      <c r="Q672">
        <v>20.910759987776</v>
      </c>
    </row>
    <row r="673" spans="1:17" x14ac:dyDescent="0.25">
      <c r="A673" t="s">
        <v>580</v>
      </c>
      <c r="B673" t="s">
        <v>690</v>
      </c>
      <c r="C673" t="s">
        <v>608</v>
      </c>
      <c r="D673" t="s">
        <v>691</v>
      </c>
      <c r="E673">
        <v>9</v>
      </c>
      <c r="F673">
        <v>2</v>
      </c>
      <c r="H673">
        <v>449</v>
      </c>
      <c r="I673">
        <v>449</v>
      </c>
      <c r="J673">
        <v>448</v>
      </c>
      <c r="K673">
        <v>447.5</v>
      </c>
      <c r="L673">
        <v>0.47403806559992001</v>
      </c>
      <c r="O673">
        <v>12.069827413850099</v>
      </c>
      <c r="P673">
        <v>11.6840082254568</v>
      </c>
      <c r="Q673">
        <v>4.6698933989173597</v>
      </c>
    </row>
    <row r="674" spans="1:17" x14ac:dyDescent="0.25">
      <c r="A674" t="s">
        <v>580</v>
      </c>
      <c r="B674" t="s">
        <v>690</v>
      </c>
      <c r="C674" t="s">
        <v>608</v>
      </c>
      <c r="D674" t="s">
        <v>692</v>
      </c>
      <c r="E674">
        <v>9</v>
      </c>
      <c r="F674">
        <v>2</v>
      </c>
      <c r="H674">
        <v>446</v>
      </c>
      <c r="I674">
        <v>446</v>
      </c>
      <c r="J674">
        <v>448</v>
      </c>
      <c r="K674">
        <v>447.5</v>
      </c>
      <c r="L674">
        <v>0.47403806559992001</v>
      </c>
      <c r="O674">
        <v>11.2981890370635</v>
      </c>
      <c r="P674">
        <v>11.6840082254568</v>
      </c>
      <c r="Q674">
        <v>4.6698933989173597</v>
      </c>
    </row>
    <row r="675" spans="1:17" x14ac:dyDescent="0.25">
      <c r="A675" t="s">
        <v>580</v>
      </c>
      <c r="B675" t="s">
        <v>690</v>
      </c>
      <c r="C675" t="s">
        <v>609</v>
      </c>
      <c r="D675" t="s">
        <v>691</v>
      </c>
      <c r="E675">
        <v>2</v>
      </c>
      <c r="F675">
        <v>2</v>
      </c>
      <c r="H675">
        <v>1249</v>
      </c>
      <c r="I675">
        <v>1249</v>
      </c>
      <c r="J675">
        <v>1266</v>
      </c>
      <c r="K675">
        <v>1265.5</v>
      </c>
      <c r="L675">
        <v>1.8438975724343001</v>
      </c>
      <c r="O675">
        <v>0.37409286092885802</v>
      </c>
      <c r="P675">
        <v>0.462473191016537</v>
      </c>
      <c r="Q675">
        <v>27.026142030476599</v>
      </c>
    </row>
    <row r="676" spans="1:17" x14ac:dyDescent="0.25">
      <c r="A676" t="s">
        <v>580</v>
      </c>
      <c r="B676" t="s">
        <v>690</v>
      </c>
      <c r="C676" t="s">
        <v>609</v>
      </c>
      <c r="D676" t="s">
        <v>692</v>
      </c>
      <c r="E676">
        <v>2</v>
      </c>
      <c r="F676">
        <v>2</v>
      </c>
      <c r="H676">
        <v>1282</v>
      </c>
      <c r="I676">
        <v>1282</v>
      </c>
      <c r="J676">
        <v>1266</v>
      </c>
      <c r="K676">
        <v>1265.5</v>
      </c>
      <c r="L676">
        <v>1.8438975724343001</v>
      </c>
      <c r="O676">
        <v>0.55085352110421704</v>
      </c>
      <c r="P676">
        <v>0.462473191016537</v>
      </c>
      <c r="Q676">
        <v>27.026142030476599</v>
      </c>
    </row>
    <row r="677" spans="1:17" x14ac:dyDescent="0.25">
      <c r="A677" t="s">
        <v>580</v>
      </c>
      <c r="B677" t="s">
        <v>690</v>
      </c>
      <c r="C677" t="s">
        <v>610</v>
      </c>
      <c r="D677" t="s">
        <v>691</v>
      </c>
      <c r="E677">
        <v>3</v>
      </c>
      <c r="F677">
        <v>2</v>
      </c>
      <c r="H677">
        <v>568</v>
      </c>
      <c r="I677">
        <v>568</v>
      </c>
      <c r="J677">
        <v>559</v>
      </c>
      <c r="K677">
        <v>559</v>
      </c>
      <c r="L677">
        <v>2.2769091344110599</v>
      </c>
      <c r="O677">
        <v>0.25288086187891201</v>
      </c>
      <c r="P677">
        <v>0.213729455967923</v>
      </c>
      <c r="Q677">
        <v>25.9058579335939</v>
      </c>
    </row>
    <row r="678" spans="1:17" x14ac:dyDescent="0.25">
      <c r="A678" t="s">
        <v>580</v>
      </c>
      <c r="B678" t="s">
        <v>690</v>
      </c>
      <c r="C678" t="s">
        <v>610</v>
      </c>
      <c r="D678" t="s">
        <v>692</v>
      </c>
      <c r="E678">
        <v>3</v>
      </c>
      <c r="F678">
        <v>2</v>
      </c>
      <c r="H678">
        <v>550</v>
      </c>
      <c r="I678">
        <v>550</v>
      </c>
      <c r="J678">
        <v>559</v>
      </c>
      <c r="K678">
        <v>559</v>
      </c>
      <c r="L678">
        <v>2.2769091344110599</v>
      </c>
      <c r="O678">
        <v>0.174578050056935</v>
      </c>
      <c r="P678">
        <v>0.213729455967923</v>
      </c>
      <c r="Q678">
        <v>25.9058579335939</v>
      </c>
    </row>
    <row r="679" spans="1:17" x14ac:dyDescent="0.25">
      <c r="A679" t="s">
        <v>580</v>
      </c>
      <c r="B679" t="s">
        <v>690</v>
      </c>
      <c r="C679" t="s">
        <v>611</v>
      </c>
      <c r="D679" t="s">
        <v>691</v>
      </c>
      <c r="E679">
        <v>4</v>
      </c>
      <c r="F679">
        <v>2</v>
      </c>
      <c r="H679">
        <v>17516</v>
      </c>
      <c r="I679">
        <v>17516</v>
      </c>
      <c r="J679">
        <v>17518</v>
      </c>
      <c r="K679">
        <v>17517.5</v>
      </c>
      <c r="L679">
        <v>1.21097208138127E-2</v>
      </c>
      <c r="O679">
        <v>709.83964952173005</v>
      </c>
      <c r="P679">
        <v>709.89557689419803</v>
      </c>
      <c r="Q679">
        <v>1.11415328150287E-2</v>
      </c>
    </row>
    <row r="680" spans="1:17" x14ac:dyDescent="0.25">
      <c r="A680" t="s">
        <v>580</v>
      </c>
      <c r="B680" t="s">
        <v>690</v>
      </c>
      <c r="C680" t="s">
        <v>611</v>
      </c>
      <c r="D680" t="s">
        <v>692</v>
      </c>
      <c r="E680">
        <v>4</v>
      </c>
      <c r="F680">
        <v>2</v>
      </c>
      <c r="H680">
        <v>17519</v>
      </c>
      <c r="I680">
        <v>17519</v>
      </c>
      <c r="J680">
        <v>17518</v>
      </c>
      <c r="K680">
        <v>17517.5</v>
      </c>
      <c r="L680">
        <v>1.21097208138127E-2</v>
      </c>
      <c r="O680">
        <v>709.95150426666601</v>
      </c>
      <c r="P680">
        <v>709.89557689419803</v>
      </c>
      <c r="Q680">
        <v>1.11415328150287E-2</v>
      </c>
    </row>
    <row r="681" spans="1:17" x14ac:dyDescent="0.25">
      <c r="A681" t="s">
        <v>580</v>
      </c>
      <c r="B681" t="s">
        <v>690</v>
      </c>
      <c r="C681" t="s">
        <v>612</v>
      </c>
      <c r="D681" t="s">
        <v>691</v>
      </c>
      <c r="E681">
        <v>7</v>
      </c>
      <c r="F681">
        <v>2</v>
      </c>
      <c r="H681">
        <v>755682</v>
      </c>
      <c r="I681">
        <v>755682</v>
      </c>
      <c r="J681">
        <v>768317</v>
      </c>
      <c r="K681">
        <v>768316.5</v>
      </c>
      <c r="L681">
        <v>2.3255886413740701</v>
      </c>
      <c r="O681">
        <v>1979.9261290740401</v>
      </c>
      <c r="P681">
        <v>2011.79461242309</v>
      </c>
      <c r="Q681">
        <v>2.2402307415566298</v>
      </c>
    </row>
    <row r="682" spans="1:17" x14ac:dyDescent="0.25">
      <c r="A682" t="s">
        <v>580</v>
      </c>
      <c r="B682" t="s">
        <v>690</v>
      </c>
      <c r="C682" t="s">
        <v>612</v>
      </c>
      <c r="D682" t="s">
        <v>692</v>
      </c>
      <c r="E682">
        <v>7</v>
      </c>
      <c r="F682">
        <v>2</v>
      </c>
      <c r="H682">
        <v>780951</v>
      </c>
      <c r="I682">
        <v>780951</v>
      </c>
      <c r="J682">
        <v>768317</v>
      </c>
      <c r="K682">
        <v>768316.5</v>
      </c>
      <c r="L682">
        <v>2.3255886413740701</v>
      </c>
      <c r="O682">
        <v>2043.66309577213</v>
      </c>
      <c r="P682">
        <v>2011.79461242309</v>
      </c>
      <c r="Q682">
        <v>2.2402307415566298</v>
      </c>
    </row>
    <row r="683" spans="1:17" x14ac:dyDescent="0.25">
      <c r="A683" t="s">
        <v>580</v>
      </c>
      <c r="B683" t="s">
        <v>690</v>
      </c>
      <c r="C683" t="s">
        <v>613</v>
      </c>
      <c r="D683" t="s">
        <v>691</v>
      </c>
      <c r="E683">
        <v>10</v>
      </c>
      <c r="F683">
        <v>2</v>
      </c>
      <c r="H683">
        <v>154117</v>
      </c>
      <c r="I683">
        <v>154117</v>
      </c>
      <c r="J683">
        <v>158278</v>
      </c>
      <c r="K683">
        <v>158277.5</v>
      </c>
      <c r="L683">
        <v>3.7174175269720902</v>
      </c>
      <c r="O683">
        <v>487.45548806577199</v>
      </c>
      <c r="P683">
        <v>496.87521097442198</v>
      </c>
      <c r="Q683">
        <v>2.6810554434953899</v>
      </c>
    </row>
    <row r="684" spans="1:17" x14ac:dyDescent="0.25">
      <c r="A684" t="s">
        <v>580</v>
      </c>
      <c r="B684" t="s">
        <v>690</v>
      </c>
      <c r="C684" t="s">
        <v>613</v>
      </c>
      <c r="D684" t="s">
        <v>692</v>
      </c>
      <c r="E684">
        <v>10</v>
      </c>
      <c r="F684">
        <v>2</v>
      </c>
      <c r="H684">
        <v>162438</v>
      </c>
      <c r="I684">
        <v>162438</v>
      </c>
      <c r="J684">
        <v>158278</v>
      </c>
      <c r="K684">
        <v>158277.5</v>
      </c>
      <c r="L684">
        <v>3.7174175269720902</v>
      </c>
      <c r="O684">
        <v>506.294933883071</v>
      </c>
      <c r="P684">
        <v>496.87521097442198</v>
      </c>
      <c r="Q684">
        <v>2.6810554434953899</v>
      </c>
    </row>
    <row r="685" spans="1:17" x14ac:dyDescent="0.25">
      <c r="A685" t="s">
        <v>580</v>
      </c>
      <c r="B685" t="s">
        <v>690</v>
      </c>
      <c r="C685" t="s">
        <v>614</v>
      </c>
      <c r="D685" t="s">
        <v>691</v>
      </c>
      <c r="E685">
        <v>8</v>
      </c>
      <c r="F685">
        <v>2</v>
      </c>
      <c r="H685">
        <v>878</v>
      </c>
      <c r="I685">
        <v>878</v>
      </c>
      <c r="J685">
        <v>885</v>
      </c>
      <c r="K685">
        <v>884.5</v>
      </c>
      <c r="L685">
        <v>1.03927508823347</v>
      </c>
      <c r="O685">
        <v>2.7355227156239499</v>
      </c>
      <c r="P685">
        <v>2.7693417056371099</v>
      </c>
      <c r="Q685">
        <v>1.72702683258668</v>
      </c>
    </row>
    <row r="686" spans="1:17" x14ac:dyDescent="0.25">
      <c r="A686" t="s">
        <v>580</v>
      </c>
      <c r="B686" t="s">
        <v>690</v>
      </c>
      <c r="C686" t="s">
        <v>614</v>
      </c>
      <c r="D686" t="s">
        <v>692</v>
      </c>
      <c r="E686">
        <v>8</v>
      </c>
      <c r="F686">
        <v>2</v>
      </c>
      <c r="H686">
        <v>891</v>
      </c>
      <c r="I686">
        <v>891</v>
      </c>
      <c r="J686">
        <v>885</v>
      </c>
      <c r="K686">
        <v>884.5</v>
      </c>
      <c r="L686">
        <v>1.03927508823347</v>
      </c>
      <c r="O686">
        <v>2.8031606956502602</v>
      </c>
      <c r="P686">
        <v>2.7693417056371099</v>
      </c>
      <c r="Q686">
        <v>1.72702683258668</v>
      </c>
    </row>
    <row r="687" spans="1:17" x14ac:dyDescent="0.25">
      <c r="A687" t="s">
        <v>580</v>
      </c>
      <c r="B687" t="s">
        <v>693</v>
      </c>
      <c r="C687" t="s">
        <v>582</v>
      </c>
      <c r="D687" t="s">
        <v>694</v>
      </c>
      <c r="E687">
        <v>1</v>
      </c>
      <c r="F687">
        <v>2</v>
      </c>
      <c r="H687">
        <v>330</v>
      </c>
      <c r="I687">
        <v>330</v>
      </c>
      <c r="J687">
        <v>330</v>
      </c>
      <c r="K687">
        <v>329.5</v>
      </c>
      <c r="L687">
        <v>0.214599933592275</v>
      </c>
      <c r="O687" t="s">
        <v>417</v>
      </c>
      <c r="P687" t="s">
        <v>417</v>
      </c>
      <c r="Q687" t="s">
        <v>417</v>
      </c>
    </row>
    <row r="688" spans="1:17" x14ac:dyDescent="0.25">
      <c r="A688" t="s">
        <v>580</v>
      </c>
      <c r="B688" t="s">
        <v>693</v>
      </c>
      <c r="C688" t="s">
        <v>582</v>
      </c>
      <c r="D688" t="s">
        <v>695</v>
      </c>
      <c r="E688">
        <v>1</v>
      </c>
      <c r="F688">
        <v>2</v>
      </c>
      <c r="H688">
        <v>329</v>
      </c>
      <c r="I688">
        <v>329</v>
      </c>
      <c r="J688">
        <v>330</v>
      </c>
      <c r="K688">
        <v>329.5</v>
      </c>
      <c r="L688">
        <v>0.214599933592275</v>
      </c>
      <c r="O688" t="s">
        <v>417</v>
      </c>
      <c r="P688" t="s">
        <v>417</v>
      </c>
      <c r="Q688" t="s">
        <v>417</v>
      </c>
    </row>
    <row r="689" spans="1:17" x14ac:dyDescent="0.25">
      <c r="A689" t="s">
        <v>580</v>
      </c>
      <c r="B689" t="s">
        <v>693</v>
      </c>
      <c r="C689" t="s">
        <v>607</v>
      </c>
      <c r="D689" t="s">
        <v>694</v>
      </c>
      <c r="E689">
        <v>5</v>
      </c>
      <c r="F689">
        <v>2</v>
      </c>
      <c r="H689">
        <v>245</v>
      </c>
      <c r="I689">
        <v>245</v>
      </c>
      <c r="J689">
        <v>243</v>
      </c>
      <c r="K689">
        <v>242.5</v>
      </c>
      <c r="L689">
        <v>1.4579521261578301</v>
      </c>
      <c r="O689">
        <v>6.3166541844516699E-2</v>
      </c>
      <c r="P689">
        <v>6.3166541844516699E-2</v>
      </c>
      <c r="Q689" t="s">
        <v>417</v>
      </c>
    </row>
    <row r="690" spans="1:17" x14ac:dyDescent="0.25">
      <c r="A690" t="s">
        <v>580</v>
      </c>
      <c r="B690" t="s">
        <v>693</v>
      </c>
      <c r="C690" t="s">
        <v>607</v>
      </c>
      <c r="D690" t="s">
        <v>695</v>
      </c>
      <c r="E690">
        <v>5</v>
      </c>
      <c r="F690">
        <v>2</v>
      </c>
      <c r="H690">
        <v>240</v>
      </c>
      <c r="I690">
        <v>240</v>
      </c>
      <c r="J690">
        <v>243</v>
      </c>
      <c r="K690">
        <v>242.5</v>
      </c>
      <c r="L690">
        <v>1.4579521261578301</v>
      </c>
      <c r="O690" t="s">
        <v>417</v>
      </c>
      <c r="P690" t="s">
        <v>417</v>
      </c>
      <c r="Q690" t="s">
        <v>417</v>
      </c>
    </row>
    <row r="691" spans="1:17" x14ac:dyDescent="0.25">
      <c r="A691" t="s">
        <v>580</v>
      </c>
      <c r="B691" t="s">
        <v>693</v>
      </c>
      <c r="C691" t="s">
        <v>608</v>
      </c>
      <c r="D691" t="s">
        <v>695</v>
      </c>
      <c r="E691">
        <v>9</v>
      </c>
      <c r="F691">
        <v>2</v>
      </c>
      <c r="H691">
        <v>411</v>
      </c>
      <c r="I691">
        <v>411</v>
      </c>
      <c r="J691">
        <v>431</v>
      </c>
      <c r="K691">
        <v>430.5</v>
      </c>
      <c r="L691">
        <v>6.4058454044774296</v>
      </c>
      <c r="O691">
        <v>2.1810527341950499</v>
      </c>
      <c r="P691">
        <v>7.2539367029312602</v>
      </c>
      <c r="Q691">
        <v>98.899971184374607</v>
      </c>
    </row>
    <row r="692" spans="1:17" x14ac:dyDescent="0.25">
      <c r="A692" t="s">
        <v>580</v>
      </c>
      <c r="B692" t="s">
        <v>693</v>
      </c>
      <c r="C692" t="s">
        <v>608</v>
      </c>
      <c r="D692" t="s">
        <v>694</v>
      </c>
      <c r="E692">
        <v>9</v>
      </c>
      <c r="F692">
        <v>2</v>
      </c>
      <c r="H692">
        <v>450</v>
      </c>
      <c r="I692">
        <v>450</v>
      </c>
      <c r="J692">
        <v>431</v>
      </c>
      <c r="K692">
        <v>430.5</v>
      </c>
      <c r="L692">
        <v>6.4058454044774296</v>
      </c>
      <c r="O692">
        <v>12.3268206716674</v>
      </c>
      <c r="P692">
        <v>7.2539367029312602</v>
      </c>
      <c r="Q692">
        <v>98.899971184374607</v>
      </c>
    </row>
    <row r="693" spans="1:17" x14ac:dyDescent="0.25">
      <c r="A693" t="s">
        <v>580</v>
      </c>
      <c r="B693" t="s">
        <v>693</v>
      </c>
      <c r="C693" t="s">
        <v>609</v>
      </c>
      <c r="D693" t="s">
        <v>694</v>
      </c>
      <c r="E693">
        <v>2</v>
      </c>
      <c r="F693">
        <v>2</v>
      </c>
      <c r="H693">
        <v>1189</v>
      </c>
      <c r="I693">
        <v>1189</v>
      </c>
      <c r="J693">
        <v>1197</v>
      </c>
      <c r="K693">
        <v>1196.5</v>
      </c>
      <c r="L693">
        <v>0.88646901109888898</v>
      </c>
      <c r="O693">
        <v>6.8106473570477694E-2</v>
      </c>
      <c r="P693">
        <v>0.104879661137987</v>
      </c>
      <c r="Q693">
        <v>49.585534531084903</v>
      </c>
    </row>
    <row r="694" spans="1:17" x14ac:dyDescent="0.25">
      <c r="A694" t="s">
        <v>580</v>
      </c>
      <c r="B694" t="s">
        <v>693</v>
      </c>
      <c r="C694" t="s">
        <v>609</v>
      </c>
      <c r="D694" t="s">
        <v>695</v>
      </c>
      <c r="E694">
        <v>2</v>
      </c>
      <c r="F694">
        <v>2</v>
      </c>
      <c r="H694">
        <v>1204</v>
      </c>
      <c r="I694">
        <v>1204</v>
      </c>
      <c r="J694">
        <v>1197</v>
      </c>
      <c r="K694">
        <v>1196.5</v>
      </c>
      <c r="L694">
        <v>0.88646901109888898</v>
      </c>
      <c r="O694">
        <v>0.14165284870549599</v>
      </c>
      <c r="P694">
        <v>0.104879661137987</v>
      </c>
      <c r="Q694">
        <v>49.585534531084903</v>
      </c>
    </row>
    <row r="695" spans="1:17" x14ac:dyDescent="0.25">
      <c r="A695" t="s">
        <v>580</v>
      </c>
      <c r="B695" t="s">
        <v>693</v>
      </c>
      <c r="C695" t="s">
        <v>610</v>
      </c>
      <c r="D695" t="s">
        <v>694</v>
      </c>
      <c r="E695">
        <v>3</v>
      </c>
      <c r="F695">
        <v>2</v>
      </c>
      <c r="H695">
        <v>506</v>
      </c>
      <c r="I695">
        <v>506</v>
      </c>
      <c r="J695">
        <v>539</v>
      </c>
      <c r="K695">
        <v>539</v>
      </c>
      <c r="L695">
        <v>8.6584503818760901</v>
      </c>
      <c r="O695" t="s">
        <v>417</v>
      </c>
      <c r="P695">
        <v>0.27028150942694301</v>
      </c>
      <c r="Q695" t="s">
        <v>417</v>
      </c>
    </row>
    <row r="696" spans="1:17" x14ac:dyDescent="0.25">
      <c r="A696" t="s">
        <v>580</v>
      </c>
      <c r="B696" t="s">
        <v>693</v>
      </c>
      <c r="C696" t="s">
        <v>610</v>
      </c>
      <c r="D696" t="s">
        <v>695</v>
      </c>
      <c r="E696">
        <v>3</v>
      </c>
      <c r="F696">
        <v>2</v>
      </c>
      <c r="H696">
        <v>572</v>
      </c>
      <c r="I696">
        <v>572</v>
      </c>
      <c r="J696">
        <v>539</v>
      </c>
      <c r="K696">
        <v>539</v>
      </c>
      <c r="L696">
        <v>8.6584503818760901</v>
      </c>
      <c r="O696">
        <v>0.27028150942694301</v>
      </c>
      <c r="P696" t="s">
        <v>417</v>
      </c>
      <c r="Q696" t="s">
        <v>417</v>
      </c>
    </row>
    <row r="697" spans="1:17" x14ac:dyDescent="0.25">
      <c r="A697" t="s">
        <v>580</v>
      </c>
      <c r="B697" t="s">
        <v>693</v>
      </c>
      <c r="C697" t="s">
        <v>611</v>
      </c>
      <c r="D697" t="s">
        <v>694</v>
      </c>
      <c r="E697">
        <v>4</v>
      </c>
      <c r="F697">
        <v>2</v>
      </c>
      <c r="H697">
        <v>5497</v>
      </c>
      <c r="I697">
        <v>5497</v>
      </c>
      <c r="J697">
        <v>4979</v>
      </c>
      <c r="K697">
        <v>4978.5</v>
      </c>
      <c r="L697">
        <v>14.7287281729526</v>
      </c>
      <c r="O697">
        <v>239.50520742568801</v>
      </c>
      <c r="P697">
        <v>217.49585393599</v>
      </c>
      <c r="Q697">
        <v>14.311043470904499</v>
      </c>
    </row>
    <row r="698" spans="1:17" x14ac:dyDescent="0.25">
      <c r="A698" t="s">
        <v>580</v>
      </c>
      <c r="B698" t="s">
        <v>693</v>
      </c>
      <c r="C698" t="s">
        <v>611</v>
      </c>
      <c r="D698" t="s">
        <v>695</v>
      </c>
      <c r="E698">
        <v>4</v>
      </c>
      <c r="F698">
        <v>2</v>
      </c>
      <c r="H698">
        <v>4460</v>
      </c>
      <c r="I698">
        <v>4460</v>
      </c>
      <c r="J698">
        <v>4979</v>
      </c>
      <c r="K698">
        <v>4978.5</v>
      </c>
      <c r="L698">
        <v>14.7287281729526</v>
      </c>
      <c r="O698">
        <v>195.48650044629201</v>
      </c>
      <c r="P698">
        <v>217.49585393599</v>
      </c>
      <c r="Q698">
        <v>14.311043470904499</v>
      </c>
    </row>
    <row r="699" spans="1:17" x14ac:dyDescent="0.25">
      <c r="A699" t="s">
        <v>580</v>
      </c>
      <c r="B699" t="s">
        <v>693</v>
      </c>
      <c r="C699" t="s">
        <v>612</v>
      </c>
      <c r="D699" t="s">
        <v>695</v>
      </c>
      <c r="E699">
        <v>7</v>
      </c>
      <c r="F699">
        <v>2</v>
      </c>
      <c r="H699">
        <v>488005</v>
      </c>
      <c r="I699">
        <v>488005</v>
      </c>
      <c r="J699">
        <v>534124</v>
      </c>
      <c r="K699">
        <v>534124</v>
      </c>
      <c r="L699">
        <v>12.211043743229</v>
      </c>
      <c r="O699">
        <v>1299.2822685370199</v>
      </c>
      <c r="P699">
        <v>1417.1818254392599</v>
      </c>
      <c r="Q699">
        <v>11.7652618299162</v>
      </c>
    </row>
    <row r="700" spans="1:17" x14ac:dyDescent="0.25">
      <c r="A700" t="s">
        <v>580</v>
      </c>
      <c r="B700" t="s">
        <v>693</v>
      </c>
      <c r="C700" t="s">
        <v>612</v>
      </c>
      <c r="D700" t="s">
        <v>694</v>
      </c>
      <c r="E700">
        <v>7</v>
      </c>
      <c r="F700">
        <v>2</v>
      </c>
      <c r="H700">
        <v>580243</v>
      </c>
      <c r="I700">
        <v>580243</v>
      </c>
      <c r="J700">
        <v>534124</v>
      </c>
      <c r="K700">
        <v>534124</v>
      </c>
      <c r="L700">
        <v>12.211043743229</v>
      </c>
      <c r="O700">
        <v>1535.0813823414901</v>
      </c>
      <c r="P700">
        <v>1417.1818254392599</v>
      </c>
      <c r="Q700">
        <v>11.7652618299162</v>
      </c>
    </row>
    <row r="701" spans="1:17" x14ac:dyDescent="0.25">
      <c r="A701" t="s">
        <v>580</v>
      </c>
      <c r="B701" t="s">
        <v>693</v>
      </c>
      <c r="C701" t="s">
        <v>613</v>
      </c>
      <c r="D701" t="s">
        <v>695</v>
      </c>
      <c r="E701">
        <v>10</v>
      </c>
      <c r="F701">
        <v>2</v>
      </c>
      <c r="H701">
        <v>73814</v>
      </c>
      <c r="I701">
        <v>73814</v>
      </c>
      <c r="J701">
        <v>77057</v>
      </c>
      <c r="K701">
        <v>77056.5</v>
      </c>
      <c r="L701">
        <v>5.95094181022335</v>
      </c>
      <c r="O701">
        <v>286.55542927823598</v>
      </c>
      <c r="P701">
        <v>295.54068330024398</v>
      </c>
      <c r="Q701">
        <v>4.2996002977980901</v>
      </c>
    </row>
    <row r="702" spans="1:17" x14ac:dyDescent="0.25">
      <c r="A702" t="s">
        <v>580</v>
      </c>
      <c r="B702" t="s">
        <v>693</v>
      </c>
      <c r="C702" t="s">
        <v>613</v>
      </c>
      <c r="D702" t="s">
        <v>694</v>
      </c>
      <c r="E702">
        <v>10</v>
      </c>
      <c r="F702">
        <v>2</v>
      </c>
      <c r="H702">
        <v>80299</v>
      </c>
      <c r="I702">
        <v>80299</v>
      </c>
      <c r="J702">
        <v>77057</v>
      </c>
      <c r="K702">
        <v>77056.5</v>
      </c>
      <c r="L702">
        <v>5.95094181022335</v>
      </c>
      <c r="O702">
        <v>304.52593732225301</v>
      </c>
      <c r="P702">
        <v>295.54068330024398</v>
      </c>
      <c r="Q702">
        <v>4.2996002977980901</v>
      </c>
    </row>
    <row r="703" spans="1:17" x14ac:dyDescent="0.25">
      <c r="A703" t="s">
        <v>580</v>
      </c>
      <c r="B703" t="s">
        <v>693</v>
      </c>
      <c r="C703" t="s">
        <v>614</v>
      </c>
      <c r="D703" t="s">
        <v>695</v>
      </c>
      <c r="E703">
        <v>8</v>
      </c>
      <c r="F703">
        <v>2</v>
      </c>
      <c r="H703">
        <v>627</v>
      </c>
      <c r="I703">
        <v>627</v>
      </c>
      <c r="J703">
        <v>661</v>
      </c>
      <c r="K703">
        <v>660.5</v>
      </c>
      <c r="L703">
        <v>7.1727712853139503</v>
      </c>
      <c r="O703">
        <v>1.43549050018893</v>
      </c>
      <c r="P703">
        <v>1.60836180568024</v>
      </c>
      <c r="Q703">
        <v>15.2003699607596</v>
      </c>
    </row>
    <row r="704" spans="1:17" x14ac:dyDescent="0.25">
      <c r="A704" t="s">
        <v>580</v>
      </c>
      <c r="B704" t="s">
        <v>693</v>
      </c>
      <c r="C704" t="s">
        <v>614</v>
      </c>
      <c r="D704" t="s">
        <v>694</v>
      </c>
      <c r="E704">
        <v>8</v>
      </c>
      <c r="F704">
        <v>2</v>
      </c>
      <c r="H704">
        <v>694</v>
      </c>
      <c r="I704">
        <v>694</v>
      </c>
      <c r="J704">
        <v>661</v>
      </c>
      <c r="K704">
        <v>660.5</v>
      </c>
      <c r="L704">
        <v>7.1727712853139503</v>
      </c>
      <c r="O704">
        <v>1.78123311117155</v>
      </c>
      <c r="P704">
        <v>1.60836180568024</v>
      </c>
      <c r="Q704">
        <v>15.2003699607596</v>
      </c>
    </row>
    <row r="705" spans="1:17" x14ac:dyDescent="0.25">
      <c r="A705" t="s">
        <v>580</v>
      </c>
      <c r="B705" t="s">
        <v>696</v>
      </c>
      <c r="C705" t="s">
        <v>582</v>
      </c>
      <c r="D705" t="s">
        <v>697</v>
      </c>
      <c r="E705">
        <v>1</v>
      </c>
      <c r="F705">
        <v>2</v>
      </c>
      <c r="H705">
        <v>434</v>
      </c>
      <c r="I705">
        <v>434</v>
      </c>
      <c r="J705">
        <v>429</v>
      </c>
      <c r="K705">
        <v>429</v>
      </c>
      <c r="L705">
        <v>1.6482675552133901</v>
      </c>
      <c r="O705">
        <v>6.2911077807210697E-2</v>
      </c>
      <c r="P705">
        <v>5.0790681738820301E-2</v>
      </c>
      <c r="Q705">
        <v>33.747978791452397</v>
      </c>
    </row>
    <row r="706" spans="1:17" x14ac:dyDescent="0.25">
      <c r="A706" t="s">
        <v>580</v>
      </c>
      <c r="B706" t="s">
        <v>696</v>
      </c>
      <c r="C706" t="s">
        <v>582</v>
      </c>
      <c r="D706" t="s">
        <v>698</v>
      </c>
      <c r="E706">
        <v>1</v>
      </c>
      <c r="F706">
        <v>2</v>
      </c>
      <c r="H706">
        <v>424</v>
      </c>
      <c r="I706">
        <v>424</v>
      </c>
      <c r="J706">
        <v>429</v>
      </c>
      <c r="K706">
        <v>429</v>
      </c>
      <c r="L706">
        <v>1.6482675552133901</v>
      </c>
      <c r="O706">
        <v>3.8670285670430002E-2</v>
      </c>
      <c r="P706">
        <v>5.0790681738820301E-2</v>
      </c>
      <c r="Q706">
        <v>33.747978791452397</v>
      </c>
    </row>
    <row r="707" spans="1:17" x14ac:dyDescent="0.25">
      <c r="A707" t="s">
        <v>580</v>
      </c>
      <c r="B707" t="s">
        <v>696</v>
      </c>
      <c r="C707" t="s">
        <v>607</v>
      </c>
      <c r="D707" t="s">
        <v>697</v>
      </c>
      <c r="E707">
        <v>5</v>
      </c>
      <c r="F707">
        <v>2</v>
      </c>
      <c r="H707">
        <v>258</v>
      </c>
      <c r="I707">
        <v>258</v>
      </c>
      <c r="J707">
        <v>266</v>
      </c>
      <c r="K707">
        <v>265.5</v>
      </c>
      <c r="L707">
        <v>3.9949535660256901</v>
      </c>
      <c r="O707">
        <v>0.44866055689304501</v>
      </c>
      <c r="P707">
        <v>0.67054073558344696</v>
      </c>
      <c r="Q707">
        <v>46.795957542042899</v>
      </c>
    </row>
    <row r="708" spans="1:17" x14ac:dyDescent="0.25">
      <c r="A708" t="s">
        <v>580</v>
      </c>
      <c r="B708" t="s">
        <v>696</v>
      </c>
      <c r="C708" t="s">
        <v>607</v>
      </c>
      <c r="D708" t="s">
        <v>698</v>
      </c>
      <c r="E708">
        <v>5</v>
      </c>
      <c r="F708">
        <v>2</v>
      </c>
      <c r="H708">
        <v>273</v>
      </c>
      <c r="I708">
        <v>273</v>
      </c>
      <c r="J708">
        <v>266</v>
      </c>
      <c r="K708">
        <v>265.5</v>
      </c>
      <c r="L708">
        <v>3.9949535660256901</v>
      </c>
      <c r="O708">
        <v>0.89242091427384895</v>
      </c>
      <c r="P708">
        <v>0.67054073558344696</v>
      </c>
      <c r="Q708">
        <v>46.795957542042899</v>
      </c>
    </row>
    <row r="709" spans="1:17" x14ac:dyDescent="0.25">
      <c r="A709" t="s">
        <v>580</v>
      </c>
      <c r="B709" t="s">
        <v>696</v>
      </c>
      <c r="C709" t="s">
        <v>608</v>
      </c>
      <c r="D709" t="s">
        <v>697</v>
      </c>
      <c r="E709">
        <v>9</v>
      </c>
      <c r="F709">
        <v>2</v>
      </c>
      <c r="H709">
        <v>444</v>
      </c>
      <c r="I709">
        <v>444</v>
      </c>
      <c r="J709">
        <v>454</v>
      </c>
      <c r="K709">
        <v>453.5</v>
      </c>
      <c r="L709">
        <v>2.9625201416856402</v>
      </c>
      <c r="O709">
        <v>10.783188343852</v>
      </c>
      <c r="P709">
        <v>13.221022390128301</v>
      </c>
      <c r="Q709">
        <v>26.0767879315672</v>
      </c>
    </row>
    <row r="710" spans="1:17" x14ac:dyDescent="0.25">
      <c r="A710" t="s">
        <v>580</v>
      </c>
      <c r="B710" t="s">
        <v>696</v>
      </c>
      <c r="C710" t="s">
        <v>608</v>
      </c>
      <c r="D710" t="s">
        <v>698</v>
      </c>
      <c r="E710">
        <v>9</v>
      </c>
      <c r="F710">
        <v>2</v>
      </c>
      <c r="H710">
        <v>463</v>
      </c>
      <c r="I710">
        <v>463</v>
      </c>
      <c r="J710">
        <v>454</v>
      </c>
      <c r="K710">
        <v>453.5</v>
      </c>
      <c r="L710">
        <v>2.9625201416856402</v>
      </c>
      <c r="O710">
        <v>15.6588564364045</v>
      </c>
      <c r="P710">
        <v>13.221022390128301</v>
      </c>
      <c r="Q710">
        <v>26.0767879315672</v>
      </c>
    </row>
    <row r="711" spans="1:17" x14ac:dyDescent="0.25">
      <c r="A711" t="s">
        <v>580</v>
      </c>
      <c r="B711" t="s">
        <v>696</v>
      </c>
      <c r="C711" t="s">
        <v>609</v>
      </c>
      <c r="D711" t="s">
        <v>697</v>
      </c>
      <c r="E711">
        <v>2</v>
      </c>
      <c r="F711">
        <v>2</v>
      </c>
      <c r="H711">
        <v>1289</v>
      </c>
      <c r="I711">
        <v>1289</v>
      </c>
      <c r="J711">
        <v>1305</v>
      </c>
      <c r="K711">
        <v>1304.5</v>
      </c>
      <c r="L711">
        <v>1.68036107449467</v>
      </c>
      <c r="O711">
        <v>0.588826884515115</v>
      </c>
      <c r="P711">
        <v>0.67373244690320599</v>
      </c>
      <c r="Q711">
        <v>17.822297026375001</v>
      </c>
    </row>
    <row r="712" spans="1:17" x14ac:dyDescent="0.25">
      <c r="A712" t="s">
        <v>580</v>
      </c>
      <c r="B712" t="s">
        <v>696</v>
      </c>
      <c r="C712" t="s">
        <v>609</v>
      </c>
      <c r="D712" t="s">
        <v>698</v>
      </c>
      <c r="E712">
        <v>2</v>
      </c>
      <c r="F712">
        <v>2</v>
      </c>
      <c r="H712">
        <v>1320</v>
      </c>
      <c r="I712">
        <v>1320</v>
      </c>
      <c r="J712">
        <v>1305</v>
      </c>
      <c r="K712">
        <v>1304.5</v>
      </c>
      <c r="L712">
        <v>1.68036107449467</v>
      </c>
      <c r="O712">
        <v>0.75863800929129799</v>
      </c>
      <c r="P712">
        <v>0.67373244690320599</v>
      </c>
      <c r="Q712">
        <v>17.822297026375001</v>
      </c>
    </row>
    <row r="713" spans="1:17" x14ac:dyDescent="0.25">
      <c r="A713" t="s">
        <v>580</v>
      </c>
      <c r="B713" t="s">
        <v>696</v>
      </c>
      <c r="C713" t="s">
        <v>610</v>
      </c>
      <c r="D713" t="s">
        <v>697</v>
      </c>
      <c r="E713">
        <v>3</v>
      </c>
      <c r="F713">
        <v>2</v>
      </c>
      <c r="H713">
        <v>564</v>
      </c>
      <c r="I713">
        <v>564</v>
      </c>
      <c r="J713">
        <v>556</v>
      </c>
      <c r="K713">
        <v>555.5</v>
      </c>
      <c r="L713">
        <v>2.1639631467455098</v>
      </c>
      <c r="O713">
        <v>0.23548022409476499</v>
      </c>
      <c r="P713">
        <v>0.19850390771003701</v>
      </c>
      <c r="Q713">
        <v>26.343263828471699</v>
      </c>
    </row>
    <row r="714" spans="1:17" x14ac:dyDescent="0.25">
      <c r="A714" t="s">
        <v>580</v>
      </c>
      <c r="B714" t="s">
        <v>696</v>
      </c>
      <c r="C714" t="s">
        <v>610</v>
      </c>
      <c r="D714" t="s">
        <v>698</v>
      </c>
      <c r="E714">
        <v>3</v>
      </c>
      <c r="F714">
        <v>2</v>
      </c>
      <c r="H714">
        <v>547</v>
      </c>
      <c r="I714">
        <v>547</v>
      </c>
      <c r="J714">
        <v>556</v>
      </c>
      <c r="K714">
        <v>555.5</v>
      </c>
      <c r="L714">
        <v>2.1639631467455098</v>
      </c>
      <c r="O714">
        <v>0.161527591325309</v>
      </c>
      <c r="P714">
        <v>0.19850390771003701</v>
      </c>
      <c r="Q714">
        <v>26.343263828471699</v>
      </c>
    </row>
    <row r="715" spans="1:17" x14ac:dyDescent="0.25">
      <c r="A715" t="s">
        <v>580</v>
      </c>
      <c r="B715" t="s">
        <v>696</v>
      </c>
      <c r="C715" t="s">
        <v>611</v>
      </c>
      <c r="D715" t="s">
        <v>697</v>
      </c>
      <c r="E715">
        <v>4</v>
      </c>
      <c r="F715">
        <v>2</v>
      </c>
      <c r="H715">
        <v>19503</v>
      </c>
      <c r="I715">
        <v>19503</v>
      </c>
      <c r="J715">
        <v>21353</v>
      </c>
      <c r="K715">
        <v>21352.5</v>
      </c>
      <c r="L715">
        <v>12.249563206224201</v>
      </c>
      <c r="O715">
        <v>783.51914690119202</v>
      </c>
      <c r="P715">
        <v>851.12851179782797</v>
      </c>
      <c r="Q715">
        <v>11.233800707520601</v>
      </c>
    </row>
    <row r="716" spans="1:17" x14ac:dyDescent="0.25">
      <c r="A716" t="s">
        <v>580</v>
      </c>
      <c r="B716" t="s">
        <v>696</v>
      </c>
      <c r="C716" t="s">
        <v>611</v>
      </c>
      <c r="D716" t="s">
        <v>698</v>
      </c>
      <c r="E716">
        <v>4</v>
      </c>
      <c r="F716">
        <v>2</v>
      </c>
      <c r="H716">
        <v>23202</v>
      </c>
      <c r="I716">
        <v>23202</v>
      </c>
      <c r="J716">
        <v>21353</v>
      </c>
      <c r="K716">
        <v>21352.5</v>
      </c>
      <c r="L716">
        <v>12.249563206224201</v>
      </c>
      <c r="O716">
        <v>918.73787669446403</v>
      </c>
      <c r="P716">
        <v>851.12851179782797</v>
      </c>
      <c r="Q716">
        <v>11.233800707520601</v>
      </c>
    </row>
    <row r="717" spans="1:17" x14ac:dyDescent="0.25">
      <c r="A717" t="s">
        <v>580</v>
      </c>
      <c r="B717" t="s">
        <v>696</v>
      </c>
      <c r="C717" t="s">
        <v>612</v>
      </c>
      <c r="D717" t="s">
        <v>697</v>
      </c>
      <c r="E717">
        <v>7</v>
      </c>
      <c r="F717">
        <v>2</v>
      </c>
      <c r="H717">
        <v>741168</v>
      </c>
      <c r="I717">
        <v>741168</v>
      </c>
      <c r="J717">
        <v>808781</v>
      </c>
      <c r="K717">
        <v>808781</v>
      </c>
      <c r="L717">
        <v>11.8226345070831</v>
      </c>
      <c r="O717">
        <v>1943.2817409099</v>
      </c>
      <c r="P717">
        <v>2113.5118314771098</v>
      </c>
      <c r="Q717">
        <v>11.390601141603099</v>
      </c>
    </row>
    <row r="718" spans="1:17" x14ac:dyDescent="0.25">
      <c r="A718" t="s">
        <v>580</v>
      </c>
      <c r="B718" t="s">
        <v>696</v>
      </c>
      <c r="C718" t="s">
        <v>612</v>
      </c>
      <c r="D718" t="s">
        <v>698</v>
      </c>
      <c r="E718">
        <v>7</v>
      </c>
      <c r="F718">
        <v>2</v>
      </c>
      <c r="H718">
        <v>876394</v>
      </c>
      <c r="I718">
        <v>876394</v>
      </c>
      <c r="J718">
        <v>808781</v>
      </c>
      <c r="K718">
        <v>808781</v>
      </c>
      <c r="L718">
        <v>11.8226345070831</v>
      </c>
      <c r="O718">
        <v>2283.7419220443198</v>
      </c>
      <c r="P718">
        <v>2113.5118314771098</v>
      </c>
      <c r="Q718">
        <v>11.390601141603099</v>
      </c>
    </row>
    <row r="719" spans="1:17" x14ac:dyDescent="0.25">
      <c r="A719" t="s">
        <v>580</v>
      </c>
      <c r="B719" t="s">
        <v>696</v>
      </c>
      <c r="C719" t="s">
        <v>613</v>
      </c>
      <c r="D719" t="s">
        <v>697</v>
      </c>
      <c r="E719">
        <v>10</v>
      </c>
      <c r="F719">
        <v>2</v>
      </c>
      <c r="H719">
        <v>270128</v>
      </c>
      <c r="I719">
        <v>270128</v>
      </c>
      <c r="J719">
        <v>285239</v>
      </c>
      <c r="K719">
        <v>285238.5</v>
      </c>
      <c r="L719">
        <v>7.4917916179753599</v>
      </c>
      <c r="O719">
        <v>730.570960395621</v>
      </c>
      <c r="P719">
        <v>759.59721329265903</v>
      </c>
      <c r="Q719">
        <v>5.40409045656234</v>
      </c>
    </row>
    <row r="720" spans="1:17" x14ac:dyDescent="0.25">
      <c r="A720" t="s">
        <v>580</v>
      </c>
      <c r="B720" t="s">
        <v>696</v>
      </c>
      <c r="C720" t="s">
        <v>613</v>
      </c>
      <c r="D720" t="s">
        <v>698</v>
      </c>
      <c r="E720">
        <v>10</v>
      </c>
      <c r="F720">
        <v>2</v>
      </c>
      <c r="H720">
        <v>300349</v>
      </c>
      <c r="I720">
        <v>300349</v>
      </c>
      <c r="J720">
        <v>285239</v>
      </c>
      <c r="K720">
        <v>285238.5</v>
      </c>
      <c r="L720">
        <v>7.4917916179753599</v>
      </c>
      <c r="O720">
        <v>788.62346618969696</v>
      </c>
      <c r="P720">
        <v>759.59721329265903</v>
      </c>
      <c r="Q720">
        <v>5.40409045656234</v>
      </c>
    </row>
    <row r="721" spans="1:17" x14ac:dyDescent="0.25">
      <c r="A721" t="s">
        <v>580</v>
      </c>
      <c r="B721" t="s">
        <v>696</v>
      </c>
      <c r="C721" t="s">
        <v>614</v>
      </c>
      <c r="D721" t="s">
        <v>697</v>
      </c>
      <c r="E721">
        <v>8</v>
      </c>
      <c r="F721">
        <v>2</v>
      </c>
      <c r="H721">
        <v>1032</v>
      </c>
      <c r="I721">
        <v>1032</v>
      </c>
      <c r="J721">
        <v>1057</v>
      </c>
      <c r="K721">
        <v>1056.5</v>
      </c>
      <c r="L721">
        <v>3.27952979442885</v>
      </c>
      <c r="O721">
        <v>3.5382455862181499</v>
      </c>
      <c r="P721">
        <v>3.6662569710000801</v>
      </c>
      <c r="Q721">
        <v>4.9378818213984497</v>
      </c>
    </row>
    <row r="722" spans="1:17" x14ac:dyDescent="0.25">
      <c r="A722" t="s">
        <v>580</v>
      </c>
      <c r="B722" t="s">
        <v>696</v>
      </c>
      <c r="C722" t="s">
        <v>614</v>
      </c>
      <c r="D722" t="s">
        <v>698</v>
      </c>
      <c r="E722">
        <v>8</v>
      </c>
      <c r="F722">
        <v>2</v>
      </c>
      <c r="H722">
        <v>1081</v>
      </c>
      <c r="I722">
        <v>1081</v>
      </c>
      <c r="J722">
        <v>1057</v>
      </c>
      <c r="K722">
        <v>1056.5</v>
      </c>
      <c r="L722">
        <v>3.27952979442885</v>
      </c>
      <c r="O722">
        <v>3.7942683557820098</v>
      </c>
      <c r="P722">
        <v>3.6662569710000801</v>
      </c>
      <c r="Q722">
        <v>4.9378818213984497</v>
      </c>
    </row>
    <row r="723" spans="1:17" x14ac:dyDescent="0.25">
      <c r="A723" t="s">
        <v>580</v>
      </c>
      <c r="B723" t="s">
        <v>699</v>
      </c>
      <c r="C723" t="s">
        <v>582</v>
      </c>
      <c r="D723" t="s">
        <v>700</v>
      </c>
      <c r="E723">
        <v>1</v>
      </c>
      <c r="G723">
        <v>1320</v>
      </c>
      <c r="H723">
        <v>1648041</v>
      </c>
      <c r="I723">
        <v>1648041</v>
      </c>
      <c r="J723">
        <v>1649898</v>
      </c>
      <c r="K723">
        <v>1649897.5</v>
      </c>
      <c r="L723">
        <v>0.15913033861470999</v>
      </c>
      <c r="M723">
        <v>107.67408856360299</v>
      </c>
      <c r="N723">
        <v>107.79153200777</v>
      </c>
      <c r="O723">
        <v>1421.29796903956</v>
      </c>
      <c r="P723">
        <v>1422.84822250257</v>
      </c>
      <c r="Q723">
        <v>0.15408456347134</v>
      </c>
    </row>
    <row r="724" spans="1:17" x14ac:dyDescent="0.25">
      <c r="A724" t="s">
        <v>580</v>
      </c>
      <c r="B724" t="s">
        <v>699</v>
      </c>
      <c r="C724" t="s">
        <v>582</v>
      </c>
      <c r="D724" t="s">
        <v>701</v>
      </c>
      <c r="E724">
        <v>1</v>
      </c>
      <c r="G724">
        <v>1320</v>
      </c>
      <c r="H724">
        <v>1651754</v>
      </c>
      <c r="I724">
        <v>1651754</v>
      </c>
      <c r="J724">
        <v>1649898</v>
      </c>
      <c r="K724">
        <v>1649897.5</v>
      </c>
      <c r="L724">
        <v>0.15913033861470999</v>
      </c>
      <c r="M724">
        <v>107.90897545193801</v>
      </c>
      <c r="N724">
        <v>107.79153200777</v>
      </c>
      <c r="O724">
        <v>1424.39847596558</v>
      </c>
      <c r="P724">
        <v>1422.84822250257</v>
      </c>
      <c r="Q724">
        <v>0.15408456347134</v>
      </c>
    </row>
    <row r="725" spans="1:17" x14ac:dyDescent="0.25">
      <c r="A725" t="s">
        <v>580</v>
      </c>
      <c r="B725" t="s">
        <v>699</v>
      </c>
      <c r="C725" t="s">
        <v>607</v>
      </c>
      <c r="D725" t="s">
        <v>700</v>
      </c>
      <c r="E725">
        <v>5</v>
      </c>
      <c r="G725">
        <v>11350</v>
      </c>
      <c r="H725">
        <v>828842</v>
      </c>
      <c r="I725">
        <v>828842</v>
      </c>
      <c r="J725">
        <v>826221</v>
      </c>
      <c r="K725">
        <v>826220.5</v>
      </c>
      <c r="L725">
        <v>0.44871324952129199</v>
      </c>
      <c r="M725">
        <v>105.78995542465501</v>
      </c>
      <c r="N725">
        <v>105.455859160655</v>
      </c>
      <c r="O725">
        <v>12007.1599406983</v>
      </c>
      <c r="P725">
        <v>11969.2400147344</v>
      </c>
      <c r="Q725">
        <v>0.44803908616044902</v>
      </c>
    </row>
    <row r="726" spans="1:17" x14ac:dyDescent="0.25">
      <c r="A726" t="s">
        <v>580</v>
      </c>
      <c r="B726" t="s">
        <v>699</v>
      </c>
      <c r="C726" t="s">
        <v>607</v>
      </c>
      <c r="D726" t="s">
        <v>701</v>
      </c>
      <c r="E726">
        <v>5</v>
      </c>
      <c r="G726">
        <v>11350</v>
      </c>
      <c r="H726">
        <v>823599</v>
      </c>
      <c r="I726">
        <v>823599</v>
      </c>
      <c r="J726">
        <v>826221</v>
      </c>
      <c r="K726">
        <v>826220.5</v>
      </c>
      <c r="L726">
        <v>0.44871324952129199</v>
      </c>
      <c r="M726">
        <v>105.12176289665599</v>
      </c>
      <c r="N726">
        <v>105.455859160655</v>
      </c>
      <c r="O726">
        <v>11931.320088770401</v>
      </c>
      <c r="P726">
        <v>11969.2400147344</v>
      </c>
      <c r="Q726">
        <v>0.44803908616044902</v>
      </c>
    </row>
    <row r="727" spans="1:17" x14ac:dyDescent="0.25">
      <c r="A727" t="s">
        <v>580</v>
      </c>
      <c r="B727" t="s">
        <v>699</v>
      </c>
      <c r="C727" t="s">
        <v>608</v>
      </c>
      <c r="D727" t="s">
        <v>700</v>
      </c>
      <c r="E727">
        <v>9</v>
      </c>
      <c r="G727">
        <v>46600</v>
      </c>
      <c r="H727">
        <v>192428</v>
      </c>
      <c r="I727">
        <v>192428</v>
      </c>
      <c r="J727">
        <v>192525</v>
      </c>
      <c r="K727">
        <v>192524.5</v>
      </c>
      <c r="L727">
        <v>7.0885320449607006E-2</v>
      </c>
      <c r="M727">
        <v>101.80300492030101</v>
      </c>
      <c r="N727">
        <v>101.916284404457</v>
      </c>
      <c r="O727">
        <v>47440.200292860303</v>
      </c>
      <c r="P727">
        <v>47492.988532477</v>
      </c>
      <c r="Q727">
        <v>0.15718919088174199</v>
      </c>
    </row>
    <row r="728" spans="1:17" x14ac:dyDescent="0.25">
      <c r="A728" t="s">
        <v>580</v>
      </c>
      <c r="B728" t="s">
        <v>699</v>
      </c>
      <c r="C728" t="s">
        <v>608</v>
      </c>
      <c r="D728" t="s">
        <v>701</v>
      </c>
      <c r="E728">
        <v>9</v>
      </c>
      <c r="G728">
        <v>46600</v>
      </c>
      <c r="H728">
        <v>192621</v>
      </c>
      <c r="I728">
        <v>192621</v>
      </c>
      <c r="J728">
        <v>192525</v>
      </c>
      <c r="K728">
        <v>192524.5</v>
      </c>
      <c r="L728">
        <v>7.0885320449607006E-2</v>
      </c>
      <c r="M728">
        <v>102.029563888613</v>
      </c>
      <c r="N728">
        <v>101.916284404457</v>
      </c>
      <c r="O728">
        <v>47545.776772093697</v>
      </c>
      <c r="P728">
        <v>47492.988532477</v>
      </c>
      <c r="Q728">
        <v>0.15718919088174199</v>
      </c>
    </row>
    <row r="729" spans="1:17" x14ac:dyDescent="0.25">
      <c r="A729" t="s">
        <v>580</v>
      </c>
      <c r="B729" t="s">
        <v>699</v>
      </c>
      <c r="C729" t="s">
        <v>609</v>
      </c>
      <c r="D729" t="s">
        <v>700</v>
      </c>
      <c r="E729">
        <v>2</v>
      </c>
      <c r="G729">
        <v>6650</v>
      </c>
      <c r="H729">
        <v>1070288</v>
      </c>
      <c r="I729">
        <v>1070288</v>
      </c>
      <c r="J729">
        <v>1071109</v>
      </c>
      <c r="K729">
        <v>1071108.5</v>
      </c>
      <c r="L729">
        <v>0.108332837236108</v>
      </c>
      <c r="M729">
        <v>100.814793058048</v>
      </c>
      <c r="N729">
        <v>100.92646969268</v>
      </c>
      <c r="O729">
        <v>6704.1837383601896</v>
      </c>
      <c r="P729">
        <v>6711.6102345632298</v>
      </c>
      <c r="Q729">
        <v>0.156484826803092</v>
      </c>
    </row>
    <row r="730" spans="1:17" x14ac:dyDescent="0.25">
      <c r="A730" t="s">
        <v>580</v>
      </c>
      <c r="B730" t="s">
        <v>699</v>
      </c>
      <c r="C730" t="s">
        <v>609</v>
      </c>
      <c r="D730" t="s">
        <v>701</v>
      </c>
      <c r="E730">
        <v>2</v>
      </c>
      <c r="G730">
        <v>6650</v>
      </c>
      <c r="H730">
        <v>1071929</v>
      </c>
      <c r="I730">
        <v>1071929</v>
      </c>
      <c r="J730">
        <v>1071109</v>
      </c>
      <c r="K730">
        <v>1071108.5</v>
      </c>
      <c r="L730">
        <v>0.108332837236108</v>
      </c>
      <c r="M730">
        <v>101.03814632731201</v>
      </c>
      <c r="N730">
        <v>100.92646969268</v>
      </c>
      <c r="O730">
        <v>6719.03673076628</v>
      </c>
      <c r="P730">
        <v>6711.6102345632298</v>
      </c>
      <c r="Q730">
        <v>0.156484826803092</v>
      </c>
    </row>
    <row r="731" spans="1:17" x14ac:dyDescent="0.25">
      <c r="A731" t="s">
        <v>580</v>
      </c>
      <c r="B731" t="s">
        <v>699</v>
      </c>
      <c r="C731" t="s">
        <v>610</v>
      </c>
      <c r="D731" t="s">
        <v>700</v>
      </c>
      <c r="E731">
        <v>3</v>
      </c>
      <c r="G731">
        <v>5100</v>
      </c>
      <c r="H731">
        <v>1643365</v>
      </c>
      <c r="I731">
        <v>1643365</v>
      </c>
      <c r="J731">
        <v>1628686</v>
      </c>
      <c r="K731">
        <v>1628686</v>
      </c>
      <c r="L731">
        <v>1.2746005603335799</v>
      </c>
      <c r="M731">
        <v>100.228767525566</v>
      </c>
      <c r="N731">
        <v>98.957297462740001</v>
      </c>
      <c r="O731">
        <v>5111.6671438038802</v>
      </c>
      <c r="P731">
        <v>5046.8221705997403</v>
      </c>
      <c r="Q731">
        <v>1.8170769140873599</v>
      </c>
    </row>
    <row r="732" spans="1:17" x14ac:dyDescent="0.25">
      <c r="A732" t="s">
        <v>580</v>
      </c>
      <c r="B732" t="s">
        <v>699</v>
      </c>
      <c r="C732" t="s">
        <v>610</v>
      </c>
      <c r="D732" t="s">
        <v>701</v>
      </c>
      <c r="E732">
        <v>3</v>
      </c>
      <c r="G732">
        <v>5100</v>
      </c>
      <c r="H732">
        <v>1614007</v>
      </c>
      <c r="I732">
        <v>1614007</v>
      </c>
      <c r="J732">
        <v>1628686</v>
      </c>
      <c r="K732">
        <v>1628686</v>
      </c>
      <c r="L732">
        <v>1.2746005603335799</v>
      </c>
      <c r="M732">
        <v>97.685827399913805</v>
      </c>
      <c r="N732">
        <v>98.957297462740001</v>
      </c>
      <c r="O732">
        <v>4981.9771973956003</v>
      </c>
      <c r="P732">
        <v>5046.8221705997403</v>
      </c>
      <c r="Q732">
        <v>1.8170769140873599</v>
      </c>
    </row>
    <row r="733" spans="1:17" x14ac:dyDescent="0.25">
      <c r="A733" t="s">
        <v>580</v>
      </c>
      <c r="B733" t="s">
        <v>699</v>
      </c>
      <c r="C733" t="s">
        <v>611</v>
      </c>
      <c r="D733" t="s">
        <v>700</v>
      </c>
      <c r="E733">
        <v>4</v>
      </c>
      <c r="G733">
        <v>8700</v>
      </c>
      <c r="H733">
        <v>715448</v>
      </c>
      <c r="I733">
        <v>715448</v>
      </c>
      <c r="J733">
        <v>717689</v>
      </c>
      <c r="K733">
        <v>717689</v>
      </c>
      <c r="L733">
        <v>0.441591356879944</v>
      </c>
      <c r="M733">
        <v>117.779293284885</v>
      </c>
      <c r="N733">
        <v>118.112302257024</v>
      </c>
      <c r="O733">
        <v>10246.798515785</v>
      </c>
      <c r="P733">
        <v>10275.770296361099</v>
      </c>
      <c r="Q733">
        <v>0.39872714001071602</v>
      </c>
    </row>
    <row r="734" spans="1:17" x14ac:dyDescent="0.25">
      <c r="A734" t="s">
        <v>580</v>
      </c>
      <c r="B734" t="s">
        <v>699</v>
      </c>
      <c r="C734" t="s">
        <v>611</v>
      </c>
      <c r="D734" t="s">
        <v>701</v>
      </c>
      <c r="E734">
        <v>4</v>
      </c>
      <c r="G734">
        <v>8700</v>
      </c>
      <c r="H734">
        <v>719930</v>
      </c>
      <c r="I734">
        <v>719930</v>
      </c>
      <c r="J734">
        <v>717689</v>
      </c>
      <c r="K734">
        <v>717689</v>
      </c>
      <c r="L734">
        <v>0.441591356879944</v>
      </c>
      <c r="M734">
        <v>118.445311229162</v>
      </c>
      <c r="N734">
        <v>118.112302257024</v>
      </c>
      <c r="O734">
        <v>10304.7420769371</v>
      </c>
      <c r="P734">
        <v>10275.770296361099</v>
      </c>
      <c r="Q734">
        <v>0.39872714001071602</v>
      </c>
    </row>
    <row r="735" spans="1:17" x14ac:dyDescent="0.25">
      <c r="A735" t="s">
        <v>580</v>
      </c>
      <c r="B735" t="s">
        <v>699</v>
      </c>
      <c r="C735" t="s">
        <v>612</v>
      </c>
      <c r="D735" t="s">
        <v>700</v>
      </c>
      <c r="E735">
        <v>7</v>
      </c>
      <c r="G735">
        <v>1050</v>
      </c>
      <c r="H735">
        <v>931049</v>
      </c>
      <c r="I735">
        <v>931049</v>
      </c>
      <c r="J735">
        <v>928244</v>
      </c>
      <c r="K735">
        <v>928243.5</v>
      </c>
      <c r="L735">
        <v>0.42742837943252099</v>
      </c>
      <c r="M735">
        <v>115.275486223461</v>
      </c>
      <c r="N735">
        <v>114.94083505905</v>
      </c>
      <c r="O735">
        <v>1210.3926053463499</v>
      </c>
      <c r="P735">
        <v>1206.8787681200199</v>
      </c>
      <c r="Q735">
        <v>0.41174941449833902</v>
      </c>
    </row>
    <row r="736" spans="1:17" x14ac:dyDescent="0.25">
      <c r="A736" t="s">
        <v>580</v>
      </c>
      <c r="B736" t="s">
        <v>699</v>
      </c>
      <c r="C736" t="s">
        <v>612</v>
      </c>
      <c r="D736" t="s">
        <v>701</v>
      </c>
      <c r="E736">
        <v>7</v>
      </c>
      <c r="G736">
        <v>1050</v>
      </c>
      <c r="H736">
        <v>925438</v>
      </c>
      <c r="I736">
        <v>925438</v>
      </c>
      <c r="J736">
        <v>928244</v>
      </c>
      <c r="K736">
        <v>928243.5</v>
      </c>
      <c r="L736">
        <v>0.42742837943252099</v>
      </c>
      <c r="M736">
        <v>114.60618389463799</v>
      </c>
      <c r="N736">
        <v>114.94083505905</v>
      </c>
      <c r="O736">
        <v>1203.3649308936999</v>
      </c>
      <c r="P736">
        <v>1206.8787681200199</v>
      </c>
      <c r="Q736">
        <v>0.41174941449833902</v>
      </c>
    </row>
    <row r="737" spans="1:17" x14ac:dyDescent="0.25">
      <c r="A737" t="s">
        <v>580</v>
      </c>
      <c r="B737" t="s">
        <v>699</v>
      </c>
      <c r="C737" t="s">
        <v>613</v>
      </c>
      <c r="D737" t="s">
        <v>700</v>
      </c>
      <c r="E737">
        <v>10</v>
      </c>
      <c r="G737">
        <v>650</v>
      </c>
      <c r="H737">
        <v>604611</v>
      </c>
      <c r="I737">
        <v>604611</v>
      </c>
      <c r="J737">
        <v>606364</v>
      </c>
      <c r="K737">
        <v>606363.5</v>
      </c>
      <c r="L737">
        <v>0.408733254567408</v>
      </c>
      <c r="M737">
        <v>100.487086644908</v>
      </c>
      <c r="N737">
        <v>100.69717503126201</v>
      </c>
      <c r="O737">
        <v>653.16606319190601</v>
      </c>
      <c r="P737">
        <v>654.53163770320805</v>
      </c>
      <c r="Q737">
        <v>0.29505281075350698</v>
      </c>
    </row>
    <row r="738" spans="1:17" x14ac:dyDescent="0.25">
      <c r="A738" t="s">
        <v>580</v>
      </c>
      <c r="B738" t="s">
        <v>699</v>
      </c>
      <c r="C738" t="s">
        <v>613</v>
      </c>
      <c r="D738" t="s">
        <v>701</v>
      </c>
      <c r="E738">
        <v>10</v>
      </c>
      <c r="G738">
        <v>650</v>
      </c>
      <c r="H738">
        <v>608116</v>
      </c>
      <c r="I738">
        <v>608116</v>
      </c>
      <c r="J738">
        <v>606364</v>
      </c>
      <c r="K738">
        <v>606363.5</v>
      </c>
      <c r="L738">
        <v>0.408733254567408</v>
      </c>
      <c r="M738">
        <v>100.907263417617</v>
      </c>
      <c r="N738">
        <v>100.69717503126201</v>
      </c>
      <c r="O738">
        <v>655.89721221450998</v>
      </c>
      <c r="P738">
        <v>654.53163770320805</v>
      </c>
      <c r="Q738">
        <v>0.29505281075350698</v>
      </c>
    </row>
    <row r="739" spans="1:17" x14ac:dyDescent="0.25">
      <c r="A739" t="s">
        <v>580</v>
      </c>
      <c r="B739" t="s">
        <v>699</v>
      </c>
      <c r="C739" t="s">
        <v>614</v>
      </c>
      <c r="D739" t="s">
        <v>700</v>
      </c>
      <c r="E739">
        <v>8</v>
      </c>
      <c r="G739">
        <v>3540</v>
      </c>
      <c r="H739">
        <v>1219782</v>
      </c>
      <c r="I739">
        <v>1219782</v>
      </c>
      <c r="J739">
        <v>1227753</v>
      </c>
      <c r="K739">
        <v>1227752.5</v>
      </c>
      <c r="L739">
        <v>0.91809947028368899</v>
      </c>
      <c r="M739">
        <v>99.703760937657606</v>
      </c>
      <c r="N739">
        <v>100.367965047626</v>
      </c>
      <c r="O739">
        <v>3529.5131371930802</v>
      </c>
      <c r="P739">
        <v>3553.0259626859602</v>
      </c>
      <c r="Q739">
        <v>0.93588273913472397</v>
      </c>
    </row>
    <row r="740" spans="1:17" x14ac:dyDescent="0.25">
      <c r="A740" t="s">
        <v>580</v>
      </c>
      <c r="B740" t="s">
        <v>699</v>
      </c>
      <c r="C740" t="s">
        <v>614</v>
      </c>
      <c r="D740" t="s">
        <v>701</v>
      </c>
      <c r="E740">
        <v>8</v>
      </c>
      <c r="G740">
        <v>3540</v>
      </c>
      <c r="H740">
        <v>1235723</v>
      </c>
      <c r="I740">
        <v>1235723</v>
      </c>
      <c r="J740">
        <v>1227753</v>
      </c>
      <c r="K740">
        <v>1227752.5</v>
      </c>
      <c r="L740">
        <v>0.91809947028368899</v>
      </c>
      <c r="M740">
        <v>101.032169157594</v>
      </c>
      <c r="N740">
        <v>100.367965047626</v>
      </c>
      <c r="O740">
        <v>3576.5387881788502</v>
      </c>
      <c r="P740">
        <v>3553.0259626859602</v>
      </c>
      <c r="Q740">
        <v>0.93588273913472397</v>
      </c>
    </row>
    <row r="741" spans="1:17" x14ac:dyDescent="0.25">
      <c r="A741" t="s">
        <v>580</v>
      </c>
      <c r="B741" t="s">
        <v>702</v>
      </c>
      <c r="C741" t="s">
        <v>582</v>
      </c>
      <c r="D741" t="s">
        <v>703</v>
      </c>
      <c r="E741">
        <v>1</v>
      </c>
      <c r="G741">
        <v>330</v>
      </c>
      <c r="H741">
        <v>352151</v>
      </c>
      <c r="I741">
        <v>352151</v>
      </c>
      <c r="J741">
        <v>358719</v>
      </c>
      <c r="K741">
        <v>358718.5</v>
      </c>
      <c r="L741">
        <v>2.5891744002289498</v>
      </c>
      <c r="M741">
        <v>96.683579112832405</v>
      </c>
      <c r="N741">
        <v>98.428380285543</v>
      </c>
      <c r="O741">
        <v>319.05581107234701</v>
      </c>
      <c r="P741">
        <v>324.81365494229198</v>
      </c>
      <c r="Q741">
        <v>2.50692074270999</v>
      </c>
    </row>
    <row r="742" spans="1:17" x14ac:dyDescent="0.25">
      <c r="A742" t="s">
        <v>580</v>
      </c>
      <c r="B742" t="s">
        <v>702</v>
      </c>
      <c r="C742" t="s">
        <v>582</v>
      </c>
      <c r="D742" t="s">
        <v>704</v>
      </c>
      <c r="E742">
        <v>1</v>
      </c>
      <c r="G742">
        <v>330</v>
      </c>
      <c r="H742">
        <v>365286</v>
      </c>
      <c r="I742">
        <v>365286</v>
      </c>
      <c r="J742">
        <v>358719</v>
      </c>
      <c r="K742">
        <v>358718.5</v>
      </c>
      <c r="L742">
        <v>2.5891744002289498</v>
      </c>
      <c r="M742">
        <v>100.173181458253</v>
      </c>
      <c r="N742">
        <v>98.428380285543</v>
      </c>
      <c r="O742">
        <v>330.57149881223597</v>
      </c>
      <c r="P742">
        <v>324.81365494229198</v>
      </c>
      <c r="Q742">
        <v>2.50692074270999</v>
      </c>
    </row>
    <row r="743" spans="1:17" x14ac:dyDescent="0.25">
      <c r="A743" t="s">
        <v>580</v>
      </c>
      <c r="B743" t="s">
        <v>702</v>
      </c>
      <c r="C743" t="s">
        <v>607</v>
      </c>
      <c r="D743" t="s">
        <v>703</v>
      </c>
      <c r="E743">
        <v>5</v>
      </c>
      <c r="G743">
        <v>2837.5</v>
      </c>
      <c r="H743">
        <v>191641</v>
      </c>
      <c r="I743">
        <v>191641</v>
      </c>
      <c r="J743">
        <v>190623</v>
      </c>
      <c r="K743">
        <v>190623</v>
      </c>
      <c r="L743">
        <v>0.75524433383999301</v>
      </c>
      <c r="M743">
        <v>98.030857989160694</v>
      </c>
      <c r="N743">
        <v>97.510548981970999</v>
      </c>
      <c r="O743">
        <v>2781.62559544243</v>
      </c>
      <c r="P743">
        <v>2766.8618273634202</v>
      </c>
      <c r="Q743">
        <v>0.75461379540445295</v>
      </c>
    </row>
    <row r="744" spans="1:17" x14ac:dyDescent="0.25">
      <c r="A744" t="s">
        <v>580</v>
      </c>
      <c r="B744" t="s">
        <v>702</v>
      </c>
      <c r="C744" t="s">
        <v>607</v>
      </c>
      <c r="D744" t="s">
        <v>704</v>
      </c>
      <c r="E744">
        <v>5</v>
      </c>
      <c r="G744">
        <v>2837.5</v>
      </c>
      <c r="H744">
        <v>189605</v>
      </c>
      <c r="I744">
        <v>189605</v>
      </c>
      <c r="J744">
        <v>190623</v>
      </c>
      <c r="K744">
        <v>190623</v>
      </c>
      <c r="L744">
        <v>0.75524433383999301</v>
      </c>
      <c r="M744">
        <v>96.990239974781304</v>
      </c>
      <c r="N744">
        <v>97.510548981970999</v>
      </c>
      <c r="O744">
        <v>2752.0980592844198</v>
      </c>
      <c r="P744">
        <v>2766.8618273634202</v>
      </c>
      <c r="Q744">
        <v>0.75461379540445295</v>
      </c>
    </row>
    <row r="745" spans="1:17" x14ac:dyDescent="0.25">
      <c r="A745" t="s">
        <v>580</v>
      </c>
      <c r="B745" t="s">
        <v>702</v>
      </c>
      <c r="C745" t="s">
        <v>608</v>
      </c>
      <c r="D745" t="s">
        <v>704</v>
      </c>
      <c r="E745">
        <v>9</v>
      </c>
      <c r="G745">
        <v>11650</v>
      </c>
      <c r="H745">
        <v>78097</v>
      </c>
      <c r="I745">
        <v>78097</v>
      </c>
      <c r="J745">
        <v>77876</v>
      </c>
      <c r="K745">
        <v>77875.5</v>
      </c>
      <c r="L745">
        <v>0.40224243063048098</v>
      </c>
      <c r="M745">
        <v>97.020129205000302</v>
      </c>
      <c r="N745">
        <v>96.670679917775999</v>
      </c>
      <c r="O745">
        <v>11302.845052382499</v>
      </c>
      <c r="P745">
        <v>11262.1342104209</v>
      </c>
      <c r="Q745">
        <v>0.51121593618099304</v>
      </c>
    </row>
    <row r="746" spans="1:17" x14ac:dyDescent="0.25">
      <c r="A746" t="s">
        <v>580</v>
      </c>
      <c r="B746" t="s">
        <v>702</v>
      </c>
      <c r="C746" t="s">
        <v>608</v>
      </c>
      <c r="D746" t="s">
        <v>703</v>
      </c>
      <c r="E746">
        <v>9</v>
      </c>
      <c r="G746">
        <v>11650</v>
      </c>
      <c r="H746">
        <v>77654</v>
      </c>
      <c r="I746">
        <v>77654</v>
      </c>
      <c r="J746">
        <v>77876</v>
      </c>
      <c r="K746">
        <v>77875.5</v>
      </c>
      <c r="L746">
        <v>0.40224243063048098</v>
      </c>
      <c r="M746">
        <v>96.321230630551696</v>
      </c>
      <c r="N746">
        <v>96.670679917775999</v>
      </c>
      <c r="O746">
        <v>11221.4233684592</v>
      </c>
      <c r="P746">
        <v>11262.1342104209</v>
      </c>
      <c r="Q746">
        <v>0.51121593618099304</v>
      </c>
    </row>
    <row r="747" spans="1:17" x14ac:dyDescent="0.25">
      <c r="A747" t="s">
        <v>580</v>
      </c>
      <c r="B747" t="s">
        <v>702</v>
      </c>
      <c r="C747" t="s">
        <v>609</v>
      </c>
      <c r="D747" t="s">
        <v>703</v>
      </c>
      <c r="E747">
        <v>2</v>
      </c>
      <c r="G747">
        <v>1662.5</v>
      </c>
      <c r="H747">
        <v>349301</v>
      </c>
      <c r="I747">
        <v>349301</v>
      </c>
      <c r="J747">
        <v>348966</v>
      </c>
      <c r="K747">
        <v>348966</v>
      </c>
      <c r="L747">
        <v>0.135761519286975</v>
      </c>
      <c r="M747">
        <v>97.298654424135194</v>
      </c>
      <c r="N747">
        <v>97.189856158048002</v>
      </c>
      <c r="O747">
        <v>1617.59012980124</v>
      </c>
      <c r="P747">
        <v>1615.7813586275399</v>
      </c>
      <c r="Q747">
        <v>0.15831280088841199</v>
      </c>
    </row>
    <row r="748" spans="1:17" x14ac:dyDescent="0.25">
      <c r="A748" t="s">
        <v>580</v>
      </c>
      <c r="B748" t="s">
        <v>702</v>
      </c>
      <c r="C748" t="s">
        <v>609</v>
      </c>
      <c r="D748" t="s">
        <v>704</v>
      </c>
      <c r="E748">
        <v>2</v>
      </c>
      <c r="G748">
        <v>1662.5</v>
      </c>
      <c r="H748">
        <v>348631</v>
      </c>
      <c r="I748">
        <v>348631</v>
      </c>
      <c r="J748">
        <v>348966</v>
      </c>
      <c r="K748">
        <v>348966</v>
      </c>
      <c r="L748">
        <v>0.135761519286975</v>
      </c>
      <c r="M748">
        <v>97.081057891960697</v>
      </c>
      <c r="N748">
        <v>97.189856158048002</v>
      </c>
      <c r="O748">
        <v>1613.9725874538401</v>
      </c>
      <c r="P748">
        <v>1615.7813586275399</v>
      </c>
      <c r="Q748">
        <v>0.15831280088841199</v>
      </c>
    </row>
    <row r="749" spans="1:17" x14ac:dyDescent="0.25">
      <c r="A749" t="s">
        <v>580</v>
      </c>
      <c r="B749" t="s">
        <v>702</v>
      </c>
      <c r="C749" t="s">
        <v>610</v>
      </c>
      <c r="D749" t="s">
        <v>703</v>
      </c>
      <c r="E749">
        <v>3</v>
      </c>
      <c r="G749">
        <v>1275</v>
      </c>
      <c r="H749">
        <v>548755</v>
      </c>
      <c r="I749">
        <v>548755</v>
      </c>
      <c r="J749">
        <v>542482</v>
      </c>
      <c r="K749">
        <v>542481.5</v>
      </c>
      <c r="L749">
        <v>1.6354601555163799</v>
      </c>
      <c r="M749">
        <v>103.959673548648</v>
      </c>
      <c r="N749">
        <v>102.640605633186</v>
      </c>
      <c r="O749">
        <v>1325.4858377452699</v>
      </c>
      <c r="P749">
        <v>1308.66772182313</v>
      </c>
      <c r="Q749">
        <v>1.81745199595221</v>
      </c>
    </row>
    <row r="750" spans="1:17" x14ac:dyDescent="0.25">
      <c r="A750" t="s">
        <v>580</v>
      </c>
      <c r="B750" t="s">
        <v>702</v>
      </c>
      <c r="C750" t="s">
        <v>610</v>
      </c>
      <c r="D750" t="s">
        <v>704</v>
      </c>
      <c r="E750">
        <v>3</v>
      </c>
      <c r="G750">
        <v>1275</v>
      </c>
      <c r="H750">
        <v>536208</v>
      </c>
      <c r="I750">
        <v>536208</v>
      </c>
      <c r="J750">
        <v>542482</v>
      </c>
      <c r="K750">
        <v>542481.5</v>
      </c>
      <c r="L750">
        <v>1.6354601555163799</v>
      </c>
      <c r="M750">
        <v>101.321537717724</v>
      </c>
      <c r="N750">
        <v>102.640605633186</v>
      </c>
      <c r="O750">
        <v>1291.8496059009799</v>
      </c>
      <c r="P750">
        <v>1308.66772182313</v>
      </c>
      <c r="Q750">
        <v>1.81745199595221</v>
      </c>
    </row>
    <row r="751" spans="1:17" x14ac:dyDescent="0.25">
      <c r="A751" t="s">
        <v>580</v>
      </c>
      <c r="B751" t="s">
        <v>702</v>
      </c>
      <c r="C751" t="s">
        <v>611</v>
      </c>
      <c r="D751" t="s">
        <v>703</v>
      </c>
      <c r="E751">
        <v>4</v>
      </c>
      <c r="G751">
        <v>2175</v>
      </c>
      <c r="H751">
        <v>120146</v>
      </c>
      <c r="I751">
        <v>120146</v>
      </c>
      <c r="J751">
        <v>119469</v>
      </c>
      <c r="K751">
        <v>119469</v>
      </c>
      <c r="L751">
        <v>0.80139833908929103</v>
      </c>
      <c r="M751">
        <v>94.048899529225693</v>
      </c>
      <c r="N751">
        <v>93.569472273675501</v>
      </c>
      <c r="O751">
        <v>2045.56356476065</v>
      </c>
      <c r="P751">
        <v>2035.1360219524399</v>
      </c>
      <c r="Q751">
        <v>0.72460868966678804</v>
      </c>
    </row>
    <row r="752" spans="1:17" x14ac:dyDescent="0.25">
      <c r="A752" t="s">
        <v>580</v>
      </c>
      <c r="B752" t="s">
        <v>702</v>
      </c>
      <c r="C752" t="s">
        <v>611</v>
      </c>
      <c r="D752" t="s">
        <v>704</v>
      </c>
      <c r="E752">
        <v>4</v>
      </c>
      <c r="G752">
        <v>2175</v>
      </c>
      <c r="H752">
        <v>118792</v>
      </c>
      <c r="I752">
        <v>118792</v>
      </c>
      <c r="J752">
        <v>119469</v>
      </c>
      <c r="K752">
        <v>119469</v>
      </c>
      <c r="L752">
        <v>0.80139833908929103</v>
      </c>
      <c r="M752">
        <v>93.090045018125295</v>
      </c>
      <c r="N752">
        <v>93.569472273675501</v>
      </c>
      <c r="O752">
        <v>2024.7084791442201</v>
      </c>
      <c r="P752">
        <v>2035.1360219524399</v>
      </c>
      <c r="Q752">
        <v>0.72460868966678804</v>
      </c>
    </row>
    <row r="753" spans="1:17" x14ac:dyDescent="0.25">
      <c r="A753" t="s">
        <v>580</v>
      </c>
      <c r="B753" t="s">
        <v>702</v>
      </c>
      <c r="C753" t="s">
        <v>612</v>
      </c>
      <c r="D753" t="s">
        <v>703</v>
      </c>
      <c r="E753">
        <v>7</v>
      </c>
      <c r="G753">
        <v>262.5</v>
      </c>
      <c r="H753">
        <v>182205</v>
      </c>
      <c r="I753">
        <v>182205</v>
      </c>
      <c r="J753">
        <v>178628</v>
      </c>
      <c r="K753">
        <v>178627.5</v>
      </c>
      <c r="L753">
        <v>2.8323460941846799</v>
      </c>
      <c r="M753">
        <v>95.770281852128605</v>
      </c>
      <c r="N753">
        <v>93.955933882284199</v>
      </c>
      <c r="O753">
        <v>251.396989861837</v>
      </c>
      <c r="P753">
        <v>246.63432644099501</v>
      </c>
      <c r="Q753">
        <v>2.73093502431982</v>
      </c>
    </row>
    <row r="754" spans="1:17" x14ac:dyDescent="0.25">
      <c r="A754" t="s">
        <v>580</v>
      </c>
      <c r="B754" t="s">
        <v>702</v>
      </c>
      <c r="C754" t="s">
        <v>612</v>
      </c>
      <c r="D754" t="s">
        <v>704</v>
      </c>
      <c r="E754">
        <v>7</v>
      </c>
      <c r="G754">
        <v>262.5</v>
      </c>
      <c r="H754">
        <v>175050</v>
      </c>
      <c r="I754">
        <v>175050</v>
      </c>
      <c r="J754">
        <v>178628</v>
      </c>
      <c r="K754">
        <v>178627.5</v>
      </c>
      <c r="L754">
        <v>2.8323460941846799</v>
      </c>
      <c r="M754">
        <v>92.141585912439695</v>
      </c>
      <c r="N754">
        <v>93.955933882284199</v>
      </c>
      <c r="O754">
        <v>241.87166302015399</v>
      </c>
      <c r="P754">
        <v>246.63432644099501</v>
      </c>
      <c r="Q754">
        <v>2.73093502431982</v>
      </c>
    </row>
    <row r="755" spans="1:17" x14ac:dyDescent="0.25">
      <c r="A755" t="s">
        <v>580</v>
      </c>
      <c r="B755" t="s">
        <v>702</v>
      </c>
      <c r="C755" t="s">
        <v>613</v>
      </c>
      <c r="D755" t="s">
        <v>704</v>
      </c>
      <c r="E755">
        <v>10</v>
      </c>
      <c r="G755">
        <v>162.5</v>
      </c>
      <c r="H755">
        <v>91427</v>
      </c>
      <c r="I755">
        <v>91427</v>
      </c>
      <c r="J755">
        <v>91729</v>
      </c>
      <c r="K755">
        <v>91728.5</v>
      </c>
      <c r="L755">
        <v>0.46483414539154999</v>
      </c>
      <c r="M755">
        <v>102.905471631327</v>
      </c>
      <c r="N755">
        <v>103.150224303486</v>
      </c>
      <c r="O755">
        <v>167.22139140090701</v>
      </c>
      <c r="P755">
        <v>167.619114493165</v>
      </c>
      <c r="Q755">
        <v>0.33556160515530598</v>
      </c>
    </row>
    <row r="756" spans="1:17" x14ac:dyDescent="0.25">
      <c r="A756" t="s">
        <v>580</v>
      </c>
      <c r="B756" t="s">
        <v>702</v>
      </c>
      <c r="C756" t="s">
        <v>613</v>
      </c>
      <c r="D756" t="s">
        <v>703</v>
      </c>
      <c r="E756">
        <v>10</v>
      </c>
      <c r="G756">
        <v>162.5</v>
      </c>
      <c r="H756">
        <v>92030</v>
      </c>
      <c r="I756">
        <v>92030</v>
      </c>
      <c r="J756">
        <v>91729</v>
      </c>
      <c r="K756">
        <v>91728.5</v>
      </c>
      <c r="L756">
        <v>0.46483414539154999</v>
      </c>
      <c r="M756">
        <v>103.39497697564499</v>
      </c>
      <c r="N756">
        <v>103.150224303486</v>
      </c>
      <c r="O756">
        <v>168.01683758542299</v>
      </c>
      <c r="P756">
        <v>167.619114493165</v>
      </c>
      <c r="Q756">
        <v>0.33556160515530598</v>
      </c>
    </row>
    <row r="757" spans="1:17" x14ac:dyDescent="0.25">
      <c r="A757" t="s">
        <v>580</v>
      </c>
      <c r="B757" t="s">
        <v>702</v>
      </c>
      <c r="C757" t="s">
        <v>614</v>
      </c>
      <c r="D757" t="s">
        <v>704</v>
      </c>
      <c r="E757">
        <v>8</v>
      </c>
      <c r="G757">
        <v>885</v>
      </c>
      <c r="H757">
        <v>313894</v>
      </c>
      <c r="I757">
        <v>313894</v>
      </c>
      <c r="J757">
        <v>314657</v>
      </c>
      <c r="K757">
        <v>314656.5</v>
      </c>
      <c r="L757">
        <v>0.34270318309314601</v>
      </c>
      <c r="M757">
        <v>100.157349547116</v>
      </c>
      <c r="N757">
        <v>100.404886607045</v>
      </c>
      <c r="O757">
        <v>886.39254349197995</v>
      </c>
      <c r="P757">
        <v>888.58324647235202</v>
      </c>
      <c r="Q757">
        <v>0.348658595384576</v>
      </c>
    </row>
    <row r="758" spans="1:17" x14ac:dyDescent="0.25">
      <c r="A758" t="s">
        <v>580</v>
      </c>
      <c r="B758" t="s">
        <v>702</v>
      </c>
      <c r="C758" t="s">
        <v>614</v>
      </c>
      <c r="D758" t="s">
        <v>703</v>
      </c>
      <c r="E758">
        <v>8</v>
      </c>
      <c r="G758">
        <v>885</v>
      </c>
      <c r="H758">
        <v>315419</v>
      </c>
      <c r="I758">
        <v>315419</v>
      </c>
      <c r="J758">
        <v>314657</v>
      </c>
      <c r="K758">
        <v>314656.5</v>
      </c>
      <c r="L758">
        <v>0.34270318309314601</v>
      </c>
      <c r="M758">
        <v>100.652423666974</v>
      </c>
      <c r="N758">
        <v>100.404886607045</v>
      </c>
      <c r="O758">
        <v>890.77394945272397</v>
      </c>
      <c r="P758">
        <v>888.58324647235202</v>
      </c>
      <c r="Q758">
        <v>0.348658595384576</v>
      </c>
    </row>
    <row r="759" spans="1:17" x14ac:dyDescent="0.25">
      <c r="A759" t="s">
        <v>580</v>
      </c>
      <c r="B759" t="s">
        <v>705</v>
      </c>
      <c r="C759" t="s">
        <v>582</v>
      </c>
      <c r="D759" t="s">
        <v>706</v>
      </c>
      <c r="E759">
        <v>1</v>
      </c>
      <c r="G759">
        <v>82.5</v>
      </c>
      <c r="H759">
        <v>80969</v>
      </c>
      <c r="I759">
        <v>80969</v>
      </c>
      <c r="J759">
        <v>82828</v>
      </c>
      <c r="K759">
        <v>82827.5</v>
      </c>
      <c r="L759">
        <v>3.1732406575960801</v>
      </c>
      <c r="M759">
        <v>92.989739134495096</v>
      </c>
      <c r="N759">
        <v>95.062466238719793</v>
      </c>
      <c r="O759">
        <v>76.716534785958402</v>
      </c>
      <c r="P759">
        <v>78.426534646943793</v>
      </c>
      <c r="Q759">
        <v>3.0835290708027001</v>
      </c>
    </row>
    <row r="760" spans="1:17" x14ac:dyDescent="0.25">
      <c r="A760" t="s">
        <v>580</v>
      </c>
      <c r="B760" t="s">
        <v>705</v>
      </c>
      <c r="C760" t="s">
        <v>582</v>
      </c>
      <c r="D760" t="s">
        <v>707</v>
      </c>
      <c r="E760">
        <v>1</v>
      </c>
      <c r="G760">
        <v>82.5</v>
      </c>
      <c r="H760">
        <v>84686</v>
      </c>
      <c r="I760">
        <v>84686</v>
      </c>
      <c r="J760">
        <v>82828</v>
      </c>
      <c r="K760">
        <v>82827.5</v>
      </c>
      <c r="L760">
        <v>3.1732406575960801</v>
      </c>
      <c r="M760">
        <v>97.135193342944504</v>
      </c>
      <c r="N760">
        <v>95.062466238719793</v>
      </c>
      <c r="O760">
        <v>80.136534507929198</v>
      </c>
      <c r="P760">
        <v>78.426534646943793</v>
      </c>
      <c r="Q760">
        <v>3.0835290708027001</v>
      </c>
    </row>
    <row r="761" spans="1:17" x14ac:dyDescent="0.25">
      <c r="A761" t="s">
        <v>580</v>
      </c>
      <c r="B761" t="s">
        <v>705</v>
      </c>
      <c r="C761" t="s">
        <v>607</v>
      </c>
      <c r="D761" t="s">
        <v>706</v>
      </c>
      <c r="E761">
        <v>5</v>
      </c>
      <c r="G761">
        <v>709.375</v>
      </c>
      <c r="H761">
        <v>46953</v>
      </c>
      <c r="I761">
        <v>46953</v>
      </c>
      <c r="J761">
        <v>47784</v>
      </c>
      <c r="K761">
        <v>47783.5</v>
      </c>
      <c r="L761">
        <v>2.4579705621205101</v>
      </c>
      <c r="M761">
        <v>95.987283315218704</v>
      </c>
      <c r="N761">
        <v>97.690142634748696</v>
      </c>
      <c r="O761">
        <v>680.90979101733205</v>
      </c>
      <c r="P761">
        <v>692.98944931524795</v>
      </c>
      <c r="Q761">
        <v>2.46514815061404</v>
      </c>
    </row>
    <row r="762" spans="1:17" x14ac:dyDescent="0.25">
      <c r="A762" t="s">
        <v>580</v>
      </c>
      <c r="B762" t="s">
        <v>705</v>
      </c>
      <c r="C762" t="s">
        <v>607</v>
      </c>
      <c r="D762" t="s">
        <v>707</v>
      </c>
      <c r="E762">
        <v>5</v>
      </c>
      <c r="G762">
        <v>709.375</v>
      </c>
      <c r="H762">
        <v>48614</v>
      </c>
      <c r="I762">
        <v>48614</v>
      </c>
      <c r="J762">
        <v>47784</v>
      </c>
      <c r="K762">
        <v>47783.5</v>
      </c>
      <c r="L762">
        <v>2.4579705621205101</v>
      </c>
      <c r="M762">
        <v>99.393001954278603</v>
      </c>
      <c r="N762">
        <v>97.690142634748696</v>
      </c>
      <c r="O762">
        <v>705.06910761316396</v>
      </c>
      <c r="P762">
        <v>692.98944931524795</v>
      </c>
      <c r="Q762">
        <v>2.46514815061404</v>
      </c>
    </row>
    <row r="763" spans="1:17" x14ac:dyDescent="0.25">
      <c r="A763" t="s">
        <v>580</v>
      </c>
      <c r="B763" t="s">
        <v>705</v>
      </c>
      <c r="C763" t="s">
        <v>608</v>
      </c>
      <c r="D763" t="s">
        <v>706</v>
      </c>
      <c r="E763">
        <v>9</v>
      </c>
      <c r="G763">
        <v>2912.5</v>
      </c>
      <c r="H763">
        <v>24245</v>
      </c>
      <c r="I763">
        <v>24245</v>
      </c>
      <c r="J763">
        <v>24436</v>
      </c>
      <c r="K763">
        <v>24435.5</v>
      </c>
      <c r="L763">
        <v>1.10252576633207</v>
      </c>
      <c r="M763">
        <v>101.808564629217</v>
      </c>
      <c r="N763">
        <v>102.666149565872</v>
      </c>
      <c r="O763">
        <v>2965.1744448259601</v>
      </c>
      <c r="P763">
        <v>2990.1516061060402</v>
      </c>
      <c r="Q763">
        <v>1.18131268527468</v>
      </c>
    </row>
    <row r="764" spans="1:17" x14ac:dyDescent="0.25">
      <c r="A764" t="s">
        <v>580</v>
      </c>
      <c r="B764" t="s">
        <v>705</v>
      </c>
      <c r="C764" t="s">
        <v>608</v>
      </c>
      <c r="D764" t="s">
        <v>707</v>
      </c>
      <c r="E764">
        <v>9</v>
      </c>
      <c r="G764">
        <v>2912.5</v>
      </c>
      <c r="H764">
        <v>24626</v>
      </c>
      <c r="I764">
        <v>24626</v>
      </c>
      <c r="J764">
        <v>24436</v>
      </c>
      <c r="K764">
        <v>24435.5</v>
      </c>
      <c r="L764">
        <v>1.10252576633207</v>
      </c>
      <c r="M764">
        <v>103.523734502528</v>
      </c>
      <c r="N764">
        <v>102.666149565872</v>
      </c>
      <c r="O764">
        <v>3015.1287673861202</v>
      </c>
      <c r="P764">
        <v>2990.1516061060402</v>
      </c>
      <c r="Q764">
        <v>1.18131268527468</v>
      </c>
    </row>
    <row r="765" spans="1:17" x14ac:dyDescent="0.25">
      <c r="A765" t="s">
        <v>580</v>
      </c>
      <c r="B765" t="s">
        <v>705</v>
      </c>
      <c r="C765" t="s">
        <v>609</v>
      </c>
      <c r="D765" t="s">
        <v>706</v>
      </c>
      <c r="E765">
        <v>2</v>
      </c>
      <c r="G765">
        <v>415.625</v>
      </c>
      <c r="H765">
        <v>106047</v>
      </c>
      <c r="I765">
        <v>106047</v>
      </c>
      <c r="J765">
        <v>106677</v>
      </c>
      <c r="K765">
        <v>106677</v>
      </c>
      <c r="L765">
        <v>0.83518897634452505</v>
      </c>
      <c r="M765">
        <v>101.663695237337</v>
      </c>
      <c r="N765">
        <v>102.33033849304201</v>
      </c>
      <c r="O765">
        <v>422.53973333018502</v>
      </c>
      <c r="P765">
        <v>425.310469361706</v>
      </c>
      <c r="Q765">
        <v>0.92130637635440704</v>
      </c>
    </row>
    <row r="766" spans="1:17" x14ac:dyDescent="0.25">
      <c r="A766" t="s">
        <v>580</v>
      </c>
      <c r="B766" t="s">
        <v>705</v>
      </c>
      <c r="C766" t="s">
        <v>609</v>
      </c>
      <c r="D766" t="s">
        <v>707</v>
      </c>
      <c r="E766">
        <v>2</v>
      </c>
      <c r="G766">
        <v>415.625</v>
      </c>
      <c r="H766">
        <v>107307</v>
      </c>
      <c r="I766">
        <v>107307</v>
      </c>
      <c r="J766">
        <v>106677</v>
      </c>
      <c r="K766">
        <v>106677</v>
      </c>
      <c r="L766">
        <v>0.83518897634452505</v>
      </c>
      <c r="M766">
        <v>102.99698174874599</v>
      </c>
      <c r="N766">
        <v>102.33033849304201</v>
      </c>
      <c r="O766">
        <v>428.08120539322601</v>
      </c>
      <c r="P766">
        <v>425.310469361706</v>
      </c>
      <c r="Q766">
        <v>0.92130637635440704</v>
      </c>
    </row>
    <row r="767" spans="1:17" x14ac:dyDescent="0.25">
      <c r="A767" t="s">
        <v>580</v>
      </c>
      <c r="B767" t="s">
        <v>705</v>
      </c>
      <c r="C767" t="s">
        <v>610</v>
      </c>
      <c r="D767" t="s">
        <v>706</v>
      </c>
      <c r="E767">
        <v>3</v>
      </c>
      <c r="G767">
        <v>318.75</v>
      </c>
      <c r="H767">
        <v>141826</v>
      </c>
      <c r="I767">
        <v>141826</v>
      </c>
      <c r="J767">
        <v>144640</v>
      </c>
      <c r="K767">
        <v>144639.5</v>
      </c>
      <c r="L767">
        <v>2.7509012805884301</v>
      </c>
      <c r="M767">
        <v>98.983583323362893</v>
      </c>
      <c r="N767">
        <v>101.00877908474401</v>
      </c>
      <c r="O767">
        <v>315.51017184321898</v>
      </c>
      <c r="P767">
        <v>321.96548333262399</v>
      </c>
      <c r="Q767">
        <v>2.8354558268683001</v>
      </c>
    </row>
    <row r="768" spans="1:17" x14ac:dyDescent="0.25">
      <c r="A768" t="s">
        <v>580</v>
      </c>
      <c r="B768" t="s">
        <v>705</v>
      </c>
      <c r="C768" t="s">
        <v>610</v>
      </c>
      <c r="D768" t="s">
        <v>707</v>
      </c>
      <c r="E768">
        <v>3</v>
      </c>
      <c r="G768">
        <v>318.75</v>
      </c>
      <c r="H768">
        <v>147453</v>
      </c>
      <c r="I768">
        <v>147453</v>
      </c>
      <c r="J768">
        <v>144640</v>
      </c>
      <c r="K768">
        <v>144639.5</v>
      </c>
      <c r="L768">
        <v>2.7509012805884301</v>
      </c>
      <c r="M768">
        <v>103.033974846126</v>
      </c>
      <c r="N768">
        <v>101.00877908474401</v>
      </c>
      <c r="O768">
        <v>328.42079482202899</v>
      </c>
      <c r="P768">
        <v>321.96548333262399</v>
      </c>
      <c r="Q768">
        <v>2.8354558268683001</v>
      </c>
    </row>
    <row r="769" spans="1:17" x14ac:dyDescent="0.25">
      <c r="A769" t="s">
        <v>580</v>
      </c>
      <c r="B769" t="s">
        <v>705</v>
      </c>
      <c r="C769" t="s">
        <v>611</v>
      </c>
      <c r="D769" t="s">
        <v>706</v>
      </c>
      <c r="E769">
        <v>4</v>
      </c>
      <c r="G769">
        <v>543.75</v>
      </c>
      <c r="H769">
        <v>24851</v>
      </c>
      <c r="I769">
        <v>24851</v>
      </c>
      <c r="J769">
        <v>25359</v>
      </c>
      <c r="K769">
        <v>25358.5</v>
      </c>
      <c r="L769">
        <v>2.8302674957286298</v>
      </c>
      <c r="M769">
        <v>89.958820829151094</v>
      </c>
      <c r="N769">
        <v>91.635386718787899</v>
      </c>
      <c r="O769">
        <v>489.15108825850899</v>
      </c>
      <c r="P769">
        <v>498.26741528340898</v>
      </c>
      <c r="Q769">
        <v>2.58745262527543</v>
      </c>
    </row>
    <row r="770" spans="1:17" x14ac:dyDescent="0.25">
      <c r="A770" t="s">
        <v>580</v>
      </c>
      <c r="B770" t="s">
        <v>705</v>
      </c>
      <c r="C770" t="s">
        <v>611</v>
      </c>
      <c r="D770" t="s">
        <v>707</v>
      </c>
      <c r="E770">
        <v>4</v>
      </c>
      <c r="G770">
        <v>543.75</v>
      </c>
      <c r="H770">
        <v>25866</v>
      </c>
      <c r="I770">
        <v>25866</v>
      </c>
      <c r="J770">
        <v>25359</v>
      </c>
      <c r="K770">
        <v>25358.5</v>
      </c>
      <c r="L770">
        <v>2.8302674957286298</v>
      </c>
      <c r="M770">
        <v>93.311952608424804</v>
      </c>
      <c r="N770">
        <v>91.635386718787899</v>
      </c>
      <c r="O770">
        <v>507.38374230830999</v>
      </c>
      <c r="P770">
        <v>498.26741528340898</v>
      </c>
      <c r="Q770">
        <v>2.58745262527543</v>
      </c>
    </row>
    <row r="771" spans="1:17" x14ac:dyDescent="0.25">
      <c r="A771" t="s">
        <v>580</v>
      </c>
      <c r="B771" t="s">
        <v>705</v>
      </c>
      <c r="C771" t="s">
        <v>612</v>
      </c>
      <c r="D771" t="s">
        <v>706</v>
      </c>
      <c r="E771">
        <v>7</v>
      </c>
      <c r="G771">
        <v>65.625</v>
      </c>
      <c r="H771">
        <v>41867</v>
      </c>
      <c r="I771">
        <v>41867</v>
      </c>
      <c r="J771">
        <v>42815</v>
      </c>
      <c r="K771">
        <v>42815</v>
      </c>
      <c r="L771">
        <v>3.1313195308412798</v>
      </c>
      <c r="M771">
        <v>92.5191762921867</v>
      </c>
      <c r="N771">
        <v>94.548290549268103</v>
      </c>
      <c r="O771">
        <v>60.715709441747499</v>
      </c>
      <c r="P771">
        <v>62.047315672957197</v>
      </c>
      <c r="Q771">
        <v>3.0350637597977999</v>
      </c>
    </row>
    <row r="772" spans="1:17" x14ac:dyDescent="0.25">
      <c r="A772" t="s">
        <v>580</v>
      </c>
      <c r="B772" t="s">
        <v>705</v>
      </c>
      <c r="C772" t="s">
        <v>612</v>
      </c>
      <c r="D772" t="s">
        <v>707</v>
      </c>
      <c r="E772">
        <v>7</v>
      </c>
      <c r="G772">
        <v>65.625</v>
      </c>
      <c r="H772">
        <v>43763</v>
      </c>
      <c r="I772">
        <v>43763</v>
      </c>
      <c r="J772">
        <v>42815</v>
      </c>
      <c r="K772">
        <v>42815</v>
      </c>
      <c r="L772">
        <v>3.1313195308412798</v>
      </c>
      <c r="M772">
        <v>96.577404806349605</v>
      </c>
      <c r="N772">
        <v>94.548290549268103</v>
      </c>
      <c r="O772">
        <v>63.378921904166901</v>
      </c>
      <c r="P772">
        <v>62.047315672957197</v>
      </c>
      <c r="Q772">
        <v>3.0350637597977999</v>
      </c>
    </row>
    <row r="773" spans="1:17" x14ac:dyDescent="0.25">
      <c r="A773" t="s">
        <v>580</v>
      </c>
      <c r="B773" t="s">
        <v>705</v>
      </c>
      <c r="C773" t="s">
        <v>613</v>
      </c>
      <c r="D773" t="s">
        <v>706</v>
      </c>
      <c r="E773">
        <v>10</v>
      </c>
      <c r="G773">
        <v>40.625</v>
      </c>
      <c r="H773">
        <v>12364</v>
      </c>
      <c r="I773">
        <v>12364</v>
      </c>
      <c r="J773">
        <v>12449</v>
      </c>
      <c r="K773">
        <v>12448.5</v>
      </c>
      <c r="L773">
        <v>0.95996341744408098</v>
      </c>
      <c r="M773">
        <v>96.0912141888722</v>
      </c>
      <c r="N773">
        <v>96.574639582953594</v>
      </c>
      <c r="O773">
        <v>39.037055764229301</v>
      </c>
      <c r="P773">
        <v>39.233447330574897</v>
      </c>
      <c r="Q773">
        <v>0.70791540269563102</v>
      </c>
    </row>
    <row r="774" spans="1:17" x14ac:dyDescent="0.25">
      <c r="A774" t="s">
        <v>580</v>
      </c>
      <c r="B774" t="s">
        <v>705</v>
      </c>
      <c r="C774" t="s">
        <v>613</v>
      </c>
      <c r="D774" t="s">
        <v>707</v>
      </c>
      <c r="E774">
        <v>10</v>
      </c>
      <c r="G774">
        <v>40.625</v>
      </c>
      <c r="H774">
        <v>12533</v>
      </c>
      <c r="I774">
        <v>12533</v>
      </c>
      <c r="J774">
        <v>12449</v>
      </c>
      <c r="K774">
        <v>12448.5</v>
      </c>
      <c r="L774">
        <v>0.95996341744408098</v>
      </c>
      <c r="M774">
        <v>97.058064977035002</v>
      </c>
      <c r="N774">
        <v>96.574639582953594</v>
      </c>
      <c r="O774">
        <v>39.429838896920501</v>
      </c>
      <c r="P774">
        <v>39.233447330574897</v>
      </c>
      <c r="Q774">
        <v>0.70791540269563102</v>
      </c>
    </row>
    <row r="775" spans="1:17" x14ac:dyDescent="0.25">
      <c r="A775" t="s">
        <v>580</v>
      </c>
      <c r="B775" t="s">
        <v>705</v>
      </c>
      <c r="C775" t="s">
        <v>614</v>
      </c>
      <c r="D775" t="s">
        <v>706</v>
      </c>
      <c r="E775">
        <v>8</v>
      </c>
      <c r="G775">
        <v>221.25</v>
      </c>
      <c r="H775">
        <v>79131</v>
      </c>
      <c r="I775">
        <v>79131</v>
      </c>
      <c r="J775">
        <v>80569</v>
      </c>
      <c r="K775">
        <v>80569</v>
      </c>
      <c r="L775">
        <v>2.5240962438313801</v>
      </c>
      <c r="M775">
        <v>98.491758500584098</v>
      </c>
      <c r="N775">
        <v>100.317863021345</v>
      </c>
      <c r="O775">
        <v>217.91301568254201</v>
      </c>
      <c r="P775">
        <v>221.95327193472599</v>
      </c>
      <c r="Q775">
        <v>2.5743189715094101</v>
      </c>
    </row>
    <row r="776" spans="1:17" x14ac:dyDescent="0.25">
      <c r="A776" t="s">
        <v>580</v>
      </c>
      <c r="B776" t="s">
        <v>705</v>
      </c>
      <c r="C776" t="s">
        <v>614</v>
      </c>
      <c r="D776" t="s">
        <v>707</v>
      </c>
      <c r="E776">
        <v>8</v>
      </c>
      <c r="G776">
        <v>221.25</v>
      </c>
      <c r="H776">
        <v>82007</v>
      </c>
      <c r="I776">
        <v>82007</v>
      </c>
      <c r="J776">
        <v>80569</v>
      </c>
      <c r="K776">
        <v>80569</v>
      </c>
      <c r="L776">
        <v>2.5240962438313801</v>
      </c>
      <c r="M776">
        <v>102.143967542106</v>
      </c>
      <c r="N776">
        <v>100.317863021345</v>
      </c>
      <c r="O776">
        <v>225.99352818691</v>
      </c>
      <c r="P776">
        <v>221.95327193472599</v>
      </c>
      <c r="Q776">
        <v>2.5743189715094101</v>
      </c>
    </row>
    <row r="777" spans="1:17" x14ac:dyDescent="0.25">
      <c r="A777" t="s">
        <v>580</v>
      </c>
      <c r="B777" t="s">
        <v>708</v>
      </c>
      <c r="C777" t="s">
        <v>582</v>
      </c>
      <c r="D777" t="s">
        <v>709</v>
      </c>
      <c r="E777">
        <v>1</v>
      </c>
      <c r="G777">
        <v>20.625</v>
      </c>
      <c r="H777">
        <v>20484</v>
      </c>
      <c r="I777">
        <v>20484</v>
      </c>
      <c r="J777">
        <v>20161</v>
      </c>
      <c r="K777">
        <v>20161</v>
      </c>
      <c r="L777">
        <v>2.2657158903155001</v>
      </c>
      <c r="M777">
        <v>97.053953764156503</v>
      </c>
      <c r="N777">
        <v>95.543318307405499</v>
      </c>
      <c r="O777">
        <v>20.0173779638572</v>
      </c>
      <c r="P777">
        <v>19.7058094009023</v>
      </c>
      <c r="Q777">
        <v>2.2360131389463702</v>
      </c>
    </row>
    <row r="778" spans="1:17" x14ac:dyDescent="0.25">
      <c r="A778" t="s">
        <v>580</v>
      </c>
      <c r="B778" t="s">
        <v>708</v>
      </c>
      <c r="C778" t="s">
        <v>582</v>
      </c>
      <c r="D778" t="s">
        <v>710</v>
      </c>
      <c r="E778">
        <v>1</v>
      </c>
      <c r="G778">
        <v>20.625</v>
      </c>
      <c r="H778">
        <v>19838</v>
      </c>
      <c r="I778">
        <v>19838</v>
      </c>
      <c r="J778">
        <v>20161</v>
      </c>
      <c r="K778">
        <v>20161</v>
      </c>
      <c r="L778">
        <v>2.2657158903155001</v>
      </c>
      <c r="M778">
        <v>94.032682850654496</v>
      </c>
      <c r="N778">
        <v>95.543318307405499</v>
      </c>
      <c r="O778">
        <v>19.3942408379474</v>
      </c>
      <c r="P778">
        <v>19.7058094009023</v>
      </c>
      <c r="Q778">
        <v>2.2360131389463702</v>
      </c>
    </row>
    <row r="779" spans="1:17" x14ac:dyDescent="0.25">
      <c r="A779" t="s">
        <v>580</v>
      </c>
      <c r="B779" t="s">
        <v>708</v>
      </c>
      <c r="C779" t="s">
        <v>607</v>
      </c>
      <c r="D779" t="s">
        <v>709</v>
      </c>
      <c r="E779">
        <v>5</v>
      </c>
      <c r="G779">
        <v>177.34375</v>
      </c>
      <c r="H779">
        <v>11756</v>
      </c>
      <c r="I779">
        <v>11756</v>
      </c>
      <c r="J779">
        <v>12004</v>
      </c>
      <c r="K779">
        <v>12004</v>
      </c>
      <c r="L779">
        <v>2.9217341175318801</v>
      </c>
      <c r="M779">
        <v>94.926434034259501</v>
      </c>
      <c r="N779">
        <v>96.966625744085206</v>
      </c>
      <c r="O779">
        <v>168.346097857632</v>
      </c>
      <c r="P779">
        <v>171.96425034302601</v>
      </c>
      <c r="Q779">
        <v>2.97552561382459</v>
      </c>
    </row>
    <row r="780" spans="1:17" x14ac:dyDescent="0.25">
      <c r="A780" t="s">
        <v>580</v>
      </c>
      <c r="B780" t="s">
        <v>708</v>
      </c>
      <c r="C780" t="s">
        <v>607</v>
      </c>
      <c r="D780" t="s">
        <v>710</v>
      </c>
      <c r="E780">
        <v>5</v>
      </c>
      <c r="G780">
        <v>177.34375</v>
      </c>
      <c r="H780">
        <v>12252</v>
      </c>
      <c r="I780">
        <v>12252</v>
      </c>
      <c r="J780">
        <v>12004</v>
      </c>
      <c r="K780">
        <v>12004</v>
      </c>
      <c r="L780">
        <v>2.9217341175318801</v>
      </c>
      <c r="M780">
        <v>99.006817453910898</v>
      </c>
      <c r="N780">
        <v>96.966625744085206</v>
      </c>
      <c r="O780">
        <v>175.58240282841999</v>
      </c>
      <c r="P780">
        <v>171.96425034302601</v>
      </c>
      <c r="Q780">
        <v>2.97552561382459</v>
      </c>
    </row>
    <row r="781" spans="1:17" x14ac:dyDescent="0.25">
      <c r="A781" t="s">
        <v>580</v>
      </c>
      <c r="B781" t="s">
        <v>708</v>
      </c>
      <c r="C781" t="s">
        <v>608</v>
      </c>
      <c r="D781" t="s">
        <v>709</v>
      </c>
      <c r="E781">
        <v>9</v>
      </c>
      <c r="G781">
        <v>728.125</v>
      </c>
      <c r="H781">
        <v>6377</v>
      </c>
      <c r="I781">
        <v>6377</v>
      </c>
      <c r="J781">
        <v>6464</v>
      </c>
      <c r="K781">
        <v>6464</v>
      </c>
      <c r="L781">
        <v>1.9034124369811101</v>
      </c>
      <c r="M781">
        <v>99.427764351043905</v>
      </c>
      <c r="N781">
        <v>100.872660850527</v>
      </c>
      <c r="O781">
        <v>723.95840918103795</v>
      </c>
      <c r="P781">
        <v>734.47906181790495</v>
      </c>
      <c r="Q781">
        <v>2.02571460747256</v>
      </c>
    </row>
    <row r="782" spans="1:17" x14ac:dyDescent="0.25">
      <c r="A782" t="s">
        <v>580</v>
      </c>
      <c r="B782" t="s">
        <v>708</v>
      </c>
      <c r="C782" t="s">
        <v>608</v>
      </c>
      <c r="D782" t="s">
        <v>710</v>
      </c>
      <c r="E782">
        <v>9</v>
      </c>
      <c r="G782">
        <v>728.125</v>
      </c>
      <c r="H782">
        <v>6551</v>
      </c>
      <c r="I782">
        <v>6551</v>
      </c>
      <c r="J782">
        <v>6464</v>
      </c>
      <c r="K782">
        <v>6464</v>
      </c>
      <c r="L782">
        <v>1.9034124369811101</v>
      </c>
      <c r="M782">
        <v>102.317557350011</v>
      </c>
      <c r="N782">
        <v>100.872660850527</v>
      </c>
      <c r="O782">
        <v>744.99971445477104</v>
      </c>
      <c r="P782">
        <v>734.47906181790495</v>
      </c>
      <c r="Q782">
        <v>2.02571460747256</v>
      </c>
    </row>
    <row r="783" spans="1:17" x14ac:dyDescent="0.25">
      <c r="A783" t="s">
        <v>580</v>
      </c>
      <c r="B783" t="s">
        <v>708</v>
      </c>
      <c r="C783" t="s">
        <v>609</v>
      </c>
      <c r="D783" t="s">
        <v>710</v>
      </c>
      <c r="E783">
        <v>2</v>
      </c>
      <c r="G783">
        <v>103.90625</v>
      </c>
      <c r="H783">
        <v>29941</v>
      </c>
      <c r="I783">
        <v>29941</v>
      </c>
      <c r="J783">
        <v>30095</v>
      </c>
      <c r="K783">
        <v>30095</v>
      </c>
      <c r="L783">
        <v>0.72367133612047396</v>
      </c>
      <c r="M783">
        <v>100.804956381523</v>
      </c>
      <c r="N783">
        <v>101.38272401111099</v>
      </c>
      <c r="O783">
        <v>104.74264999017601</v>
      </c>
      <c r="P783">
        <v>105.342986667795</v>
      </c>
      <c r="Q783">
        <v>0.80594285232859197</v>
      </c>
    </row>
    <row r="784" spans="1:17" x14ac:dyDescent="0.25">
      <c r="A784" t="s">
        <v>580</v>
      </c>
      <c r="B784" t="s">
        <v>708</v>
      </c>
      <c r="C784" t="s">
        <v>609</v>
      </c>
      <c r="D784" t="s">
        <v>709</v>
      </c>
      <c r="E784">
        <v>2</v>
      </c>
      <c r="G784">
        <v>103.90625</v>
      </c>
      <c r="H784">
        <v>30249</v>
      </c>
      <c r="I784">
        <v>30249</v>
      </c>
      <c r="J784">
        <v>30095</v>
      </c>
      <c r="K784">
        <v>30095</v>
      </c>
      <c r="L784">
        <v>0.72367133612047396</v>
      </c>
      <c r="M784">
        <v>101.960491640699</v>
      </c>
      <c r="N784">
        <v>101.38272401111099</v>
      </c>
      <c r="O784">
        <v>105.943323345414</v>
      </c>
      <c r="P784">
        <v>105.342986667795</v>
      </c>
      <c r="Q784">
        <v>0.80594285232859197</v>
      </c>
    </row>
    <row r="785" spans="1:17" x14ac:dyDescent="0.25">
      <c r="A785" t="s">
        <v>580</v>
      </c>
      <c r="B785" t="s">
        <v>708</v>
      </c>
      <c r="C785" t="s">
        <v>610</v>
      </c>
      <c r="D785" t="s">
        <v>710</v>
      </c>
      <c r="E785">
        <v>3</v>
      </c>
      <c r="G785">
        <v>79.6875</v>
      </c>
      <c r="H785">
        <v>36228</v>
      </c>
      <c r="I785">
        <v>36228</v>
      </c>
      <c r="J785">
        <v>35979</v>
      </c>
      <c r="K785">
        <v>35978.5</v>
      </c>
      <c r="L785">
        <v>0.98071427050068005</v>
      </c>
      <c r="M785">
        <v>98.126314726106102</v>
      </c>
      <c r="N785">
        <v>97.436434709785203</v>
      </c>
      <c r="O785">
        <v>78.1944070473658</v>
      </c>
      <c r="P785">
        <v>77.644658909360103</v>
      </c>
      <c r="Q785">
        <v>1.00130682982922</v>
      </c>
    </row>
    <row r="786" spans="1:17" x14ac:dyDescent="0.25">
      <c r="A786" t="s">
        <v>580</v>
      </c>
      <c r="B786" t="s">
        <v>708</v>
      </c>
      <c r="C786" t="s">
        <v>610</v>
      </c>
      <c r="D786" t="s">
        <v>709</v>
      </c>
      <c r="E786">
        <v>3</v>
      </c>
      <c r="G786">
        <v>79.6875</v>
      </c>
      <c r="H786">
        <v>35729</v>
      </c>
      <c r="I786">
        <v>35729</v>
      </c>
      <c r="J786">
        <v>35979</v>
      </c>
      <c r="K786">
        <v>35978.5</v>
      </c>
      <c r="L786">
        <v>0.98071427050068005</v>
      </c>
      <c r="M786">
        <v>96.746554693464304</v>
      </c>
      <c r="N786">
        <v>97.436434709785203</v>
      </c>
      <c r="O786">
        <v>77.094910771354407</v>
      </c>
      <c r="P786">
        <v>77.644658909360103</v>
      </c>
      <c r="Q786">
        <v>1.00130682982922</v>
      </c>
    </row>
    <row r="787" spans="1:17" x14ac:dyDescent="0.25">
      <c r="A787" t="s">
        <v>580</v>
      </c>
      <c r="B787" t="s">
        <v>708</v>
      </c>
      <c r="C787" t="s">
        <v>611</v>
      </c>
      <c r="D787" t="s">
        <v>709</v>
      </c>
      <c r="E787">
        <v>4</v>
      </c>
      <c r="G787">
        <v>135.9375</v>
      </c>
      <c r="H787">
        <v>6107</v>
      </c>
      <c r="I787">
        <v>6107</v>
      </c>
      <c r="J787">
        <v>6003</v>
      </c>
      <c r="K787">
        <v>6003</v>
      </c>
      <c r="L787">
        <v>2.4500784688789201</v>
      </c>
      <c r="M787">
        <v>97.463350688189195</v>
      </c>
      <c r="N787">
        <v>95.871716584362503</v>
      </c>
      <c r="O787">
        <v>132.48924234175701</v>
      </c>
      <c r="P787">
        <v>130.32561473186701</v>
      </c>
      <c r="Q787">
        <v>2.3478358541609499</v>
      </c>
    </row>
    <row r="788" spans="1:17" x14ac:dyDescent="0.25">
      <c r="A788" t="s">
        <v>580</v>
      </c>
      <c r="B788" t="s">
        <v>708</v>
      </c>
      <c r="C788" t="s">
        <v>611</v>
      </c>
      <c r="D788" t="s">
        <v>710</v>
      </c>
      <c r="E788">
        <v>4</v>
      </c>
      <c r="G788">
        <v>135.9375</v>
      </c>
      <c r="H788">
        <v>5899</v>
      </c>
      <c r="I788">
        <v>5899</v>
      </c>
      <c r="J788">
        <v>6003</v>
      </c>
      <c r="K788">
        <v>6003</v>
      </c>
      <c r="L788">
        <v>2.4500784688789201</v>
      </c>
      <c r="M788">
        <v>94.280082480535796</v>
      </c>
      <c r="N788">
        <v>95.871716584362503</v>
      </c>
      <c r="O788">
        <v>128.161987121978</v>
      </c>
      <c r="P788">
        <v>130.32561473186701</v>
      </c>
      <c r="Q788">
        <v>2.3478358541609499</v>
      </c>
    </row>
    <row r="789" spans="1:17" x14ac:dyDescent="0.25">
      <c r="A789" t="s">
        <v>580</v>
      </c>
      <c r="B789" t="s">
        <v>708</v>
      </c>
      <c r="C789" t="s">
        <v>612</v>
      </c>
      <c r="D789" t="s">
        <v>709</v>
      </c>
      <c r="E789">
        <v>7</v>
      </c>
      <c r="G789">
        <v>16.40625</v>
      </c>
      <c r="H789">
        <v>10424</v>
      </c>
      <c r="I789">
        <v>10424</v>
      </c>
      <c r="J789">
        <v>10425</v>
      </c>
      <c r="K789">
        <v>10425</v>
      </c>
      <c r="L789">
        <v>1.3565597720605199E-2</v>
      </c>
      <c r="M789">
        <v>95.052277013863502</v>
      </c>
      <c r="N789">
        <v>95.061311894781895</v>
      </c>
      <c r="O789">
        <v>15.5945141975869</v>
      </c>
      <c r="P789">
        <v>15.595996482737601</v>
      </c>
      <c r="Q789">
        <v>1.34410633247529E-2</v>
      </c>
    </row>
    <row r="790" spans="1:17" x14ac:dyDescent="0.25">
      <c r="A790" t="s">
        <v>580</v>
      </c>
      <c r="B790" t="s">
        <v>708</v>
      </c>
      <c r="C790" t="s">
        <v>612</v>
      </c>
      <c r="D790" t="s">
        <v>710</v>
      </c>
      <c r="E790">
        <v>7</v>
      </c>
      <c r="G790">
        <v>16.40625</v>
      </c>
      <c r="H790">
        <v>10426</v>
      </c>
      <c r="I790">
        <v>10426</v>
      </c>
      <c r="J790">
        <v>10425</v>
      </c>
      <c r="K790">
        <v>10425</v>
      </c>
      <c r="L790">
        <v>1.3565597720605199E-2</v>
      </c>
      <c r="M790">
        <v>95.070346775700202</v>
      </c>
      <c r="N790">
        <v>95.061311894781895</v>
      </c>
      <c r="O790">
        <v>15.597478767888299</v>
      </c>
      <c r="P790">
        <v>15.595996482737601</v>
      </c>
      <c r="Q790">
        <v>1.34410633247529E-2</v>
      </c>
    </row>
    <row r="791" spans="1:17" x14ac:dyDescent="0.25">
      <c r="A791" t="s">
        <v>580</v>
      </c>
      <c r="B791" t="s">
        <v>708</v>
      </c>
      <c r="C791" t="s">
        <v>613</v>
      </c>
      <c r="D791" t="s">
        <v>709</v>
      </c>
      <c r="E791">
        <v>10</v>
      </c>
      <c r="G791">
        <v>10.15625</v>
      </c>
      <c r="H791">
        <v>2083</v>
      </c>
      <c r="I791">
        <v>2083</v>
      </c>
      <c r="J791">
        <v>2049</v>
      </c>
      <c r="K791">
        <v>2048.5</v>
      </c>
      <c r="L791">
        <v>2.3817606981631299</v>
      </c>
      <c r="M791">
        <v>96.9026840336915</v>
      </c>
      <c r="N791">
        <v>95.540274146909198</v>
      </c>
      <c r="O791">
        <v>9.8416788471717993</v>
      </c>
      <c r="P791">
        <v>9.7033090930454602</v>
      </c>
      <c r="Q791">
        <v>2.0166767958359602</v>
      </c>
    </row>
    <row r="792" spans="1:17" x14ac:dyDescent="0.25">
      <c r="A792" t="s">
        <v>580</v>
      </c>
      <c r="B792" t="s">
        <v>708</v>
      </c>
      <c r="C792" t="s">
        <v>613</v>
      </c>
      <c r="D792" t="s">
        <v>710</v>
      </c>
      <c r="E792">
        <v>10</v>
      </c>
      <c r="G792">
        <v>10.15625</v>
      </c>
      <c r="H792">
        <v>2014</v>
      </c>
      <c r="I792">
        <v>2014</v>
      </c>
      <c r="J792">
        <v>2049</v>
      </c>
      <c r="K792">
        <v>2048.5</v>
      </c>
      <c r="L792">
        <v>2.3817606981631299</v>
      </c>
      <c r="M792">
        <v>94.177864260126796</v>
      </c>
      <c r="N792">
        <v>95.540274146909198</v>
      </c>
      <c r="O792">
        <v>9.56493933891913</v>
      </c>
      <c r="P792">
        <v>9.7033090930454602</v>
      </c>
      <c r="Q792">
        <v>2.0166767958359602</v>
      </c>
    </row>
    <row r="793" spans="1:17" x14ac:dyDescent="0.25">
      <c r="A793" t="s">
        <v>580</v>
      </c>
      <c r="B793" t="s">
        <v>708</v>
      </c>
      <c r="C793" t="s">
        <v>614</v>
      </c>
      <c r="D793" t="s">
        <v>709</v>
      </c>
      <c r="E793">
        <v>8</v>
      </c>
      <c r="G793">
        <v>55.3125</v>
      </c>
      <c r="H793">
        <v>20439</v>
      </c>
      <c r="I793">
        <v>20439</v>
      </c>
      <c r="J793">
        <v>20374</v>
      </c>
      <c r="K793">
        <v>20374</v>
      </c>
      <c r="L793">
        <v>0.45118229878399502</v>
      </c>
      <c r="M793">
        <v>98.386597660336406</v>
      </c>
      <c r="N793">
        <v>98.063479286754898</v>
      </c>
      <c r="O793">
        <v>54.420086830873601</v>
      </c>
      <c r="P793">
        <v>54.241361980486303</v>
      </c>
      <c r="Q793">
        <v>0.465982228546793</v>
      </c>
    </row>
    <row r="794" spans="1:17" x14ac:dyDescent="0.25">
      <c r="A794" t="s">
        <v>580</v>
      </c>
      <c r="B794" t="s">
        <v>708</v>
      </c>
      <c r="C794" t="s">
        <v>614</v>
      </c>
      <c r="D794" t="s">
        <v>710</v>
      </c>
      <c r="E794">
        <v>8</v>
      </c>
      <c r="G794">
        <v>55.3125</v>
      </c>
      <c r="H794">
        <v>20309</v>
      </c>
      <c r="I794">
        <v>20309</v>
      </c>
      <c r="J794">
        <v>20374</v>
      </c>
      <c r="K794">
        <v>20374</v>
      </c>
      <c r="L794">
        <v>0.45118229878399502</v>
      </c>
      <c r="M794">
        <v>97.740360913173404</v>
      </c>
      <c r="N794">
        <v>98.063479286754898</v>
      </c>
      <c r="O794">
        <v>54.062637130098999</v>
      </c>
      <c r="P794">
        <v>54.241361980486303</v>
      </c>
      <c r="Q794">
        <v>0.465982228546793</v>
      </c>
    </row>
    <row r="795" spans="1:17" x14ac:dyDescent="0.25">
      <c r="A795" t="s">
        <v>580</v>
      </c>
      <c r="B795" t="s">
        <v>711</v>
      </c>
      <c r="C795" t="s">
        <v>582</v>
      </c>
      <c r="D795" t="s">
        <v>712</v>
      </c>
      <c r="E795">
        <v>1</v>
      </c>
      <c r="G795">
        <v>5.15625</v>
      </c>
      <c r="H795">
        <v>5404</v>
      </c>
      <c r="I795">
        <v>5404</v>
      </c>
      <c r="J795">
        <v>5321</v>
      </c>
      <c r="K795">
        <v>5321</v>
      </c>
      <c r="L795">
        <v>2.2059711647616398</v>
      </c>
      <c r="M795">
        <v>101.15439194775399</v>
      </c>
      <c r="N795">
        <v>99.5284269147609</v>
      </c>
      <c r="O795">
        <v>5.21577333480609</v>
      </c>
      <c r="P795">
        <v>5.1319345127923599</v>
      </c>
      <c r="Q795">
        <v>2.3103568225521598</v>
      </c>
    </row>
    <row r="796" spans="1:17" x14ac:dyDescent="0.25">
      <c r="A796" t="s">
        <v>580</v>
      </c>
      <c r="B796" t="s">
        <v>711</v>
      </c>
      <c r="C796" t="s">
        <v>582</v>
      </c>
      <c r="D796" t="s">
        <v>713</v>
      </c>
      <c r="E796">
        <v>1</v>
      </c>
      <c r="G796">
        <v>5.15625</v>
      </c>
      <c r="H796">
        <v>5238</v>
      </c>
      <c r="I796">
        <v>5238</v>
      </c>
      <c r="J796">
        <v>5321</v>
      </c>
      <c r="K796">
        <v>5321</v>
      </c>
      <c r="L796">
        <v>2.2059711647616398</v>
      </c>
      <c r="M796">
        <v>97.902461881767294</v>
      </c>
      <c r="N796">
        <v>99.5284269147609</v>
      </c>
      <c r="O796">
        <v>5.0480956907786201</v>
      </c>
      <c r="P796">
        <v>5.1319345127923599</v>
      </c>
      <c r="Q796">
        <v>2.3103568225521598</v>
      </c>
    </row>
    <row r="797" spans="1:17" x14ac:dyDescent="0.25">
      <c r="A797" t="s">
        <v>580</v>
      </c>
      <c r="B797" t="s">
        <v>711</v>
      </c>
      <c r="C797" t="s">
        <v>607</v>
      </c>
      <c r="D797" t="s">
        <v>712</v>
      </c>
      <c r="E797">
        <v>5</v>
      </c>
      <c r="G797">
        <v>44.3359375</v>
      </c>
      <c r="H797">
        <v>3209</v>
      </c>
      <c r="I797">
        <v>3209</v>
      </c>
      <c r="J797">
        <v>3237</v>
      </c>
      <c r="K797">
        <v>3236.5</v>
      </c>
      <c r="L797">
        <v>1.2016336463852899</v>
      </c>
      <c r="M797">
        <v>98.115497470272203</v>
      </c>
      <c r="N797">
        <v>99.023143231668797</v>
      </c>
      <c r="O797">
        <v>43.500425636233999</v>
      </c>
      <c r="P797">
        <v>43.902838893728102</v>
      </c>
      <c r="Q797">
        <v>1.2962676236144599</v>
      </c>
    </row>
    <row r="798" spans="1:17" x14ac:dyDescent="0.25">
      <c r="A798" t="s">
        <v>580</v>
      </c>
      <c r="B798" t="s">
        <v>711</v>
      </c>
      <c r="C798" t="s">
        <v>607</v>
      </c>
      <c r="D798" t="s">
        <v>713</v>
      </c>
      <c r="E798">
        <v>5</v>
      </c>
      <c r="G798">
        <v>44.3359375</v>
      </c>
      <c r="H798">
        <v>3264</v>
      </c>
      <c r="I798">
        <v>3264</v>
      </c>
      <c r="J798">
        <v>3237</v>
      </c>
      <c r="K798">
        <v>3236.5</v>
      </c>
      <c r="L798">
        <v>1.2016336463852899</v>
      </c>
      <c r="M798">
        <v>99.930788993065406</v>
      </c>
      <c r="N798">
        <v>99.023143231668797</v>
      </c>
      <c r="O798">
        <v>44.305252151222298</v>
      </c>
      <c r="P798">
        <v>43.902838893728102</v>
      </c>
      <c r="Q798">
        <v>1.2962676236144599</v>
      </c>
    </row>
    <row r="799" spans="1:17" x14ac:dyDescent="0.25">
      <c r="A799" t="s">
        <v>580</v>
      </c>
      <c r="B799" t="s">
        <v>711</v>
      </c>
      <c r="C799" t="s">
        <v>608</v>
      </c>
      <c r="D799" t="s">
        <v>713</v>
      </c>
      <c r="E799">
        <v>9</v>
      </c>
      <c r="G799">
        <v>182.03125</v>
      </c>
      <c r="H799">
        <v>1873</v>
      </c>
      <c r="I799">
        <v>1873</v>
      </c>
      <c r="J799">
        <v>1854</v>
      </c>
      <c r="K799">
        <v>1853.5</v>
      </c>
      <c r="L799">
        <v>1.4878427011748201</v>
      </c>
      <c r="M799">
        <v>99.3021021174483</v>
      </c>
      <c r="N799">
        <v>98.004993059461498</v>
      </c>
      <c r="O799">
        <v>180.76085776066699</v>
      </c>
      <c r="P799">
        <v>178.39971392855099</v>
      </c>
      <c r="Q799">
        <v>1.8717303725218499</v>
      </c>
    </row>
    <row r="800" spans="1:17" x14ac:dyDescent="0.25">
      <c r="A800" t="s">
        <v>580</v>
      </c>
      <c r="B800" t="s">
        <v>711</v>
      </c>
      <c r="C800" t="s">
        <v>608</v>
      </c>
      <c r="D800" t="s">
        <v>712</v>
      </c>
      <c r="E800">
        <v>9</v>
      </c>
      <c r="G800">
        <v>182.03125</v>
      </c>
      <c r="H800">
        <v>1834</v>
      </c>
      <c r="I800">
        <v>1834</v>
      </c>
      <c r="J800">
        <v>1854</v>
      </c>
      <c r="K800">
        <v>1853.5</v>
      </c>
      <c r="L800">
        <v>1.4878427011748201</v>
      </c>
      <c r="M800">
        <v>96.707884001474696</v>
      </c>
      <c r="N800">
        <v>98.004993059461498</v>
      </c>
      <c r="O800">
        <v>176.038570096434</v>
      </c>
      <c r="P800">
        <v>178.39971392855099</v>
      </c>
      <c r="Q800">
        <v>1.8717303725218499</v>
      </c>
    </row>
    <row r="801" spans="1:17" x14ac:dyDescent="0.25">
      <c r="A801" t="s">
        <v>580</v>
      </c>
      <c r="B801" t="s">
        <v>711</v>
      </c>
      <c r="C801" t="s">
        <v>609</v>
      </c>
      <c r="D801" t="s">
        <v>712</v>
      </c>
      <c r="E801">
        <v>2</v>
      </c>
      <c r="G801">
        <v>25.9765625</v>
      </c>
      <c r="H801">
        <v>8771</v>
      </c>
      <c r="I801">
        <v>8771</v>
      </c>
      <c r="J801">
        <v>8774</v>
      </c>
      <c r="K801">
        <v>8774</v>
      </c>
      <c r="L801">
        <v>4.8354692125818097E-2</v>
      </c>
      <c r="M801">
        <v>97.423882078579695</v>
      </c>
      <c r="N801">
        <v>97.464840371187705</v>
      </c>
      <c r="O801">
        <v>25.307375618068502</v>
      </c>
      <c r="P801">
        <v>25.318015174546801</v>
      </c>
      <c r="Q801">
        <v>5.9430429144824902E-2</v>
      </c>
    </row>
    <row r="802" spans="1:17" x14ac:dyDescent="0.25">
      <c r="A802" t="s">
        <v>580</v>
      </c>
      <c r="B802" t="s">
        <v>711</v>
      </c>
      <c r="C802" t="s">
        <v>609</v>
      </c>
      <c r="D802" t="s">
        <v>713</v>
      </c>
      <c r="E802">
        <v>2</v>
      </c>
      <c r="G802">
        <v>25.9765625</v>
      </c>
      <c r="H802">
        <v>8777</v>
      </c>
      <c r="I802">
        <v>8777</v>
      </c>
      <c r="J802">
        <v>8774</v>
      </c>
      <c r="K802">
        <v>8774</v>
      </c>
      <c r="L802">
        <v>4.8354692125818097E-2</v>
      </c>
      <c r="M802">
        <v>97.505798663795801</v>
      </c>
      <c r="N802">
        <v>97.464840371187705</v>
      </c>
      <c r="O802">
        <v>25.328654731025001</v>
      </c>
      <c r="P802">
        <v>25.318015174546801</v>
      </c>
      <c r="Q802">
        <v>5.9430429144824902E-2</v>
      </c>
    </row>
    <row r="803" spans="1:17" x14ac:dyDescent="0.25">
      <c r="A803" t="s">
        <v>580</v>
      </c>
      <c r="B803" t="s">
        <v>711</v>
      </c>
      <c r="C803" t="s">
        <v>610</v>
      </c>
      <c r="D803" t="s">
        <v>712</v>
      </c>
      <c r="E803">
        <v>3</v>
      </c>
      <c r="G803">
        <v>19.921875</v>
      </c>
      <c r="H803">
        <v>9351</v>
      </c>
      <c r="I803">
        <v>9351</v>
      </c>
      <c r="J803">
        <v>9431</v>
      </c>
      <c r="K803">
        <v>9430.5</v>
      </c>
      <c r="L803">
        <v>1.19219530468862</v>
      </c>
      <c r="M803">
        <v>96.677378376019703</v>
      </c>
      <c r="N803">
        <v>97.548131908404798</v>
      </c>
      <c r="O803">
        <v>19.2599464733476</v>
      </c>
      <c r="P803">
        <v>19.433416903627499</v>
      </c>
      <c r="Q803">
        <v>1.2623834315346401</v>
      </c>
    </row>
    <row r="804" spans="1:17" x14ac:dyDescent="0.25">
      <c r="A804" t="s">
        <v>580</v>
      </c>
      <c r="B804" t="s">
        <v>711</v>
      </c>
      <c r="C804" t="s">
        <v>610</v>
      </c>
      <c r="D804" t="s">
        <v>713</v>
      </c>
      <c r="E804">
        <v>3</v>
      </c>
      <c r="G804">
        <v>19.921875</v>
      </c>
      <c r="H804">
        <v>9510</v>
      </c>
      <c r="I804">
        <v>9510</v>
      </c>
      <c r="J804">
        <v>9431</v>
      </c>
      <c r="K804">
        <v>9430.5</v>
      </c>
      <c r="L804">
        <v>1.19219530468862</v>
      </c>
      <c r="M804">
        <v>98.418885440789893</v>
      </c>
      <c r="N804">
        <v>97.548131908404798</v>
      </c>
      <c r="O804">
        <v>19.606887333907299</v>
      </c>
      <c r="P804">
        <v>19.433416903627499</v>
      </c>
      <c r="Q804">
        <v>1.2623834315346401</v>
      </c>
    </row>
    <row r="805" spans="1:17" x14ac:dyDescent="0.25">
      <c r="A805" t="s">
        <v>580</v>
      </c>
      <c r="B805" t="s">
        <v>711</v>
      </c>
      <c r="C805" t="s">
        <v>611</v>
      </c>
      <c r="D805" t="s">
        <v>712</v>
      </c>
      <c r="E805">
        <v>4</v>
      </c>
      <c r="G805">
        <v>33.984375</v>
      </c>
      <c r="H805">
        <v>1754</v>
      </c>
      <c r="I805">
        <v>1754</v>
      </c>
      <c r="J805">
        <v>1738</v>
      </c>
      <c r="K805">
        <v>1738</v>
      </c>
      <c r="L805">
        <v>1.30192272715589</v>
      </c>
      <c r="M805">
        <v>108.923731188605</v>
      </c>
      <c r="N805">
        <v>107.79821679273</v>
      </c>
      <c r="O805">
        <v>37.017049271127497</v>
      </c>
      <c r="P805">
        <v>36.634550238154603</v>
      </c>
      <c r="Q805">
        <v>1.4765714783133099</v>
      </c>
    </row>
    <row r="806" spans="1:17" x14ac:dyDescent="0.25">
      <c r="A806" t="s">
        <v>580</v>
      </c>
      <c r="B806" t="s">
        <v>711</v>
      </c>
      <c r="C806" t="s">
        <v>611</v>
      </c>
      <c r="D806" t="s">
        <v>713</v>
      </c>
      <c r="E806">
        <v>4</v>
      </c>
      <c r="G806">
        <v>33.984375</v>
      </c>
      <c r="H806">
        <v>1722</v>
      </c>
      <c r="I806">
        <v>1722</v>
      </c>
      <c r="J806">
        <v>1738</v>
      </c>
      <c r="K806">
        <v>1738</v>
      </c>
      <c r="L806">
        <v>1.30192272715589</v>
      </c>
      <c r="M806">
        <v>106.672702396856</v>
      </c>
      <c r="N806">
        <v>107.79821679273</v>
      </c>
      <c r="O806">
        <v>36.252051205181601</v>
      </c>
      <c r="P806">
        <v>36.634550238154603</v>
      </c>
      <c r="Q806">
        <v>1.4765714783133099</v>
      </c>
    </row>
    <row r="807" spans="1:17" x14ac:dyDescent="0.25">
      <c r="A807" t="s">
        <v>580</v>
      </c>
      <c r="B807" t="s">
        <v>711</v>
      </c>
      <c r="C807" t="s">
        <v>612</v>
      </c>
      <c r="D807" t="s">
        <v>713</v>
      </c>
      <c r="E807">
        <v>7</v>
      </c>
      <c r="G807">
        <v>4.1015625</v>
      </c>
      <c r="H807">
        <v>2862</v>
      </c>
      <c r="I807">
        <v>2862</v>
      </c>
      <c r="J807">
        <v>2841</v>
      </c>
      <c r="K807">
        <v>2840.5</v>
      </c>
      <c r="L807">
        <v>1.07043096606307</v>
      </c>
      <c r="M807">
        <v>101.35924224148501</v>
      </c>
      <c r="N807">
        <v>100.540886467634</v>
      </c>
      <c r="O807">
        <v>4.1573126700609304</v>
      </c>
      <c r="P807">
        <v>4.1237472965240798</v>
      </c>
      <c r="Q807">
        <v>1.15110367024546</v>
      </c>
    </row>
    <row r="808" spans="1:17" x14ac:dyDescent="0.25">
      <c r="A808" t="s">
        <v>580</v>
      </c>
      <c r="B808" t="s">
        <v>711</v>
      </c>
      <c r="C808" t="s">
        <v>612</v>
      </c>
      <c r="D808" t="s">
        <v>712</v>
      </c>
      <c r="E808">
        <v>7</v>
      </c>
      <c r="G808">
        <v>4.1015625</v>
      </c>
      <c r="H808">
        <v>2819</v>
      </c>
      <c r="I808">
        <v>2819</v>
      </c>
      <c r="J808">
        <v>2841</v>
      </c>
      <c r="K808">
        <v>2840.5</v>
      </c>
      <c r="L808">
        <v>1.07043096606307</v>
      </c>
      <c r="M808">
        <v>99.722530693783895</v>
      </c>
      <c r="N808">
        <v>100.540886467634</v>
      </c>
      <c r="O808">
        <v>4.09018192298723</v>
      </c>
      <c r="P808">
        <v>4.1237472965240798</v>
      </c>
      <c r="Q808">
        <v>1.15110367024546</v>
      </c>
    </row>
    <row r="809" spans="1:17" x14ac:dyDescent="0.25">
      <c r="A809" t="s">
        <v>580</v>
      </c>
      <c r="B809" t="s">
        <v>711</v>
      </c>
      <c r="C809" t="s">
        <v>613</v>
      </c>
      <c r="D809" t="s">
        <v>713</v>
      </c>
      <c r="E809">
        <v>10</v>
      </c>
      <c r="G809">
        <v>2.5390625</v>
      </c>
      <c r="H809">
        <v>657</v>
      </c>
      <c r="I809">
        <v>657</v>
      </c>
      <c r="J809">
        <v>643</v>
      </c>
      <c r="K809">
        <v>642.5</v>
      </c>
      <c r="L809">
        <v>3.1916103742272099</v>
      </c>
      <c r="M809">
        <v>120.225738786449</v>
      </c>
      <c r="N809">
        <v>116.583828123743</v>
      </c>
      <c r="O809">
        <v>3.0526066488747001</v>
      </c>
      <c r="P809">
        <v>2.9601362609544299</v>
      </c>
      <c r="Q809">
        <v>4.4177992222757796</v>
      </c>
    </row>
    <row r="810" spans="1:17" x14ac:dyDescent="0.25">
      <c r="A810" t="s">
        <v>580</v>
      </c>
      <c r="B810" t="s">
        <v>711</v>
      </c>
      <c r="C810" t="s">
        <v>613</v>
      </c>
      <c r="D810" t="s">
        <v>712</v>
      </c>
      <c r="E810">
        <v>10</v>
      </c>
      <c r="G810">
        <v>2.5390625</v>
      </c>
      <c r="H810">
        <v>628</v>
      </c>
      <c r="I810">
        <v>628</v>
      </c>
      <c r="J810">
        <v>643</v>
      </c>
      <c r="K810">
        <v>642.5</v>
      </c>
      <c r="L810">
        <v>3.1916103742272099</v>
      </c>
      <c r="M810">
        <v>112.94191746103699</v>
      </c>
      <c r="N810">
        <v>116.583828123743</v>
      </c>
      <c r="O810">
        <v>2.8676658730341602</v>
      </c>
      <c r="P810">
        <v>2.9601362609544299</v>
      </c>
      <c r="Q810">
        <v>4.4177992222757796</v>
      </c>
    </row>
    <row r="811" spans="1:17" x14ac:dyDescent="0.25">
      <c r="A811" t="s">
        <v>580</v>
      </c>
      <c r="B811" t="s">
        <v>711</v>
      </c>
      <c r="C811" t="s">
        <v>614</v>
      </c>
      <c r="D811" t="s">
        <v>713</v>
      </c>
      <c r="E811">
        <v>8</v>
      </c>
      <c r="G811">
        <v>13.828125</v>
      </c>
      <c r="H811">
        <v>5444</v>
      </c>
      <c r="I811">
        <v>5444</v>
      </c>
      <c r="J811">
        <v>5475</v>
      </c>
      <c r="K811">
        <v>5475</v>
      </c>
      <c r="L811">
        <v>0.80074192572723102</v>
      </c>
      <c r="M811">
        <v>97.800658293795294</v>
      </c>
      <c r="N811">
        <v>98.404303435429398</v>
      </c>
      <c r="O811">
        <v>13.5239972796888</v>
      </c>
      <c r="P811">
        <v>13.6074700844304</v>
      </c>
      <c r="Q811">
        <v>0.86752623244749205</v>
      </c>
    </row>
    <row r="812" spans="1:17" x14ac:dyDescent="0.25">
      <c r="A812" t="s">
        <v>580</v>
      </c>
      <c r="B812" t="s">
        <v>711</v>
      </c>
      <c r="C812" t="s">
        <v>614</v>
      </c>
      <c r="D812" t="s">
        <v>712</v>
      </c>
      <c r="E812">
        <v>8</v>
      </c>
      <c r="G812">
        <v>13.828125</v>
      </c>
      <c r="H812">
        <v>5506</v>
      </c>
      <c r="I812">
        <v>5506</v>
      </c>
      <c r="J812">
        <v>5475</v>
      </c>
      <c r="K812">
        <v>5475</v>
      </c>
      <c r="L812">
        <v>0.80074192572723102</v>
      </c>
      <c r="M812">
        <v>99.007948577063502</v>
      </c>
      <c r="N812">
        <v>98.404303435429398</v>
      </c>
      <c r="O812">
        <v>13.690942889172</v>
      </c>
      <c r="P812">
        <v>13.6074700844304</v>
      </c>
      <c r="Q812">
        <v>0.86752623244749205</v>
      </c>
    </row>
    <row r="813" spans="1:17" x14ac:dyDescent="0.25">
      <c r="A813" t="s">
        <v>580</v>
      </c>
      <c r="B813" t="s">
        <v>714</v>
      </c>
      <c r="C813" t="s">
        <v>582</v>
      </c>
      <c r="D813" t="s">
        <v>715</v>
      </c>
      <c r="E813">
        <v>1</v>
      </c>
      <c r="G813">
        <v>1.2890625</v>
      </c>
      <c r="H813">
        <v>1769</v>
      </c>
      <c r="I813">
        <v>1769</v>
      </c>
      <c r="J813">
        <v>1704</v>
      </c>
      <c r="K813">
        <v>1704</v>
      </c>
      <c r="L813">
        <v>5.3945939879255302</v>
      </c>
      <c r="M813">
        <v>115.035794697158</v>
      </c>
      <c r="N813">
        <v>109.71234849760199</v>
      </c>
      <c r="O813">
        <v>1.4828832910180501</v>
      </c>
      <c r="P813">
        <v>1.41426074235191</v>
      </c>
      <c r="Q813">
        <v>6.8620259406255997</v>
      </c>
    </row>
    <row r="814" spans="1:17" x14ac:dyDescent="0.25">
      <c r="A814" t="s">
        <v>580</v>
      </c>
      <c r="B814" t="s">
        <v>714</v>
      </c>
      <c r="C814" t="s">
        <v>582</v>
      </c>
      <c r="D814" t="s">
        <v>716</v>
      </c>
      <c r="E814">
        <v>1</v>
      </c>
      <c r="G814">
        <v>1.2890625</v>
      </c>
      <c r="H814">
        <v>1639</v>
      </c>
      <c r="I814">
        <v>1639</v>
      </c>
      <c r="J814">
        <v>1704</v>
      </c>
      <c r="K814">
        <v>1704</v>
      </c>
      <c r="L814">
        <v>5.3945939879255302</v>
      </c>
      <c r="M814">
        <v>104.388902298047</v>
      </c>
      <c r="N814">
        <v>109.71234849760199</v>
      </c>
      <c r="O814">
        <v>1.34563819368576</v>
      </c>
      <c r="P814">
        <v>1.41426074235191</v>
      </c>
      <c r="Q814">
        <v>6.8620259406255997</v>
      </c>
    </row>
    <row r="815" spans="1:17" x14ac:dyDescent="0.25">
      <c r="A815" t="s">
        <v>580</v>
      </c>
      <c r="B815" t="s">
        <v>714</v>
      </c>
      <c r="C815" t="s">
        <v>607</v>
      </c>
      <c r="D815" t="s">
        <v>715</v>
      </c>
      <c r="E815">
        <v>5</v>
      </c>
      <c r="G815">
        <v>11.083984375</v>
      </c>
      <c r="H815">
        <v>1055</v>
      </c>
      <c r="I815">
        <v>1055</v>
      </c>
      <c r="J815">
        <v>1060</v>
      </c>
      <c r="K815">
        <v>1059.5</v>
      </c>
      <c r="L815">
        <v>0.60065701091825596</v>
      </c>
      <c r="M815">
        <v>107.76230558174601</v>
      </c>
      <c r="N815">
        <v>108.35810112355399</v>
      </c>
      <c r="O815">
        <v>11.9443571128205</v>
      </c>
      <c r="P815">
        <v>12.0103949975815</v>
      </c>
      <c r="Q815">
        <v>0.77759034801315996</v>
      </c>
    </row>
    <row r="816" spans="1:17" x14ac:dyDescent="0.25">
      <c r="A816" t="s">
        <v>580</v>
      </c>
      <c r="B816" t="s">
        <v>714</v>
      </c>
      <c r="C816" t="s">
        <v>607</v>
      </c>
      <c r="D816" t="s">
        <v>716</v>
      </c>
      <c r="E816">
        <v>5</v>
      </c>
      <c r="G816">
        <v>11.083984375</v>
      </c>
      <c r="H816">
        <v>1064</v>
      </c>
      <c r="I816">
        <v>1064</v>
      </c>
      <c r="J816">
        <v>1060</v>
      </c>
      <c r="K816">
        <v>1059.5</v>
      </c>
      <c r="L816">
        <v>0.60065701091825596</v>
      </c>
      <c r="M816">
        <v>108.953896665363</v>
      </c>
      <c r="N816">
        <v>108.35810112355399</v>
      </c>
      <c r="O816">
        <v>12.0764328823425</v>
      </c>
      <c r="P816">
        <v>12.0103949975815</v>
      </c>
      <c r="Q816">
        <v>0.77759034801315996</v>
      </c>
    </row>
    <row r="817" spans="1:17" x14ac:dyDescent="0.25">
      <c r="A817" t="s">
        <v>580</v>
      </c>
      <c r="B817" t="s">
        <v>714</v>
      </c>
      <c r="C817" t="s">
        <v>608</v>
      </c>
      <c r="D817" t="s">
        <v>716</v>
      </c>
      <c r="E817">
        <v>9</v>
      </c>
      <c r="G817">
        <v>45.5078125</v>
      </c>
      <c r="H817">
        <v>773</v>
      </c>
      <c r="I817">
        <v>773</v>
      </c>
      <c r="J817">
        <v>764</v>
      </c>
      <c r="K817">
        <v>763.5</v>
      </c>
      <c r="L817">
        <v>1.75966324067379</v>
      </c>
      <c r="M817">
        <v>102.40785228708</v>
      </c>
      <c r="N817">
        <v>99.826391869597998</v>
      </c>
      <c r="O817">
        <v>46.603573404081402</v>
      </c>
      <c r="P817">
        <v>45.428807237531899</v>
      </c>
      <c r="Q817">
        <v>3.6570853306023499</v>
      </c>
    </row>
    <row r="818" spans="1:17" x14ac:dyDescent="0.25">
      <c r="A818" t="s">
        <v>580</v>
      </c>
      <c r="B818" t="s">
        <v>714</v>
      </c>
      <c r="C818" t="s">
        <v>608</v>
      </c>
      <c r="D818" t="s">
        <v>715</v>
      </c>
      <c r="E818">
        <v>9</v>
      </c>
      <c r="G818">
        <v>45.5078125</v>
      </c>
      <c r="H818">
        <v>754</v>
      </c>
      <c r="I818">
        <v>754</v>
      </c>
      <c r="J818">
        <v>764</v>
      </c>
      <c r="K818">
        <v>763.5</v>
      </c>
      <c r="L818">
        <v>1.75966324067379</v>
      </c>
      <c r="M818">
        <v>97.244931452115793</v>
      </c>
      <c r="N818">
        <v>99.826391869597998</v>
      </c>
      <c r="O818">
        <v>44.254041070982403</v>
      </c>
      <c r="P818">
        <v>45.428807237531899</v>
      </c>
      <c r="Q818">
        <v>3.6570853306023499</v>
      </c>
    </row>
    <row r="819" spans="1:17" x14ac:dyDescent="0.25">
      <c r="A819" t="s">
        <v>580</v>
      </c>
      <c r="B819" t="s">
        <v>714</v>
      </c>
      <c r="C819" t="s">
        <v>609</v>
      </c>
      <c r="D819" t="s">
        <v>715</v>
      </c>
      <c r="E819">
        <v>2</v>
      </c>
      <c r="G819">
        <v>6.494140625</v>
      </c>
      <c r="H819">
        <v>3416</v>
      </c>
      <c r="I819">
        <v>3416</v>
      </c>
      <c r="J819">
        <v>3353</v>
      </c>
      <c r="K819">
        <v>3352.5</v>
      </c>
      <c r="L819">
        <v>2.6786744581861699</v>
      </c>
      <c r="M819">
        <v>106.39867589149</v>
      </c>
      <c r="N819">
        <v>103.200729427943</v>
      </c>
      <c r="O819">
        <v>6.9096796355313499</v>
      </c>
      <c r="P819">
        <v>6.70200049507641</v>
      </c>
      <c r="Q819">
        <v>4.3823132700321503</v>
      </c>
    </row>
    <row r="820" spans="1:17" x14ac:dyDescent="0.25">
      <c r="A820" t="s">
        <v>580</v>
      </c>
      <c r="B820" t="s">
        <v>714</v>
      </c>
      <c r="C820" t="s">
        <v>609</v>
      </c>
      <c r="D820" t="s">
        <v>716</v>
      </c>
      <c r="E820">
        <v>2</v>
      </c>
      <c r="G820">
        <v>6.494140625</v>
      </c>
      <c r="H820">
        <v>3289</v>
      </c>
      <c r="I820">
        <v>3289</v>
      </c>
      <c r="J820">
        <v>3353</v>
      </c>
      <c r="K820">
        <v>3352.5</v>
      </c>
      <c r="L820">
        <v>2.6786744581861699</v>
      </c>
      <c r="M820">
        <v>100.002782964396</v>
      </c>
      <c r="N820">
        <v>103.200729427943</v>
      </c>
      <c r="O820">
        <v>6.49432135462148</v>
      </c>
      <c r="P820">
        <v>6.70200049507641</v>
      </c>
      <c r="Q820">
        <v>4.3823132700321503</v>
      </c>
    </row>
    <row r="821" spans="1:17" x14ac:dyDescent="0.25">
      <c r="A821" t="s">
        <v>580</v>
      </c>
      <c r="B821" t="s">
        <v>714</v>
      </c>
      <c r="C821" t="s">
        <v>610</v>
      </c>
      <c r="D821" t="s">
        <v>715</v>
      </c>
      <c r="E821">
        <v>3</v>
      </c>
      <c r="G821">
        <v>4.98046875</v>
      </c>
      <c r="H821">
        <v>2909</v>
      </c>
      <c r="I821">
        <v>2909</v>
      </c>
      <c r="J821">
        <v>2854</v>
      </c>
      <c r="K821">
        <v>2854</v>
      </c>
      <c r="L821">
        <v>2.72535900247092</v>
      </c>
      <c r="M821">
        <v>104.815443134403</v>
      </c>
      <c r="N821">
        <v>102.41157523827</v>
      </c>
      <c r="O821">
        <v>5.2203003904830103</v>
      </c>
      <c r="P821">
        <v>5.1005765011248201</v>
      </c>
      <c r="Q821">
        <v>3.3195296263680798</v>
      </c>
    </row>
    <row r="822" spans="1:17" x14ac:dyDescent="0.25">
      <c r="A822" t="s">
        <v>580</v>
      </c>
      <c r="B822" t="s">
        <v>714</v>
      </c>
      <c r="C822" t="s">
        <v>610</v>
      </c>
      <c r="D822" t="s">
        <v>716</v>
      </c>
      <c r="E822">
        <v>3</v>
      </c>
      <c r="G822">
        <v>4.98046875</v>
      </c>
      <c r="H822">
        <v>2799</v>
      </c>
      <c r="I822">
        <v>2799</v>
      </c>
      <c r="J822">
        <v>2854</v>
      </c>
      <c r="K822">
        <v>2854</v>
      </c>
      <c r="L822">
        <v>2.72535900247092</v>
      </c>
      <c r="M822">
        <v>100.007707342137</v>
      </c>
      <c r="N822">
        <v>102.41157523827</v>
      </c>
      <c r="O822">
        <v>4.9808526117666299</v>
      </c>
      <c r="P822">
        <v>5.1005765011248201</v>
      </c>
      <c r="Q822">
        <v>3.3195296263680798</v>
      </c>
    </row>
    <row r="823" spans="1:17" x14ac:dyDescent="0.25">
      <c r="A823" t="s">
        <v>580</v>
      </c>
      <c r="B823" t="s">
        <v>714</v>
      </c>
      <c r="C823" t="s">
        <v>611</v>
      </c>
      <c r="D823" t="s">
        <v>715</v>
      </c>
      <c r="E823">
        <v>4</v>
      </c>
      <c r="G823">
        <v>8.49609375</v>
      </c>
      <c r="H823">
        <v>741</v>
      </c>
      <c r="I823">
        <v>741</v>
      </c>
      <c r="J823">
        <v>717</v>
      </c>
      <c r="K823">
        <v>716.5</v>
      </c>
      <c r="L823">
        <v>4.8357616578005302</v>
      </c>
      <c r="M823">
        <v>136.08326089567899</v>
      </c>
      <c r="N823">
        <v>128.20955277069001</v>
      </c>
      <c r="O823">
        <v>11.561761423754</v>
      </c>
      <c r="P823">
        <v>10.8928037998535</v>
      </c>
      <c r="Q823">
        <v>8.6850820207155301</v>
      </c>
    </row>
    <row r="824" spans="1:17" x14ac:dyDescent="0.25">
      <c r="A824" t="s">
        <v>580</v>
      </c>
      <c r="B824" t="s">
        <v>714</v>
      </c>
      <c r="C824" t="s">
        <v>611</v>
      </c>
      <c r="D824" t="s">
        <v>716</v>
      </c>
      <c r="E824">
        <v>4</v>
      </c>
      <c r="G824">
        <v>8.49609375</v>
      </c>
      <c r="H824">
        <v>692</v>
      </c>
      <c r="I824">
        <v>692</v>
      </c>
      <c r="J824">
        <v>717</v>
      </c>
      <c r="K824">
        <v>716.5</v>
      </c>
      <c r="L824">
        <v>4.8357616578005302</v>
      </c>
      <c r="M824">
        <v>120.33584464570001</v>
      </c>
      <c r="N824">
        <v>128.20955277069001</v>
      </c>
      <c r="O824">
        <v>10.223846175953099</v>
      </c>
      <c r="P824">
        <v>10.8928037998535</v>
      </c>
      <c r="Q824">
        <v>8.6850820207155301</v>
      </c>
    </row>
    <row r="825" spans="1:17" x14ac:dyDescent="0.25">
      <c r="A825" t="s">
        <v>580</v>
      </c>
      <c r="B825" t="s">
        <v>714</v>
      </c>
      <c r="C825" t="s">
        <v>612</v>
      </c>
      <c r="D825" t="s">
        <v>715</v>
      </c>
      <c r="E825">
        <v>7</v>
      </c>
      <c r="G825">
        <v>1.025390625</v>
      </c>
      <c r="H825">
        <v>1024</v>
      </c>
      <c r="I825">
        <v>1024</v>
      </c>
      <c r="J825">
        <v>997</v>
      </c>
      <c r="K825">
        <v>996.5</v>
      </c>
      <c r="L825">
        <v>3.9027469107135002</v>
      </c>
      <c r="M825">
        <v>120.345181818493</v>
      </c>
      <c r="N825">
        <v>115.95018507534</v>
      </c>
      <c r="O825">
        <v>1.2340082120060401</v>
      </c>
      <c r="P825">
        <v>1.18894232743268</v>
      </c>
      <c r="Q825">
        <v>5.3604606122146796</v>
      </c>
    </row>
    <row r="826" spans="1:17" x14ac:dyDescent="0.25">
      <c r="A826" t="s">
        <v>580</v>
      </c>
      <c r="B826" t="s">
        <v>714</v>
      </c>
      <c r="C826" t="s">
        <v>612</v>
      </c>
      <c r="D826" t="s">
        <v>716</v>
      </c>
      <c r="E826">
        <v>7</v>
      </c>
      <c r="G826">
        <v>1.025390625</v>
      </c>
      <c r="H826">
        <v>969</v>
      </c>
      <c r="I826">
        <v>969</v>
      </c>
      <c r="J826">
        <v>997</v>
      </c>
      <c r="K826">
        <v>996.5</v>
      </c>
      <c r="L826">
        <v>3.9027469107135002</v>
      </c>
      <c r="M826">
        <v>111.55518833218601</v>
      </c>
      <c r="N826">
        <v>115.95018507534</v>
      </c>
      <c r="O826">
        <v>1.14387644285933</v>
      </c>
      <c r="P826">
        <v>1.18894232743268</v>
      </c>
      <c r="Q826">
        <v>5.3604606122146796</v>
      </c>
    </row>
    <row r="827" spans="1:17" x14ac:dyDescent="0.25">
      <c r="A827" t="s">
        <v>580</v>
      </c>
      <c r="B827" t="s">
        <v>714</v>
      </c>
      <c r="C827" t="s">
        <v>613</v>
      </c>
      <c r="D827" t="s">
        <v>716</v>
      </c>
      <c r="E827">
        <v>10</v>
      </c>
      <c r="G827">
        <v>0.634765625</v>
      </c>
      <c r="H827">
        <v>376</v>
      </c>
      <c r="I827">
        <v>376</v>
      </c>
      <c r="J827">
        <v>376</v>
      </c>
      <c r="K827">
        <v>376</v>
      </c>
      <c r="L827">
        <v>0</v>
      </c>
      <c r="M827">
        <v>147.568140609414</v>
      </c>
      <c r="N827">
        <v>147.568140609414</v>
      </c>
      <c r="O827">
        <v>0.93671183004023095</v>
      </c>
      <c r="P827">
        <v>0.93671183004023095</v>
      </c>
      <c r="Q827">
        <v>0</v>
      </c>
    </row>
    <row r="828" spans="1:17" x14ac:dyDescent="0.25">
      <c r="A828" t="s">
        <v>580</v>
      </c>
      <c r="B828" t="s">
        <v>714</v>
      </c>
      <c r="C828" t="s">
        <v>613</v>
      </c>
      <c r="D828" t="s">
        <v>715</v>
      </c>
      <c r="E828">
        <v>10</v>
      </c>
      <c r="G828">
        <v>0.634765625</v>
      </c>
      <c r="H828">
        <v>376</v>
      </c>
      <c r="I828">
        <v>376</v>
      </c>
      <c r="J828">
        <v>376</v>
      </c>
      <c r="K828">
        <v>376</v>
      </c>
      <c r="L828">
        <v>0</v>
      </c>
      <c r="M828">
        <v>147.568140609414</v>
      </c>
      <c r="N828">
        <v>147.568140609414</v>
      </c>
      <c r="O828">
        <v>0.93671183004023095</v>
      </c>
      <c r="P828">
        <v>0.93671183004023095</v>
      </c>
      <c r="Q828">
        <v>0</v>
      </c>
    </row>
    <row r="829" spans="1:17" x14ac:dyDescent="0.25">
      <c r="A829" t="s">
        <v>580</v>
      </c>
      <c r="B829" t="s">
        <v>714</v>
      </c>
      <c r="C829" t="s">
        <v>614</v>
      </c>
      <c r="D829" t="s">
        <v>716</v>
      </c>
      <c r="E829">
        <v>8</v>
      </c>
      <c r="G829">
        <v>3.45703125</v>
      </c>
      <c r="H829">
        <v>1687</v>
      </c>
      <c r="I829">
        <v>1687</v>
      </c>
      <c r="J829">
        <v>1750</v>
      </c>
      <c r="K829">
        <v>1749.5</v>
      </c>
      <c r="L829">
        <v>5.0522062102496896</v>
      </c>
      <c r="M829">
        <v>100.928863780905</v>
      </c>
      <c r="N829">
        <v>105.701346281197</v>
      </c>
      <c r="O829">
        <v>3.4891423611758099</v>
      </c>
      <c r="P829">
        <v>3.6541285726117101</v>
      </c>
      <c r="Q829">
        <v>6.3852634952697098</v>
      </c>
    </row>
    <row r="830" spans="1:17" x14ac:dyDescent="0.25">
      <c r="A830" t="s">
        <v>580</v>
      </c>
      <c r="B830" t="s">
        <v>714</v>
      </c>
      <c r="C830" t="s">
        <v>614</v>
      </c>
      <c r="D830" t="s">
        <v>715</v>
      </c>
      <c r="E830">
        <v>8</v>
      </c>
      <c r="G830">
        <v>3.45703125</v>
      </c>
      <c r="H830">
        <v>1812</v>
      </c>
      <c r="I830">
        <v>1812</v>
      </c>
      <c r="J830">
        <v>1750</v>
      </c>
      <c r="K830">
        <v>1749.5</v>
      </c>
      <c r="L830">
        <v>5.0522062102496896</v>
      </c>
      <c r="M830">
        <v>110.47382878149</v>
      </c>
      <c r="N830">
        <v>105.701346281197</v>
      </c>
      <c r="O830">
        <v>3.8191147840476001</v>
      </c>
      <c r="P830">
        <v>3.6541285726117101</v>
      </c>
      <c r="Q830">
        <v>6.3852634952697098</v>
      </c>
    </row>
    <row r="831" spans="1:17" x14ac:dyDescent="0.25">
      <c r="A831" t="s">
        <v>580</v>
      </c>
      <c r="B831" t="s">
        <v>717</v>
      </c>
      <c r="C831" t="s">
        <v>582</v>
      </c>
      <c r="D831" t="s">
        <v>718</v>
      </c>
      <c r="E831">
        <v>1</v>
      </c>
      <c r="G831">
        <v>0.322265625</v>
      </c>
      <c r="H831">
        <v>723</v>
      </c>
      <c r="I831">
        <v>723</v>
      </c>
      <c r="J831">
        <v>705</v>
      </c>
      <c r="K831">
        <v>704.5</v>
      </c>
      <c r="L831">
        <v>3.7136906889854102</v>
      </c>
      <c r="M831">
        <v>111.601905691691</v>
      </c>
      <c r="N831">
        <v>105.23736202785599</v>
      </c>
      <c r="O831">
        <v>0.35965457888924002</v>
      </c>
      <c r="P831">
        <v>0.339143842472584</v>
      </c>
      <c r="Q831">
        <v>8.5528787440805392</v>
      </c>
    </row>
    <row r="832" spans="1:17" x14ac:dyDescent="0.25">
      <c r="A832" t="s">
        <v>580</v>
      </c>
      <c r="B832" t="s">
        <v>717</v>
      </c>
      <c r="C832" t="s">
        <v>582</v>
      </c>
      <c r="D832" t="s">
        <v>719</v>
      </c>
      <c r="E832">
        <v>1</v>
      </c>
      <c r="G832">
        <v>0.322265625</v>
      </c>
      <c r="H832">
        <v>686</v>
      </c>
      <c r="I832">
        <v>686</v>
      </c>
      <c r="J832">
        <v>705</v>
      </c>
      <c r="K832">
        <v>704.5</v>
      </c>
      <c r="L832">
        <v>3.7136906889854102</v>
      </c>
      <c r="M832">
        <v>98.8728183640211</v>
      </c>
      <c r="N832">
        <v>105.23736202785599</v>
      </c>
      <c r="O832">
        <v>0.31863310605592698</v>
      </c>
      <c r="P832">
        <v>0.339143842472584</v>
      </c>
      <c r="Q832">
        <v>8.5528787440805392</v>
      </c>
    </row>
    <row r="833" spans="1:17" x14ac:dyDescent="0.25">
      <c r="A833" t="s">
        <v>580</v>
      </c>
      <c r="B833" t="s">
        <v>717</v>
      </c>
      <c r="C833" t="s">
        <v>607</v>
      </c>
      <c r="D833" t="s">
        <v>718</v>
      </c>
      <c r="E833">
        <v>5</v>
      </c>
      <c r="G833">
        <v>2.77099609375</v>
      </c>
      <c r="H833">
        <v>429</v>
      </c>
      <c r="I833">
        <v>429</v>
      </c>
      <c r="J833">
        <v>429</v>
      </c>
      <c r="K833">
        <v>429</v>
      </c>
      <c r="L833">
        <v>0</v>
      </c>
      <c r="M833">
        <v>99.1076428258215</v>
      </c>
      <c r="N833">
        <v>99.1076428258215</v>
      </c>
      <c r="O833">
        <v>2.7462689113112102</v>
      </c>
      <c r="P833">
        <v>2.7462689113112102</v>
      </c>
      <c r="Q833">
        <v>0</v>
      </c>
    </row>
    <row r="834" spans="1:17" x14ac:dyDescent="0.25">
      <c r="A834" t="s">
        <v>580</v>
      </c>
      <c r="B834" t="s">
        <v>717</v>
      </c>
      <c r="C834" t="s">
        <v>607</v>
      </c>
      <c r="D834" t="s">
        <v>719</v>
      </c>
      <c r="E834">
        <v>5</v>
      </c>
      <c r="G834">
        <v>2.77099609375</v>
      </c>
      <c r="H834">
        <v>429</v>
      </c>
      <c r="I834">
        <v>429</v>
      </c>
      <c r="J834">
        <v>429</v>
      </c>
      <c r="K834">
        <v>429</v>
      </c>
      <c r="L834">
        <v>0</v>
      </c>
      <c r="M834">
        <v>99.1076428258215</v>
      </c>
      <c r="N834">
        <v>99.1076428258215</v>
      </c>
      <c r="O834">
        <v>2.7462689113112102</v>
      </c>
      <c r="P834">
        <v>2.7462689113112102</v>
      </c>
      <c r="Q834">
        <v>0</v>
      </c>
    </row>
    <row r="835" spans="1:17" x14ac:dyDescent="0.25">
      <c r="A835" t="s">
        <v>580</v>
      </c>
      <c r="B835" t="s">
        <v>717</v>
      </c>
      <c r="C835" t="s">
        <v>608</v>
      </c>
      <c r="D835" t="s">
        <v>719</v>
      </c>
      <c r="E835">
        <v>9</v>
      </c>
      <c r="G835">
        <v>11.376953125</v>
      </c>
      <c r="H835">
        <v>498</v>
      </c>
      <c r="I835">
        <v>498</v>
      </c>
      <c r="J835">
        <v>495</v>
      </c>
      <c r="K835">
        <v>495</v>
      </c>
      <c r="L835">
        <v>0.85709912871096605</v>
      </c>
      <c r="M835">
        <v>107.968634689086</v>
      </c>
      <c r="N835">
        <v>104.624449946072</v>
      </c>
      <c r="O835">
        <v>12.283540958279801</v>
      </c>
      <c r="P835">
        <v>11.9030746276537</v>
      </c>
      <c r="Q835">
        <v>4.5203500912932801</v>
      </c>
    </row>
    <row r="836" spans="1:17" x14ac:dyDescent="0.25">
      <c r="A836" t="s">
        <v>580</v>
      </c>
      <c r="B836" t="s">
        <v>717</v>
      </c>
      <c r="C836" t="s">
        <v>608</v>
      </c>
      <c r="D836" t="s">
        <v>718</v>
      </c>
      <c r="E836">
        <v>9</v>
      </c>
      <c r="G836">
        <v>11.376953125</v>
      </c>
      <c r="H836">
        <v>492</v>
      </c>
      <c r="I836">
        <v>492</v>
      </c>
      <c r="J836">
        <v>495</v>
      </c>
      <c r="K836">
        <v>495</v>
      </c>
      <c r="L836">
        <v>0.85709912871096605</v>
      </c>
      <c r="M836">
        <v>101.280265203057</v>
      </c>
      <c r="N836">
        <v>104.624449946072</v>
      </c>
      <c r="O836">
        <v>11.522608297027499</v>
      </c>
      <c r="P836">
        <v>11.9030746276537</v>
      </c>
      <c r="Q836">
        <v>4.5203500912932801</v>
      </c>
    </row>
    <row r="837" spans="1:17" x14ac:dyDescent="0.25">
      <c r="A837" t="s">
        <v>580</v>
      </c>
      <c r="B837" t="s">
        <v>717</v>
      </c>
      <c r="C837" t="s">
        <v>609</v>
      </c>
      <c r="D837" t="s">
        <v>718</v>
      </c>
      <c r="E837">
        <v>2</v>
      </c>
      <c r="G837">
        <v>1.62353515625</v>
      </c>
      <c r="H837">
        <v>1724</v>
      </c>
      <c r="I837">
        <v>1724</v>
      </c>
      <c r="J837">
        <v>1718</v>
      </c>
      <c r="K837">
        <v>1717.5</v>
      </c>
      <c r="L837">
        <v>0.53521910657496996</v>
      </c>
      <c r="M837">
        <v>95.585071921990604</v>
      </c>
      <c r="N837">
        <v>94.385687875598293</v>
      </c>
      <c r="O837">
        <v>1.55185724678036</v>
      </c>
      <c r="P837">
        <v>1.53238482512873</v>
      </c>
      <c r="Q837">
        <v>1.79707879772785</v>
      </c>
    </row>
    <row r="838" spans="1:17" x14ac:dyDescent="0.25">
      <c r="A838" t="s">
        <v>580</v>
      </c>
      <c r="B838" t="s">
        <v>717</v>
      </c>
      <c r="C838" t="s">
        <v>609</v>
      </c>
      <c r="D838" t="s">
        <v>719</v>
      </c>
      <c r="E838">
        <v>2</v>
      </c>
      <c r="G838">
        <v>1.62353515625</v>
      </c>
      <c r="H838">
        <v>1711</v>
      </c>
      <c r="I838">
        <v>1711</v>
      </c>
      <c r="J838">
        <v>1718</v>
      </c>
      <c r="K838">
        <v>1717.5</v>
      </c>
      <c r="L838">
        <v>0.53521910657496996</v>
      </c>
      <c r="M838">
        <v>93.186303829205897</v>
      </c>
      <c r="N838">
        <v>94.385687875598293</v>
      </c>
      <c r="O838">
        <v>1.51291240347709</v>
      </c>
      <c r="P838">
        <v>1.53238482512873</v>
      </c>
      <c r="Q838">
        <v>1.79707879772785</v>
      </c>
    </row>
    <row r="839" spans="1:17" x14ac:dyDescent="0.25">
      <c r="A839" t="s">
        <v>580</v>
      </c>
      <c r="B839" t="s">
        <v>717</v>
      </c>
      <c r="C839" t="s">
        <v>610</v>
      </c>
      <c r="D839" t="s">
        <v>718</v>
      </c>
      <c r="E839">
        <v>3</v>
      </c>
      <c r="G839">
        <v>1.2451171875</v>
      </c>
      <c r="H839">
        <v>1105</v>
      </c>
      <c r="I839">
        <v>1105</v>
      </c>
      <c r="J839">
        <v>1101</v>
      </c>
      <c r="K839">
        <v>1101</v>
      </c>
      <c r="L839">
        <v>0.51379239323273196</v>
      </c>
      <c r="M839">
        <v>103.97007573444399</v>
      </c>
      <c r="N839">
        <v>103.27120530928499</v>
      </c>
      <c r="O839">
        <v>1.2945492828263301</v>
      </c>
      <c r="P839">
        <v>1.2858475270443199</v>
      </c>
      <c r="Q839">
        <v>0.95704512273421105</v>
      </c>
    </row>
    <row r="840" spans="1:17" x14ac:dyDescent="0.25">
      <c r="A840" t="s">
        <v>580</v>
      </c>
      <c r="B840" t="s">
        <v>717</v>
      </c>
      <c r="C840" t="s">
        <v>610</v>
      </c>
      <c r="D840" t="s">
        <v>719</v>
      </c>
      <c r="E840">
        <v>3</v>
      </c>
      <c r="G840">
        <v>1.2451171875</v>
      </c>
      <c r="H840">
        <v>1097</v>
      </c>
      <c r="I840">
        <v>1097</v>
      </c>
      <c r="J840">
        <v>1101</v>
      </c>
      <c r="K840">
        <v>1101</v>
      </c>
      <c r="L840">
        <v>0.51379239323273196</v>
      </c>
      <c r="M840">
        <v>102.57233488412599</v>
      </c>
      <c r="N840">
        <v>103.27120530928499</v>
      </c>
      <c r="O840">
        <v>1.27714577126231</v>
      </c>
      <c r="P840">
        <v>1.2858475270443199</v>
      </c>
      <c r="Q840">
        <v>0.95704512273421105</v>
      </c>
    </row>
    <row r="841" spans="1:17" x14ac:dyDescent="0.25">
      <c r="A841" t="s">
        <v>580</v>
      </c>
      <c r="B841" t="s">
        <v>717</v>
      </c>
      <c r="C841" t="s">
        <v>611</v>
      </c>
      <c r="D841" t="s">
        <v>718</v>
      </c>
      <c r="E841">
        <v>4</v>
      </c>
      <c r="G841">
        <v>2.1240234375</v>
      </c>
      <c r="H841">
        <v>426</v>
      </c>
      <c r="I841">
        <v>426</v>
      </c>
      <c r="J841">
        <v>424</v>
      </c>
      <c r="K841">
        <v>424</v>
      </c>
      <c r="L841">
        <v>0.66708186904391198</v>
      </c>
      <c r="M841">
        <v>116.070708862261</v>
      </c>
      <c r="N841">
        <v>113.036679419366</v>
      </c>
      <c r="O841">
        <v>2.4653690603068301</v>
      </c>
      <c r="P841">
        <v>2.4009255638390798</v>
      </c>
      <c r="Q841">
        <v>3.7959055492621498</v>
      </c>
    </row>
    <row r="842" spans="1:17" x14ac:dyDescent="0.25">
      <c r="A842" t="s">
        <v>580</v>
      </c>
      <c r="B842" t="s">
        <v>717</v>
      </c>
      <c r="C842" t="s">
        <v>611</v>
      </c>
      <c r="D842" t="s">
        <v>719</v>
      </c>
      <c r="E842">
        <v>4</v>
      </c>
      <c r="G842">
        <v>2.1240234375</v>
      </c>
      <c r="H842">
        <v>422</v>
      </c>
      <c r="I842">
        <v>422</v>
      </c>
      <c r="J842">
        <v>424</v>
      </c>
      <c r="K842">
        <v>424</v>
      </c>
      <c r="L842">
        <v>0.66708186904391198</v>
      </c>
      <c r="M842">
        <v>110.00264997647101</v>
      </c>
      <c r="N842">
        <v>113.036679419366</v>
      </c>
      <c r="O842">
        <v>2.3364820673713398</v>
      </c>
      <c r="P842">
        <v>2.4009255638390798</v>
      </c>
      <c r="Q842">
        <v>3.7959055492621498</v>
      </c>
    </row>
    <row r="843" spans="1:17" x14ac:dyDescent="0.25">
      <c r="A843" t="s">
        <v>580</v>
      </c>
      <c r="B843" t="s">
        <v>717</v>
      </c>
      <c r="C843" t="s">
        <v>612</v>
      </c>
      <c r="D843" t="s">
        <v>719</v>
      </c>
      <c r="E843">
        <v>7</v>
      </c>
      <c r="G843">
        <v>0.25634765625</v>
      </c>
      <c r="H843">
        <v>439</v>
      </c>
      <c r="I843">
        <v>439</v>
      </c>
      <c r="J843">
        <v>450</v>
      </c>
      <c r="K843">
        <v>449.5</v>
      </c>
      <c r="L843">
        <v>3.3035022035411501</v>
      </c>
      <c r="M843">
        <v>99.319865049771394</v>
      </c>
      <c r="N843">
        <v>106.428855875252</v>
      </c>
      <c r="O843">
        <v>0.25460414624575201</v>
      </c>
      <c r="P843">
        <v>0.27282787760990002</v>
      </c>
      <c r="Q843">
        <v>9.4463396768686501</v>
      </c>
    </row>
    <row r="844" spans="1:17" x14ac:dyDescent="0.25">
      <c r="A844" t="s">
        <v>580</v>
      </c>
      <c r="B844" t="s">
        <v>717</v>
      </c>
      <c r="C844" t="s">
        <v>612</v>
      </c>
      <c r="D844" t="s">
        <v>718</v>
      </c>
      <c r="E844">
        <v>7</v>
      </c>
      <c r="G844">
        <v>0.25634765625</v>
      </c>
      <c r="H844">
        <v>460</v>
      </c>
      <c r="I844">
        <v>460</v>
      </c>
      <c r="J844">
        <v>450</v>
      </c>
      <c r="K844">
        <v>449.5</v>
      </c>
      <c r="L844">
        <v>3.3035022035411501</v>
      </c>
      <c r="M844">
        <v>113.537846700733</v>
      </c>
      <c r="N844">
        <v>106.428855875252</v>
      </c>
      <c r="O844">
        <v>0.29105160897404803</v>
      </c>
      <c r="P844">
        <v>0.27282787760990002</v>
      </c>
      <c r="Q844">
        <v>9.4463396768686501</v>
      </c>
    </row>
    <row r="845" spans="1:17" x14ac:dyDescent="0.25">
      <c r="A845" t="s">
        <v>580</v>
      </c>
      <c r="B845" t="s">
        <v>717</v>
      </c>
      <c r="C845" t="s">
        <v>613</v>
      </c>
      <c r="D845" t="s">
        <v>719</v>
      </c>
      <c r="E845">
        <v>10</v>
      </c>
      <c r="G845">
        <v>0.15869140625</v>
      </c>
      <c r="H845">
        <v>329</v>
      </c>
      <c r="I845">
        <v>329</v>
      </c>
      <c r="J845">
        <v>324</v>
      </c>
      <c r="K845">
        <v>323.5</v>
      </c>
      <c r="L845">
        <v>2.4043816361829999</v>
      </c>
      <c r="M845">
        <v>249.85944995086601</v>
      </c>
      <c r="N845">
        <v>196.45899561383399</v>
      </c>
      <c r="O845">
        <v>0.39650547477554499</v>
      </c>
      <c r="P845">
        <v>0.31176354284421998</v>
      </c>
      <c r="Q845">
        <v>38.4404117125586</v>
      </c>
    </row>
    <row r="846" spans="1:17" x14ac:dyDescent="0.25">
      <c r="A846" t="s">
        <v>580</v>
      </c>
      <c r="B846" t="s">
        <v>717</v>
      </c>
      <c r="C846" t="s">
        <v>613</v>
      </c>
      <c r="D846" t="s">
        <v>718</v>
      </c>
      <c r="E846">
        <v>10</v>
      </c>
      <c r="G846">
        <v>0.15869140625</v>
      </c>
      <c r="H846">
        <v>318</v>
      </c>
      <c r="I846">
        <v>318</v>
      </c>
      <c r="J846">
        <v>324</v>
      </c>
      <c r="K846">
        <v>323.5</v>
      </c>
      <c r="L846">
        <v>2.4043816361829999</v>
      </c>
      <c r="M846">
        <v>143.058541276803</v>
      </c>
      <c r="N846">
        <v>196.45899561383399</v>
      </c>
      <c r="O846">
        <v>0.22702161091289499</v>
      </c>
      <c r="P846">
        <v>0.31176354284421998</v>
      </c>
      <c r="Q846">
        <v>38.4404117125586</v>
      </c>
    </row>
    <row r="847" spans="1:17" x14ac:dyDescent="0.25">
      <c r="A847" t="s">
        <v>580</v>
      </c>
      <c r="B847" t="s">
        <v>717</v>
      </c>
      <c r="C847" t="s">
        <v>614</v>
      </c>
      <c r="D847" t="s">
        <v>719</v>
      </c>
      <c r="E847">
        <v>8</v>
      </c>
      <c r="G847">
        <v>0.8642578125</v>
      </c>
      <c r="H847">
        <v>668</v>
      </c>
      <c r="I847">
        <v>668</v>
      </c>
      <c r="J847">
        <v>671</v>
      </c>
      <c r="K847">
        <v>671</v>
      </c>
      <c r="L847">
        <v>0.63228624249169596</v>
      </c>
      <c r="M847">
        <v>95.280140368302995</v>
      </c>
      <c r="N847">
        <v>96.1762376246282</v>
      </c>
      <c r="O847">
        <v>0.82346605689402497</v>
      </c>
      <c r="P847">
        <v>0.83121064743941397</v>
      </c>
      <c r="Q847">
        <v>1.3176569643393601</v>
      </c>
    </row>
    <row r="848" spans="1:17" x14ac:dyDescent="0.25">
      <c r="A848" t="s">
        <v>580</v>
      </c>
      <c r="B848" t="s">
        <v>717</v>
      </c>
      <c r="C848" t="s">
        <v>614</v>
      </c>
      <c r="D848" t="s">
        <v>718</v>
      </c>
      <c r="E848">
        <v>8</v>
      </c>
      <c r="G848">
        <v>0.8642578125</v>
      </c>
      <c r="H848">
        <v>674</v>
      </c>
      <c r="I848">
        <v>674</v>
      </c>
      <c r="J848">
        <v>671</v>
      </c>
      <c r="K848">
        <v>671</v>
      </c>
      <c r="L848">
        <v>0.63228624249169596</v>
      </c>
      <c r="M848">
        <v>97.072334880953505</v>
      </c>
      <c r="N848">
        <v>96.1762376246282</v>
      </c>
      <c r="O848">
        <v>0.83895523798480298</v>
      </c>
      <c r="P848">
        <v>0.83121064743941397</v>
      </c>
      <c r="Q848">
        <v>1.3176569643393601</v>
      </c>
    </row>
    <row r="849" spans="1:17" x14ac:dyDescent="0.25">
      <c r="A849" t="s">
        <v>580</v>
      </c>
      <c r="B849" t="s">
        <v>720</v>
      </c>
      <c r="C849" t="s">
        <v>582</v>
      </c>
      <c r="D849" t="s">
        <v>721</v>
      </c>
      <c r="E849">
        <v>1</v>
      </c>
      <c r="G849">
        <v>0</v>
      </c>
      <c r="H849">
        <v>408</v>
      </c>
      <c r="I849">
        <v>408</v>
      </c>
      <c r="J849">
        <v>398</v>
      </c>
      <c r="K849">
        <v>398</v>
      </c>
      <c r="L849">
        <v>3.5533004079725998</v>
      </c>
      <c r="N849" t="s">
        <v>417</v>
      </c>
      <c r="O849" t="s">
        <v>417</v>
      </c>
      <c r="P849" t="s">
        <v>417</v>
      </c>
      <c r="Q849" t="s">
        <v>417</v>
      </c>
    </row>
    <row r="850" spans="1:17" x14ac:dyDescent="0.25">
      <c r="A850" t="s">
        <v>580</v>
      </c>
      <c r="B850" t="s">
        <v>720</v>
      </c>
      <c r="C850" t="s">
        <v>582</v>
      </c>
      <c r="D850" t="s">
        <v>722</v>
      </c>
      <c r="E850">
        <v>1</v>
      </c>
      <c r="G850">
        <v>0</v>
      </c>
      <c r="H850">
        <v>388</v>
      </c>
      <c r="I850">
        <v>388</v>
      </c>
      <c r="J850">
        <v>398</v>
      </c>
      <c r="K850">
        <v>398</v>
      </c>
      <c r="L850">
        <v>3.5533004079725998</v>
      </c>
      <c r="N850" t="s">
        <v>417</v>
      </c>
      <c r="O850" t="s">
        <v>417</v>
      </c>
      <c r="P850" t="s">
        <v>417</v>
      </c>
      <c r="Q850" t="s">
        <v>417</v>
      </c>
    </row>
    <row r="851" spans="1:17" x14ac:dyDescent="0.25">
      <c r="A851" t="s">
        <v>580</v>
      </c>
      <c r="B851" t="s">
        <v>720</v>
      </c>
      <c r="C851" t="s">
        <v>607</v>
      </c>
      <c r="D851" t="s">
        <v>721</v>
      </c>
      <c r="E851">
        <v>5</v>
      </c>
      <c r="G851">
        <v>0</v>
      </c>
      <c r="H851">
        <v>258</v>
      </c>
      <c r="I851">
        <v>258</v>
      </c>
      <c r="J851">
        <v>241</v>
      </c>
      <c r="K851">
        <v>240.5</v>
      </c>
      <c r="L851">
        <v>10.2905352771431</v>
      </c>
      <c r="N851" t="s">
        <v>417</v>
      </c>
      <c r="O851">
        <v>0.22433027844652201</v>
      </c>
      <c r="P851" t="s">
        <v>417</v>
      </c>
      <c r="Q851" t="s">
        <v>417</v>
      </c>
    </row>
    <row r="852" spans="1:17" x14ac:dyDescent="0.25">
      <c r="A852" t="s">
        <v>580</v>
      </c>
      <c r="B852" t="s">
        <v>720</v>
      </c>
      <c r="C852" t="s">
        <v>607</v>
      </c>
      <c r="D852" t="s">
        <v>722</v>
      </c>
      <c r="E852">
        <v>5</v>
      </c>
      <c r="G852">
        <v>0</v>
      </c>
      <c r="H852">
        <v>223</v>
      </c>
      <c r="I852">
        <v>223</v>
      </c>
      <c r="J852">
        <v>241</v>
      </c>
      <c r="K852">
        <v>240.5</v>
      </c>
      <c r="L852">
        <v>10.2905352771431</v>
      </c>
      <c r="N852" t="s">
        <v>417</v>
      </c>
      <c r="O852" t="s">
        <v>417</v>
      </c>
      <c r="P852" t="s">
        <v>417</v>
      </c>
      <c r="Q852" t="s">
        <v>417</v>
      </c>
    </row>
    <row r="853" spans="1:17" x14ac:dyDescent="0.25">
      <c r="A853" t="s">
        <v>580</v>
      </c>
      <c r="B853" t="s">
        <v>720</v>
      </c>
      <c r="C853" t="s">
        <v>608</v>
      </c>
      <c r="D853" t="s">
        <v>722</v>
      </c>
      <c r="E853">
        <v>9</v>
      </c>
      <c r="G853">
        <v>0</v>
      </c>
      <c r="H853">
        <v>384</v>
      </c>
      <c r="I853">
        <v>384</v>
      </c>
      <c r="J853">
        <v>402</v>
      </c>
      <c r="K853">
        <v>401.5</v>
      </c>
      <c r="L853">
        <v>6.1640690763459904</v>
      </c>
      <c r="N853" t="s">
        <v>417</v>
      </c>
      <c r="O853" t="s">
        <v>417</v>
      </c>
      <c r="P853" t="s">
        <v>417</v>
      </c>
      <c r="Q853" t="s">
        <v>417</v>
      </c>
    </row>
    <row r="854" spans="1:17" x14ac:dyDescent="0.25">
      <c r="A854" t="s">
        <v>580</v>
      </c>
      <c r="B854" t="s">
        <v>720</v>
      </c>
      <c r="C854" t="s">
        <v>608</v>
      </c>
      <c r="D854" t="s">
        <v>721</v>
      </c>
      <c r="E854">
        <v>9</v>
      </c>
      <c r="G854">
        <v>0</v>
      </c>
      <c r="H854">
        <v>419</v>
      </c>
      <c r="I854">
        <v>419</v>
      </c>
      <c r="J854">
        <v>402</v>
      </c>
      <c r="K854">
        <v>401.5</v>
      </c>
      <c r="L854">
        <v>6.1640690763459904</v>
      </c>
      <c r="N854" t="s">
        <v>417</v>
      </c>
      <c r="O854">
        <v>2.1463319657030402</v>
      </c>
      <c r="P854" t="s">
        <v>417</v>
      </c>
      <c r="Q854" t="s">
        <v>417</v>
      </c>
    </row>
    <row r="855" spans="1:17" x14ac:dyDescent="0.25">
      <c r="A855" t="s">
        <v>580</v>
      </c>
      <c r="B855" t="s">
        <v>720</v>
      </c>
      <c r="C855" t="s">
        <v>609</v>
      </c>
      <c r="D855" t="s">
        <v>721</v>
      </c>
      <c r="E855">
        <v>2</v>
      </c>
      <c r="G855">
        <v>0</v>
      </c>
      <c r="H855">
        <v>1184</v>
      </c>
      <c r="I855">
        <v>1184</v>
      </c>
      <c r="J855">
        <v>1183</v>
      </c>
      <c r="K855">
        <v>1183</v>
      </c>
      <c r="L855">
        <v>0.119544679828664</v>
      </c>
      <c r="N855" t="s">
        <v>417</v>
      </c>
      <c r="O855">
        <v>2.22268574546505E-2</v>
      </c>
      <c r="P855">
        <v>1.99085815594068E-2</v>
      </c>
      <c r="Q855">
        <v>16.467959822216599</v>
      </c>
    </row>
    <row r="856" spans="1:17" x14ac:dyDescent="0.25">
      <c r="A856" t="s">
        <v>580</v>
      </c>
      <c r="B856" t="s">
        <v>720</v>
      </c>
      <c r="C856" t="s">
        <v>609</v>
      </c>
      <c r="D856" t="s">
        <v>722</v>
      </c>
      <c r="E856">
        <v>2</v>
      </c>
      <c r="G856">
        <v>0</v>
      </c>
      <c r="H856">
        <v>1182</v>
      </c>
      <c r="I856">
        <v>1182</v>
      </c>
      <c r="J856">
        <v>1183</v>
      </c>
      <c r="K856">
        <v>1183</v>
      </c>
      <c r="L856">
        <v>0.119544679828664</v>
      </c>
      <c r="N856" t="s">
        <v>417</v>
      </c>
      <c r="O856">
        <v>1.7590305664162999E-2</v>
      </c>
      <c r="P856">
        <v>1.99085815594068E-2</v>
      </c>
      <c r="Q856">
        <v>16.467959822216599</v>
      </c>
    </row>
    <row r="857" spans="1:17" x14ac:dyDescent="0.25">
      <c r="A857" t="s">
        <v>580</v>
      </c>
      <c r="B857" t="s">
        <v>720</v>
      </c>
      <c r="C857" t="s">
        <v>610</v>
      </c>
      <c r="D857" t="s">
        <v>721</v>
      </c>
      <c r="E857">
        <v>3</v>
      </c>
      <c r="G857">
        <v>0</v>
      </c>
      <c r="H857">
        <v>487</v>
      </c>
      <c r="I857">
        <v>487</v>
      </c>
      <c r="J857">
        <v>505</v>
      </c>
      <c r="K857">
        <v>505</v>
      </c>
      <c r="L857">
        <v>5.0407612124189498</v>
      </c>
      <c r="N857" t="s">
        <v>417</v>
      </c>
      <c r="O857" t="s">
        <v>417</v>
      </c>
      <c r="P857" t="s">
        <v>417</v>
      </c>
      <c r="Q857" t="s">
        <v>417</v>
      </c>
    </row>
    <row r="858" spans="1:17" x14ac:dyDescent="0.25">
      <c r="A858" t="s">
        <v>580</v>
      </c>
      <c r="B858" t="s">
        <v>720</v>
      </c>
      <c r="C858" t="s">
        <v>610</v>
      </c>
      <c r="D858" t="s">
        <v>722</v>
      </c>
      <c r="E858">
        <v>3</v>
      </c>
      <c r="G858">
        <v>0</v>
      </c>
      <c r="H858">
        <v>523</v>
      </c>
      <c r="I858">
        <v>523</v>
      </c>
      <c r="J858">
        <v>505</v>
      </c>
      <c r="K858">
        <v>505</v>
      </c>
      <c r="L858">
        <v>5.0407612124189498</v>
      </c>
      <c r="N858" t="s">
        <v>417</v>
      </c>
      <c r="O858">
        <v>2.8561896155525401E-2</v>
      </c>
      <c r="P858" t="s">
        <v>417</v>
      </c>
      <c r="Q858" t="s">
        <v>417</v>
      </c>
    </row>
    <row r="859" spans="1:17" x14ac:dyDescent="0.25">
      <c r="A859" t="s">
        <v>580</v>
      </c>
      <c r="B859" t="s">
        <v>720</v>
      </c>
      <c r="C859" t="s">
        <v>611</v>
      </c>
      <c r="D859" t="s">
        <v>721</v>
      </c>
      <c r="E859">
        <v>4</v>
      </c>
      <c r="G859">
        <v>0</v>
      </c>
      <c r="H859">
        <v>338</v>
      </c>
      <c r="I859">
        <v>338</v>
      </c>
      <c r="J859">
        <v>331</v>
      </c>
      <c r="K859">
        <v>330.5</v>
      </c>
      <c r="L859">
        <v>3.2092592186984001</v>
      </c>
      <c r="N859" t="s">
        <v>417</v>
      </c>
      <c r="O859" t="s">
        <v>417</v>
      </c>
      <c r="P859" t="s">
        <v>417</v>
      </c>
      <c r="Q859" t="s">
        <v>417</v>
      </c>
    </row>
    <row r="860" spans="1:17" x14ac:dyDescent="0.25">
      <c r="A860" t="s">
        <v>580</v>
      </c>
      <c r="B860" t="s">
        <v>720</v>
      </c>
      <c r="C860" t="s">
        <v>611</v>
      </c>
      <c r="D860" t="s">
        <v>722</v>
      </c>
      <c r="E860">
        <v>4</v>
      </c>
      <c r="G860">
        <v>0</v>
      </c>
      <c r="H860">
        <v>323</v>
      </c>
      <c r="I860">
        <v>323</v>
      </c>
      <c r="J860">
        <v>331</v>
      </c>
      <c r="K860">
        <v>330.5</v>
      </c>
      <c r="L860">
        <v>3.2092592186984001</v>
      </c>
      <c r="N860" t="s">
        <v>417</v>
      </c>
      <c r="O860" t="s">
        <v>417</v>
      </c>
      <c r="P860" t="s">
        <v>417</v>
      </c>
      <c r="Q860" t="s">
        <v>417</v>
      </c>
    </row>
    <row r="861" spans="1:17" x14ac:dyDescent="0.25">
      <c r="A861" t="s">
        <v>580</v>
      </c>
      <c r="B861" t="s">
        <v>720</v>
      </c>
      <c r="C861" t="s">
        <v>612</v>
      </c>
      <c r="D861" t="s">
        <v>721</v>
      </c>
      <c r="E861">
        <v>7</v>
      </c>
      <c r="G861">
        <v>0</v>
      </c>
      <c r="H861">
        <v>293</v>
      </c>
      <c r="I861">
        <v>293</v>
      </c>
      <c r="J861">
        <v>287</v>
      </c>
      <c r="K861">
        <v>286.5</v>
      </c>
      <c r="L861">
        <v>3.2085124451745601</v>
      </c>
      <c r="N861" t="s">
        <v>417</v>
      </c>
      <c r="O861" t="s">
        <v>417</v>
      </c>
      <c r="P861" t="s">
        <v>417</v>
      </c>
      <c r="Q861" t="s">
        <v>417</v>
      </c>
    </row>
    <row r="862" spans="1:17" x14ac:dyDescent="0.25">
      <c r="A862" t="s">
        <v>580</v>
      </c>
      <c r="B862" t="s">
        <v>720</v>
      </c>
      <c r="C862" t="s">
        <v>612</v>
      </c>
      <c r="D862" t="s">
        <v>722</v>
      </c>
      <c r="E862">
        <v>7</v>
      </c>
      <c r="G862">
        <v>0</v>
      </c>
      <c r="H862">
        <v>280</v>
      </c>
      <c r="I862">
        <v>280</v>
      </c>
      <c r="J862">
        <v>287</v>
      </c>
      <c r="K862">
        <v>286.5</v>
      </c>
      <c r="L862">
        <v>3.2085124451745601</v>
      </c>
      <c r="N862" t="s">
        <v>417</v>
      </c>
      <c r="O862" t="s">
        <v>417</v>
      </c>
      <c r="P862" t="s">
        <v>417</v>
      </c>
      <c r="Q862" t="s">
        <v>417</v>
      </c>
    </row>
    <row r="863" spans="1:17" x14ac:dyDescent="0.25">
      <c r="A863" t="s">
        <v>580</v>
      </c>
      <c r="B863" t="s">
        <v>720</v>
      </c>
      <c r="C863" t="s">
        <v>613</v>
      </c>
      <c r="D863" t="s">
        <v>722</v>
      </c>
      <c r="E863">
        <v>10</v>
      </c>
      <c r="G863">
        <v>0</v>
      </c>
      <c r="H863">
        <v>270</v>
      </c>
      <c r="I863">
        <v>270</v>
      </c>
      <c r="J863">
        <v>277</v>
      </c>
      <c r="K863">
        <v>277</v>
      </c>
      <c r="L863">
        <v>3.5738248868634099</v>
      </c>
      <c r="N863" t="s">
        <v>417</v>
      </c>
      <c r="O863" t="s">
        <v>417</v>
      </c>
      <c r="P863" t="s">
        <v>417</v>
      </c>
      <c r="Q863" t="s">
        <v>417</v>
      </c>
    </row>
    <row r="864" spans="1:17" x14ac:dyDescent="0.25">
      <c r="A864" t="s">
        <v>580</v>
      </c>
      <c r="B864" t="s">
        <v>720</v>
      </c>
      <c r="C864" t="s">
        <v>613</v>
      </c>
      <c r="D864" t="s">
        <v>721</v>
      </c>
      <c r="E864">
        <v>10</v>
      </c>
      <c r="G864">
        <v>0</v>
      </c>
      <c r="H864">
        <v>284</v>
      </c>
      <c r="I864">
        <v>284</v>
      </c>
      <c r="J864">
        <v>277</v>
      </c>
      <c r="K864">
        <v>277</v>
      </c>
      <c r="L864">
        <v>3.5738248868634099</v>
      </c>
      <c r="N864" t="s">
        <v>417</v>
      </c>
      <c r="O864" t="s">
        <v>417</v>
      </c>
      <c r="P864" t="s">
        <v>417</v>
      </c>
      <c r="Q864" t="s">
        <v>417</v>
      </c>
    </row>
    <row r="865" spans="1:17" x14ac:dyDescent="0.25">
      <c r="A865" t="s">
        <v>580</v>
      </c>
      <c r="B865" t="s">
        <v>720</v>
      </c>
      <c r="C865" t="s">
        <v>614</v>
      </c>
      <c r="D865" t="s">
        <v>722</v>
      </c>
      <c r="E865">
        <v>8</v>
      </c>
      <c r="G865">
        <v>0</v>
      </c>
      <c r="H865">
        <v>345</v>
      </c>
      <c r="I865">
        <v>345</v>
      </c>
      <c r="J865">
        <v>345</v>
      </c>
      <c r="K865">
        <v>345</v>
      </c>
      <c r="L865">
        <v>0</v>
      </c>
      <c r="N865" t="s">
        <v>417</v>
      </c>
      <c r="O865">
        <v>2.1136182331563799E-3</v>
      </c>
      <c r="P865">
        <v>2.1136182331563799E-3</v>
      </c>
      <c r="Q865">
        <v>0</v>
      </c>
    </row>
    <row r="866" spans="1:17" x14ac:dyDescent="0.25">
      <c r="A866" t="s">
        <v>580</v>
      </c>
      <c r="B866" t="s">
        <v>720</v>
      </c>
      <c r="C866" t="s">
        <v>614</v>
      </c>
      <c r="D866" t="s">
        <v>721</v>
      </c>
      <c r="E866">
        <v>8</v>
      </c>
      <c r="G866">
        <v>0</v>
      </c>
      <c r="H866">
        <v>345</v>
      </c>
      <c r="I866">
        <v>345</v>
      </c>
      <c r="J866">
        <v>345</v>
      </c>
      <c r="K866">
        <v>345</v>
      </c>
      <c r="L866">
        <v>0</v>
      </c>
      <c r="N866" t="s">
        <v>417</v>
      </c>
      <c r="O866">
        <v>2.1136182331563799E-3</v>
      </c>
      <c r="P866">
        <v>2.1136182331563799E-3</v>
      </c>
      <c r="Q86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CCC5-7C5C-432A-A1DA-B9F723C1A560}">
  <dimension ref="A1:AN40"/>
  <sheetViews>
    <sheetView workbookViewId="0">
      <selection activeCell="M42" sqref="M42"/>
    </sheetView>
  </sheetViews>
  <sheetFormatPr defaultRowHeight="15" x14ac:dyDescent="0.25"/>
  <cols>
    <col min="2" max="2" width="11.28515625" bestFit="1" customWidth="1"/>
    <col min="4" max="4" width="9.85546875" bestFit="1" customWidth="1"/>
  </cols>
  <sheetData>
    <row r="1" spans="1:40" ht="15.75" thickBot="1" x14ac:dyDescent="0.3">
      <c r="A1" s="173" t="s">
        <v>8</v>
      </c>
      <c r="B1" s="536" t="s">
        <v>53</v>
      </c>
      <c r="C1" s="52" t="s">
        <v>54</v>
      </c>
      <c r="D1" s="174" t="s">
        <v>723</v>
      </c>
      <c r="E1" s="536" t="s">
        <v>582</v>
      </c>
      <c r="F1" s="536" t="s">
        <v>607</v>
      </c>
      <c r="G1" s="536" t="s">
        <v>608</v>
      </c>
      <c r="H1" s="536" t="s">
        <v>609</v>
      </c>
      <c r="I1" s="536" t="s">
        <v>610</v>
      </c>
      <c r="J1" s="536" t="s">
        <v>611</v>
      </c>
      <c r="K1" s="536" t="s">
        <v>612</v>
      </c>
      <c r="L1" s="536" t="s">
        <v>613</v>
      </c>
      <c r="M1" s="53" t="s">
        <v>614</v>
      </c>
    </row>
    <row r="2" spans="1:40" x14ac:dyDescent="0.25">
      <c r="A2" s="667" t="s">
        <v>86</v>
      </c>
      <c r="B2" s="660" t="s">
        <v>227</v>
      </c>
      <c r="C2" s="50">
        <v>1</v>
      </c>
      <c r="D2" s="324" t="s">
        <v>615</v>
      </c>
      <c r="E2" s="30" t="str" cm="1">
        <f t="array" ref="E2">_xlfn.XLOOKUP(1,($D2=MSD_Inflammatory!$B:$B)*(E$1=MSD_Inflammatory!$C:$C),MSD_Inflammatory!$P:$P)</f>
        <v>NaN</v>
      </c>
      <c r="F2" s="30" cm="1">
        <f t="array" ref="F2">_xlfn.XLOOKUP(1,($D2=MSD_Inflammatory!$B:$B)*(F$1=MSD_Inflammatory!$C:$C),MSD_Inflammatory!$P:$P)</f>
        <v>0.30043025805994999</v>
      </c>
      <c r="G2" s="30" t="str" cm="1">
        <f t="array" ref="G2">_xlfn.XLOOKUP(1,($D2=MSD_Inflammatory!$B:$B)*(G$1=MSD_Inflammatory!$C:$C),MSD_Inflammatory!$P:$P)</f>
        <v>NaN</v>
      </c>
      <c r="H2" s="30" cm="1">
        <f t="array" ref="H2">_xlfn.XLOOKUP(1,($D2=MSD_Inflammatory!$B:$B)*(H$1=MSD_Inflammatory!$C:$C),MSD_Inflammatory!$P:$P)</f>
        <v>0.12971093288868399</v>
      </c>
      <c r="I2" s="30" t="str" cm="1">
        <f t="array" ref="I2">_xlfn.XLOOKUP(1,($D2=MSD_Inflammatory!$B:$B)*(I$1=MSD_Inflammatory!$C:$C),MSD_Inflammatory!$P:$P)</f>
        <v>NaN</v>
      </c>
      <c r="J2" s="30" cm="1">
        <f t="array" ref="J2">_xlfn.XLOOKUP(1,($D2=MSD_Inflammatory!$B:$B)*(J$1=MSD_Inflammatory!$C:$C),MSD_Inflammatory!$P:$P)</f>
        <v>8.14234321934617</v>
      </c>
      <c r="K2" s="30" cm="1">
        <f t="array" ref="K2">_xlfn.XLOOKUP(1,($D2=MSD_Inflammatory!$B:$B)*(K$1=MSD_Inflammatory!$C:$C),MSD_Inflammatory!$P:$P)</f>
        <v>27.136073581108398</v>
      </c>
      <c r="L2" s="30" cm="1">
        <f t="array" ref="L2">_xlfn.XLOOKUP(1,($D2=MSD_Inflammatory!$B:$B)*(L$1=MSD_Inflammatory!$C:$C),MSD_Inflammatory!$P:$P)</f>
        <v>4.0797098381277204</v>
      </c>
      <c r="M2" s="27" cm="1">
        <f t="array" ref="M2">_xlfn.XLOOKUP(1,($D2=MSD_Inflammatory!$B:$B)*(M$1=MSD_Inflammatory!$C:$C),MSD_Inflammatory!$P:$P)</f>
        <v>4.28949152013164E-2</v>
      </c>
      <c r="O2" s="649" t="s">
        <v>725</v>
      </c>
      <c r="P2" s="660"/>
      <c r="Q2" s="694" t="s">
        <v>607</v>
      </c>
      <c r="R2" s="694"/>
      <c r="S2" s="660"/>
      <c r="T2" s="694" t="s">
        <v>608</v>
      </c>
      <c r="U2" s="694"/>
      <c r="V2" s="660"/>
      <c r="W2" s="834" t="s">
        <v>609</v>
      </c>
      <c r="X2" s="834"/>
      <c r="Y2" s="835"/>
      <c r="Z2" s="694" t="s">
        <v>610</v>
      </c>
      <c r="AA2" s="694"/>
      <c r="AB2" s="660"/>
      <c r="AC2" s="834" t="s">
        <v>611</v>
      </c>
      <c r="AD2" s="834"/>
      <c r="AE2" s="835"/>
      <c r="AF2" s="694" t="s">
        <v>612</v>
      </c>
      <c r="AG2" s="694"/>
      <c r="AH2" s="660"/>
      <c r="AI2" s="694" t="s">
        <v>613</v>
      </c>
      <c r="AJ2" s="694"/>
      <c r="AK2" s="660"/>
      <c r="AL2" s="834" t="s">
        <v>614</v>
      </c>
      <c r="AM2" s="834"/>
      <c r="AN2" s="837"/>
    </row>
    <row r="3" spans="1:40" x14ac:dyDescent="0.25">
      <c r="A3" s="665"/>
      <c r="B3" s="715"/>
      <c r="C3">
        <v>2</v>
      </c>
      <c r="D3" s="168" t="s">
        <v>618</v>
      </c>
      <c r="E3" s="30" t="str" cm="1">
        <f t="array" ref="E3">_xlfn.XLOOKUP(1,($D3=MSD_Inflammatory!$B:$B)*(E$1=MSD_Inflammatory!$C:$C),MSD_Inflammatory!$P:$P)</f>
        <v>NaN</v>
      </c>
      <c r="F3" s="30" cm="1">
        <f t="array" ref="F3">_xlfn.XLOOKUP(1,($D3=MSD_Inflammatory!$B:$B)*(F$1=MSD_Inflammatory!$C:$C),MSD_Inflammatory!$P:$P)</f>
        <v>0.56636557364823203</v>
      </c>
      <c r="G3" s="30" cm="1">
        <f t="array" ref="G3">_xlfn.XLOOKUP(1,($D3=MSD_Inflammatory!$B:$B)*(G$1=MSD_Inflammatory!$C:$C),MSD_Inflammatory!$P:$P)</f>
        <v>3.7642725770042098</v>
      </c>
      <c r="H3" s="30" t="str" cm="1">
        <f t="array" ref="H3">_xlfn.XLOOKUP(1,($D3=MSD_Inflammatory!$B:$B)*(H$1=MSD_Inflammatory!$C:$C),MSD_Inflammatory!$P:$P)</f>
        <v>NaN</v>
      </c>
      <c r="I3" s="30" t="str" cm="1">
        <f t="array" ref="I3">_xlfn.XLOOKUP(1,($D3=MSD_Inflammatory!$B:$B)*(I$1=MSD_Inflammatory!$C:$C),MSD_Inflammatory!$P:$P)</f>
        <v>NaN</v>
      </c>
      <c r="J3" s="30" cm="1">
        <f t="array" ref="J3">_xlfn.XLOOKUP(1,($D3=MSD_Inflammatory!$B:$B)*(J$1=MSD_Inflammatory!$C:$C),MSD_Inflammatory!$P:$P)</f>
        <v>470.88834248591297</v>
      </c>
      <c r="K3" s="30" cm="1">
        <f t="array" ref="K3">_xlfn.XLOOKUP(1,($D3=MSD_Inflammatory!$B:$B)*(K$1=MSD_Inflammatory!$C:$C),MSD_Inflammatory!$P:$P)</f>
        <v>246.559982141783</v>
      </c>
      <c r="L3" s="30" cm="1">
        <f t="array" ref="L3">_xlfn.XLOOKUP(1,($D3=MSD_Inflammatory!$B:$B)*(L$1=MSD_Inflammatory!$C:$C),MSD_Inflammatory!$P:$P)</f>
        <v>122.609826073714</v>
      </c>
      <c r="M3" s="27" cm="1">
        <f t="array" ref="M3">_xlfn.XLOOKUP(1,($D3=MSD_Inflammatory!$B:$B)*(M$1=MSD_Inflammatory!$C:$C),MSD_Inflammatory!$P:$P)</f>
        <v>0.51668582382391604</v>
      </c>
      <c r="O3" s="650"/>
      <c r="P3" s="720"/>
      <c r="Q3" s="60" t="s">
        <v>106</v>
      </c>
      <c r="R3" s="60" t="s">
        <v>724</v>
      </c>
      <c r="S3" s="90" t="s">
        <v>108</v>
      </c>
      <c r="T3" s="60" t="s">
        <v>106</v>
      </c>
      <c r="U3" s="60" t="s">
        <v>724</v>
      </c>
      <c r="V3" s="90" t="s">
        <v>108</v>
      </c>
      <c r="W3" s="60" t="s">
        <v>106</v>
      </c>
      <c r="X3" s="60" t="s">
        <v>724</v>
      </c>
      <c r="Y3" s="90" t="s">
        <v>108</v>
      </c>
      <c r="Z3" s="60" t="s">
        <v>106</v>
      </c>
      <c r="AA3" s="60" t="s">
        <v>724</v>
      </c>
      <c r="AB3" s="90" t="s">
        <v>108</v>
      </c>
      <c r="AC3" s="60" t="s">
        <v>106</v>
      </c>
      <c r="AD3" s="60" t="s">
        <v>724</v>
      </c>
      <c r="AE3" s="90" t="s">
        <v>108</v>
      </c>
      <c r="AF3" s="60" t="s">
        <v>106</v>
      </c>
      <c r="AG3" s="60" t="s">
        <v>724</v>
      </c>
      <c r="AH3" s="90" t="s">
        <v>108</v>
      </c>
      <c r="AI3" s="60" t="s">
        <v>106</v>
      </c>
      <c r="AJ3" s="60" t="s">
        <v>724</v>
      </c>
      <c r="AK3" s="90" t="s">
        <v>108</v>
      </c>
      <c r="AL3" s="60" t="s">
        <v>106</v>
      </c>
      <c r="AM3" s="60" t="s">
        <v>724</v>
      </c>
      <c r="AN3" s="61" t="s">
        <v>108</v>
      </c>
    </row>
    <row r="4" spans="1:40" x14ac:dyDescent="0.25">
      <c r="A4" s="665"/>
      <c r="B4" s="715"/>
      <c r="C4">
        <v>3</v>
      </c>
      <c r="D4" s="168" t="s">
        <v>621</v>
      </c>
      <c r="E4" s="30" t="str" cm="1">
        <f t="array" ref="E4">_xlfn.XLOOKUP(1,($D4=MSD_Inflammatory!$B:$B)*(E$1=MSD_Inflammatory!$C:$C),MSD_Inflammatory!$P:$P)</f>
        <v>NaN</v>
      </c>
      <c r="F4" s="30" cm="1">
        <f t="array" ref="F4">_xlfn.XLOOKUP(1,($D4=MSD_Inflammatory!$B:$B)*(F$1=MSD_Inflammatory!$C:$C),MSD_Inflammatory!$P:$P)</f>
        <v>0.626244233970358</v>
      </c>
      <c r="G4" s="30" cm="1">
        <f t="array" ref="G4">_xlfn.XLOOKUP(1,($D4=MSD_Inflammatory!$B:$B)*(G$1=MSD_Inflammatory!$C:$C),MSD_Inflammatory!$P:$P)</f>
        <v>5.18701502620097</v>
      </c>
      <c r="H4" s="30" cm="1">
        <f t="array" ref="H4">_xlfn.XLOOKUP(1,($D4=MSD_Inflammatory!$B:$B)*(H$1=MSD_Inflammatory!$C:$C),MSD_Inflammatory!$P:$P)</f>
        <v>0.480834113238571</v>
      </c>
      <c r="I4" s="30" cm="1">
        <f t="array" ref="I4">_xlfn.XLOOKUP(1,($D4=MSD_Inflammatory!$B:$B)*(I$1=MSD_Inflammatory!$C:$C),MSD_Inflammatory!$P:$P)</f>
        <v>0.11150078682673201</v>
      </c>
      <c r="J4" s="30" cm="1">
        <f t="array" ref="J4">_xlfn.XLOOKUP(1,($D4=MSD_Inflammatory!$B:$B)*(J$1=MSD_Inflammatory!$C:$C),MSD_Inflammatory!$P:$P)</f>
        <v>565.89280047360103</v>
      </c>
      <c r="K4" s="30" cm="1">
        <f t="array" ref="K4">_xlfn.XLOOKUP(1,($D4=MSD_Inflammatory!$B:$B)*(K$1=MSD_Inflammatory!$C:$C),MSD_Inflammatory!$P:$P)</f>
        <v>334.89762592618899</v>
      </c>
      <c r="L4" s="30" cm="1">
        <f t="array" ref="L4">_xlfn.XLOOKUP(1,($D4=MSD_Inflammatory!$B:$B)*(L$1=MSD_Inflammatory!$C:$C),MSD_Inflammatory!$P:$P)</f>
        <v>244.388546029374</v>
      </c>
      <c r="M4" s="27" cm="1">
        <f t="array" ref="M4">_xlfn.XLOOKUP(1,($D4=MSD_Inflammatory!$B:$B)*(M$1=MSD_Inflammatory!$C:$C),MSD_Inflammatory!$P:$P)</f>
        <v>1.1552207954523199</v>
      </c>
      <c r="O4" s="745" t="s">
        <v>24</v>
      </c>
      <c r="P4" s="605">
        <v>0.15</v>
      </c>
      <c r="Q4" s="164">
        <f>AVERAGE(F2:F6)</f>
        <v>0.53428659643170362</v>
      </c>
      <c r="R4" s="164">
        <f>STDEV(F2:F6)</f>
        <v>0.17895833154090507</v>
      </c>
      <c r="S4" s="126">
        <f>COUNT(F2:F6)</f>
        <v>5</v>
      </c>
      <c r="T4" s="164">
        <f>AVERAGE(G2:G6)</f>
        <v>4.3765491315860947</v>
      </c>
      <c r="U4" s="164">
        <f>STDEV(G2:G6)</f>
        <v>2.0182042310969996</v>
      </c>
      <c r="V4" s="126">
        <f>COUNT(G2:G6)</f>
        <v>4</v>
      </c>
      <c r="W4" s="164">
        <f>AVERAGE(H2:H6)</f>
        <v>0.34234670184778349</v>
      </c>
      <c r="X4" s="164">
        <f>STDEV(H2:H6)</f>
        <v>0.1496116951352828</v>
      </c>
      <c r="Y4" s="126">
        <f>COUNT(H2:H6)</f>
        <v>4</v>
      </c>
      <c r="Z4" s="164">
        <f>AVERAGE(I2:I6)</f>
        <v>7.8874480350997506E-2</v>
      </c>
      <c r="AA4" s="164">
        <f>STDEV(I2:I6)</f>
        <v>5.2787882426910973E-2</v>
      </c>
      <c r="AB4" s="126">
        <f>COUNT(I2:I6)</f>
        <v>3</v>
      </c>
      <c r="AC4" s="164">
        <f>AVERAGE(J2:J6)</f>
        <v>262.41007044685796</v>
      </c>
      <c r="AD4" s="164">
        <f>STDEV(J2:J6)</f>
        <v>298.11790639678122</v>
      </c>
      <c r="AE4" s="126">
        <f>COUNT(J2:J6)</f>
        <v>4</v>
      </c>
      <c r="AF4" s="164">
        <f>AVERAGE(K2:K6)</f>
        <v>126.03597315350223</v>
      </c>
      <c r="AG4" s="164">
        <f>STDEV(K2:K6)</f>
        <v>153.74446483005008</v>
      </c>
      <c r="AH4" s="126">
        <f>COUNT(K2:K6)</f>
        <v>5</v>
      </c>
      <c r="AI4" s="164">
        <f>AVERAGE(L2:L6)</f>
        <v>74.912739667838693</v>
      </c>
      <c r="AJ4" s="164">
        <f>STDEV(L2:L6)</f>
        <v>108.0796680248812</v>
      </c>
      <c r="AK4" s="126">
        <f>COUNT(L2:L6)</f>
        <v>5</v>
      </c>
      <c r="AL4" s="164">
        <f>AVERAGE(M2:M6)</f>
        <v>0.45814176673595036</v>
      </c>
      <c r="AM4" s="164">
        <f>STDEV(M2:M6)</f>
        <v>0.50912752412387641</v>
      </c>
      <c r="AN4" s="161">
        <f>COUNT(M2:M6)</f>
        <v>4</v>
      </c>
    </row>
    <row r="5" spans="1:40" x14ac:dyDescent="0.25">
      <c r="A5" s="665"/>
      <c r="B5" s="715"/>
      <c r="C5">
        <v>4</v>
      </c>
      <c r="D5" s="168" t="s">
        <v>624</v>
      </c>
      <c r="E5" s="30" t="str" cm="1">
        <f t="array" ref="E5">_xlfn.XLOOKUP(1,($D5=MSD_Inflammatory!$B:$B)*(E$1=MSD_Inflammatory!$C:$C),MSD_Inflammatory!$P:$P)</f>
        <v>NaN</v>
      </c>
      <c r="F5" s="30" cm="1">
        <f t="array" ref="F5">_xlfn.XLOOKUP(1,($D5=MSD_Inflammatory!$B:$B)*(F$1=MSD_Inflammatory!$C:$C),MSD_Inflammatory!$P:$P)</f>
        <v>0.75934359601552504</v>
      </c>
      <c r="G5" s="30" cm="1">
        <f t="array" ref="G5">_xlfn.XLOOKUP(1,($D5=MSD_Inflammatory!$B:$B)*(G$1=MSD_Inflammatory!$C:$C),MSD_Inflammatory!$P:$P)</f>
        <v>1.9143983997740299</v>
      </c>
      <c r="H5" s="30" cm="1">
        <f t="array" ref="H5">_xlfn.XLOOKUP(1,($D5=MSD_Inflammatory!$B:$B)*(H$1=MSD_Inflammatory!$C:$C),MSD_Inflammatory!$P:$P)</f>
        <v>0.37726970140062199</v>
      </c>
      <c r="I5" s="30" cm="1">
        <f t="array" ref="I5">_xlfn.XLOOKUP(1,($D5=MSD_Inflammatory!$B:$B)*(I$1=MSD_Inflammatory!$C:$C),MSD_Inflammatory!$P:$P)</f>
        <v>0.107150604136098</v>
      </c>
      <c r="J5" s="30" cm="1">
        <f t="array" ref="J5">_xlfn.XLOOKUP(1,($D5=MSD_Inflammatory!$B:$B)*(J$1=MSD_Inflammatory!$C:$C),MSD_Inflammatory!$P:$P)</f>
        <v>4.7167956085716298</v>
      </c>
      <c r="K5" s="30" cm="1">
        <f t="array" ref="K5">_xlfn.XLOOKUP(1,($D5=MSD_Inflammatory!$B:$B)*(K$1=MSD_Inflammatory!$C:$C),MSD_Inflammatory!$P:$P)</f>
        <v>16.1401333305629</v>
      </c>
      <c r="L5" s="30" cm="1">
        <f t="array" ref="L5">_xlfn.XLOOKUP(1,($D5=MSD_Inflammatory!$B:$B)*(L$1=MSD_Inflammatory!$C:$C),MSD_Inflammatory!$P:$P)</f>
        <v>2.92638557349638</v>
      </c>
      <c r="M5" s="27" cm="1">
        <f t="array" ref="M5">_xlfn.XLOOKUP(1,($D5=MSD_Inflammatory!$B:$B)*(M$1=MSD_Inflammatory!$C:$C),MSD_Inflammatory!$P:$P)</f>
        <v>0.117765532466249</v>
      </c>
      <c r="O5" s="665"/>
      <c r="P5" s="602">
        <v>0.5</v>
      </c>
      <c r="Q5">
        <f>AVERAGE(F7:F10)</f>
        <v>0.4485394621879305</v>
      </c>
      <c r="R5">
        <f>STDEV(F7:F10)</f>
        <v>0.23320346213503418</v>
      </c>
      <c r="S5" s="30">
        <f>COUNT(F7:F10)</f>
        <v>4</v>
      </c>
      <c r="T5">
        <f>AVERAGE(G7:G10)</f>
        <v>10.918150337784148</v>
      </c>
      <c r="U5">
        <f>STDEV(G7:G10)</f>
        <v>11.946241085834135</v>
      </c>
      <c r="V5" s="30">
        <f>COUNT(G7:G10)</f>
        <v>4</v>
      </c>
      <c r="W5">
        <f>AVERAGE(H7:H10)</f>
        <v>0.29284533998906326</v>
      </c>
      <c r="X5">
        <f>STDEV(H7:H10)</f>
        <v>0.20490852930419268</v>
      </c>
      <c r="Y5" s="30">
        <f>COUNT(H7:H10)</f>
        <v>4</v>
      </c>
      <c r="Z5">
        <f>AVERAGE(I7:I10)</f>
        <v>0.14956472488194417</v>
      </c>
      <c r="AA5">
        <f>STDEV(I7:I10)</f>
        <v>5.8511969393018545E-2</v>
      </c>
      <c r="AB5" s="30">
        <f>COUNT(I7:I10)</f>
        <v>4</v>
      </c>
      <c r="AC5">
        <f>AVERAGE(J7:J10)</f>
        <v>420.87123822619321</v>
      </c>
      <c r="AD5">
        <f>STDEV(J7:J10)</f>
        <v>264.5599857673526</v>
      </c>
      <c r="AE5" s="30">
        <f>COUNT(J7:J10)</f>
        <v>4</v>
      </c>
      <c r="AF5">
        <f>AVERAGE(K7:K10)</f>
        <v>156.29276462308633</v>
      </c>
      <c r="AG5">
        <f>STDEV(K7:K10)</f>
        <v>128.09433011930275</v>
      </c>
      <c r="AH5" s="30">
        <f>COUNT(K7:K10)</f>
        <v>4</v>
      </c>
      <c r="AI5">
        <f>AVERAGE(L7:L10)</f>
        <v>1132.8966710549785</v>
      </c>
      <c r="AJ5">
        <f>STDEV(L7:L10)</f>
        <v>1122.5872793323626</v>
      </c>
      <c r="AK5" s="30">
        <f>COUNT(L7:L10)</f>
        <v>4</v>
      </c>
      <c r="AL5">
        <f>AVERAGE(M7:M10)</f>
        <v>2.3091168012124008</v>
      </c>
      <c r="AM5">
        <f>STDEV(M7:M10)</f>
        <v>2.8103921140849888</v>
      </c>
      <c r="AN5" s="27">
        <f>COUNT(M7:M10)</f>
        <v>4</v>
      </c>
    </row>
    <row r="6" spans="1:40" x14ac:dyDescent="0.25">
      <c r="A6" s="746"/>
      <c r="B6" s="720"/>
      <c r="C6" s="60">
        <v>5</v>
      </c>
      <c r="D6" s="230" t="s">
        <v>627</v>
      </c>
      <c r="E6" s="90" t="str" cm="1">
        <f t="array" ref="E6">_xlfn.XLOOKUP(1,($D6=MSD_Inflammatory!$B:$B)*(E$1=MSD_Inflammatory!$C:$C),MSD_Inflammatory!$P:$P)</f>
        <v>NaN</v>
      </c>
      <c r="F6" s="90" cm="1">
        <f t="array" ref="F6">_xlfn.XLOOKUP(1,($D6=MSD_Inflammatory!$B:$B)*(F$1=MSD_Inflammatory!$C:$C),MSD_Inflammatory!$P:$P)</f>
        <v>0.41904932046445298</v>
      </c>
      <c r="G6" s="90" cm="1">
        <f t="array" ref="G6">_xlfn.XLOOKUP(1,($D6=MSD_Inflammatory!$B:$B)*(G$1=MSD_Inflammatory!$C:$C),MSD_Inflammatory!$P:$P)</f>
        <v>6.6405105233651698</v>
      </c>
      <c r="H6" s="90" cm="1">
        <f t="array" ref="H6">_xlfn.XLOOKUP(1,($D6=MSD_Inflammatory!$B:$B)*(H$1=MSD_Inflammatory!$C:$C),MSD_Inflammatory!$P:$P)</f>
        <v>0.38157205986325698</v>
      </c>
      <c r="I6" s="90" cm="1">
        <f t="array" ref="I6">_xlfn.XLOOKUP(1,($D6=MSD_Inflammatory!$B:$B)*(I$1=MSD_Inflammatory!$C:$C),MSD_Inflammatory!$P:$P)</f>
        <v>1.7972050090162499E-2</v>
      </c>
      <c r="J6" s="90" t="str" cm="1">
        <f t="array" ref="J6">_xlfn.XLOOKUP(1,($D6=MSD_Inflammatory!$B:$B)*(J$1=MSD_Inflammatory!$C:$C),MSD_Inflammatory!$P:$P)</f>
        <v>NaN</v>
      </c>
      <c r="K6" s="90" cm="1">
        <f t="array" ref="K6">_xlfn.XLOOKUP(1,($D6=MSD_Inflammatory!$B:$B)*(K$1=MSD_Inflammatory!$C:$C),MSD_Inflammatory!$P:$P)</f>
        <v>5.4460507878679296</v>
      </c>
      <c r="L6" s="90" cm="1">
        <f t="array" ref="L6">_xlfn.XLOOKUP(1,($D6=MSD_Inflammatory!$B:$B)*(L$1=MSD_Inflammatory!$C:$C),MSD_Inflammatory!$P:$P)</f>
        <v>0.55923082448141104</v>
      </c>
      <c r="M6" s="61" t="str" cm="1">
        <f t="array" ref="M6">_xlfn.XLOOKUP(1,($D6=MSD_Inflammatory!$B:$B)*(M$1=MSD_Inflammatory!$C:$C),MSD_Inflammatory!$P:$P)</f>
        <v>NaN</v>
      </c>
      <c r="O6" s="746"/>
      <c r="P6" s="606" t="s">
        <v>167</v>
      </c>
      <c r="Q6" s="60">
        <f>AVERAGE(F11:F16)</f>
        <v>0.47796498833492923</v>
      </c>
      <c r="R6" s="60">
        <f>STDEV(F11:F16)</f>
        <v>0.35953170770986131</v>
      </c>
      <c r="S6" s="90">
        <f>COUNT(F11:F16)</f>
        <v>3</v>
      </c>
      <c r="T6" s="60">
        <f>AVERAGE(G11:G16)</f>
        <v>15.291595467551053</v>
      </c>
      <c r="U6" s="60">
        <f>STDEV(G11:G16)</f>
        <v>7.0436199246596702</v>
      </c>
      <c r="V6" s="90">
        <f>COUNT(G11:G16)</f>
        <v>5</v>
      </c>
      <c r="W6" s="60">
        <f>AVERAGE(H11:H16)</f>
        <v>0.29244107873171082</v>
      </c>
      <c r="X6" s="60">
        <f>STDEV(H11:H16)</f>
        <v>0.26786136803571708</v>
      </c>
      <c r="Y6" s="90">
        <f>COUNT(H11:H16)</f>
        <v>5</v>
      </c>
      <c r="Z6" s="60">
        <f>AVERAGE(I11:I16)</f>
        <v>0.22895509330139879</v>
      </c>
      <c r="AA6" s="60">
        <f>STDEV(I11:I16)</f>
        <v>4.8147543100775271E-2</v>
      </c>
      <c r="AB6" s="90">
        <f>COUNT(I11:I16)</f>
        <v>5</v>
      </c>
      <c r="AC6" s="60">
        <f>AVERAGE(J11:J16)</f>
        <v>956.59099520426355</v>
      </c>
      <c r="AD6" s="60">
        <f>STDEV(J11:J16)</f>
        <v>977.09786636226511</v>
      </c>
      <c r="AE6" s="90">
        <f>COUNT(J11:J16)</f>
        <v>5</v>
      </c>
      <c r="AF6" s="60">
        <f>AVERAGE(K11:K16)</f>
        <v>1704.2433092998442</v>
      </c>
      <c r="AG6" s="60">
        <f>STDEV(K11:K16)</f>
        <v>430.41272236008757</v>
      </c>
      <c r="AH6" s="90">
        <f>COUNT(K11:K16)</f>
        <v>5</v>
      </c>
      <c r="AI6" s="60">
        <f>AVERAGE(L11:L16)</f>
        <v>776.22439211528035</v>
      </c>
      <c r="AJ6" s="60">
        <f>STDEV(L11:L16)</f>
        <v>545.93898115282605</v>
      </c>
      <c r="AK6" s="90">
        <f>COUNT(L11:L16)</f>
        <v>5</v>
      </c>
      <c r="AL6" s="60">
        <f>AVERAGE(M11:M16)</f>
        <v>3.3289687034389304</v>
      </c>
      <c r="AM6" s="60">
        <f>STDEV(M11:M16)</f>
        <v>1.8914481505561029</v>
      </c>
      <c r="AN6" s="61">
        <f>COUNT(M11:M16)</f>
        <v>5</v>
      </c>
    </row>
    <row r="7" spans="1:40" x14ac:dyDescent="0.25">
      <c r="A7" s="665" t="s">
        <v>234</v>
      </c>
      <c r="B7" s="715" t="s">
        <v>235</v>
      </c>
      <c r="C7">
        <v>1</v>
      </c>
      <c r="D7" s="168" t="s">
        <v>630</v>
      </c>
      <c r="E7" s="30" t="str" cm="1">
        <f t="array" ref="E7">_xlfn.XLOOKUP(1,($D7=MSD_Inflammatory!$B:$B)*(E$1=MSD_Inflammatory!$C:$C),MSD_Inflammatory!$P:$P)</f>
        <v>NaN</v>
      </c>
      <c r="F7" s="30" cm="1">
        <f t="array" ref="F7">_xlfn.XLOOKUP(1,($D7=MSD_Inflammatory!$B:$B)*(F$1=MSD_Inflammatory!$C:$C),MSD_Inflammatory!$P:$P)</f>
        <v>0.18190311465895401</v>
      </c>
      <c r="G7" s="30" cm="1">
        <f t="array" ref="G7">_xlfn.XLOOKUP(1,($D7=MSD_Inflammatory!$B:$B)*(G$1=MSD_Inflammatory!$C:$C),MSD_Inflammatory!$P:$P)</f>
        <v>3.5007844854889498</v>
      </c>
      <c r="H7" s="30" cm="1">
        <f t="array" ref="H7">_xlfn.XLOOKUP(1,($D7=MSD_Inflammatory!$B:$B)*(H$1=MSD_Inflammatory!$C:$C),MSD_Inflammatory!$P:$P)</f>
        <v>0.115184329378508</v>
      </c>
      <c r="I7" s="30" cm="1">
        <f t="array" ref="I7">_xlfn.XLOOKUP(1,($D7=MSD_Inflammatory!$B:$B)*(I$1=MSD_Inflammatory!$C:$C),MSD_Inflammatory!$P:$P)</f>
        <v>0.13977682724600399</v>
      </c>
      <c r="J7" s="30" cm="1">
        <f t="array" ref="J7">_xlfn.XLOOKUP(1,($D7=MSD_Inflammatory!$B:$B)*(J$1=MSD_Inflammatory!$C:$C),MSD_Inflammatory!$P:$P)</f>
        <v>549.50241583390198</v>
      </c>
      <c r="K7" s="30" cm="1">
        <f t="array" ref="K7">_xlfn.XLOOKUP(1,($D7=MSD_Inflammatory!$B:$B)*(K$1=MSD_Inflammatory!$C:$C),MSD_Inflammatory!$P:$P)</f>
        <v>144.52977986118401</v>
      </c>
      <c r="L7" s="30" cm="1">
        <f t="array" ref="L7">_xlfn.XLOOKUP(1,($D7=MSD_Inflammatory!$B:$B)*(L$1=MSD_Inflammatory!$C:$C),MSD_Inflammatory!$P:$P)</f>
        <v>684.68243332289796</v>
      </c>
      <c r="M7" s="27" cm="1">
        <f t="array" ref="M7">_xlfn.XLOOKUP(1,($D7=MSD_Inflammatory!$B:$B)*(M$1=MSD_Inflammatory!$C:$C),MSD_Inflammatory!$P:$P)</f>
        <v>0.96831845510158598</v>
      </c>
      <c r="O7" s="665" t="s">
        <v>28</v>
      </c>
      <c r="P7" s="602">
        <v>0.15</v>
      </c>
      <c r="Q7">
        <f>AVERAGE(F17:F21)</f>
        <v>0.44077062631997549</v>
      </c>
      <c r="R7">
        <f>STDEV(F17:F21)</f>
        <v>0.30195857848340873</v>
      </c>
      <c r="S7" s="30">
        <f>COUNT(F17:F21)</f>
        <v>4</v>
      </c>
      <c r="T7">
        <f>AVERAGE(G17:G21)</f>
        <v>10.669646946512355</v>
      </c>
      <c r="U7">
        <f>STDEV(G17:G21)</f>
        <v>3.583990009833395</v>
      </c>
      <c r="V7" s="30">
        <f>COUNT(G17:G21)</f>
        <v>5</v>
      </c>
      <c r="W7">
        <f>AVERAGE(H17:H21)</f>
        <v>0.35633690157317188</v>
      </c>
      <c r="X7">
        <f>STDEV(H17:H21)</f>
        <v>0.25675142118492622</v>
      </c>
      <c r="Y7" s="30">
        <f>COUNT(H17:H21)</f>
        <v>4</v>
      </c>
      <c r="Z7">
        <f>AVERAGE(I17:I21)</f>
        <v>0.23330533302279649</v>
      </c>
      <c r="AA7">
        <f>STDEV(I17:I21)</f>
        <v>9.8256640781238511E-2</v>
      </c>
      <c r="AB7" s="30">
        <f>COUNT(I17:I21)</f>
        <v>4</v>
      </c>
      <c r="AC7">
        <f>AVERAGE(J17:J21)</f>
        <v>6243.2846955247433</v>
      </c>
      <c r="AD7">
        <f>STDEV(J17:J21)</f>
        <v>3880.0808591997165</v>
      </c>
      <c r="AE7" s="30">
        <f>COUNT(J17:J21)</f>
        <v>5</v>
      </c>
      <c r="AF7">
        <f>AVERAGE(K17:K21)</f>
        <v>1721.167585411109</v>
      </c>
      <c r="AG7">
        <f>STDEV(K17:K21)</f>
        <v>971.58729669978391</v>
      </c>
      <c r="AH7" s="30">
        <f>COUNT(K17:K21)</f>
        <v>5</v>
      </c>
      <c r="AI7">
        <f>AVERAGE(L17:L21)</f>
        <v>637.48208125479925</v>
      </c>
      <c r="AJ7">
        <f>STDEV(L17:L21)</f>
        <v>438.29793361505057</v>
      </c>
      <c r="AK7" s="30">
        <f>COUNT(L17:L21)</f>
        <v>5</v>
      </c>
      <c r="AL7">
        <f>AVERAGE(M17:M21)</f>
        <v>1.5611891180583852</v>
      </c>
      <c r="AM7">
        <f>STDEV(M17:M21)</f>
        <v>1.8174123019048216</v>
      </c>
      <c r="AN7" s="27">
        <f>COUNT(M17:M21)</f>
        <v>5</v>
      </c>
    </row>
    <row r="8" spans="1:40" x14ac:dyDescent="0.25">
      <c r="A8" s="665"/>
      <c r="B8" s="715"/>
      <c r="C8">
        <v>2</v>
      </c>
      <c r="D8" s="168" t="s">
        <v>633</v>
      </c>
      <c r="E8" s="30" t="str" cm="1">
        <f t="array" ref="E8">_xlfn.XLOOKUP(1,($D8=MSD_Inflammatory!$B:$B)*(E$1=MSD_Inflammatory!$C:$C),MSD_Inflammatory!$P:$P)</f>
        <v>NaN</v>
      </c>
      <c r="F8" s="30" cm="1">
        <f t="array" ref="F8">_xlfn.XLOOKUP(1,($D8=MSD_Inflammatory!$B:$B)*(F$1=MSD_Inflammatory!$C:$C),MSD_Inflammatory!$P:$P)</f>
        <v>0.33018347466405901</v>
      </c>
      <c r="G8" s="30" cm="1">
        <f t="array" ref="G8">_xlfn.XLOOKUP(1,($D8=MSD_Inflammatory!$B:$B)*(G$1=MSD_Inflammatory!$C:$C),MSD_Inflammatory!$P:$P)</f>
        <v>3.8950903354452202</v>
      </c>
      <c r="H8" s="30" cm="1">
        <f t="array" ref="H8">_xlfn.XLOOKUP(1,($D8=MSD_Inflammatory!$B:$B)*(H$1=MSD_Inflammatory!$C:$C),MSD_Inflammatory!$P:$P)</f>
        <v>0.41072505132825199</v>
      </c>
      <c r="I8" s="30" cm="1">
        <f t="array" ref="I8">_xlfn.XLOOKUP(1,($D8=MSD_Inflammatory!$B:$B)*(I$1=MSD_Inflammatory!$C:$C),MSD_Inflammatory!$P:$P)</f>
        <v>0.135426674077049</v>
      </c>
      <c r="J8" s="30" cm="1">
        <f t="array" ref="J8">_xlfn.XLOOKUP(1,($D8=MSD_Inflammatory!$B:$B)*(J$1=MSD_Inflammatory!$C:$C),MSD_Inflammatory!$P:$P)</f>
        <v>108.455537009446</v>
      </c>
      <c r="K8" s="30" cm="1">
        <f t="array" ref="K8">_xlfn.XLOOKUP(1,($D8=MSD_Inflammatory!$B:$B)*(K$1=MSD_Inflammatory!$C:$C),MSD_Inflammatory!$P:$P)</f>
        <v>39.599059292023398</v>
      </c>
      <c r="L8" s="30" cm="1">
        <f t="array" ref="L8">_xlfn.XLOOKUP(1,($D8=MSD_Inflammatory!$B:$B)*(L$1=MSD_Inflammatory!$C:$C),MSD_Inflammatory!$P:$P)</f>
        <v>200.89006423141799</v>
      </c>
      <c r="M8" s="27" cm="1">
        <f t="array" ref="M8">_xlfn.XLOOKUP(1,($D8=MSD_Inflammatory!$B:$B)*(M$1=MSD_Inflammatory!$C:$C),MSD_Inflammatory!$P:$P)</f>
        <v>0.32206634799046702</v>
      </c>
      <c r="O8" s="665"/>
      <c r="P8" s="602">
        <v>0.5</v>
      </c>
      <c r="Q8">
        <f>AVERAGE(F22:F25)</f>
        <v>0.51732945208511827</v>
      </c>
      <c r="R8">
        <f>STDEV(F22:F25)</f>
        <v>0.49091212570845549</v>
      </c>
      <c r="S8" s="30">
        <f>COUNT(F22:F25)</f>
        <v>3</v>
      </c>
      <c r="T8">
        <f>AVERAGE(G22:G25)</f>
        <v>13.5348146639978</v>
      </c>
      <c r="U8">
        <f>STDEV(G22:G25)</f>
        <v>2.452842350994223</v>
      </c>
      <c r="V8" s="30">
        <f>COUNT(G22:G25)</f>
        <v>4</v>
      </c>
      <c r="W8">
        <f>AVERAGE(H22:H25)</f>
        <v>0.37270568456463354</v>
      </c>
      <c r="X8">
        <f>STDEV(H22:H25)</f>
        <v>0.24621360611213028</v>
      </c>
      <c r="Y8" s="30">
        <f>COUNT(H22:H25)</f>
        <v>4</v>
      </c>
      <c r="Z8">
        <f>AVERAGE(I22:I25)</f>
        <v>0.17729692334656794</v>
      </c>
      <c r="AA8">
        <f>STDEV(I22:I25)</f>
        <v>9.5495222015588688E-2</v>
      </c>
      <c r="AB8" s="30">
        <f>COUNT(I22:I25)</f>
        <v>4</v>
      </c>
      <c r="AC8">
        <f>AVERAGE(J22:J25)</f>
        <v>5557.1808138022479</v>
      </c>
      <c r="AD8">
        <f>STDEV(J22:J25)</f>
        <v>5040.0173147899277</v>
      </c>
      <c r="AE8" s="30">
        <f>COUNT(J22:J25)</f>
        <v>4</v>
      </c>
      <c r="AF8">
        <f>AVERAGE(K22:K25)</f>
        <v>1411.1835575865971</v>
      </c>
      <c r="AG8">
        <f>STDEV(K22:K25)</f>
        <v>787.38669745492268</v>
      </c>
      <c r="AH8" s="30">
        <f>COUNT(K22:K25)</f>
        <v>4</v>
      </c>
      <c r="AI8">
        <f>AVERAGE(L22:L25)</f>
        <v>690.64153737895549</v>
      </c>
      <c r="AJ8">
        <f>STDEV(L22:L25)</f>
        <v>498.8178161700946</v>
      </c>
      <c r="AK8" s="30">
        <f>COUNT(L22:L25)</f>
        <v>4</v>
      </c>
      <c r="AL8">
        <f>AVERAGE(M22:M25)</f>
        <v>1.1097776494240446</v>
      </c>
      <c r="AM8">
        <f>STDEV(M22:M25)</f>
        <v>0.77336690711304068</v>
      </c>
      <c r="AN8" s="27">
        <f>COUNT(M22:M25)</f>
        <v>4</v>
      </c>
    </row>
    <row r="9" spans="1:40" ht="15.75" thickBot="1" x14ac:dyDescent="0.3">
      <c r="A9" s="665"/>
      <c r="B9" s="715"/>
      <c r="C9">
        <v>3</v>
      </c>
      <c r="D9" s="168" t="s">
        <v>636</v>
      </c>
      <c r="E9" s="30" t="str" cm="1">
        <f t="array" ref="E9">_xlfn.XLOOKUP(1,($D9=MSD_Inflammatory!$B:$B)*(E$1=MSD_Inflammatory!$C:$C),MSD_Inflammatory!$P:$P)</f>
        <v>NaN</v>
      </c>
      <c r="F9" s="30" cm="1">
        <f t="array" ref="F9">_xlfn.XLOOKUP(1,($D9=MSD_Inflammatory!$B:$B)*(F$1=MSD_Inflammatory!$C:$C),MSD_Inflammatory!$P:$P)</f>
        <v>0.596656954518756</v>
      </c>
      <c r="G9" s="30" cm="1">
        <f t="array" ref="G9">_xlfn.XLOOKUP(1,($D9=MSD_Inflammatory!$B:$B)*(G$1=MSD_Inflammatory!$C:$C),MSD_Inflammatory!$P:$P)</f>
        <v>7.6613791850385198</v>
      </c>
      <c r="H9" s="30" cm="1">
        <f t="array" ref="H9">_xlfn.XLOOKUP(1,($D9=MSD_Inflammatory!$B:$B)*(H$1=MSD_Inflammatory!$C:$C),MSD_Inflammatory!$P:$P)</f>
        <v>0.12434678473072899</v>
      </c>
      <c r="I9" s="30" cm="1">
        <f t="array" ref="I9">_xlfn.XLOOKUP(1,($D9=MSD_Inflammatory!$B:$B)*(I$1=MSD_Inflammatory!$C:$C),MSD_Inflammatory!$P:$P)</f>
        <v>9.1925117391413694E-2</v>
      </c>
      <c r="J9" s="30" cm="1">
        <f t="array" ref="J9">_xlfn.XLOOKUP(1,($D9=MSD_Inflammatory!$B:$B)*(J$1=MSD_Inflammatory!$C:$C),MSD_Inflammatory!$P:$P)</f>
        <v>314.09539435057701</v>
      </c>
      <c r="K9" s="30" cm="1">
        <f t="array" ref="K9">_xlfn.XLOOKUP(1,($D9=MSD_Inflammatory!$B:$B)*(K$1=MSD_Inflammatory!$C:$C),MSD_Inflammatory!$P:$P)</f>
        <v>103.86322751641799</v>
      </c>
      <c r="L9" s="30" cm="1">
        <f t="array" ref="L9">_xlfn.XLOOKUP(1,($D9=MSD_Inflammatory!$B:$B)*(L$1=MSD_Inflammatory!$C:$C),MSD_Inflammatory!$P:$P)</f>
        <v>885.30525073701801</v>
      </c>
      <c r="M9" s="27" cm="1">
        <f t="array" ref="M9">_xlfn.XLOOKUP(1,($D9=MSD_Inflammatory!$B:$B)*(M$1=MSD_Inflammatory!$C:$C),MSD_Inflammatory!$P:$P)</f>
        <v>1.48190561840438</v>
      </c>
      <c r="O9" s="666"/>
      <c r="P9" s="607" t="s">
        <v>167</v>
      </c>
      <c r="Q9" s="2">
        <f>AVERAGE(F26:F29)</f>
        <v>0.28562591886591449</v>
      </c>
      <c r="R9" s="2">
        <f>STDEV(F26:F29)</f>
        <v>0.1563453519455103</v>
      </c>
      <c r="S9" s="9">
        <f>COUNT(F26:F29)</f>
        <v>4</v>
      </c>
      <c r="T9" s="2">
        <f>AVERAGE(G26:G29)</f>
        <v>8.0462055082361683</v>
      </c>
      <c r="U9" s="2">
        <f>STDEV(G26:G29)</f>
        <v>4.1182006745423205</v>
      </c>
      <c r="V9" s="9">
        <f>COUNT(G26:G29)</f>
        <v>4</v>
      </c>
      <c r="W9" s="2">
        <f>AVERAGE(H26:H29)</f>
        <v>0.33962576599972449</v>
      </c>
      <c r="X9" s="2">
        <f>STDEV(H26:H29)</f>
        <v>0.10205865623279391</v>
      </c>
      <c r="Y9" s="9">
        <f>COUNT(H26:H29)</f>
        <v>4</v>
      </c>
      <c r="Z9" s="2">
        <f>AVERAGE(I26:I29)</f>
        <v>0.10171288559541966</v>
      </c>
      <c r="AA9" s="2">
        <f>STDEV(I26:I29)</f>
        <v>3.6504239891698875E-2</v>
      </c>
      <c r="AB9" s="9">
        <f>COUNT(I26:I29)</f>
        <v>4</v>
      </c>
      <c r="AC9" s="2" t="e">
        <f>AVERAGE(J26:J29)</f>
        <v>#DIV/0!</v>
      </c>
      <c r="AD9" s="2" t="e">
        <f>STDEV(J26:J29)</f>
        <v>#DIV/0!</v>
      </c>
      <c r="AE9" s="9">
        <f>COUNT(J26:J29)</f>
        <v>0</v>
      </c>
      <c r="AF9" s="2">
        <f>AVERAGE(K26:K29)</f>
        <v>0.21539911166877879</v>
      </c>
      <c r="AG9" s="2">
        <f>STDEV(K26:K29)</f>
        <v>8.9105023869005859E-2</v>
      </c>
      <c r="AH9" s="9">
        <f>COUNT(K26:K29)</f>
        <v>4</v>
      </c>
      <c r="AI9" s="2">
        <f>AVERAGE(L26:L29)</f>
        <v>4.5985945715945803E-2</v>
      </c>
      <c r="AJ9" s="2" t="e">
        <f>STDEV(L26:L29)</f>
        <v>#DIV/0!</v>
      </c>
      <c r="AK9" s="9">
        <f>COUNT(L26:L29)</f>
        <v>1</v>
      </c>
      <c r="AL9" s="2">
        <f>AVERAGE(M26:M29)</f>
        <v>9.2057476262690494E-2</v>
      </c>
      <c r="AM9" s="2" t="e">
        <f>STDEV(M26:M29)</f>
        <v>#DIV/0!</v>
      </c>
      <c r="AN9" s="8">
        <f>COUNT(M26:M29)</f>
        <v>1</v>
      </c>
    </row>
    <row r="10" spans="1:40" x14ac:dyDescent="0.25">
      <c r="A10" s="746"/>
      <c r="B10" s="720"/>
      <c r="C10" s="60">
        <v>4</v>
      </c>
      <c r="D10" s="230" t="s">
        <v>639</v>
      </c>
      <c r="E10" s="90" t="str" cm="1">
        <f t="array" ref="E10">_xlfn.XLOOKUP(1,($D10=MSD_Inflammatory!$B:$B)*(E$1=MSD_Inflammatory!$C:$C),MSD_Inflammatory!$P:$P)</f>
        <v>NaN</v>
      </c>
      <c r="F10" s="90" cm="1">
        <f t="array" ref="F10">_xlfn.XLOOKUP(1,($D10=MSD_Inflammatory!$B:$B)*(F$1=MSD_Inflammatory!$C:$C),MSD_Inflammatory!$P:$P)</f>
        <v>0.68541430490995303</v>
      </c>
      <c r="G10" s="90" cm="1">
        <f t="array" ref="G10">_xlfn.XLOOKUP(1,($D10=MSD_Inflammatory!$B:$B)*(G$1=MSD_Inflammatory!$C:$C),MSD_Inflammatory!$P:$P)</f>
        <v>28.615347345163901</v>
      </c>
      <c r="H10" s="90" cm="1">
        <f t="array" ref="H10">_xlfn.XLOOKUP(1,($D10=MSD_Inflammatory!$B:$B)*(H$1=MSD_Inflammatory!$C:$C),MSD_Inflammatory!$P:$P)</f>
        <v>0.52112519451876405</v>
      </c>
      <c r="I10" s="90" cm="1">
        <f t="array" ref="I10">_xlfn.XLOOKUP(1,($D10=MSD_Inflammatory!$B:$B)*(I$1=MSD_Inflammatory!$C:$C),MSD_Inflammatory!$P:$P)</f>
        <v>0.23113028081331</v>
      </c>
      <c r="J10" s="90" cm="1">
        <f t="array" ref="J10">_xlfn.XLOOKUP(1,($D10=MSD_Inflammatory!$B:$B)*(J$1=MSD_Inflammatory!$C:$C),MSD_Inflammatory!$P:$P)</f>
        <v>711.43160571084798</v>
      </c>
      <c r="K10" s="90" cm="1">
        <f t="array" ref="K10">_xlfn.XLOOKUP(1,($D10=MSD_Inflammatory!$B:$B)*(K$1=MSD_Inflammatory!$C:$C),MSD_Inflammatory!$P:$P)</f>
        <v>337.17899182271998</v>
      </c>
      <c r="L10" s="90" cm="1">
        <f t="array" ref="L10">_xlfn.XLOOKUP(1,($D10=MSD_Inflammatory!$B:$B)*(L$1=MSD_Inflammatory!$C:$C),MSD_Inflammatory!$P:$P)</f>
        <v>2760.7089359285801</v>
      </c>
      <c r="M10" s="61" cm="1">
        <f t="array" ref="M10">_xlfn.XLOOKUP(1,($D10=MSD_Inflammatory!$B:$B)*(M$1=MSD_Inflammatory!$C:$C),MSD_Inflammatory!$P:$P)</f>
        <v>6.46417678335317</v>
      </c>
    </row>
    <row r="11" spans="1:40" x14ac:dyDescent="0.25">
      <c r="A11" s="665" t="s">
        <v>285</v>
      </c>
      <c r="B11" s="715" t="s">
        <v>560</v>
      </c>
      <c r="C11">
        <v>1</v>
      </c>
      <c r="D11" s="168" t="s">
        <v>681</v>
      </c>
      <c r="E11" s="30" t="str" cm="1">
        <f t="array" ref="E11">_xlfn.XLOOKUP(1,($D11=MSD_Inflammatory!$B:$B)*(E$1=MSD_Inflammatory!$C:$C),MSD_Inflammatory!$P:$P)</f>
        <v>NaN</v>
      </c>
      <c r="F11" s="30" t="str" cm="1">
        <f t="array" ref="F11">_xlfn.XLOOKUP(1,($D11=MSD_Inflammatory!$B:$B)*(F$1=MSD_Inflammatory!$C:$C),MSD_Inflammatory!$P:$P)</f>
        <v>NaN</v>
      </c>
      <c r="G11" s="30" cm="1">
        <f t="array" ref="G11">_xlfn.XLOOKUP(1,($D11=MSD_Inflammatory!$B:$B)*(G$1=MSD_Inflammatory!$C:$C),MSD_Inflammatory!$P:$P)</f>
        <v>25.502307046955298</v>
      </c>
      <c r="H11" s="30" cm="1">
        <f t="array" ref="H11">_xlfn.XLOOKUP(1,($D11=MSD_Inflammatory!$B:$B)*(H$1=MSD_Inflammatory!$C:$C),MSD_Inflammatory!$P:$P)</f>
        <v>0.18593948327249801</v>
      </c>
      <c r="I11" s="30" cm="1">
        <f t="array" ref="I11">_xlfn.XLOOKUP(1,($D11=MSD_Inflammatory!$B:$B)*(I$1=MSD_Inflammatory!$C:$C),MSD_Inflammatory!$P:$P)</f>
        <v>0.28768254334515603</v>
      </c>
      <c r="J11" s="30" cm="1">
        <f t="array" ref="J11">_xlfn.XLOOKUP(1,($D11=MSD_Inflammatory!$B:$B)*(J$1=MSD_Inflammatory!$C:$C),MSD_Inflammatory!$P:$P)</f>
        <v>2643.5373157055001</v>
      </c>
      <c r="K11" s="30" cm="1">
        <f t="array" ref="K11">_xlfn.XLOOKUP(1,($D11=MSD_Inflammatory!$B:$B)*(K$1=MSD_Inflammatory!$C:$C),MSD_Inflammatory!$P:$P)</f>
        <v>1879.3522841977201</v>
      </c>
      <c r="L11" s="30" cm="1">
        <f t="array" ref="L11">_xlfn.XLOOKUP(1,($D11=MSD_Inflammatory!$B:$B)*(L$1=MSD_Inflammatory!$C:$C),MSD_Inflammatory!$P:$P)</f>
        <v>1703.64059649565</v>
      </c>
      <c r="M11" s="27" cm="1">
        <f t="array" ref="M11">_xlfn.XLOOKUP(1,($D11=MSD_Inflammatory!$B:$B)*(M$1=MSD_Inflammatory!$C:$C),MSD_Inflammatory!$P:$P)</f>
        <v>6.42592401790405</v>
      </c>
    </row>
    <row r="12" spans="1:40" ht="15.75" thickBot="1" x14ac:dyDescent="0.3">
      <c r="A12" s="665"/>
      <c r="B12" s="715"/>
      <c r="C12">
        <v>2</v>
      </c>
      <c r="D12" s="168" t="s">
        <v>684</v>
      </c>
      <c r="E12" s="30"/>
      <c r="F12" s="30"/>
      <c r="G12" s="30"/>
      <c r="H12" s="30"/>
      <c r="I12" s="30"/>
      <c r="J12" s="95"/>
      <c r="K12" s="30"/>
      <c r="L12" s="30"/>
      <c r="M12" s="27"/>
    </row>
    <row r="13" spans="1:40" ht="15.75" thickBot="1" x14ac:dyDescent="0.3">
      <c r="A13" s="665"/>
      <c r="B13" s="715"/>
      <c r="C13">
        <v>3</v>
      </c>
      <c r="D13" s="168" t="s">
        <v>687</v>
      </c>
      <c r="E13" s="30" t="str" cm="1">
        <f t="array" ref="E13">_xlfn.XLOOKUP(1,($D13=MSD_Inflammatory!$B:$B)*(E$1=MSD_Inflammatory!$C:$C),MSD_Inflammatory!$P:$P)</f>
        <v>NaN</v>
      </c>
      <c r="F13" s="30" t="str" cm="1">
        <f t="array" ref="F13">_xlfn.XLOOKUP(1,($D13=MSD_Inflammatory!$B:$B)*(F$1=MSD_Inflammatory!$C:$C),MSD_Inflammatory!$P:$P)</f>
        <v>NaN</v>
      </c>
      <c r="G13" s="30" cm="1">
        <f t="array" ref="G13">_xlfn.XLOOKUP(1,($D13=MSD_Inflammatory!$B:$B)*(G$1=MSD_Inflammatory!$C:$C),MSD_Inflammatory!$P:$P)</f>
        <v>18.796702972283601</v>
      </c>
      <c r="H13" s="30" cm="1">
        <f t="array" ref="H13">_xlfn.XLOOKUP(1,($D13=MSD_Inflammatory!$B:$B)*(H$1=MSD_Inflammatory!$C:$C),MSD_Inflammatory!$P:$P)</f>
        <v>3.5180611328326103E-2</v>
      </c>
      <c r="I13" s="30" cm="1">
        <f t="array" ref="I13">_xlfn.XLOOKUP(1,($D13=MSD_Inflammatory!$B:$B)*(I$1=MSD_Inflammatory!$C:$C),MSD_Inflammatory!$P:$P)</f>
        <v>0.174578050056935</v>
      </c>
      <c r="J13" s="30" cm="1">
        <f t="array" ref="J13">_xlfn.XLOOKUP(1,($D13=MSD_Inflammatory!$B:$B)*(J$1=MSD_Inflammatory!$C:$C),MSD_Inflammatory!$P:$P)</f>
        <v>360.89771768780099</v>
      </c>
      <c r="K13" s="30" cm="1">
        <f t="array" ref="K13">_xlfn.XLOOKUP(1,($D13=MSD_Inflammatory!$B:$B)*(K$1=MSD_Inflammatory!$C:$C),MSD_Inflammatory!$P:$P)</f>
        <v>1099.3759929620401</v>
      </c>
      <c r="L13" s="30" cm="1">
        <f t="array" ref="L13">_xlfn.XLOOKUP(1,($D13=MSD_Inflammatory!$B:$B)*(L$1=MSD_Inflammatory!$C:$C),MSD_Inflammatory!$P:$P)</f>
        <v>625.46825651342704</v>
      </c>
      <c r="M13" s="27" cm="1">
        <f t="array" ref="M13">_xlfn.XLOOKUP(1,($D13=MSD_Inflammatory!$B:$B)*(M$1=MSD_Inflammatory!$C:$C),MSD_Inflammatory!$P:$P)</f>
        <v>2.1749590169731698</v>
      </c>
      <c r="O13" s="654" t="s">
        <v>515</v>
      </c>
      <c r="P13" s="836"/>
      <c r="Q13" s="536" t="s">
        <v>607</v>
      </c>
      <c r="R13" s="536" t="s">
        <v>608</v>
      </c>
      <c r="S13" s="536" t="s">
        <v>609</v>
      </c>
      <c r="T13" s="536" t="s">
        <v>610</v>
      </c>
      <c r="U13" s="536" t="s">
        <v>611</v>
      </c>
      <c r="V13" s="536" t="s">
        <v>612</v>
      </c>
      <c r="W13" s="536" t="s">
        <v>613</v>
      </c>
      <c r="X13" s="53" t="s">
        <v>614</v>
      </c>
    </row>
    <row r="14" spans="1:40" x14ac:dyDescent="0.25">
      <c r="A14" s="665"/>
      <c r="B14" s="715"/>
      <c r="C14">
        <v>4</v>
      </c>
      <c r="D14" s="168" t="s">
        <v>690</v>
      </c>
      <c r="E14" s="30" t="str" cm="1">
        <f t="array" ref="E14">_xlfn.XLOOKUP(1,($D14=MSD_Inflammatory!$B:$B)*(E$1=MSD_Inflammatory!$C:$C),MSD_Inflammatory!$P:$P)</f>
        <v>NaN</v>
      </c>
      <c r="F14" s="30" cm="1">
        <f t="array" ref="F14">_xlfn.XLOOKUP(1,($D14=MSD_Inflammatory!$B:$B)*(F$1=MSD_Inflammatory!$C:$C),MSD_Inflammatory!$P:$P)</f>
        <v>0.70018768757682404</v>
      </c>
      <c r="G14" s="30" cm="1">
        <f t="array" ref="G14">_xlfn.XLOOKUP(1,($D14=MSD_Inflammatory!$B:$B)*(G$1=MSD_Inflammatory!$C:$C),MSD_Inflammatory!$P:$P)</f>
        <v>11.6840082254568</v>
      </c>
      <c r="H14" s="30" cm="1">
        <f t="array" ref="H14">_xlfn.XLOOKUP(1,($D14=MSD_Inflammatory!$B:$B)*(H$1=MSD_Inflammatory!$C:$C),MSD_Inflammatory!$P:$P)</f>
        <v>0.462473191016537</v>
      </c>
      <c r="I14" s="30" cm="1">
        <f t="array" ref="I14">_xlfn.XLOOKUP(1,($D14=MSD_Inflammatory!$B:$B)*(I$1=MSD_Inflammatory!$C:$C),MSD_Inflammatory!$P:$P)</f>
        <v>0.213729455967923</v>
      </c>
      <c r="J14" s="30" cm="1">
        <f t="array" ref="J14">_xlfn.XLOOKUP(1,($D14=MSD_Inflammatory!$B:$B)*(J$1=MSD_Inflammatory!$C:$C),MSD_Inflammatory!$P:$P)</f>
        <v>709.89557689419803</v>
      </c>
      <c r="K14" s="30" cm="1">
        <f t="array" ref="K14">_xlfn.XLOOKUP(1,($D14=MSD_Inflammatory!$B:$B)*(K$1=MSD_Inflammatory!$C:$C),MSD_Inflammatory!$P:$P)</f>
        <v>2011.79461242309</v>
      </c>
      <c r="L14" s="30" cm="1">
        <f t="array" ref="L14">_xlfn.XLOOKUP(1,($D14=MSD_Inflammatory!$B:$B)*(L$1=MSD_Inflammatory!$C:$C),MSD_Inflammatory!$P:$P)</f>
        <v>496.87521097442198</v>
      </c>
      <c r="M14" s="27" cm="1">
        <f t="array" ref="M14">_xlfn.XLOOKUP(1,($D14=MSD_Inflammatory!$B:$B)*(M$1=MSD_Inflammatory!$C:$C),MSD_Inflammatory!$P:$P)</f>
        <v>2.7693417056371099</v>
      </c>
      <c r="O14" s="667" t="s">
        <v>24</v>
      </c>
      <c r="P14" s="30" t="s">
        <v>726</v>
      </c>
      <c r="Q14" s="30">
        <f>TTEST(F2:F6,F11:F16,2,2)</f>
        <v>0.77153208469647039</v>
      </c>
      <c r="R14" s="30">
        <f t="shared" ref="R14:X14" si="0">TTEST(G2:G6,G11:G16,2,2)</f>
        <v>2.0926928107148239E-2</v>
      </c>
      <c r="S14" s="30">
        <f t="shared" si="0"/>
        <v>0.75051375720489777</v>
      </c>
      <c r="T14" s="30">
        <f t="shared" si="0"/>
        <v>6.1373190520618882E-3</v>
      </c>
      <c r="U14" s="30">
        <f t="shared" si="0"/>
        <v>0.21765529990353069</v>
      </c>
      <c r="V14" s="30">
        <f t="shared" si="0"/>
        <v>5.6317140681549644E-5</v>
      </c>
      <c r="W14" s="30">
        <f t="shared" si="0"/>
        <v>2.257161222868953E-2</v>
      </c>
      <c r="X14" s="27">
        <f t="shared" si="0"/>
        <v>2.2500478437543211E-2</v>
      </c>
    </row>
    <row r="15" spans="1:40" x14ac:dyDescent="0.25">
      <c r="A15" s="665"/>
      <c r="B15" s="715"/>
      <c r="C15">
        <v>5</v>
      </c>
      <c r="D15" s="168" t="s">
        <v>693</v>
      </c>
      <c r="E15" s="30" t="str" cm="1">
        <f t="array" ref="E15">_xlfn.XLOOKUP(1,($D15=MSD_Inflammatory!$B:$B)*(E$1=MSD_Inflammatory!$C:$C),MSD_Inflammatory!$P:$P)</f>
        <v>NaN</v>
      </c>
      <c r="F15" s="30" cm="1">
        <f t="array" ref="F15">_xlfn.XLOOKUP(1,($D15=MSD_Inflammatory!$B:$B)*(F$1=MSD_Inflammatory!$C:$C),MSD_Inflammatory!$P:$P)</f>
        <v>6.3166541844516699E-2</v>
      </c>
      <c r="G15" s="30" cm="1">
        <f t="array" ref="G15">_xlfn.XLOOKUP(1,($D15=MSD_Inflammatory!$B:$B)*(G$1=MSD_Inflammatory!$C:$C),MSD_Inflammatory!$P:$P)</f>
        <v>7.2539367029312602</v>
      </c>
      <c r="H15" s="30" cm="1">
        <f t="array" ref="H15">_xlfn.XLOOKUP(1,($D15=MSD_Inflammatory!$B:$B)*(H$1=MSD_Inflammatory!$C:$C),MSD_Inflammatory!$P:$P)</f>
        <v>0.104879661137987</v>
      </c>
      <c r="I15" s="30" cm="1">
        <f t="array" ref="I15">_xlfn.XLOOKUP(1,($D15=MSD_Inflammatory!$B:$B)*(I$1=MSD_Inflammatory!$C:$C),MSD_Inflammatory!$P:$P)</f>
        <v>0.27028150942694301</v>
      </c>
      <c r="J15" s="30" cm="1">
        <f t="array" ref="J15">_xlfn.XLOOKUP(1,($D15=MSD_Inflammatory!$B:$B)*(J$1=MSD_Inflammatory!$C:$C),MSD_Inflammatory!$P:$P)</f>
        <v>217.49585393599</v>
      </c>
      <c r="K15" s="30" cm="1">
        <f t="array" ref="K15">_xlfn.XLOOKUP(1,($D15=MSD_Inflammatory!$B:$B)*(K$1=MSD_Inflammatory!$C:$C),MSD_Inflammatory!$P:$P)</f>
        <v>1417.1818254392599</v>
      </c>
      <c r="L15" s="30" cm="1">
        <f t="array" ref="L15">_xlfn.XLOOKUP(1,($D15=MSD_Inflammatory!$B:$B)*(L$1=MSD_Inflammatory!$C:$C),MSD_Inflammatory!$P:$P)</f>
        <v>295.54068330024398</v>
      </c>
      <c r="M15" s="27" cm="1">
        <f t="array" ref="M15">_xlfn.XLOOKUP(1,($D15=MSD_Inflammatory!$B:$B)*(M$1=MSD_Inflammatory!$C:$C),MSD_Inflammatory!$P:$P)</f>
        <v>1.60836180568024</v>
      </c>
      <c r="O15" s="665"/>
      <c r="P15" s="30" t="s">
        <v>385</v>
      </c>
      <c r="Q15" s="30">
        <f>TTEST(F11:F16,F7:F10,2,2)</f>
        <v>0.89963104377745051</v>
      </c>
      <c r="R15" s="30">
        <f t="shared" ref="R15:X15" si="1">TTEST(G11:G16,G7:G10,2,2)</f>
        <v>0.51295297584953814</v>
      </c>
      <c r="S15" s="30">
        <f t="shared" si="1"/>
        <v>0.99808957168778711</v>
      </c>
      <c r="T15" s="30">
        <f t="shared" si="1"/>
        <v>6.0096528895987579E-2</v>
      </c>
      <c r="U15" s="30">
        <f t="shared" si="1"/>
        <v>0.32746994823911596</v>
      </c>
      <c r="V15" s="30">
        <f t="shared" si="1"/>
        <v>2.3812791511963096E-4</v>
      </c>
      <c r="W15" s="30">
        <f t="shared" si="1"/>
        <v>0.54818737036296672</v>
      </c>
      <c r="X15" s="27">
        <f t="shared" si="1"/>
        <v>0.53493145382023422</v>
      </c>
    </row>
    <row r="16" spans="1:40" x14ac:dyDescent="0.25">
      <c r="A16" s="746"/>
      <c r="B16" s="720"/>
      <c r="C16" s="59">
        <v>6</v>
      </c>
      <c r="D16" s="230" t="s">
        <v>696</v>
      </c>
      <c r="E16" s="90" cm="1">
        <f t="array" ref="E16">_xlfn.XLOOKUP(1,($D16=MSD_Inflammatory!$B:$B)*(E$1=MSD_Inflammatory!$C:$C),MSD_Inflammatory!$P:$P)</f>
        <v>5.0790681738820301E-2</v>
      </c>
      <c r="F16" s="90" cm="1">
        <f t="array" ref="F16">_xlfn.XLOOKUP(1,($D16=MSD_Inflammatory!$B:$B)*(F$1=MSD_Inflammatory!$C:$C),MSD_Inflammatory!$P:$P)</f>
        <v>0.67054073558344696</v>
      </c>
      <c r="G16" s="90" cm="1">
        <f t="array" ref="G16">_xlfn.XLOOKUP(1,($D16=MSD_Inflammatory!$B:$B)*(G$1=MSD_Inflammatory!$C:$C),MSD_Inflammatory!$P:$P)</f>
        <v>13.221022390128301</v>
      </c>
      <c r="H16" s="90" cm="1">
        <f t="array" ref="H16">_xlfn.XLOOKUP(1,($D16=MSD_Inflammatory!$B:$B)*(H$1=MSD_Inflammatory!$C:$C),MSD_Inflammatory!$P:$P)</f>
        <v>0.67373244690320599</v>
      </c>
      <c r="I16" s="90" cm="1">
        <f t="array" ref="I16">_xlfn.XLOOKUP(1,($D16=MSD_Inflammatory!$B:$B)*(I$1=MSD_Inflammatory!$C:$C),MSD_Inflammatory!$P:$P)</f>
        <v>0.19850390771003701</v>
      </c>
      <c r="J16" s="90" cm="1">
        <f t="array" ref="J16">_xlfn.XLOOKUP(1,($D16=MSD_Inflammatory!$B:$B)*(J$1=MSD_Inflammatory!$C:$C),MSD_Inflammatory!$P:$P)</f>
        <v>851.12851179782797</v>
      </c>
      <c r="K16" s="90" cm="1">
        <f t="array" ref="K16">_xlfn.XLOOKUP(1,($D16=MSD_Inflammatory!$B:$B)*(K$1=MSD_Inflammatory!$C:$C),MSD_Inflammatory!$P:$P)</f>
        <v>2113.5118314771098</v>
      </c>
      <c r="L16" s="90" cm="1">
        <f t="array" ref="L16">_xlfn.XLOOKUP(1,($D16=MSD_Inflammatory!$B:$B)*(L$1=MSD_Inflammatory!$C:$C),MSD_Inflammatory!$P:$P)</f>
        <v>759.59721329265903</v>
      </c>
      <c r="M16" s="61" cm="1">
        <f t="array" ref="M16">_xlfn.XLOOKUP(1,($D16=MSD_Inflammatory!$B:$B)*(M$1=MSD_Inflammatory!$C:$C),MSD_Inflammatory!$P:$P)</f>
        <v>3.6662569710000801</v>
      </c>
      <c r="O16" s="746"/>
      <c r="P16" s="90" t="s">
        <v>727</v>
      </c>
      <c r="Q16" s="90">
        <f>TTEST(F2:F6,F7:F10,2,2)</f>
        <v>0.55077018529591359</v>
      </c>
      <c r="R16" s="90">
        <f t="shared" ref="R16:X16" si="2">TTEST(G2:G6,G7:G10,2,2)</f>
        <v>0.32168370624475362</v>
      </c>
      <c r="S16" s="90">
        <f t="shared" si="2"/>
        <v>0.70985588809734523</v>
      </c>
      <c r="T16" s="90">
        <f t="shared" si="2"/>
        <v>0.16105692976696526</v>
      </c>
      <c r="U16" s="90">
        <f t="shared" si="2"/>
        <v>0.45683140404426348</v>
      </c>
      <c r="V16" s="90">
        <f t="shared" si="2"/>
        <v>0.76214709205592424</v>
      </c>
      <c r="W16" s="90">
        <f t="shared" si="2"/>
        <v>7.0366528177550611E-2</v>
      </c>
      <c r="X16" s="61">
        <f t="shared" si="2"/>
        <v>0.24254793935668564</v>
      </c>
    </row>
    <row r="17" spans="1:24" x14ac:dyDescent="0.25">
      <c r="A17" s="665" t="s">
        <v>87</v>
      </c>
      <c r="B17" s="715" t="s">
        <v>289</v>
      </c>
      <c r="C17">
        <v>1</v>
      </c>
      <c r="D17" s="168" t="s">
        <v>642</v>
      </c>
      <c r="E17" s="30" t="str" cm="1">
        <f t="array" ref="E17">_xlfn.XLOOKUP(1,($D17=MSD_Inflammatory!$B:$B)*(E$1=MSD_Inflammatory!$C:$C),MSD_Inflammatory!$P:$P)</f>
        <v>NaN</v>
      </c>
      <c r="F17" s="30" cm="1">
        <f t="array" ref="F17">_xlfn.XLOOKUP(1,($D17=MSD_Inflammatory!$B:$B)*(F$1=MSD_Inflammatory!$C:$C),MSD_Inflammatory!$P:$P)</f>
        <v>0.15227958433264199</v>
      </c>
      <c r="G17" s="30" cm="1">
        <f t="array" ref="G17">_xlfn.XLOOKUP(1,($D17=MSD_Inflammatory!$B:$B)*(G$1=MSD_Inflammatory!$C:$C),MSD_Inflammatory!$P:$P)</f>
        <v>5.5948723651418497</v>
      </c>
      <c r="H17" s="30" cm="1">
        <f t="array" ref="H17">_xlfn.XLOOKUP(1,($D17=MSD_Inflammatory!$B:$B)*(H$1=MSD_Inflammatory!$C:$C),MSD_Inflammatory!$P:$P)</f>
        <v>2.67120474983478E-2</v>
      </c>
      <c r="I17" s="30" t="str" cm="1">
        <f t="array" ref="I17">_xlfn.XLOOKUP(1,($D17=MSD_Inflammatory!$B:$B)*(I$1=MSD_Inflammatory!$C:$C),MSD_Inflammatory!$P:$P)</f>
        <v>NaN</v>
      </c>
      <c r="J17" s="30" cm="1">
        <f t="array" ref="J17">_xlfn.XLOOKUP(1,($D17=MSD_Inflammatory!$B:$B)*(J$1=MSD_Inflammatory!$C:$C),MSD_Inflammatory!$P:$P)</f>
        <v>1492.4270723421801</v>
      </c>
      <c r="K17" s="30" cm="1">
        <f t="array" ref="K17">_xlfn.XLOOKUP(1,($D17=MSD_Inflammatory!$B:$B)*(K$1=MSD_Inflammatory!$C:$C),MSD_Inflammatory!$P:$P)</f>
        <v>570.01273923778695</v>
      </c>
      <c r="L17" s="30" cm="1">
        <f t="array" ref="L17">_xlfn.XLOOKUP(1,($D17=MSD_Inflammatory!$B:$B)*(L$1=MSD_Inflammatory!$C:$C),MSD_Inflammatory!$P:$P)</f>
        <v>121.69521787953001</v>
      </c>
      <c r="M17" s="27" cm="1">
        <f t="array" ref="M17">_xlfn.XLOOKUP(1,($D17=MSD_Inflammatory!$B:$B)*(M$1=MSD_Inflammatory!$C:$C),MSD_Inflammatory!$P:$P)</f>
        <v>0.31713770403673303</v>
      </c>
      <c r="O17" s="665" t="s">
        <v>28</v>
      </c>
      <c r="P17" s="30" t="s">
        <v>726</v>
      </c>
      <c r="Q17" s="30">
        <f>TTEST(F17:F21,F26:F29,2,2)</f>
        <v>0.39667566691616252</v>
      </c>
      <c r="R17" s="30">
        <f t="shared" ref="R17:X17" si="3">TTEST(G17:G21,G26:G29,2,2)</f>
        <v>0.34026289136065158</v>
      </c>
      <c r="S17" s="30">
        <f t="shared" si="3"/>
        <v>0.90766636857937399</v>
      </c>
      <c r="T17" s="30">
        <f t="shared" si="3"/>
        <v>4.5849774703870319E-2</v>
      </c>
      <c r="U17" s="30" t="e">
        <f t="shared" si="3"/>
        <v>#DIV/0!</v>
      </c>
      <c r="V17" s="30">
        <f t="shared" si="3"/>
        <v>1.008763865809389E-2</v>
      </c>
      <c r="W17" s="30" t="e">
        <f t="shared" si="3"/>
        <v>#DIV/0!</v>
      </c>
      <c r="X17" s="27" t="e">
        <f t="shared" si="3"/>
        <v>#DIV/0!</v>
      </c>
    </row>
    <row r="18" spans="1:24" x14ac:dyDescent="0.25">
      <c r="A18" s="665"/>
      <c r="B18" s="715"/>
      <c r="C18">
        <v>2</v>
      </c>
      <c r="D18" s="168" t="s">
        <v>645</v>
      </c>
      <c r="E18" s="30" t="str" cm="1">
        <f t="array" ref="E18">_xlfn.XLOOKUP(1,($D18=MSD_Inflammatory!$B:$B)*(E$1=MSD_Inflammatory!$C:$C),MSD_Inflammatory!$P:$P)</f>
        <v>NaN</v>
      </c>
      <c r="F18" s="30" t="str" cm="1">
        <f t="array" ref="F18">_xlfn.XLOOKUP(1,($D18=MSD_Inflammatory!$B:$B)*(F$1=MSD_Inflammatory!$C:$C),MSD_Inflammatory!$P:$P)</f>
        <v>NaN</v>
      </c>
      <c r="G18" s="30" cm="1">
        <f t="array" ref="G18">_xlfn.XLOOKUP(1,($D18=MSD_Inflammatory!$B:$B)*(G$1=MSD_Inflammatory!$C:$C),MSD_Inflammatory!$P:$P)</f>
        <v>11.805965764315999</v>
      </c>
      <c r="H18" s="30" cm="1">
        <f t="array" ref="H18">_xlfn.XLOOKUP(1,($D18=MSD_Inflammatory!$B:$B)*(H$1=MSD_Inflammatory!$C:$C),MSD_Inflammatory!$P:$P)</f>
        <v>0.64480106415357796</v>
      </c>
      <c r="I18" s="30" cm="1">
        <f t="array" ref="I18">_xlfn.XLOOKUP(1,($D18=MSD_Inflammatory!$B:$B)*(I$1=MSD_Inflammatory!$C:$C),MSD_Inflammatory!$P:$P)</f>
        <v>0.25723104279307202</v>
      </c>
      <c r="J18" s="30" cm="1">
        <f t="array" ref="J18">_xlfn.XLOOKUP(1,($D18=MSD_Inflammatory!$B:$B)*(J$1=MSD_Inflammatory!$C:$C),MSD_Inflammatory!$P:$P)</f>
        <v>8749.39258491699</v>
      </c>
      <c r="K18" s="30" cm="1">
        <f t="array" ref="K18">_xlfn.XLOOKUP(1,($D18=MSD_Inflammatory!$B:$B)*(K$1=MSD_Inflammatory!$C:$C),MSD_Inflammatory!$P:$P)</f>
        <v>1937.0828484818201</v>
      </c>
      <c r="L18" s="30" cm="1">
        <f t="array" ref="L18">_xlfn.XLOOKUP(1,($D18=MSD_Inflammatory!$B:$B)*(L$1=MSD_Inflammatory!$C:$C),MSD_Inflammatory!$P:$P)</f>
        <v>731.80520797731299</v>
      </c>
      <c r="M18" s="27" cm="1">
        <f t="array" ref="M18">_xlfn.XLOOKUP(1,($D18=MSD_Inflammatory!$B:$B)*(M$1=MSD_Inflammatory!$C:$C),MSD_Inflammatory!$P:$P)</f>
        <v>1.33517728024743</v>
      </c>
      <c r="O18" s="665"/>
      <c r="P18" s="30" t="s">
        <v>385</v>
      </c>
      <c r="Q18" s="30">
        <f>TTEST(F26:F29,F22:F25,2,2)</f>
        <v>0.40440832478435912</v>
      </c>
      <c r="R18" s="30">
        <f t="shared" ref="R18:X18" si="4">TTEST(G26:G29,G22:G25,2,2)</f>
        <v>6.1935314837085101E-2</v>
      </c>
      <c r="S18" s="30">
        <f t="shared" si="4"/>
        <v>0.81223497650902099</v>
      </c>
      <c r="T18" s="30">
        <f t="shared" si="4"/>
        <v>0.18971781906469101</v>
      </c>
      <c r="U18" s="30" t="e">
        <f t="shared" si="4"/>
        <v>#DIV/0!</v>
      </c>
      <c r="V18" s="30">
        <f t="shared" si="4"/>
        <v>1.1588211216822603E-2</v>
      </c>
      <c r="W18" s="30" t="e">
        <f t="shared" si="4"/>
        <v>#DIV/0!</v>
      </c>
      <c r="X18" s="27" t="e">
        <f t="shared" si="4"/>
        <v>#DIV/0!</v>
      </c>
    </row>
    <row r="19" spans="1:24" x14ac:dyDescent="0.25">
      <c r="A19" s="665"/>
      <c r="B19" s="715"/>
      <c r="C19">
        <v>3</v>
      </c>
      <c r="D19" s="168" t="s">
        <v>648</v>
      </c>
      <c r="E19" s="30" t="str" cm="1">
        <f t="array" ref="E19">_xlfn.XLOOKUP(1,($D19=MSD_Inflammatory!$B:$B)*(E$1=MSD_Inflammatory!$C:$C),MSD_Inflammatory!$P:$P)</f>
        <v>NaN</v>
      </c>
      <c r="F19" s="30" cm="1">
        <f t="array" ref="F19">_xlfn.XLOOKUP(1,($D19=MSD_Inflammatory!$B:$B)*(F$1=MSD_Inflammatory!$C:$C),MSD_Inflammatory!$P:$P)</f>
        <v>0.2857282294679</v>
      </c>
      <c r="G19" s="30" cm="1">
        <f t="array" ref="G19">_xlfn.XLOOKUP(1,($D19=MSD_Inflammatory!$B:$B)*(G$1=MSD_Inflammatory!$C:$C),MSD_Inflammatory!$P:$P)</f>
        <v>14.8144201935611</v>
      </c>
      <c r="H19" s="30" cm="1">
        <f t="array" ref="H19">_xlfn.XLOOKUP(1,($D19=MSD_Inflammatory!$B:$B)*(H$1=MSD_Inflammatory!$C:$C),MSD_Inflammatory!$P:$P)</f>
        <v>0.32665464660063798</v>
      </c>
      <c r="I19" s="30" cm="1">
        <f t="array" ref="I19">_xlfn.XLOOKUP(1,($D19=MSD_Inflammatory!$B:$B)*(I$1=MSD_Inflammatory!$C:$C),MSD_Inflammatory!$P:$P)</f>
        <v>0.23330514823319401</v>
      </c>
      <c r="J19" s="30" cm="1">
        <f t="array" ref="J19">_xlfn.XLOOKUP(1,($D19=MSD_Inflammatory!$B:$B)*(J$1=MSD_Inflammatory!$C:$C),MSD_Inflammatory!$P:$P)</f>
        <v>9289.8388279887095</v>
      </c>
      <c r="K19" s="30" cm="1">
        <f t="array" ref="K19">_xlfn.XLOOKUP(1,($D19=MSD_Inflammatory!$B:$B)*(K$1=MSD_Inflammatory!$C:$C),MSD_Inflammatory!$P:$P)</f>
        <v>2376.00049610614</v>
      </c>
      <c r="L19" s="30" cm="1">
        <f t="array" ref="L19">_xlfn.XLOOKUP(1,($D19=MSD_Inflammatory!$B:$B)*(L$1=MSD_Inflammatory!$C:$C),MSD_Inflammatory!$P:$P)</f>
        <v>1019.79964940411</v>
      </c>
      <c r="M19" s="27" cm="1">
        <f t="array" ref="M19">_xlfn.XLOOKUP(1,($D19=MSD_Inflammatory!$B:$B)*(M$1=MSD_Inflammatory!$C:$C),MSD_Inflammatory!$P:$P)</f>
        <v>1.38661732122436</v>
      </c>
      <c r="O19" s="746"/>
      <c r="P19" s="90" t="s">
        <v>727</v>
      </c>
      <c r="Q19" s="90">
        <f>TTEST(F17:F21,F22:F25,2,2)</f>
        <v>0.80678610458782118</v>
      </c>
      <c r="R19" s="90">
        <f t="shared" ref="R19:X19" si="5">TTEST(G17:G21,G22:G25,2,2)</f>
        <v>0.21715486326969893</v>
      </c>
      <c r="S19" s="90">
        <f t="shared" si="5"/>
        <v>0.92967018040718508</v>
      </c>
      <c r="T19" s="90">
        <f t="shared" si="5"/>
        <v>0.44486419216338674</v>
      </c>
      <c r="U19" s="90">
        <f t="shared" si="5"/>
        <v>0.8234148786472073</v>
      </c>
      <c r="V19" s="90">
        <f t="shared" si="5"/>
        <v>0.62241589766343408</v>
      </c>
      <c r="W19" s="90">
        <f t="shared" si="5"/>
        <v>0.86955622590151072</v>
      </c>
      <c r="X19" s="61">
        <f t="shared" si="5"/>
        <v>0.65973690924053918</v>
      </c>
    </row>
    <row r="20" spans="1:24" x14ac:dyDescent="0.25">
      <c r="A20" s="665"/>
      <c r="B20" s="715"/>
      <c r="C20">
        <v>4</v>
      </c>
      <c r="D20" s="168" t="s">
        <v>651</v>
      </c>
      <c r="E20" s="30" t="str" cm="1">
        <f t="array" ref="E20">_xlfn.XLOOKUP(1,($D20=MSD_Inflammatory!$B:$B)*(E$1=MSD_Inflammatory!$C:$C),MSD_Inflammatory!$P:$P)</f>
        <v>NaN</v>
      </c>
      <c r="F20" s="30" cm="1">
        <f t="array" ref="F20">_xlfn.XLOOKUP(1,($D20=MSD_Inflammatory!$B:$B)*(F$1=MSD_Inflammatory!$C:$C),MSD_Inflammatory!$P:$P)</f>
        <v>0.47826747904108902</v>
      </c>
      <c r="G20" s="30" cm="1">
        <f t="array" ref="G20">_xlfn.XLOOKUP(1,($D20=MSD_Inflammatory!$B:$B)*(G$1=MSD_Inflammatory!$C:$C),MSD_Inflammatory!$P:$P)</f>
        <v>8.6777119695496197</v>
      </c>
      <c r="H20" s="30" cm="1">
        <f t="array" ref="H20">_xlfn.XLOOKUP(1,($D20=MSD_Inflammatory!$B:$B)*(H$1=MSD_Inflammatory!$C:$C),MSD_Inflammatory!$P:$P)</f>
        <v>0.42717984804012399</v>
      </c>
      <c r="I20" s="30" cm="1">
        <f t="array" ref="I20">_xlfn.XLOOKUP(1,($D20=MSD_Inflammatory!$B:$B)*(I$1=MSD_Inflammatory!$C:$C),MSD_Inflammatory!$P:$P)</f>
        <v>0.102800494854678</v>
      </c>
      <c r="J20" s="30" cm="1">
        <f t="array" ref="J20">_xlfn.XLOOKUP(1,($D20=MSD_Inflammatory!$B:$B)*(J$1=MSD_Inflammatory!$C:$C),MSD_Inflammatory!$P:$P)</f>
        <v>2543.4472317589102</v>
      </c>
      <c r="K20" s="30" cm="1">
        <f t="array" ref="K20">_xlfn.XLOOKUP(1,($D20=MSD_Inflammatory!$B:$B)*(K$1=MSD_Inflammatory!$C:$C),MSD_Inflammatory!$P:$P)</f>
        <v>877.49325446219905</v>
      </c>
      <c r="L20" s="30" cm="1">
        <f t="array" ref="L20">_xlfn.XLOOKUP(1,($D20=MSD_Inflammatory!$B:$B)*(L$1=MSD_Inflammatory!$C:$C),MSD_Inflammatory!$P:$P)</f>
        <v>240.78936123608301</v>
      </c>
      <c r="M20" s="27" cm="1">
        <f t="array" ref="M20">_xlfn.XLOOKUP(1,($D20=MSD_Inflammatory!$B:$B)*(M$1=MSD_Inflammatory!$C:$C),MSD_Inflammatory!$P:$P)</f>
        <v>0.12183501558568301</v>
      </c>
      <c r="O20" s="665" t="s">
        <v>393</v>
      </c>
      <c r="P20" s="30" t="s">
        <v>167</v>
      </c>
      <c r="Q20" s="30">
        <f>TTEST(F26:F29,F11:F16,2,2)</f>
        <v>0.37321312827198333</v>
      </c>
      <c r="R20" s="30">
        <f t="shared" ref="R20:X20" si="6">TTEST(G26:G29,G11:G16,2,2)</f>
        <v>0.11325662271872275</v>
      </c>
      <c r="S20" s="30">
        <f t="shared" si="6"/>
        <v>0.7511396103705863</v>
      </c>
      <c r="T20" s="30">
        <f t="shared" si="6"/>
        <v>3.3286070946150471E-3</v>
      </c>
      <c r="U20" s="30" t="e">
        <f t="shared" si="6"/>
        <v>#DIV/0!</v>
      </c>
      <c r="V20" s="30">
        <f t="shared" si="6"/>
        <v>1.0646317434561204E-4</v>
      </c>
      <c r="W20" s="30" t="e">
        <f t="shared" si="6"/>
        <v>#DIV/0!</v>
      </c>
      <c r="X20" s="27" t="e">
        <f t="shared" si="6"/>
        <v>#DIV/0!</v>
      </c>
    </row>
    <row r="21" spans="1:24" x14ac:dyDescent="0.25">
      <c r="A21" s="746"/>
      <c r="B21" s="720"/>
      <c r="C21" s="60">
        <v>5</v>
      </c>
      <c r="D21" s="230" t="s">
        <v>654</v>
      </c>
      <c r="E21" s="90" t="str" cm="1">
        <f t="array" ref="E21">_xlfn.XLOOKUP(1,($D21=MSD_Inflammatory!$B:$B)*(E$1=MSD_Inflammatory!$C:$C),MSD_Inflammatory!$P:$P)</f>
        <v>NaN</v>
      </c>
      <c r="F21" s="90" cm="1">
        <f t="array" ref="F21">_xlfn.XLOOKUP(1,($D21=MSD_Inflammatory!$B:$B)*(F$1=MSD_Inflammatory!$C:$C),MSD_Inflammatory!$P:$P)</f>
        <v>0.84680721243827095</v>
      </c>
      <c r="G21" s="90" cm="1">
        <f t="array" ref="G21">_xlfn.XLOOKUP(1,($D21=MSD_Inflammatory!$B:$B)*(G$1=MSD_Inflammatory!$C:$C),MSD_Inflammatory!$P:$P)</f>
        <v>12.455264439993201</v>
      </c>
      <c r="H21" s="90" t="str" cm="1">
        <f t="array" ref="H21">_xlfn.XLOOKUP(1,($D21=MSD_Inflammatory!$B:$B)*(H$1=MSD_Inflammatory!$C:$C),MSD_Inflammatory!$P:$P)</f>
        <v>NaN</v>
      </c>
      <c r="I21" s="90" cm="1">
        <f t="array" ref="I21">_xlfn.XLOOKUP(1,($D21=MSD_Inflammatory!$B:$B)*(I$1=MSD_Inflammatory!$C:$C),MSD_Inflammatory!$P:$P)</f>
        <v>0.339884646210242</v>
      </c>
      <c r="J21" s="90" cm="1">
        <f t="array" ref="J21">_xlfn.XLOOKUP(1,($D21=MSD_Inflammatory!$B:$B)*(J$1=MSD_Inflammatory!$C:$C),MSD_Inflammatory!$P:$P)</f>
        <v>9141.3177606169302</v>
      </c>
      <c r="K21" s="90" cm="1">
        <f t="array" ref="K21">_xlfn.XLOOKUP(1,($D21=MSD_Inflammatory!$B:$B)*(K$1=MSD_Inflammatory!$C:$C),MSD_Inflammatory!$P:$P)</f>
        <v>2845.2485887675998</v>
      </c>
      <c r="L21" s="90" cm="1">
        <f t="array" ref="L21">_xlfn.XLOOKUP(1,($D21=MSD_Inflammatory!$B:$B)*(L$1=MSD_Inflammatory!$C:$C),MSD_Inflammatory!$P:$P)</f>
        <v>1073.3209697769601</v>
      </c>
      <c r="M21" s="61" cm="1">
        <f t="array" ref="M21">_xlfn.XLOOKUP(1,($D21=MSD_Inflammatory!$B:$B)*(M$1=MSD_Inflammatory!$C:$C),MSD_Inflammatory!$P:$P)</f>
        <v>4.6451782691977197</v>
      </c>
      <c r="O21" s="665"/>
      <c r="P21" s="608">
        <v>0.15</v>
      </c>
      <c r="Q21" s="30">
        <f>TTEST(F2:F6,F17:F21,2,2)</f>
        <v>0.57883190213970137</v>
      </c>
      <c r="R21" s="30">
        <f t="shared" ref="R21:X21" si="7">TTEST(G2:G6,G17:G21,2,2)</f>
        <v>1.7026383191365155E-2</v>
      </c>
      <c r="S21" s="30">
        <f t="shared" si="7"/>
        <v>0.92804861058424504</v>
      </c>
      <c r="T21" s="30">
        <f t="shared" si="7"/>
        <v>5.9169259756618173E-2</v>
      </c>
      <c r="U21" s="30">
        <f t="shared" si="7"/>
        <v>1.9032935958319588E-2</v>
      </c>
      <c r="V21" s="30">
        <f t="shared" si="7"/>
        <v>6.7237572635192207E-3</v>
      </c>
      <c r="W21" s="30">
        <f t="shared" si="7"/>
        <v>2.368243023688385E-2</v>
      </c>
      <c r="X21" s="27">
        <f t="shared" si="7"/>
        <v>0.28288232871472652</v>
      </c>
    </row>
    <row r="22" spans="1:24" ht="15.75" thickBot="1" x14ac:dyDescent="0.3">
      <c r="A22" s="665" t="s">
        <v>292</v>
      </c>
      <c r="B22" s="715" t="s">
        <v>293</v>
      </c>
      <c r="C22">
        <v>1</v>
      </c>
      <c r="D22" s="168" t="s">
        <v>657</v>
      </c>
      <c r="E22" s="30" t="str" cm="1">
        <f t="array" ref="E22">_xlfn.XLOOKUP(1,($D22=MSD_Inflammatory!$B:$B)*(E$1=MSD_Inflammatory!$C:$C),MSD_Inflammatory!$P:$P)</f>
        <v>NaN</v>
      </c>
      <c r="F22" s="30" cm="1">
        <f t="array" ref="F22">_xlfn.XLOOKUP(1,($D22=MSD_Inflammatory!$B:$B)*(F$1=MSD_Inflammatory!$C:$C),MSD_Inflammatory!$P:$P)</f>
        <v>0.404167470370071</v>
      </c>
      <c r="G22" s="30" cm="1">
        <f t="array" ref="G22">_xlfn.XLOOKUP(1,($D22=MSD_Inflammatory!$B:$B)*(G$1=MSD_Inflammatory!$C:$C),MSD_Inflammatory!$P:$P)</f>
        <v>11.8113410170993</v>
      </c>
      <c r="H22" s="30" cm="1">
        <f t="array" ref="H22">_xlfn.XLOOKUP(1,($D22=MSD_Inflammatory!$B:$B)*(H$1=MSD_Inflammatory!$C:$C),MSD_Inflammatory!$P:$P)</f>
        <v>0.61332438414619095</v>
      </c>
      <c r="I22" s="30" cm="1">
        <f t="array" ref="I22">_xlfn.XLOOKUP(1,($D22=MSD_Inflammatory!$B:$B)*(I$1=MSD_Inflammatory!$C:$C),MSD_Inflammatory!$P:$P)</f>
        <v>0.259406107399684</v>
      </c>
      <c r="J22" s="30" cm="1">
        <f t="array" ref="J22">_xlfn.XLOOKUP(1,($D22=MSD_Inflammatory!$B:$B)*(J$1=MSD_Inflammatory!$C:$C),MSD_Inflammatory!$P:$P)</f>
        <v>1045.61135332104</v>
      </c>
      <c r="K22" s="30" cm="1">
        <f t="array" ref="K22">_xlfn.XLOOKUP(1,($D22=MSD_Inflammatory!$B:$B)*(K$1=MSD_Inflammatory!$C:$C),MSD_Inflammatory!$P:$P)</f>
        <v>468.83345289864798</v>
      </c>
      <c r="L22" s="30" cm="1">
        <f t="array" ref="L22">_xlfn.XLOOKUP(1,($D22=MSD_Inflammatory!$B:$B)*(L$1=MSD_Inflammatory!$C:$C),MSD_Inflammatory!$P:$P)</f>
        <v>140.29699602602</v>
      </c>
      <c r="M22" s="27" cm="1">
        <f t="array" ref="M22">_xlfn.XLOOKUP(1,($D22=MSD_Inflammatory!$B:$B)*(M$1=MSD_Inflammatory!$C:$C),MSD_Inflammatory!$P:$P)</f>
        <v>0.112067142441588</v>
      </c>
      <c r="O22" s="666"/>
      <c r="P22" s="609">
        <v>0.5</v>
      </c>
      <c r="Q22" s="9">
        <f>TTEST(F7:F10,F22:F25,2,2)</f>
        <v>0.81199254042719204</v>
      </c>
      <c r="R22" s="9">
        <f t="shared" ref="R22:X22" si="8">TTEST(G7:G10,G22:G25,2,2)</f>
        <v>0.68281547647256779</v>
      </c>
      <c r="S22" s="9">
        <f t="shared" si="8"/>
        <v>0.63579643333208424</v>
      </c>
      <c r="T22" s="9">
        <f t="shared" si="8"/>
        <v>0.63804416748284742</v>
      </c>
      <c r="U22" s="9">
        <f t="shared" si="8"/>
        <v>8.8002115606372083E-2</v>
      </c>
      <c r="V22" s="9">
        <f t="shared" si="8"/>
        <v>1.991247664831592E-2</v>
      </c>
      <c r="W22" s="9">
        <f t="shared" si="8"/>
        <v>0.49857861243315826</v>
      </c>
      <c r="X22" s="8">
        <f t="shared" si="8"/>
        <v>0.44202752072093299</v>
      </c>
    </row>
    <row r="23" spans="1:24" x14ac:dyDescent="0.25">
      <c r="A23" s="665"/>
      <c r="B23" s="715"/>
      <c r="C23">
        <v>2</v>
      </c>
      <c r="D23" s="168" t="s">
        <v>660</v>
      </c>
      <c r="E23" s="30" t="str" cm="1">
        <f t="array" ref="E23">_xlfn.XLOOKUP(1,($D23=MSD_Inflammatory!$B:$B)*(E$1=MSD_Inflammatory!$C:$C),MSD_Inflammatory!$P:$P)</f>
        <v>NaN</v>
      </c>
      <c r="F23" s="30" cm="1">
        <f t="array" ref="F23">_xlfn.XLOOKUP(1,($D23=MSD_Inflammatory!$B:$B)*(F$1=MSD_Inflammatory!$C:$C),MSD_Inflammatory!$P:$P)</f>
        <v>9.2879789461663795E-2</v>
      </c>
      <c r="G23" s="30" cm="1">
        <f t="array" ref="G23">_xlfn.XLOOKUP(1,($D23=MSD_Inflammatory!$B:$B)*(G$1=MSD_Inflammatory!$C:$C),MSD_Inflammatory!$P:$P)</f>
        <v>11.156892887349899</v>
      </c>
      <c r="H23" s="30" cm="1">
        <f t="array" ref="H23">_xlfn.XLOOKUP(1,($D23=MSD_Inflammatory!$B:$B)*(H$1=MSD_Inflammatory!$C:$C),MSD_Inflammatory!$P:$P)</f>
        <v>0.303192454377817</v>
      </c>
      <c r="I23" s="30" cm="1">
        <f t="array" ref="I23">_xlfn.XLOOKUP(1,($D23=MSD_Inflammatory!$B:$B)*(I$1=MSD_Inflammatory!$C:$C),MSD_Inflammatory!$P:$P)</f>
        <v>0.248530815982241</v>
      </c>
      <c r="J23" s="30" cm="1">
        <f t="array" ref="J23">_xlfn.XLOOKUP(1,($D23=MSD_Inflammatory!$B:$B)*(J$1=MSD_Inflammatory!$C:$C),MSD_Inflammatory!$P:$P)</f>
        <v>5236.6068521337302</v>
      </c>
      <c r="K23" s="30" cm="1">
        <f t="array" ref="K23">_xlfn.XLOOKUP(1,($D23=MSD_Inflammatory!$B:$B)*(K$1=MSD_Inflammatory!$C:$C),MSD_Inflammatory!$P:$P)</f>
        <v>1642.9345196946099</v>
      </c>
      <c r="L23" s="30" cm="1">
        <f t="array" ref="L23">_xlfn.XLOOKUP(1,($D23=MSD_Inflammatory!$B:$B)*(L$1=MSD_Inflammatory!$C:$C),MSD_Inflammatory!$P:$P)</f>
        <v>668.75265076553399</v>
      </c>
      <c r="M23" s="27" cm="1">
        <f t="array" ref="M23">_xlfn.XLOOKUP(1,($D23=MSD_Inflammatory!$B:$B)*(M$1=MSD_Inflammatory!$C:$C),MSD_Inflammatory!$P:$P)</f>
        <v>1.0115421100277999</v>
      </c>
    </row>
    <row r="24" spans="1:24" x14ac:dyDescent="0.25">
      <c r="A24" s="665"/>
      <c r="B24" s="715"/>
      <c r="C24">
        <v>3</v>
      </c>
      <c r="D24" s="168" t="s">
        <v>663</v>
      </c>
      <c r="E24" s="30" cm="1">
        <f t="array" ref="E24">_xlfn.XLOOKUP(1,($D24=MSD_Inflammatory!$B:$B)*(E$1=MSD_Inflammatory!$C:$C),MSD_Inflammatory!$P:$P)</f>
        <v>5.9142994079226199E-2</v>
      </c>
      <c r="F24" s="30" cm="1">
        <f t="array" ref="F24">_xlfn.XLOOKUP(1,($D24=MSD_Inflammatory!$B:$B)*(F$1=MSD_Inflammatory!$C:$C),MSD_Inflammatory!$P:$P)</f>
        <v>1.0549410964236201</v>
      </c>
      <c r="G24" s="30" cm="1">
        <f t="array" ref="G24">_xlfn.XLOOKUP(1,($D24=MSD_Inflammatory!$B:$B)*(G$1=MSD_Inflammatory!$C:$C),MSD_Inflammatory!$P:$P)</f>
        <v>16.2974502940402</v>
      </c>
      <c r="H24" s="30" cm="1">
        <f t="array" ref="H24">_xlfn.XLOOKUP(1,($D24=MSD_Inflammatory!$B:$B)*(H$1=MSD_Inflammatory!$C:$C),MSD_Inflammatory!$P:$P)</f>
        <v>0.51573054163480203</v>
      </c>
      <c r="I24" s="30" cm="1">
        <f t="array" ref="I24">_xlfn.XLOOKUP(1,($D24=MSD_Inflammatory!$B:$B)*(I$1=MSD_Inflammatory!$C:$C),MSD_Inflammatory!$P:$P)</f>
        <v>0.14412697769329599</v>
      </c>
      <c r="J24" s="30" cm="1">
        <f t="array" ref="J24">_xlfn.XLOOKUP(1,($D24=MSD_Inflammatory!$B:$B)*(J$1=MSD_Inflammatory!$C:$C),MSD_Inflammatory!$P:$P)</f>
        <v>12667.583782489201</v>
      </c>
      <c r="K24" s="30" cm="1">
        <f t="array" ref="K24">_xlfn.XLOOKUP(1,($D24=MSD_Inflammatory!$B:$B)*(K$1=MSD_Inflammatory!$C:$C),MSD_Inflammatory!$P:$P)</f>
        <v>2343.4257755173999</v>
      </c>
      <c r="L24" s="30" cm="1">
        <f t="array" ref="L24">_xlfn.XLOOKUP(1,($D24=MSD_Inflammatory!$B:$B)*(L$1=MSD_Inflammatory!$C:$C),MSD_Inflammatory!$P:$P)</f>
        <v>1350.50539555918</v>
      </c>
      <c r="M24" s="27" cm="1">
        <f t="array" ref="M24">_xlfn.XLOOKUP(1,($D24=MSD_Inflammatory!$B:$B)*(M$1=MSD_Inflammatory!$C:$C),MSD_Inflammatory!$P:$P)</f>
        <v>1.96488563791575</v>
      </c>
    </row>
    <row r="25" spans="1:24" x14ac:dyDescent="0.25">
      <c r="A25" s="746"/>
      <c r="B25" s="720"/>
      <c r="C25" s="60">
        <v>4</v>
      </c>
      <c r="D25" s="230" t="s">
        <v>666</v>
      </c>
      <c r="E25" s="90" t="str" cm="1">
        <f t="array" ref="E25">_xlfn.XLOOKUP(1,($D25=MSD_Inflammatory!$B:$B)*(E$1=MSD_Inflammatory!$C:$C),MSD_Inflammatory!$P:$P)</f>
        <v>NaN</v>
      </c>
      <c r="F25" s="90" t="str" cm="1">
        <f t="array" ref="F25">_xlfn.XLOOKUP(1,($D25=MSD_Inflammatory!$B:$B)*(F$1=MSD_Inflammatory!$C:$C),MSD_Inflammatory!$P:$P)</f>
        <v>NaN</v>
      </c>
      <c r="G25" s="90" cm="1">
        <f t="array" ref="G25">_xlfn.XLOOKUP(1,($D25=MSD_Inflammatory!$B:$B)*(G$1=MSD_Inflammatory!$C:$C),MSD_Inflammatory!$P:$P)</f>
        <v>14.8735744575018</v>
      </c>
      <c r="H25" s="90" cm="1">
        <f t="array" ref="H25">_xlfn.XLOOKUP(1,($D25=MSD_Inflammatory!$B:$B)*(H$1=MSD_Inflammatory!$C:$C),MSD_Inflammatory!$P:$P)</f>
        <v>5.8575358099724202E-2</v>
      </c>
      <c r="I25" s="90" cm="1">
        <f t="array" ref="I25">_xlfn.XLOOKUP(1,($D25=MSD_Inflammatory!$B:$B)*(I$1=MSD_Inflammatory!$C:$C),MSD_Inflammatory!$P:$P)</f>
        <v>5.7123792311050803E-2</v>
      </c>
      <c r="J25" s="90" cm="1">
        <f t="array" ref="J25">_xlfn.XLOOKUP(1,($D25=MSD_Inflammatory!$B:$B)*(J$1=MSD_Inflammatory!$C:$C),MSD_Inflammatory!$P:$P)</f>
        <v>3278.9212672650201</v>
      </c>
      <c r="K25" s="90" cm="1">
        <f t="array" ref="K25">_xlfn.XLOOKUP(1,($D25=MSD_Inflammatory!$B:$B)*(K$1=MSD_Inflammatory!$C:$C),MSD_Inflammatory!$P:$P)</f>
        <v>1189.54048223573</v>
      </c>
      <c r="L25" s="90" cm="1">
        <f t="array" ref="L25">_xlfn.XLOOKUP(1,($D25=MSD_Inflammatory!$B:$B)*(L$1=MSD_Inflammatory!$C:$C),MSD_Inflammatory!$P:$P)</f>
        <v>603.01110716508799</v>
      </c>
      <c r="M25" s="61" cm="1">
        <f t="array" ref="M25">_xlfn.XLOOKUP(1,($D25=MSD_Inflammatory!$B:$B)*(M$1=MSD_Inflammatory!$C:$C),MSD_Inflammatory!$P:$P)</f>
        <v>1.3506157073110401</v>
      </c>
    </row>
    <row r="26" spans="1:24" x14ac:dyDescent="0.25">
      <c r="A26" s="665" t="s">
        <v>561</v>
      </c>
      <c r="B26" s="715" t="s">
        <v>559</v>
      </c>
      <c r="C26">
        <v>1</v>
      </c>
      <c r="D26" s="168" t="s">
        <v>669</v>
      </c>
      <c r="E26" s="30" t="str" cm="1">
        <f t="array" ref="E26">_xlfn.XLOOKUP(1,($D26=MSD_Inflammatory!$B:$B)*(E$1=MSD_Inflammatory!$C:$C),MSD_Inflammatory!$P:$P)</f>
        <v>NaN</v>
      </c>
      <c r="F26" s="30" cm="1">
        <f t="array" ref="F26">_xlfn.XLOOKUP(1,($D26=MSD_Inflammatory!$B:$B)*(F$1=MSD_Inflammatory!$C:$C),MSD_Inflammatory!$P:$P)</f>
        <v>0.18194792586726499</v>
      </c>
      <c r="G26" s="30" cm="1">
        <f t="array" ref="G26">_xlfn.XLOOKUP(1,($D26=MSD_Inflammatory!$B:$B)*(G$1=MSD_Inflammatory!$C:$C),MSD_Inflammatory!$P:$P)</f>
        <v>2.6926887844330998</v>
      </c>
      <c r="H26" s="30" cm="1">
        <f t="array" ref="H26">_xlfn.XLOOKUP(1,($D26=MSD_Inflammatory!$B:$B)*(H$1=MSD_Inflammatory!$C:$C),MSD_Inflammatory!$P:$P)</f>
        <v>0.48613558466408802</v>
      </c>
      <c r="I26" s="30" cm="1">
        <f t="array" ref="I26">_xlfn.XLOOKUP(1,($D26=MSD_Inflammatory!$B:$B)*(I$1=MSD_Inflammatory!$C:$C),MSD_Inflammatory!$P:$P)</f>
        <v>7.2349241518150101E-2</v>
      </c>
      <c r="J26" s="30" t="str" cm="1">
        <f t="array" ref="J26">_xlfn.XLOOKUP(1,($D26=MSD_Inflammatory!$B:$B)*(J$1=MSD_Inflammatory!$C:$C),MSD_Inflammatory!$P:$P)</f>
        <v>NaN</v>
      </c>
      <c r="K26" s="30" cm="1">
        <f t="array" ref="K26">_xlfn.XLOOKUP(1,($D26=MSD_Inflammatory!$B:$B)*(K$1=MSD_Inflammatory!$C:$C),MSD_Inflammatory!$P:$P)</f>
        <v>0.26454245783222102</v>
      </c>
      <c r="L26" s="30" cm="1">
        <f t="array" ref="L26">_xlfn.XLOOKUP(1,($D26=MSD_Inflammatory!$B:$B)*(L$1=MSD_Inflammatory!$C:$C),MSD_Inflammatory!$P:$P)</f>
        <v>4.5985945715945803E-2</v>
      </c>
      <c r="M26" s="27" t="str" cm="1">
        <f t="array" ref="M26">_xlfn.XLOOKUP(1,($D26=MSD_Inflammatory!$B:$B)*(M$1=MSD_Inflammatory!$C:$C),MSD_Inflammatory!$P:$P)</f>
        <v>NaN</v>
      </c>
    </row>
    <row r="27" spans="1:24" x14ac:dyDescent="0.25">
      <c r="A27" s="665"/>
      <c r="B27" s="715"/>
      <c r="C27">
        <v>2</v>
      </c>
      <c r="D27" s="168" t="s">
        <v>672</v>
      </c>
      <c r="E27" s="30" t="str" cm="1">
        <f t="array" ref="E27">_xlfn.XLOOKUP(1,($D27=MSD_Inflammatory!$B:$B)*(E$1=MSD_Inflammatory!$C:$C),MSD_Inflammatory!$P:$P)</f>
        <v>NaN</v>
      </c>
      <c r="F27" s="30" cm="1">
        <f t="array" ref="F27">_xlfn.XLOOKUP(1,($D27=MSD_Inflammatory!$B:$B)*(F$1=MSD_Inflammatory!$C:$C),MSD_Inflammatory!$P:$P)</f>
        <v>0.478259371889666</v>
      </c>
      <c r="G27" s="30" cm="1">
        <f t="array" ref="G27">_xlfn.XLOOKUP(1,($D27=MSD_Inflammatory!$B:$B)*(G$1=MSD_Inflammatory!$C:$C),MSD_Inflammatory!$P:$P)</f>
        <v>12.712100252965101</v>
      </c>
      <c r="H27" s="30" cm="1">
        <f t="array" ref="H27">_xlfn.XLOOKUP(1,($D27=MSD_Inflammatory!$B:$B)*(H$1=MSD_Inflammatory!$C:$C),MSD_Inflammatory!$P:$P)</f>
        <v>0.26348714739601298</v>
      </c>
      <c r="I27" s="30" cm="1">
        <f t="array" ref="I27">_xlfn.XLOOKUP(1,($D27=MSD_Inflammatory!$B:$B)*(I$1=MSD_Inflammatory!$C:$C),MSD_Inflammatory!$P:$P)</f>
        <v>0.131076483620019</v>
      </c>
      <c r="J27" s="30" t="str" cm="1">
        <f t="array" ref="J27">_xlfn.XLOOKUP(1,($D27=MSD_Inflammatory!$B:$B)*(J$1=MSD_Inflammatory!$C:$C),MSD_Inflammatory!$P:$P)</f>
        <v>NaN</v>
      </c>
      <c r="K27" s="30" cm="1">
        <f t="array" ref="K27">_xlfn.XLOOKUP(1,($D27=MSD_Inflammatory!$B:$B)*(K$1=MSD_Inflammatory!$C:$C),MSD_Inflammatory!$P:$P)</f>
        <v>0.29305448607054402</v>
      </c>
      <c r="L27" s="30" t="str" cm="1">
        <f t="array" ref="L27">_xlfn.XLOOKUP(1,($D27=MSD_Inflammatory!$B:$B)*(L$1=MSD_Inflammatory!$C:$C),MSD_Inflammatory!$P:$P)</f>
        <v>NaN</v>
      </c>
      <c r="M27" s="27" t="str" cm="1">
        <f t="array" ref="M27">_xlfn.XLOOKUP(1,($D27=MSD_Inflammatory!$B:$B)*(M$1=MSD_Inflammatory!$C:$C),MSD_Inflammatory!$P:$P)</f>
        <v>NaN</v>
      </c>
    </row>
    <row r="28" spans="1:24" x14ac:dyDescent="0.25">
      <c r="A28" s="665"/>
      <c r="B28" s="715"/>
      <c r="C28">
        <v>3</v>
      </c>
      <c r="D28" s="168" t="s">
        <v>675</v>
      </c>
      <c r="E28" s="30" t="str" cm="1">
        <f t="array" ref="E28">_xlfn.XLOOKUP(1,($D28=MSD_Inflammatory!$B:$B)*(E$1=MSD_Inflammatory!$C:$C),MSD_Inflammatory!$P:$P)</f>
        <v>NaN</v>
      </c>
      <c r="F28" s="30" cm="1">
        <f t="array" ref="F28">_xlfn.XLOOKUP(1,($D28=MSD_Inflammatory!$B:$B)*(F$1=MSD_Inflammatory!$C:$C),MSD_Inflammatory!$P:$P)</f>
        <v>0.34487450382376</v>
      </c>
      <c r="G28" s="30" cm="1">
        <f t="array" ref="G28">_xlfn.XLOOKUP(1,($D28=MSD_Inflammatory!$B:$B)*(G$1=MSD_Inflammatory!$C:$C),MSD_Inflammatory!$P:$P)</f>
        <v>8.0647448317604997</v>
      </c>
      <c r="H28" s="30" cm="1">
        <f t="array" ref="H28">_xlfn.XLOOKUP(1,($D28=MSD_Inflammatory!$B:$B)*(H$1=MSD_Inflammatory!$C:$C),MSD_Inflammatory!$P:$P)</f>
        <v>0.33191414301310701</v>
      </c>
      <c r="I28" s="30" cm="1">
        <f t="array" ref="I28">_xlfn.XLOOKUP(1,($D28=MSD_Inflammatory!$B:$B)*(I$1=MSD_Inflammatory!$C:$C),MSD_Inflammatory!$P:$P)</f>
        <v>6.7999156918894493E-2</v>
      </c>
      <c r="J28" s="30" t="str" cm="1">
        <f t="array" ref="J28">_xlfn.XLOOKUP(1,($D28=MSD_Inflammatory!$B:$B)*(J$1=MSD_Inflammatory!$C:$C),MSD_Inflammatory!$P:$P)</f>
        <v>NaN</v>
      </c>
      <c r="K28" s="30" cm="1">
        <f t="array" ref="K28">_xlfn.XLOOKUP(1,($D28=MSD_Inflammatory!$B:$B)*(K$1=MSD_Inflammatory!$C:$C),MSD_Inflammatory!$P:$P)</f>
        <v>0.212558534489798</v>
      </c>
      <c r="L28" s="30" t="str" cm="1">
        <f t="array" ref="L28">_xlfn.XLOOKUP(1,($D28=MSD_Inflammatory!$B:$B)*(L$1=MSD_Inflammatory!$C:$C),MSD_Inflammatory!$P:$P)</f>
        <v>NaN</v>
      </c>
      <c r="M28" s="27" cm="1">
        <f t="array" ref="M28">_xlfn.XLOOKUP(1,($D28=MSD_Inflammatory!$B:$B)*(M$1=MSD_Inflammatory!$C:$C),MSD_Inflammatory!$P:$P)</f>
        <v>9.2057476262690494E-2</v>
      </c>
    </row>
    <row r="29" spans="1:24" ht="15.75" thickBot="1" x14ac:dyDescent="0.3">
      <c r="A29" s="666"/>
      <c r="B29" s="661"/>
      <c r="C29" s="2">
        <v>4</v>
      </c>
      <c r="D29" s="170" t="s">
        <v>678</v>
      </c>
      <c r="E29" s="9" t="str" cm="1">
        <f t="array" ref="E29">_xlfn.XLOOKUP(1,($D29=MSD_Inflammatory!$B:$B)*(E$1=MSD_Inflammatory!$C:$C),MSD_Inflammatory!$P:$P)</f>
        <v>NaN</v>
      </c>
      <c r="F29" s="9" cm="1">
        <f t="array" ref="F29">_xlfn.XLOOKUP(1,($D29=MSD_Inflammatory!$B:$B)*(F$1=MSD_Inflammatory!$C:$C),MSD_Inflammatory!$P:$P)</f>
        <v>0.13742187388296701</v>
      </c>
      <c r="G29" s="9" cm="1">
        <f t="array" ref="G29">_xlfn.XLOOKUP(1,($D29=MSD_Inflammatory!$B:$B)*(G$1=MSD_Inflammatory!$C:$C),MSD_Inflammatory!$P:$P)</f>
        <v>8.7152881637859707</v>
      </c>
      <c r="H29" s="9" cm="1">
        <f t="array" ref="H29">_xlfn.XLOOKUP(1,($D29=MSD_Inflammatory!$B:$B)*(H$1=MSD_Inflammatory!$C:$C),MSD_Inflammatory!$P:$P)</f>
        <v>0.27696618892569003</v>
      </c>
      <c r="I29" s="9" cm="1">
        <f t="array" ref="I29">_xlfn.XLOOKUP(1,($D29=MSD_Inflammatory!$B:$B)*(I$1=MSD_Inflammatory!$C:$C),MSD_Inflammatory!$P:$P)</f>
        <v>0.13542666032461501</v>
      </c>
      <c r="J29" s="9" t="str" cm="1">
        <f t="array" ref="J29">_xlfn.XLOOKUP(1,($D29=MSD_Inflammatory!$B:$B)*(J$1=MSD_Inflammatory!$C:$C),MSD_Inflammatory!$P:$P)</f>
        <v>NaN</v>
      </c>
      <c r="K29" s="9" cm="1">
        <f t="array" ref="K29">_xlfn.XLOOKUP(1,($D29=MSD_Inflammatory!$B:$B)*(K$1=MSD_Inflammatory!$C:$C),MSD_Inflammatory!$P:$P)</f>
        <v>9.1440968282552104E-2</v>
      </c>
      <c r="L29" s="9" t="str" cm="1">
        <f t="array" ref="L29">_xlfn.XLOOKUP(1,($D29=MSD_Inflammatory!$B:$B)*(L$1=MSD_Inflammatory!$C:$C),MSD_Inflammatory!$P:$P)</f>
        <v>NaN</v>
      </c>
      <c r="M29" s="8" t="str" cm="1">
        <f t="array" ref="M29">_xlfn.XLOOKUP(1,($D29=MSD_Inflammatory!$B:$B)*(M$1=MSD_Inflammatory!$C:$C),MSD_Inflammatory!$P:$P)</f>
        <v>NaN</v>
      </c>
    </row>
    <row r="32" spans="1:24" ht="15.75" thickBot="1" x14ac:dyDescent="0.3"/>
    <row r="33" spans="3:20" x14ac:dyDescent="0.25">
      <c r="C33" s="649" t="s">
        <v>730</v>
      </c>
      <c r="D33" s="660"/>
      <c r="E33" s="694" t="s">
        <v>607</v>
      </c>
      <c r="F33" s="660"/>
      <c r="G33" s="694" t="s">
        <v>608</v>
      </c>
      <c r="H33" s="660"/>
      <c r="I33" s="694" t="s">
        <v>609</v>
      </c>
      <c r="J33" s="660"/>
      <c r="K33" s="694" t="s">
        <v>610</v>
      </c>
      <c r="L33" s="660"/>
      <c r="M33" s="694" t="s">
        <v>611</v>
      </c>
      <c r="N33" s="660"/>
      <c r="O33" s="694" t="s">
        <v>612</v>
      </c>
      <c r="P33" s="660"/>
      <c r="Q33" s="694" t="s">
        <v>613</v>
      </c>
      <c r="R33" s="660"/>
      <c r="S33" s="694" t="s">
        <v>614</v>
      </c>
      <c r="T33" s="692"/>
    </row>
    <row r="34" spans="3:20" x14ac:dyDescent="0.25">
      <c r="C34" s="650"/>
      <c r="D34" s="720"/>
      <c r="E34" s="60" t="s">
        <v>728</v>
      </c>
      <c r="F34" s="90" t="s">
        <v>729</v>
      </c>
      <c r="G34" s="60" t="s">
        <v>728</v>
      </c>
      <c r="H34" s="90" t="s">
        <v>729</v>
      </c>
      <c r="I34" s="60" t="s">
        <v>728</v>
      </c>
      <c r="J34" s="90" t="s">
        <v>729</v>
      </c>
      <c r="K34" s="60" t="s">
        <v>728</v>
      </c>
      <c r="L34" s="90" t="s">
        <v>729</v>
      </c>
      <c r="M34" s="60" t="s">
        <v>728</v>
      </c>
      <c r="N34" s="90" t="s">
        <v>729</v>
      </c>
      <c r="O34" s="60" t="s">
        <v>728</v>
      </c>
      <c r="P34" s="90" t="s">
        <v>729</v>
      </c>
      <c r="Q34" s="60" t="s">
        <v>728</v>
      </c>
      <c r="R34" s="90" t="s">
        <v>729</v>
      </c>
      <c r="S34" s="60" t="s">
        <v>728</v>
      </c>
      <c r="T34" s="61" t="s">
        <v>729</v>
      </c>
    </row>
    <row r="35" spans="3:20" x14ac:dyDescent="0.25">
      <c r="C35" s="665" t="s">
        <v>24</v>
      </c>
      <c r="D35" s="610">
        <v>0.15</v>
      </c>
      <c r="E35" s="60">
        <f>Q4+2*R4</f>
        <v>0.89220325951351376</v>
      </c>
      <c r="F35" s="90">
        <f>Q4-2*R4</f>
        <v>0.17636993334989348</v>
      </c>
      <c r="G35" s="60">
        <f>T4+2*U4</f>
        <v>8.412957593780094</v>
      </c>
      <c r="H35" s="90">
        <f>T4-2*U4</f>
        <v>0.34014066939209542</v>
      </c>
      <c r="I35" s="60">
        <f>W4+2*X4</f>
        <v>0.64157009211834914</v>
      </c>
      <c r="J35" s="90">
        <f>W4-2*X4</f>
        <v>4.3123311577217882E-2</v>
      </c>
      <c r="K35" s="60">
        <f>Z4+2*AA4</f>
        <v>0.18445024520481945</v>
      </c>
      <c r="L35" s="90">
        <f>Z4-2*AA4</f>
        <v>-2.6701284502824441E-2</v>
      </c>
      <c r="M35" s="60">
        <f>AC4+2*AD4</f>
        <v>858.6458832404204</v>
      </c>
      <c r="N35" s="90">
        <f>AC4-2*AD4</f>
        <v>-333.82574234670449</v>
      </c>
      <c r="O35" s="60">
        <f>AF4+2*AG4</f>
        <v>433.52490281360235</v>
      </c>
      <c r="P35" s="90">
        <f>AF4-2*AG4</f>
        <v>-181.45295650659793</v>
      </c>
      <c r="Q35" s="60">
        <f>AI4+2*AJ4</f>
        <v>291.07207571760108</v>
      </c>
      <c r="R35" s="90">
        <f>AI4-2*AJ4</f>
        <v>-141.24659638192372</v>
      </c>
      <c r="S35" s="60">
        <f>AL4+2*AM4</f>
        <v>1.4763968149837032</v>
      </c>
      <c r="T35" s="61">
        <f>AL4-2*AM4</f>
        <v>-0.5601132815118024</v>
      </c>
    </row>
    <row r="36" spans="3:20" x14ac:dyDescent="0.25">
      <c r="C36" s="665"/>
      <c r="D36" s="610">
        <v>0.5</v>
      </c>
      <c r="E36" s="60">
        <f t="shared" ref="E36:E40" si="9">Q5+2*R5</f>
        <v>0.91494638645799886</v>
      </c>
      <c r="F36" s="90">
        <f t="shared" ref="F36:F40" si="10">Q5-2*R5</f>
        <v>-1.7867462082137853E-2</v>
      </c>
      <c r="G36" s="60">
        <f t="shared" ref="G36:G40" si="11">T5+2*U5</f>
        <v>34.810632509452418</v>
      </c>
      <c r="H36" s="90">
        <f t="shared" ref="H36:H40" si="12">T5-2*U5</f>
        <v>-12.974331833884122</v>
      </c>
      <c r="I36" s="60">
        <f t="shared" ref="I36:I40" si="13">W5+2*X5</f>
        <v>0.70266239859744861</v>
      </c>
      <c r="J36" s="90">
        <f t="shared" ref="J36:J40" si="14">W5-2*X5</f>
        <v>-0.1169717186193221</v>
      </c>
      <c r="K36" s="60">
        <f t="shared" ref="K36:K40" si="15">Z5+2*AA5</f>
        <v>0.26658866366798128</v>
      </c>
      <c r="L36" s="90">
        <f t="shared" ref="L36:L40" si="16">Z5-2*AA5</f>
        <v>3.2540786095907076E-2</v>
      </c>
      <c r="M36" s="60">
        <f t="shared" ref="M36:M40" si="17">AC5+2*AD5</f>
        <v>949.99120976089841</v>
      </c>
      <c r="N36" s="90">
        <f t="shared" ref="N36:N40" si="18">AC5-2*AD5</f>
        <v>-108.24873330851199</v>
      </c>
      <c r="O36" s="60">
        <f t="shared" ref="O36:O40" si="19">AF5+2*AG5</f>
        <v>412.48142486169183</v>
      </c>
      <c r="P36" s="90">
        <f t="shared" ref="P36:P40" si="20">AF5-2*AG5</f>
        <v>-99.89589561551918</v>
      </c>
      <c r="Q36" s="60">
        <f t="shared" ref="Q36:Q40" si="21">AI5+2*AJ5</f>
        <v>3378.0712297197038</v>
      </c>
      <c r="R36" s="90">
        <f t="shared" ref="R36:R40" si="22">AI5-2*AJ5</f>
        <v>-1112.2778876097468</v>
      </c>
      <c r="S36" s="60">
        <f t="shared" ref="S36:S40" si="23">AL5+2*AM5</f>
        <v>7.9299010293823784</v>
      </c>
      <c r="T36" s="61">
        <f t="shared" ref="T36:T40" si="24">AL5-2*AM5</f>
        <v>-3.3116674269575768</v>
      </c>
    </row>
    <row r="37" spans="3:20" x14ac:dyDescent="0.25">
      <c r="C37" s="746"/>
      <c r="D37" s="606" t="s">
        <v>167</v>
      </c>
      <c r="E37" s="60">
        <f t="shared" si="9"/>
        <v>1.1970284037546519</v>
      </c>
      <c r="F37" s="90">
        <f t="shared" si="10"/>
        <v>-0.2410984270847934</v>
      </c>
      <c r="G37" s="60">
        <f t="shared" si="11"/>
        <v>29.378835316870394</v>
      </c>
      <c r="H37" s="90">
        <f t="shared" si="12"/>
        <v>1.2043556182317126</v>
      </c>
      <c r="I37" s="60">
        <f t="shared" si="13"/>
        <v>0.82816381480314494</v>
      </c>
      <c r="J37" s="90">
        <f t="shared" si="14"/>
        <v>-0.24328165733972335</v>
      </c>
      <c r="K37" s="60">
        <f t="shared" si="15"/>
        <v>0.32525017950294932</v>
      </c>
      <c r="L37" s="90">
        <f t="shared" si="16"/>
        <v>0.13266000709984826</v>
      </c>
      <c r="M37" s="60">
        <f t="shared" si="17"/>
        <v>2910.7867279287939</v>
      </c>
      <c r="N37" s="90">
        <f t="shared" si="18"/>
        <v>-997.60473752026667</v>
      </c>
      <c r="O37" s="60">
        <f t="shared" si="19"/>
        <v>2565.0687540200192</v>
      </c>
      <c r="P37" s="90">
        <f t="shared" si="20"/>
        <v>843.41786457966907</v>
      </c>
      <c r="Q37" s="60">
        <f t="shared" si="21"/>
        <v>1868.1023544209324</v>
      </c>
      <c r="R37" s="90">
        <f t="shared" si="22"/>
        <v>-315.65357019037174</v>
      </c>
      <c r="S37" s="60">
        <f t="shared" si="23"/>
        <v>7.1118650045511362</v>
      </c>
      <c r="T37" s="61">
        <f t="shared" si="24"/>
        <v>-0.45392759767327551</v>
      </c>
    </row>
    <row r="38" spans="3:20" x14ac:dyDescent="0.25">
      <c r="C38" s="665" t="s">
        <v>28</v>
      </c>
      <c r="D38" s="610">
        <v>0.15</v>
      </c>
      <c r="E38" s="60">
        <f t="shared" si="9"/>
        <v>1.0446877832867929</v>
      </c>
      <c r="F38" s="90">
        <f t="shared" si="10"/>
        <v>-0.16314653064684198</v>
      </c>
      <c r="G38" s="60">
        <f t="shared" si="11"/>
        <v>17.837626966179144</v>
      </c>
      <c r="H38" s="90">
        <f t="shared" si="12"/>
        <v>3.5016669268455649</v>
      </c>
      <c r="I38" s="60">
        <f t="shared" si="13"/>
        <v>0.86983974394302432</v>
      </c>
      <c r="J38" s="90">
        <f t="shared" si="14"/>
        <v>-0.15716594079668056</v>
      </c>
      <c r="K38" s="60">
        <f t="shared" si="15"/>
        <v>0.42981861458527348</v>
      </c>
      <c r="L38" s="90">
        <f t="shared" si="16"/>
        <v>3.6792051460319469E-2</v>
      </c>
      <c r="M38" s="60">
        <f t="shared" si="17"/>
        <v>14003.446413924175</v>
      </c>
      <c r="N38" s="90">
        <f t="shared" si="18"/>
        <v>-1516.8770228746898</v>
      </c>
      <c r="O38" s="60">
        <f t="shared" si="19"/>
        <v>3664.3421788106771</v>
      </c>
      <c r="P38" s="90">
        <f t="shared" si="20"/>
        <v>-222.00700798845878</v>
      </c>
      <c r="Q38" s="60">
        <f t="shared" si="21"/>
        <v>1514.0779484849004</v>
      </c>
      <c r="R38" s="90">
        <f t="shared" si="22"/>
        <v>-239.11378597530188</v>
      </c>
      <c r="S38" s="60">
        <f t="shared" si="23"/>
        <v>5.1960137218680282</v>
      </c>
      <c r="T38" s="61">
        <f t="shared" si="24"/>
        <v>-2.0736354857512582</v>
      </c>
    </row>
    <row r="39" spans="3:20" x14ac:dyDescent="0.25">
      <c r="C39" s="665"/>
      <c r="D39" s="610">
        <v>0.5</v>
      </c>
      <c r="E39" s="60">
        <f t="shared" si="9"/>
        <v>1.4991537035020293</v>
      </c>
      <c r="F39" s="90">
        <f t="shared" si="10"/>
        <v>-0.46449479933179272</v>
      </c>
      <c r="G39" s="60">
        <f t="shared" si="11"/>
        <v>18.440499365986245</v>
      </c>
      <c r="H39" s="90">
        <f t="shared" si="12"/>
        <v>8.6291299620093547</v>
      </c>
      <c r="I39" s="60">
        <f t="shared" si="13"/>
        <v>0.86513289678889405</v>
      </c>
      <c r="J39" s="90">
        <f t="shared" si="14"/>
        <v>-0.11972152765962701</v>
      </c>
      <c r="K39" s="60">
        <f t="shared" si="15"/>
        <v>0.36828736737774531</v>
      </c>
      <c r="L39" s="90">
        <f t="shared" si="16"/>
        <v>-1.3693520684609439E-2</v>
      </c>
      <c r="M39" s="60">
        <f t="shared" si="17"/>
        <v>15637.215443382103</v>
      </c>
      <c r="N39" s="90">
        <f t="shared" si="18"/>
        <v>-4522.8538157776075</v>
      </c>
      <c r="O39" s="60">
        <f t="shared" si="19"/>
        <v>2985.9569524964427</v>
      </c>
      <c r="P39" s="90">
        <f t="shared" si="20"/>
        <v>-163.58983732324828</v>
      </c>
      <c r="Q39" s="60">
        <f t="shared" si="21"/>
        <v>1688.2771697191447</v>
      </c>
      <c r="R39" s="90">
        <f t="shared" si="22"/>
        <v>-306.99409496123371</v>
      </c>
      <c r="S39" s="60">
        <f t="shared" si="23"/>
        <v>2.6565114636501259</v>
      </c>
      <c r="T39" s="61">
        <f t="shared" si="24"/>
        <v>-0.43695616480203681</v>
      </c>
    </row>
    <row r="40" spans="3:20" ht="15.75" thickBot="1" x14ac:dyDescent="0.3">
      <c r="C40" s="666"/>
      <c r="D40" s="607" t="s">
        <v>167</v>
      </c>
      <c r="E40" s="2">
        <f t="shared" si="9"/>
        <v>0.59831662275693509</v>
      </c>
      <c r="F40" s="9">
        <f t="shared" si="10"/>
        <v>-2.7064785025106119E-2</v>
      </c>
      <c r="G40" s="2">
        <f t="shared" si="11"/>
        <v>16.282606857320808</v>
      </c>
      <c r="H40" s="9">
        <f t="shared" si="12"/>
        <v>-0.19019584084847274</v>
      </c>
      <c r="I40" s="2">
        <f t="shared" si="13"/>
        <v>0.54374307846531234</v>
      </c>
      <c r="J40" s="9">
        <f t="shared" si="14"/>
        <v>0.13550845353413668</v>
      </c>
      <c r="K40" s="2">
        <f t="shared" si="15"/>
        <v>0.17472136537881741</v>
      </c>
      <c r="L40" s="9">
        <f t="shared" si="16"/>
        <v>2.870440581202191E-2</v>
      </c>
      <c r="M40" s="2" t="e">
        <f t="shared" si="17"/>
        <v>#DIV/0!</v>
      </c>
      <c r="N40" s="9" t="e">
        <f t="shared" si="18"/>
        <v>#DIV/0!</v>
      </c>
      <c r="O40" s="2">
        <f t="shared" si="19"/>
        <v>0.39360915940679053</v>
      </c>
      <c r="P40" s="9">
        <f t="shared" si="20"/>
        <v>3.7189063930767069E-2</v>
      </c>
      <c r="Q40" s="2" t="e">
        <f t="shared" si="21"/>
        <v>#DIV/0!</v>
      </c>
      <c r="R40" s="9" t="e">
        <f t="shared" si="22"/>
        <v>#DIV/0!</v>
      </c>
      <c r="S40" s="2" t="e">
        <f t="shared" si="23"/>
        <v>#DIV/0!</v>
      </c>
      <c r="T40" s="8" t="e">
        <f t="shared" si="24"/>
        <v>#DIV/0!</v>
      </c>
    </row>
  </sheetData>
  <mergeCells count="38">
    <mergeCell ref="A11:A16"/>
    <mergeCell ref="B11:B16"/>
    <mergeCell ref="A26:A29"/>
    <mergeCell ref="B26:B29"/>
    <mergeCell ref="B22:B25"/>
    <mergeCell ref="A22:A25"/>
    <mergeCell ref="B17:B21"/>
    <mergeCell ref="A17:A21"/>
    <mergeCell ref="AL2:AN2"/>
    <mergeCell ref="AI2:AK2"/>
    <mergeCell ref="AF2:AH2"/>
    <mergeCell ref="AC2:AE2"/>
    <mergeCell ref="Z2:AB2"/>
    <mergeCell ref="B7:B10"/>
    <mergeCell ref="A7:A10"/>
    <mergeCell ref="O7:O9"/>
    <mergeCell ref="O4:O6"/>
    <mergeCell ref="O2:P3"/>
    <mergeCell ref="B2:B6"/>
    <mergeCell ref="A2:A6"/>
    <mergeCell ref="W2:Y2"/>
    <mergeCell ref="T2:V2"/>
    <mergeCell ref="Q2:S2"/>
    <mergeCell ref="O20:O22"/>
    <mergeCell ref="O17:O19"/>
    <mergeCell ref="O14:O16"/>
    <mergeCell ref="O13:P13"/>
    <mergeCell ref="E33:F33"/>
    <mergeCell ref="C35:C37"/>
    <mergeCell ref="C38:C40"/>
    <mergeCell ref="C33:D34"/>
    <mergeCell ref="S33:T33"/>
    <mergeCell ref="Q33:R33"/>
    <mergeCell ref="O33:P33"/>
    <mergeCell ref="M33:N33"/>
    <mergeCell ref="K33:L33"/>
    <mergeCell ref="I33:J33"/>
    <mergeCell ref="G33:H33"/>
  </mergeCells>
  <phoneticPr fontId="7" type="noConversion"/>
  <conditionalFormatting sqref="Q14:X22">
    <cfRule type="cellIs" dxfId="9" priority="1" operator="lessThan">
      <formula>0.05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5F2A-ACC2-475A-9D5C-9CADDD92E1B4}">
  <dimension ref="A1:Q218"/>
  <sheetViews>
    <sheetView zoomScaleNormal="100" workbookViewId="0">
      <selection activeCell="K9" sqref="K9"/>
    </sheetView>
  </sheetViews>
  <sheetFormatPr defaultRowHeight="15" x14ac:dyDescent="0.25"/>
  <cols>
    <col min="1" max="1" width="21.140625" customWidth="1"/>
    <col min="11" max="11" width="13.7109375" bestFit="1" customWidth="1"/>
    <col min="13" max="13" width="12" bestFit="1" customWidth="1"/>
    <col min="14" max="14" width="16.7109375" bestFit="1" customWidth="1"/>
    <col min="15" max="15" width="18.42578125" bestFit="1" customWidth="1"/>
    <col min="16" max="16" width="16" bestFit="1" customWidth="1"/>
    <col min="17" max="17" width="13.42578125" bestFit="1" customWidth="1"/>
  </cols>
  <sheetData>
    <row r="1" spans="1:17" x14ac:dyDescent="0.25">
      <c r="A1" t="s">
        <v>731</v>
      </c>
    </row>
    <row r="2" spans="1:17" x14ac:dyDescent="0.25">
      <c r="A2" t="s">
        <v>565</v>
      </c>
      <c r="B2" t="s">
        <v>54</v>
      </c>
      <c r="C2" t="s">
        <v>566</v>
      </c>
      <c r="D2" t="s">
        <v>567</v>
      </c>
      <c r="E2" t="s">
        <v>568</v>
      </c>
      <c r="F2" t="s">
        <v>569</v>
      </c>
      <c r="G2" t="s">
        <v>570</v>
      </c>
      <c r="H2" t="s">
        <v>571</v>
      </c>
      <c r="I2" t="s">
        <v>572</v>
      </c>
      <c r="J2" t="s">
        <v>106</v>
      </c>
      <c r="K2" t="s">
        <v>573</v>
      </c>
      <c r="L2" t="s">
        <v>574</v>
      </c>
      <c r="M2" t="s">
        <v>575</v>
      </c>
      <c r="N2" t="s">
        <v>576</v>
      </c>
      <c r="O2" t="s">
        <v>577</v>
      </c>
      <c r="P2" t="s">
        <v>578</v>
      </c>
      <c r="Q2" t="s">
        <v>579</v>
      </c>
    </row>
    <row r="3" spans="1:17" x14ac:dyDescent="0.25">
      <c r="A3" t="s">
        <v>732</v>
      </c>
      <c r="B3" t="s">
        <v>615</v>
      </c>
      <c r="C3" t="s">
        <v>733</v>
      </c>
      <c r="D3" t="s">
        <v>616</v>
      </c>
      <c r="E3">
        <v>1</v>
      </c>
      <c r="F3">
        <v>2</v>
      </c>
      <c r="H3">
        <v>304</v>
      </c>
      <c r="I3">
        <v>304</v>
      </c>
      <c r="J3">
        <v>308</v>
      </c>
      <c r="K3">
        <v>308</v>
      </c>
      <c r="L3">
        <v>1.8366409900949201</v>
      </c>
      <c r="O3">
        <v>4800.80652376531</v>
      </c>
      <c r="P3">
        <v>4868.0996863140299</v>
      </c>
      <c r="Q3">
        <v>1.95490867614988</v>
      </c>
    </row>
    <row r="4" spans="1:17" x14ac:dyDescent="0.25">
      <c r="A4" t="s">
        <v>732</v>
      </c>
      <c r="B4" t="s">
        <v>615</v>
      </c>
      <c r="C4" t="s">
        <v>733</v>
      </c>
      <c r="D4" t="s">
        <v>617</v>
      </c>
      <c r="E4">
        <v>1</v>
      </c>
      <c r="F4">
        <v>2</v>
      </c>
      <c r="H4">
        <v>312</v>
      </c>
      <c r="I4">
        <v>312</v>
      </c>
      <c r="J4">
        <v>308</v>
      </c>
      <c r="K4">
        <v>308</v>
      </c>
      <c r="L4">
        <v>1.8366409900949201</v>
      </c>
      <c r="O4">
        <v>4935.3928488627498</v>
      </c>
      <c r="P4">
        <v>4868.0996863140299</v>
      </c>
      <c r="Q4">
        <v>1.95490867614988</v>
      </c>
    </row>
    <row r="5" spans="1:17" x14ac:dyDescent="0.25">
      <c r="A5" t="s">
        <v>732</v>
      </c>
      <c r="B5" t="s">
        <v>615</v>
      </c>
      <c r="C5" t="s">
        <v>734</v>
      </c>
      <c r="D5" t="s">
        <v>617</v>
      </c>
      <c r="E5">
        <v>3</v>
      </c>
      <c r="F5">
        <v>2</v>
      </c>
      <c r="H5">
        <v>64</v>
      </c>
      <c r="I5">
        <v>64</v>
      </c>
      <c r="J5">
        <v>82</v>
      </c>
      <c r="K5">
        <v>82</v>
      </c>
      <c r="L5">
        <v>31.043712344775201</v>
      </c>
      <c r="O5" t="s">
        <v>417</v>
      </c>
      <c r="P5" t="s">
        <v>417</v>
      </c>
      <c r="Q5" t="s">
        <v>417</v>
      </c>
    </row>
    <row r="6" spans="1:17" x14ac:dyDescent="0.25">
      <c r="A6" t="s">
        <v>732</v>
      </c>
      <c r="B6" t="s">
        <v>615</v>
      </c>
      <c r="C6" t="s">
        <v>734</v>
      </c>
      <c r="D6" t="s">
        <v>616</v>
      </c>
      <c r="E6">
        <v>3</v>
      </c>
      <c r="F6">
        <v>2</v>
      </c>
      <c r="H6">
        <v>100</v>
      </c>
      <c r="I6">
        <v>100</v>
      </c>
      <c r="J6">
        <v>82</v>
      </c>
      <c r="K6">
        <v>82</v>
      </c>
      <c r="L6">
        <v>31.043712344775201</v>
      </c>
      <c r="O6">
        <v>1.6449645791729599</v>
      </c>
      <c r="P6" t="s">
        <v>417</v>
      </c>
      <c r="Q6" t="s">
        <v>417</v>
      </c>
    </row>
    <row r="7" spans="1:17" x14ac:dyDescent="0.25">
      <c r="A7" t="s">
        <v>732</v>
      </c>
      <c r="B7" t="s">
        <v>615</v>
      </c>
      <c r="C7" t="s">
        <v>483</v>
      </c>
      <c r="D7" t="s">
        <v>617</v>
      </c>
      <c r="E7">
        <v>10</v>
      </c>
      <c r="F7">
        <v>2</v>
      </c>
      <c r="H7">
        <v>331</v>
      </c>
      <c r="I7">
        <v>331</v>
      </c>
      <c r="J7">
        <v>326</v>
      </c>
      <c r="K7">
        <v>325.5</v>
      </c>
      <c r="L7">
        <v>2.3896081699084499</v>
      </c>
      <c r="O7">
        <v>120.49361396554301</v>
      </c>
      <c r="P7">
        <v>101.683016805156</v>
      </c>
      <c r="Q7">
        <v>26.1618925720208</v>
      </c>
    </row>
    <row r="8" spans="1:17" x14ac:dyDescent="0.25">
      <c r="A8" t="s">
        <v>732</v>
      </c>
      <c r="B8" t="s">
        <v>615</v>
      </c>
      <c r="C8" t="s">
        <v>483</v>
      </c>
      <c r="D8" t="s">
        <v>616</v>
      </c>
      <c r="E8">
        <v>10</v>
      </c>
      <c r="F8">
        <v>2</v>
      </c>
      <c r="H8">
        <v>320</v>
      </c>
      <c r="I8">
        <v>320</v>
      </c>
      <c r="J8">
        <v>326</v>
      </c>
      <c r="K8">
        <v>325.5</v>
      </c>
      <c r="L8">
        <v>2.3896081699084499</v>
      </c>
      <c r="O8">
        <v>82.872419644770602</v>
      </c>
      <c r="P8">
        <v>101.683016805156</v>
      </c>
      <c r="Q8">
        <v>26.1618925720208</v>
      </c>
    </row>
    <row r="9" spans="1:17" x14ac:dyDescent="0.25">
      <c r="A9" t="s">
        <v>732</v>
      </c>
      <c r="B9" t="s">
        <v>618</v>
      </c>
      <c r="C9" t="s">
        <v>733</v>
      </c>
      <c r="D9" t="s">
        <v>619</v>
      </c>
      <c r="E9">
        <v>1</v>
      </c>
      <c r="F9">
        <v>2</v>
      </c>
      <c r="H9">
        <v>1996</v>
      </c>
      <c r="I9">
        <v>1996</v>
      </c>
      <c r="J9">
        <v>1839</v>
      </c>
      <c r="K9">
        <v>1838.5</v>
      </c>
      <c r="L9">
        <v>12.1152372082546</v>
      </c>
      <c r="O9">
        <v>21594.245162880299</v>
      </c>
      <c r="P9">
        <v>20382.108779780701</v>
      </c>
      <c r="Q9">
        <v>8.4104139122537802</v>
      </c>
    </row>
    <row r="10" spans="1:17" x14ac:dyDescent="0.25">
      <c r="A10" t="s">
        <v>732</v>
      </c>
      <c r="B10" t="s">
        <v>618</v>
      </c>
      <c r="C10" t="s">
        <v>733</v>
      </c>
      <c r="D10" t="s">
        <v>620</v>
      </c>
      <c r="E10">
        <v>1</v>
      </c>
      <c r="F10">
        <v>2</v>
      </c>
      <c r="H10">
        <v>1681</v>
      </c>
      <c r="I10">
        <v>1681</v>
      </c>
      <c r="J10">
        <v>1839</v>
      </c>
      <c r="K10">
        <v>1838.5</v>
      </c>
      <c r="L10">
        <v>12.1152372082546</v>
      </c>
      <c r="O10">
        <v>19169.9723966811</v>
      </c>
      <c r="P10">
        <v>20382.108779780701</v>
      </c>
      <c r="Q10">
        <v>8.4104139122537802</v>
      </c>
    </row>
    <row r="11" spans="1:17" x14ac:dyDescent="0.25">
      <c r="A11" t="s">
        <v>732</v>
      </c>
      <c r="B11" t="s">
        <v>618</v>
      </c>
      <c r="C11" t="s">
        <v>734</v>
      </c>
      <c r="D11" t="s">
        <v>619</v>
      </c>
      <c r="E11">
        <v>3</v>
      </c>
      <c r="F11">
        <v>2</v>
      </c>
      <c r="H11">
        <v>185</v>
      </c>
      <c r="I11">
        <v>185</v>
      </c>
      <c r="J11">
        <v>181</v>
      </c>
      <c r="K11">
        <v>181</v>
      </c>
      <c r="L11">
        <v>3.1253338394985528</v>
      </c>
      <c r="O11">
        <v>35.157499999999992</v>
      </c>
      <c r="P11">
        <v>33.678699999999992</v>
      </c>
      <c r="Q11">
        <v>6.2096785684641418</v>
      </c>
    </row>
    <row r="12" spans="1:17" x14ac:dyDescent="0.25">
      <c r="A12" t="s">
        <v>732</v>
      </c>
      <c r="B12" t="s">
        <v>618</v>
      </c>
      <c r="C12" t="s">
        <v>734</v>
      </c>
      <c r="D12" t="s">
        <v>620</v>
      </c>
      <c r="E12">
        <v>3</v>
      </c>
      <c r="F12">
        <v>2</v>
      </c>
      <c r="H12">
        <v>177</v>
      </c>
      <c r="I12">
        <v>177</v>
      </c>
      <c r="J12">
        <v>181</v>
      </c>
      <c r="K12">
        <v>181</v>
      </c>
      <c r="L12">
        <v>3.1253338394985528</v>
      </c>
      <c r="O12">
        <v>32.199899999999992</v>
      </c>
      <c r="P12">
        <v>33.678699999999992</v>
      </c>
      <c r="Q12">
        <v>6.2096785684641418</v>
      </c>
    </row>
    <row r="13" spans="1:17" x14ac:dyDescent="0.25">
      <c r="A13" t="s">
        <v>732</v>
      </c>
      <c r="B13" t="s">
        <v>618</v>
      </c>
      <c r="C13" t="s">
        <v>483</v>
      </c>
      <c r="D13" t="s">
        <v>620</v>
      </c>
      <c r="E13">
        <v>10</v>
      </c>
      <c r="F13">
        <v>2</v>
      </c>
      <c r="H13">
        <v>677</v>
      </c>
      <c r="I13">
        <v>677</v>
      </c>
      <c r="J13">
        <v>688</v>
      </c>
      <c r="K13">
        <v>688</v>
      </c>
      <c r="L13">
        <v>2.26109726542209</v>
      </c>
      <c r="O13">
        <v>1193.0582686068699</v>
      </c>
      <c r="P13">
        <v>1225.7206073464299</v>
      </c>
      <c r="Q13">
        <v>3.7685196893534099</v>
      </c>
    </row>
    <row r="14" spans="1:17" x14ac:dyDescent="0.25">
      <c r="A14" t="s">
        <v>732</v>
      </c>
      <c r="B14" t="s">
        <v>618</v>
      </c>
      <c r="C14" t="s">
        <v>483</v>
      </c>
      <c r="D14" t="s">
        <v>619</v>
      </c>
      <c r="E14">
        <v>10</v>
      </c>
      <c r="F14">
        <v>2</v>
      </c>
      <c r="H14">
        <v>699</v>
      </c>
      <c r="I14">
        <v>699</v>
      </c>
      <c r="J14">
        <v>688</v>
      </c>
      <c r="K14">
        <v>688</v>
      </c>
      <c r="L14">
        <v>2.26109726542209</v>
      </c>
      <c r="O14">
        <v>1258.3829460859899</v>
      </c>
      <c r="P14">
        <v>1225.7206073464299</v>
      </c>
      <c r="Q14">
        <v>3.7685196893534099</v>
      </c>
    </row>
    <row r="15" spans="1:17" x14ac:dyDescent="0.25">
      <c r="A15" t="s">
        <v>732</v>
      </c>
      <c r="B15" t="s">
        <v>621</v>
      </c>
      <c r="C15" t="s">
        <v>733</v>
      </c>
      <c r="D15" t="s">
        <v>622</v>
      </c>
      <c r="E15">
        <v>1</v>
      </c>
      <c r="F15">
        <v>2</v>
      </c>
      <c r="H15">
        <v>2234</v>
      </c>
      <c r="I15">
        <v>2234</v>
      </c>
      <c r="J15">
        <v>2299</v>
      </c>
      <c r="K15">
        <v>2298.5</v>
      </c>
      <c r="L15">
        <v>3.9685349042012001</v>
      </c>
      <c r="O15">
        <v>23332.605146117199</v>
      </c>
      <c r="P15">
        <v>23789.457261321499</v>
      </c>
      <c r="Q15">
        <v>2.7158520273228901</v>
      </c>
    </row>
    <row r="16" spans="1:17" x14ac:dyDescent="0.25">
      <c r="A16" t="s">
        <v>732</v>
      </c>
      <c r="B16" t="s">
        <v>621</v>
      </c>
      <c r="C16" t="s">
        <v>733</v>
      </c>
      <c r="D16" t="s">
        <v>623</v>
      </c>
      <c r="E16">
        <v>1</v>
      </c>
      <c r="F16">
        <v>2</v>
      </c>
      <c r="H16">
        <v>2363</v>
      </c>
      <c r="I16">
        <v>2363</v>
      </c>
      <c r="J16">
        <v>2299</v>
      </c>
      <c r="K16">
        <v>2298.5</v>
      </c>
      <c r="L16">
        <v>3.9685349042012001</v>
      </c>
      <c r="O16">
        <v>24246.309376525802</v>
      </c>
      <c r="P16">
        <v>23789.457261321499</v>
      </c>
      <c r="Q16">
        <v>2.7158520273228901</v>
      </c>
    </row>
    <row r="17" spans="1:17" x14ac:dyDescent="0.25">
      <c r="A17" t="s">
        <v>732</v>
      </c>
      <c r="B17" t="s">
        <v>621</v>
      </c>
      <c r="C17" t="s">
        <v>734</v>
      </c>
      <c r="D17" t="s">
        <v>623</v>
      </c>
      <c r="E17">
        <v>3</v>
      </c>
      <c r="F17">
        <v>2</v>
      </c>
      <c r="H17">
        <v>192</v>
      </c>
      <c r="I17">
        <v>192</v>
      </c>
      <c r="J17">
        <v>182</v>
      </c>
      <c r="K17">
        <v>182</v>
      </c>
      <c r="L17">
        <v>7.7704041888631599</v>
      </c>
      <c r="O17">
        <v>37.750132734434899</v>
      </c>
      <c r="P17">
        <v>34.113410337704302</v>
      </c>
      <c r="Q17">
        <v>15.076481902947901</v>
      </c>
    </row>
    <row r="18" spans="1:17" x14ac:dyDescent="0.25">
      <c r="A18" t="s">
        <v>732</v>
      </c>
      <c r="B18" t="s">
        <v>621</v>
      </c>
      <c r="C18" t="s">
        <v>734</v>
      </c>
      <c r="D18" t="s">
        <v>622</v>
      </c>
      <c r="E18">
        <v>3</v>
      </c>
      <c r="F18">
        <v>2</v>
      </c>
      <c r="H18">
        <v>172</v>
      </c>
      <c r="I18">
        <v>172</v>
      </c>
      <c r="J18">
        <v>182</v>
      </c>
      <c r="K18">
        <v>182</v>
      </c>
      <c r="L18">
        <v>7.7704041888631599</v>
      </c>
      <c r="O18">
        <v>30.476687940973701</v>
      </c>
      <c r="P18">
        <v>34.113410337704302</v>
      </c>
      <c r="Q18">
        <v>15.076481902947901</v>
      </c>
    </row>
    <row r="19" spans="1:17" x14ac:dyDescent="0.25">
      <c r="A19" t="s">
        <v>732</v>
      </c>
      <c r="B19" t="s">
        <v>621</v>
      </c>
      <c r="C19" t="s">
        <v>483</v>
      </c>
      <c r="D19" t="s">
        <v>623</v>
      </c>
      <c r="E19">
        <v>10</v>
      </c>
      <c r="F19">
        <v>2</v>
      </c>
      <c r="H19">
        <v>709</v>
      </c>
      <c r="I19">
        <v>709</v>
      </c>
      <c r="J19">
        <v>699</v>
      </c>
      <c r="K19">
        <v>699</v>
      </c>
      <c r="L19">
        <v>2.0231953682018502</v>
      </c>
      <c r="O19">
        <v>1288.01196776653</v>
      </c>
      <c r="P19">
        <v>1258.36315551138</v>
      </c>
      <c r="Q19">
        <v>3.3320867839967598</v>
      </c>
    </row>
    <row r="20" spans="1:17" x14ac:dyDescent="0.25">
      <c r="A20" t="s">
        <v>732</v>
      </c>
      <c r="B20" t="s">
        <v>621</v>
      </c>
      <c r="C20" t="s">
        <v>483</v>
      </c>
      <c r="D20" t="s">
        <v>622</v>
      </c>
      <c r="E20">
        <v>10</v>
      </c>
      <c r="F20">
        <v>2</v>
      </c>
      <c r="H20">
        <v>689</v>
      </c>
      <c r="I20">
        <v>689</v>
      </c>
      <c r="J20">
        <v>699</v>
      </c>
      <c r="K20">
        <v>699</v>
      </c>
      <c r="L20">
        <v>2.0231953682018502</v>
      </c>
      <c r="O20">
        <v>1228.71434325624</v>
      </c>
      <c r="P20">
        <v>1258.36315551138</v>
      </c>
      <c r="Q20">
        <v>3.3320867839967598</v>
      </c>
    </row>
    <row r="21" spans="1:17" x14ac:dyDescent="0.25">
      <c r="A21" t="s">
        <v>732</v>
      </c>
      <c r="B21" t="s">
        <v>624</v>
      </c>
      <c r="C21" t="s">
        <v>733</v>
      </c>
      <c r="D21" t="s">
        <v>625</v>
      </c>
      <c r="E21">
        <v>1</v>
      </c>
      <c r="F21">
        <v>2</v>
      </c>
      <c r="H21">
        <v>446</v>
      </c>
      <c r="I21">
        <v>446</v>
      </c>
      <c r="J21">
        <v>456</v>
      </c>
      <c r="K21">
        <v>456</v>
      </c>
      <c r="L21">
        <v>3.1013455315199399</v>
      </c>
      <c r="O21">
        <v>6957.2275319975797</v>
      </c>
      <c r="P21">
        <v>7094.0025970121396</v>
      </c>
      <c r="Q21">
        <v>2.7266574728845798</v>
      </c>
    </row>
    <row r="22" spans="1:17" x14ac:dyDescent="0.25">
      <c r="A22" t="s">
        <v>732</v>
      </c>
      <c r="B22" t="s">
        <v>624</v>
      </c>
      <c r="C22" t="s">
        <v>733</v>
      </c>
      <c r="D22" t="s">
        <v>626</v>
      </c>
      <c r="E22">
        <v>1</v>
      </c>
      <c r="F22">
        <v>2</v>
      </c>
      <c r="H22">
        <v>466</v>
      </c>
      <c r="I22">
        <v>466</v>
      </c>
      <c r="J22">
        <v>456</v>
      </c>
      <c r="K22">
        <v>456</v>
      </c>
      <c r="L22">
        <v>3.1013455315199399</v>
      </c>
      <c r="O22">
        <v>7230.7776620267095</v>
      </c>
      <c r="P22">
        <v>7094.0025970121396</v>
      </c>
      <c r="Q22">
        <v>2.7266574728845798</v>
      </c>
    </row>
    <row r="23" spans="1:17" x14ac:dyDescent="0.25">
      <c r="A23" t="s">
        <v>732</v>
      </c>
      <c r="B23" t="s">
        <v>624</v>
      </c>
      <c r="C23" t="s">
        <v>734</v>
      </c>
      <c r="D23" t="s">
        <v>625</v>
      </c>
      <c r="E23">
        <v>3</v>
      </c>
      <c r="F23">
        <v>2</v>
      </c>
      <c r="H23">
        <v>96</v>
      </c>
      <c r="I23">
        <v>96</v>
      </c>
      <c r="J23">
        <v>100</v>
      </c>
      <c r="K23">
        <v>99.5</v>
      </c>
      <c r="L23">
        <v>4.9746205711616396</v>
      </c>
      <c r="O23" t="s">
        <v>417</v>
      </c>
      <c r="P23" t="s">
        <v>417</v>
      </c>
      <c r="Q23" t="s">
        <v>417</v>
      </c>
    </row>
    <row r="24" spans="1:17" x14ac:dyDescent="0.25">
      <c r="A24" t="s">
        <v>732</v>
      </c>
      <c r="B24" t="s">
        <v>624</v>
      </c>
      <c r="C24" t="s">
        <v>734</v>
      </c>
      <c r="D24" t="s">
        <v>626</v>
      </c>
      <c r="E24">
        <v>3</v>
      </c>
      <c r="F24">
        <v>2</v>
      </c>
      <c r="H24">
        <v>103</v>
      </c>
      <c r="I24">
        <v>103</v>
      </c>
      <c r="J24">
        <v>100</v>
      </c>
      <c r="K24">
        <v>99.5</v>
      </c>
      <c r="L24">
        <v>4.9746205711616396</v>
      </c>
      <c r="O24">
        <v>3.08958094806456</v>
      </c>
      <c r="P24" t="s">
        <v>417</v>
      </c>
      <c r="Q24" t="s">
        <v>417</v>
      </c>
    </row>
    <row r="25" spans="1:17" x14ac:dyDescent="0.25">
      <c r="A25" t="s">
        <v>732</v>
      </c>
      <c r="B25" t="s">
        <v>624</v>
      </c>
      <c r="C25" t="s">
        <v>483</v>
      </c>
      <c r="D25" t="s">
        <v>626</v>
      </c>
      <c r="E25">
        <v>10</v>
      </c>
      <c r="F25">
        <v>2</v>
      </c>
      <c r="H25">
        <v>362</v>
      </c>
      <c r="I25">
        <v>362</v>
      </c>
      <c r="J25">
        <v>362</v>
      </c>
      <c r="K25">
        <v>361.5</v>
      </c>
      <c r="L25">
        <v>0.195603535597938</v>
      </c>
      <c r="O25">
        <v>223.459541518398</v>
      </c>
      <c r="P25">
        <v>221.82391903070999</v>
      </c>
      <c r="Q25">
        <v>1.04277280607048</v>
      </c>
    </row>
    <row r="26" spans="1:17" x14ac:dyDescent="0.25">
      <c r="A26" t="s">
        <v>732</v>
      </c>
      <c r="B26" t="s">
        <v>624</v>
      </c>
      <c r="C26" t="s">
        <v>483</v>
      </c>
      <c r="D26" t="s">
        <v>625</v>
      </c>
      <c r="E26">
        <v>10</v>
      </c>
      <c r="F26">
        <v>2</v>
      </c>
      <c r="H26">
        <v>361</v>
      </c>
      <c r="I26">
        <v>361</v>
      </c>
      <c r="J26">
        <v>362</v>
      </c>
      <c r="K26">
        <v>361.5</v>
      </c>
      <c r="L26">
        <v>0.195603535597938</v>
      </c>
      <c r="O26">
        <v>220.18829654302101</v>
      </c>
      <c r="P26">
        <v>221.82391903070999</v>
      </c>
      <c r="Q26">
        <v>1.04277280607048</v>
      </c>
    </row>
    <row r="27" spans="1:17" x14ac:dyDescent="0.25">
      <c r="A27" t="s">
        <v>732</v>
      </c>
      <c r="B27" t="s">
        <v>627</v>
      </c>
      <c r="C27" t="s">
        <v>733</v>
      </c>
      <c r="D27" t="s">
        <v>628</v>
      </c>
      <c r="E27">
        <v>1</v>
      </c>
      <c r="F27">
        <v>2</v>
      </c>
      <c r="H27">
        <v>118</v>
      </c>
      <c r="I27">
        <v>118</v>
      </c>
      <c r="J27">
        <v>137</v>
      </c>
      <c r="K27">
        <v>136.5</v>
      </c>
      <c r="L27">
        <v>19.1669969991957</v>
      </c>
      <c r="O27" t="s">
        <v>417</v>
      </c>
      <c r="P27" t="s">
        <v>417</v>
      </c>
      <c r="Q27" t="s">
        <v>417</v>
      </c>
    </row>
    <row r="28" spans="1:17" x14ac:dyDescent="0.25">
      <c r="A28" t="s">
        <v>732</v>
      </c>
      <c r="B28" t="s">
        <v>627</v>
      </c>
      <c r="C28" t="s">
        <v>733</v>
      </c>
      <c r="D28" t="s">
        <v>629</v>
      </c>
      <c r="E28">
        <v>1</v>
      </c>
      <c r="F28">
        <v>2</v>
      </c>
      <c r="H28">
        <v>155</v>
      </c>
      <c r="I28">
        <v>155</v>
      </c>
      <c r="J28">
        <v>137</v>
      </c>
      <c r="K28">
        <v>136.5</v>
      </c>
      <c r="L28">
        <v>19.1669969991957</v>
      </c>
      <c r="O28">
        <v>1611.7441947679799</v>
      </c>
      <c r="P28" t="s">
        <v>417</v>
      </c>
      <c r="Q28" t="s">
        <v>417</v>
      </c>
    </row>
    <row r="29" spans="1:17" x14ac:dyDescent="0.25">
      <c r="A29" t="s">
        <v>732</v>
      </c>
      <c r="B29" t="s">
        <v>627</v>
      </c>
      <c r="C29" t="s">
        <v>734</v>
      </c>
      <c r="D29" t="s">
        <v>629</v>
      </c>
      <c r="E29">
        <v>3</v>
      </c>
      <c r="F29">
        <v>2</v>
      </c>
      <c r="H29">
        <v>83</v>
      </c>
      <c r="I29">
        <v>83</v>
      </c>
      <c r="J29">
        <v>77</v>
      </c>
      <c r="K29">
        <v>77</v>
      </c>
      <c r="L29">
        <v>11.0198459405695</v>
      </c>
      <c r="O29" t="s">
        <v>417</v>
      </c>
      <c r="P29" t="s">
        <v>417</v>
      </c>
      <c r="Q29" t="s">
        <v>417</v>
      </c>
    </row>
    <row r="30" spans="1:17" x14ac:dyDescent="0.25">
      <c r="A30" t="s">
        <v>732</v>
      </c>
      <c r="B30" t="s">
        <v>627</v>
      </c>
      <c r="C30" t="s">
        <v>734</v>
      </c>
      <c r="D30" t="s">
        <v>628</v>
      </c>
      <c r="E30">
        <v>3</v>
      </c>
      <c r="F30">
        <v>2</v>
      </c>
      <c r="H30">
        <v>71</v>
      </c>
      <c r="I30">
        <v>71</v>
      </c>
      <c r="J30">
        <v>77</v>
      </c>
      <c r="K30">
        <v>77</v>
      </c>
      <c r="L30">
        <v>11.0198459405695</v>
      </c>
      <c r="O30" t="s">
        <v>417</v>
      </c>
      <c r="P30" t="s">
        <v>417</v>
      </c>
      <c r="Q30" t="s">
        <v>417</v>
      </c>
    </row>
    <row r="31" spans="1:17" x14ac:dyDescent="0.25">
      <c r="A31" t="s">
        <v>732</v>
      </c>
      <c r="B31" t="s">
        <v>627</v>
      </c>
      <c r="C31" t="s">
        <v>483</v>
      </c>
      <c r="D31" t="s">
        <v>629</v>
      </c>
      <c r="E31">
        <v>10</v>
      </c>
      <c r="F31">
        <v>2</v>
      </c>
      <c r="H31">
        <v>287</v>
      </c>
      <c r="I31">
        <v>287</v>
      </c>
      <c r="J31">
        <v>300</v>
      </c>
      <c r="K31">
        <v>299.5</v>
      </c>
      <c r="L31">
        <v>5.9023938329428001</v>
      </c>
      <c r="O31" t="s">
        <v>417</v>
      </c>
      <c r="P31" t="s">
        <v>417</v>
      </c>
      <c r="Q31" t="s">
        <v>417</v>
      </c>
    </row>
    <row r="32" spans="1:17" x14ac:dyDescent="0.25">
      <c r="A32" t="s">
        <v>732</v>
      </c>
      <c r="B32" t="s">
        <v>627</v>
      </c>
      <c r="C32" t="s">
        <v>483</v>
      </c>
      <c r="D32" t="s">
        <v>628</v>
      </c>
      <c r="E32">
        <v>10</v>
      </c>
      <c r="F32">
        <v>2</v>
      </c>
      <c r="H32">
        <v>312</v>
      </c>
      <c r="I32">
        <v>312</v>
      </c>
      <c r="J32">
        <v>300</v>
      </c>
      <c r="K32">
        <v>299.5</v>
      </c>
      <c r="L32">
        <v>5.9023938329428001</v>
      </c>
      <c r="O32">
        <v>54.8993961384977</v>
      </c>
      <c r="P32" t="s">
        <v>417</v>
      </c>
      <c r="Q32" t="s">
        <v>417</v>
      </c>
    </row>
    <row r="33" spans="1:17" x14ac:dyDescent="0.25">
      <c r="A33" t="s">
        <v>732</v>
      </c>
      <c r="B33" t="s">
        <v>630</v>
      </c>
      <c r="C33" t="s">
        <v>733</v>
      </c>
      <c r="D33" t="s">
        <v>631</v>
      </c>
      <c r="E33">
        <v>1</v>
      </c>
      <c r="F33">
        <v>2</v>
      </c>
      <c r="H33">
        <v>4700</v>
      </c>
      <c r="I33">
        <v>4700</v>
      </c>
      <c r="J33">
        <v>4895</v>
      </c>
      <c r="K33">
        <v>4895</v>
      </c>
      <c r="L33">
        <v>5.6337414639990504</v>
      </c>
      <c r="O33">
        <v>38569.8296028146</v>
      </c>
      <c r="P33">
        <v>39626.448787554</v>
      </c>
      <c r="Q33">
        <v>3.7709288292102401</v>
      </c>
    </row>
    <row r="34" spans="1:17" x14ac:dyDescent="0.25">
      <c r="A34" t="s">
        <v>732</v>
      </c>
      <c r="B34" t="s">
        <v>630</v>
      </c>
      <c r="C34" t="s">
        <v>733</v>
      </c>
      <c r="D34" t="s">
        <v>632</v>
      </c>
      <c r="E34">
        <v>1</v>
      </c>
      <c r="F34">
        <v>2</v>
      </c>
      <c r="H34">
        <v>5090</v>
      </c>
      <c r="I34">
        <v>5090</v>
      </c>
      <c r="J34">
        <v>4895</v>
      </c>
      <c r="K34">
        <v>4895</v>
      </c>
      <c r="L34">
        <v>5.6337414639990504</v>
      </c>
      <c r="O34">
        <v>40683.0679722934</v>
      </c>
      <c r="P34">
        <v>39626.448787554</v>
      </c>
      <c r="Q34">
        <v>3.7709288292102401</v>
      </c>
    </row>
    <row r="35" spans="1:17" x14ac:dyDescent="0.25">
      <c r="A35" t="s">
        <v>732</v>
      </c>
      <c r="B35" t="s">
        <v>630</v>
      </c>
      <c r="C35" t="s">
        <v>734</v>
      </c>
      <c r="D35" t="s">
        <v>631</v>
      </c>
      <c r="E35">
        <v>3</v>
      </c>
      <c r="F35">
        <v>2</v>
      </c>
      <c r="H35">
        <v>126</v>
      </c>
      <c r="I35">
        <v>126</v>
      </c>
      <c r="J35">
        <v>116</v>
      </c>
      <c r="K35">
        <v>116</v>
      </c>
      <c r="L35">
        <v>12.1914962273542</v>
      </c>
      <c r="O35">
        <v>12.8904413661585</v>
      </c>
      <c r="P35">
        <v>8.6771642946690104</v>
      </c>
      <c r="Q35">
        <v>68.668442525593704</v>
      </c>
    </row>
    <row r="36" spans="1:17" x14ac:dyDescent="0.25">
      <c r="A36" t="s">
        <v>732</v>
      </c>
      <c r="B36" t="s">
        <v>630</v>
      </c>
      <c r="C36" t="s">
        <v>734</v>
      </c>
      <c r="D36" t="s">
        <v>632</v>
      </c>
      <c r="E36">
        <v>3</v>
      </c>
      <c r="F36">
        <v>2</v>
      </c>
      <c r="H36">
        <v>106</v>
      </c>
      <c r="I36">
        <v>106</v>
      </c>
      <c r="J36">
        <v>116</v>
      </c>
      <c r="K36">
        <v>116</v>
      </c>
      <c r="L36">
        <v>12.1914962273542</v>
      </c>
      <c r="O36">
        <v>4.4638872231794497</v>
      </c>
      <c r="P36">
        <v>8.6771642946690104</v>
      </c>
      <c r="Q36">
        <v>68.668442525593704</v>
      </c>
    </row>
    <row r="37" spans="1:17" x14ac:dyDescent="0.25">
      <c r="A37" t="s">
        <v>732</v>
      </c>
      <c r="B37" t="s">
        <v>630</v>
      </c>
      <c r="C37" t="s">
        <v>483</v>
      </c>
      <c r="D37" t="s">
        <v>631</v>
      </c>
      <c r="E37">
        <v>10</v>
      </c>
      <c r="F37">
        <v>2</v>
      </c>
      <c r="H37">
        <v>1555</v>
      </c>
      <c r="I37">
        <v>1555</v>
      </c>
      <c r="J37">
        <v>1541</v>
      </c>
      <c r="K37">
        <v>1541</v>
      </c>
      <c r="L37">
        <v>1.2848143980028099</v>
      </c>
      <c r="O37">
        <v>3706.1995752718499</v>
      </c>
      <c r="P37">
        <v>3667.1319626729</v>
      </c>
      <c r="Q37">
        <v>1.5066255632291601</v>
      </c>
    </row>
    <row r="38" spans="1:17" x14ac:dyDescent="0.25">
      <c r="A38" t="s">
        <v>732</v>
      </c>
      <c r="B38" t="s">
        <v>630</v>
      </c>
      <c r="C38" t="s">
        <v>483</v>
      </c>
      <c r="D38" t="s">
        <v>632</v>
      </c>
      <c r="E38">
        <v>10</v>
      </c>
      <c r="F38">
        <v>2</v>
      </c>
      <c r="H38">
        <v>1527</v>
      </c>
      <c r="I38">
        <v>1527</v>
      </c>
      <c r="J38">
        <v>1541</v>
      </c>
      <c r="K38">
        <v>1541</v>
      </c>
      <c r="L38">
        <v>1.2848143980028099</v>
      </c>
      <c r="O38">
        <v>3628.0643500739502</v>
      </c>
      <c r="P38">
        <v>3667.1319626729</v>
      </c>
      <c r="Q38">
        <v>1.5066255632291601</v>
      </c>
    </row>
    <row r="39" spans="1:17" x14ac:dyDescent="0.25">
      <c r="A39" t="s">
        <v>732</v>
      </c>
      <c r="B39" t="s">
        <v>633</v>
      </c>
      <c r="C39" t="s">
        <v>733</v>
      </c>
      <c r="D39" t="s">
        <v>634</v>
      </c>
      <c r="E39">
        <v>1</v>
      </c>
      <c r="F39">
        <v>2</v>
      </c>
      <c r="H39">
        <v>1429</v>
      </c>
      <c r="I39">
        <v>1429</v>
      </c>
      <c r="J39">
        <v>1414</v>
      </c>
      <c r="K39">
        <v>1414</v>
      </c>
      <c r="L39">
        <v>1.50022655131516</v>
      </c>
      <c r="O39">
        <v>17104.6643052072</v>
      </c>
      <c r="P39">
        <v>16977.273581821901</v>
      </c>
      <c r="Q39">
        <v>1.0611697329593801</v>
      </c>
    </row>
    <row r="40" spans="1:17" x14ac:dyDescent="0.25">
      <c r="A40" t="s">
        <v>732</v>
      </c>
      <c r="B40" t="s">
        <v>633</v>
      </c>
      <c r="C40" t="s">
        <v>733</v>
      </c>
      <c r="D40" t="s">
        <v>635</v>
      </c>
      <c r="E40">
        <v>1</v>
      </c>
      <c r="F40">
        <v>2</v>
      </c>
      <c r="H40">
        <v>1399</v>
      </c>
      <c r="I40">
        <v>1399</v>
      </c>
      <c r="J40">
        <v>1414</v>
      </c>
      <c r="K40">
        <v>1414</v>
      </c>
      <c r="L40">
        <v>1.50022655131516</v>
      </c>
      <c r="O40">
        <v>16849.882858436598</v>
      </c>
      <c r="P40">
        <v>16977.273581821901</v>
      </c>
      <c r="Q40">
        <v>1.0611697329593801</v>
      </c>
    </row>
    <row r="41" spans="1:17" x14ac:dyDescent="0.25">
      <c r="A41" t="s">
        <v>732</v>
      </c>
      <c r="B41" t="s">
        <v>633</v>
      </c>
      <c r="C41" t="s">
        <v>734</v>
      </c>
      <c r="D41" t="s">
        <v>635</v>
      </c>
      <c r="E41">
        <v>3</v>
      </c>
      <c r="F41">
        <v>2</v>
      </c>
      <c r="H41">
        <v>92</v>
      </c>
      <c r="I41">
        <v>92</v>
      </c>
      <c r="J41">
        <v>100</v>
      </c>
      <c r="K41">
        <v>100</v>
      </c>
      <c r="L41">
        <v>11.313708498984701</v>
      </c>
      <c r="O41" t="s">
        <v>417</v>
      </c>
      <c r="P41">
        <v>5.3549152332249399</v>
      </c>
      <c r="Q41" t="s">
        <v>417</v>
      </c>
    </row>
    <row r="42" spans="1:17" x14ac:dyDescent="0.25">
      <c r="A42" t="s">
        <v>732</v>
      </c>
      <c r="B42" t="s">
        <v>633</v>
      </c>
      <c r="C42" t="s">
        <v>734</v>
      </c>
      <c r="D42" t="s">
        <v>634</v>
      </c>
      <c r="E42">
        <v>3</v>
      </c>
      <c r="F42">
        <v>2</v>
      </c>
      <c r="H42">
        <v>108</v>
      </c>
      <c r="I42">
        <v>108</v>
      </c>
      <c r="J42">
        <v>100</v>
      </c>
      <c r="K42">
        <v>100</v>
      </c>
      <c r="L42">
        <v>11.313708498984701</v>
      </c>
      <c r="O42">
        <v>5.3549152332249399</v>
      </c>
      <c r="P42" t="s">
        <v>417</v>
      </c>
      <c r="Q42" t="s">
        <v>417</v>
      </c>
    </row>
    <row r="43" spans="1:17" x14ac:dyDescent="0.25">
      <c r="A43" t="s">
        <v>732</v>
      </c>
      <c r="B43" t="s">
        <v>633</v>
      </c>
      <c r="C43" t="s">
        <v>483</v>
      </c>
      <c r="D43" t="s">
        <v>635</v>
      </c>
      <c r="E43">
        <v>10</v>
      </c>
      <c r="F43">
        <v>2</v>
      </c>
      <c r="H43">
        <v>2932</v>
      </c>
      <c r="I43">
        <v>2932</v>
      </c>
      <c r="J43">
        <v>2964</v>
      </c>
      <c r="K43">
        <v>2964</v>
      </c>
      <c r="L43">
        <v>1.5268162616713501</v>
      </c>
      <c r="O43">
        <v>7462.2289625089197</v>
      </c>
      <c r="P43">
        <v>7547.9484993352698</v>
      </c>
      <c r="Q43">
        <v>1.6060752342287801</v>
      </c>
    </row>
    <row r="44" spans="1:17" x14ac:dyDescent="0.25">
      <c r="A44" t="s">
        <v>732</v>
      </c>
      <c r="B44" t="s">
        <v>633</v>
      </c>
      <c r="C44" t="s">
        <v>483</v>
      </c>
      <c r="D44" t="s">
        <v>634</v>
      </c>
      <c r="E44">
        <v>10</v>
      </c>
      <c r="F44">
        <v>2</v>
      </c>
      <c r="H44">
        <v>2996</v>
      </c>
      <c r="I44">
        <v>2996</v>
      </c>
      <c r="J44">
        <v>2964</v>
      </c>
      <c r="K44">
        <v>2964</v>
      </c>
      <c r="L44">
        <v>1.5268162616713501</v>
      </c>
      <c r="O44">
        <v>7633.66803616163</v>
      </c>
      <c r="P44">
        <v>7547.9484993352698</v>
      </c>
      <c r="Q44">
        <v>1.6060752342287801</v>
      </c>
    </row>
    <row r="45" spans="1:17" x14ac:dyDescent="0.25">
      <c r="A45" t="s">
        <v>732</v>
      </c>
      <c r="B45" t="s">
        <v>636</v>
      </c>
      <c r="C45" t="s">
        <v>733</v>
      </c>
      <c r="D45" t="s">
        <v>637</v>
      </c>
      <c r="E45">
        <v>1</v>
      </c>
      <c r="F45">
        <v>2</v>
      </c>
      <c r="H45">
        <v>6520</v>
      </c>
      <c r="I45">
        <v>6520</v>
      </c>
      <c r="J45">
        <v>6672</v>
      </c>
      <c r="K45">
        <v>6671.5</v>
      </c>
      <c r="L45">
        <v>3.2114720032904698</v>
      </c>
      <c r="O45">
        <v>48002.462017723803</v>
      </c>
      <c r="P45">
        <v>48741.664652042098</v>
      </c>
      <c r="Q45">
        <v>2.1447572590261301</v>
      </c>
    </row>
    <row r="46" spans="1:17" x14ac:dyDescent="0.25">
      <c r="A46" t="s">
        <v>732</v>
      </c>
      <c r="B46" t="s">
        <v>636</v>
      </c>
      <c r="C46" t="s">
        <v>733</v>
      </c>
      <c r="D46" t="s">
        <v>638</v>
      </c>
      <c r="E46">
        <v>1</v>
      </c>
      <c r="F46">
        <v>2</v>
      </c>
      <c r="H46">
        <v>6823</v>
      </c>
      <c r="I46">
        <v>6823</v>
      </c>
      <c r="J46">
        <v>6672</v>
      </c>
      <c r="K46">
        <v>6671.5</v>
      </c>
      <c r="L46">
        <v>3.2114720032904698</v>
      </c>
      <c r="O46">
        <v>49480.867286360401</v>
      </c>
      <c r="P46">
        <v>48741.664652042098</v>
      </c>
      <c r="Q46">
        <v>2.1447572590261301</v>
      </c>
    </row>
    <row r="47" spans="1:17" x14ac:dyDescent="0.25">
      <c r="A47" t="s">
        <v>732</v>
      </c>
      <c r="B47" t="s">
        <v>636</v>
      </c>
      <c r="C47" t="s">
        <v>734</v>
      </c>
      <c r="D47" t="s">
        <v>637</v>
      </c>
      <c r="E47">
        <v>3</v>
      </c>
      <c r="F47">
        <v>2</v>
      </c>
      <c r="H47">
        <v>341</v>
      </c>
      <c r="I47">
        <v>341</v>
      </c>
      <c r="J47">
        <v>342</v>
      </c>
      <c r="K47">
        <v>342</v>
      </c>
      <c r="L47">
        <v>0.41351273753599199</v>
      </c>
      <c r="O47">
        <v>88.673859265913194</v>
      </c>
      <c r="P47">
        <v>89.002722334027396</v>
      </c>
      <c r="Q47">
        <v>0.52254874782965099</v>
      </c>
    </row>
    <row r="48" spans="1:17" x14ac:dyDescent="0.25">
      <c r="A48" t="s">
        <v>732</v>
      </c>
      <c r="B48" t="s">
        <v>636</v>
      </c>
      <c r="C48" t="s">
        <v>734</v>
      </c>
      <c r="D48" t="s">
        <v>638</v>
      </c>
      <c r="E48">
        <v>3</v>
      </c>
      <c r="F48">
        <v>2</v>
      </c>
      <c r="H48">
        <v>343</v>
      </c>
      <c r="I48">
        <v>343</v>
      </c>
      <c r="J48">
        <v>342</v>
      </c>
      <c r="K48">
        <v>342</v>
      </c>
      <c r="L48">
        <v>0.41351273753599199</v>
      </c>
      <c r="O48">
        <v>89.331585402141698</v>
      </c>
      <c r="P48">
        <v>89.002722334027396</v>
      </c>
      <c r="Q48">
        <v>0.52254874782965099</v>
      </c>
    </row>
    <row r="49" spans="1:17" x14ac:dyDescent="0.25">
      <c r="A49" t="s">
        <v>732</v>
      </c>
      <c r="B49" t="s">
        <v>636</v>
      </c>
      <c r="C49" t="s">
        <v>483</v>
      </c>
      <c r="D49" t="s">
        <v>637</v>
      </c>
      <c r="E49">
        <v>10</v>
      </c>
      <c r="F49">
        <v>2</v>
      </c>
      <c r="H49">
        <v>8426</v>
      </c>
      <c r="I49">
        <v>8426</v>
      </c>
      <c r="J49">
        <v>8461</v>
      </c>
      <c r="K49">
        <v>8461</v>
      </c>
      <c r="L49">
        <v>0.58500738308779399</v>
      </c>
      <c r="O49">
        <v>21673.6258154795</v>
      </c>
      <c r="P49">
        <v>21761.924660493401</v>
      </c>
      <c r="Q49">
        <v>0.57381608524414895</v>
      </c>
    </row>
    <row r="50" spans="1:17" x14ac:dyDescent="0.25">
      <c r="A50" t="s">
        <v>732</v>
      </c>
      <c r="B50" t="s">
        <v>636</v>
      </c>
      <c r="C50" t="s">
        <v>483</v>
      </c>
      <c r="D50" t="s">
        <v>638</v>
      </c>
      <c r="E50">
        <v>10</v>
      </c>
      <c r="F50">
        <v>2</v>
      </c>
      <c r="H50">
        <v>8496</v>
      </c>
      <c r="I50">
        <v>8496</v>
      </c>
      <c r="J50">
        <v>8461</v>
      </c>
      <c r="K50">
        <v>8461</v>
      </c>
      <c r="L50">
        <v>0.58500738308779399</v>
      </c>
      <c r="O50">
        <v>21850.223505507402</v>
      </c>
      <c r="P50">
        <v>21761.924660493401</v>
      </c>
      <c r="Q50">
        <v>0.57381608524414895</v>
      </c>
    </row>
    <row r="51" spans="1:17" x14ac:dyDescent="0.25">
      <c r="A51" t="s">
        <v>732</v>
      </c>
      <c r="B51" t="s">
        <v>639</v>
      </c>
      <c r="C51" t="s">
        <v>733</v>
      </c>
      <c r="D51" t="s">
        <v>640</v>
      </c>
      <c r="E51">
        <v>1</v>
      </c>
      <c r="F51">
        <v>2</v>
      </c>
      <c r="H51">
        <v>50280</v>
      </c>
      <c r="I51">
        <v>50280</v>
      </c>
      <c r="J51">
        <v>48022</v>
      </c>
      <c r="K51">
        <v>48022</v>
      </c>
      <c r="L51">
        <v>6.6496485440807298</v>
      </c>
      <c r="O51">
        <v>195946.599833224</v>
      </c>
      <c r="P51">
        <v>189369.17060307501</v>
      </c>
      <c r="Q51">
        <v>4.9120401136055101</v>
      </c>
    </row>
    <row r="52" spans="1:17" x14ac:dyDescent="0.25">
      <c r="A52" t="s">
        <v>732</v>
      </c>
      <c r="B52" t="s">
        <v>639</v>
      </c>
      <c r="C52" t="s">
        <v>733</v>
      </c>
      <c r="D52" t="s">
        <v>641</v>
      </c>
      <c r="E52">
        <v>1</v>
      </c>
      <c r="F52">
        <v>2</v>
      </c>
      <c r="H52">
        <v>45764</v>
      </c>
      <c r="I52">
        <v>45764</v>
      </c>
      <c r="J52">
        <v>48022</v>
      </c>
      <c r="K52">
        <v>48022</v>
      </c>
      <c r="L52">
        <v>6.6496485440807298</v>
      </c>
      <c r="O52">
        <v>182791.741372927</v>
      </c>
      <c r="P52">
        <v>189369.17060307501</v>
      </c>
      <c r="Q52">
        <v>4.9120401136055101</v>
      </c>
    </row>
    <row r="53" spans="1:17" x14ac:dyDescent="0.25">
      <c r="A53" t="s">
        <v>732</v>
      </c>
      <c r="B53" t="s">
        <v>639</v>
      </c>
      <c r="C53" t="s">
        <v>734</v>
      </c>
      <c r="D53" t="s">
        <v>640</v>
      </c>
      <c r="E53">
        <v>3</v>
      </c>
      <c r="F53">
        <v>2</v>
      </c>
      <c r="H53">
        <v>288</v>
      </c>
      <c r="I53">
        <v>288</v>
      </c>
      <c r="J53">
        <v>286</v>
      </c>
      <c r="K53">
        <v>285.5</v>
      </c>
      <c r="L53">
        <v>1.23836564130743</v>
      </c>
      <c r="O53">
        <v>71.041713350252294</v>
      </c>
      <c r="P53">
        <v>70.198862349791796</v>
      </c>
      <c r="Q53">
        <v>1.6979923548784099</v>
      </c>
    </row>
    <row r="54" spans="1:17" x14ac:dyDescent="0.25">
      <c r="A54" t="s">
        <v>732</v>
      </c>
      <c r="B54" t="s">
        <v>639</v>
      </c>
      <c r="C54" t="s">
        <v>734</v>
      </c>
      <c r="D54" t="s">
        <v>641</v>
      </c>
      <c r="E54">
        <v>3</v>
      </c>
      <c r="F54">
        <v>2</v>
      </c>
      <c r="H54">
        <v>283</v>
      </c>
      <c r="I54">
        <v>283</v>
      </c>
      <c r="J54">
        <v>286</v>
      </c>
      <c r="K54">
        <v>285.5</v>
      </c>
      <c r="L54">
        <v>1.23836564130743</v>
      </c>
      <c r="O54">
        <v>69.356011349331197</v>
      </c>
      <c r="P54">
        <v>70.198862349791796</v>
      </c>
      <c r="Q54">
        <v>1.6979923548784099</v>
      </c>
    </row>
    <row r="55" spans="1:17" x14ac:dyDescent="0.25">
      <c r="A55" t="s">
        <v>732</v>
      </c>
      <c r="B55" t="s">
        <v>639</v>
      </c>
      <c r="C55" t="s">
        <v>483</v>
      </c>
      <c r="D55" t="s">
        <v>641</v>
      </c>
      <c r="E55">
        <v>10</v>
      </c>
      <c r="F55">
        <v>2</v>
      </c>
      <c r="H55">
        <v>25632</v>
      </c>
      <c r="I55">
        <v>25632</v>
      </c>
      <c r="J55">
        <v>25902</v>
      </c>
      <c r="K55">
        <v>25902</v>
      </c>
      <c r="L55">
        <v>1.47416285167452</v>
      </c>
      <c r="O55">
        <v>63558.569467637499</v>
      </c>
      <c r="P55">
        <v>64199.294434520103</v>
      </c>
      <c r="Q55">
        <v>1.4114203993949199</v>
      </c>
    </row>
    <row r="56" spans="1:17" x14ac:dyDescent="0.25">
      <c r="A56" t="s">
        <v>732</v>
      </c>
      <c r="B56" t="s">
        <v>639</v>
      </c>
      <c r="C56" t="s">
        <v>483</v>
      </c>
      <c r="D56" t="s">
        <v>640</v>
      </c>
      <c r="E56">
        <v>10</v>
      </c>
      <c r="F56">
        <v>2</v>
      </c>
      <c r="H56">
        <v>26172</v>
      </c>
      <c r="I56">
        <v>26172</v>
      </c>
      <c r="J56">
        <v>25902</v>
      </c>
      <c r="K56">
        <v>25902</v>
      </c>
      <c r="L56">
        <v>1.47416285167452</v>
      </c>
      <c r="O56">
        <v>64840.0194014027</v>
      </c>
      <c r="P56">
        <v>64199.294434520103</v>
      </c>
      <c r="Q56">
        <v>1.4114203993949199</v>
      </c>
    </row>
    <row r="57" spans="1:17" x14ac:dyDescent="0.25">
      <c r="A57" t="s">
        <v>732</v>
      </c>
      <c r="B57" t="s">
        <v>642</v>
      </c>
      <c r="C57" t="s">
        <v>733</v>
      </c>
      <c r="D57" t="s">
        <v>643</v>
      </c>
      <c r="E57">
        <v>1</v>
      </c>
      <c r="F57">
        <v>2</v>
      </c>
      <c r="H57">
        <v>20702</v>
      </c>
      <c r="I57">
        <v>20702</v>
      </c>
      <c r="J57">
        <v>21890</v>
      </c>
      <c r="K57">
        <v>21889.5</v>
      </c>
      <c r="L57">
        <v>7.67207384964503</v>
      </c>
      <c r="O57">
        <v>104464.77351791901</v>
      </c>
      <c r="P57">
        <v>108511.397154426</v>
      </c>
      <c r="Q57">
        <v>5.2739068693616096</v>
      </c>
    </row>
    <row r="58" spans="1:17" x14ac:dyDescent="0.25">
      <c r="A58" t="s">
        <v>732</v>
      </c>
      <c r="B58" t="s">
        <v>642</v>
      </c>
      <c r="C58" t="s">
        <v>733</v>
      </c>
      <c r="D58" t="s">
        <v>644</v>
      </c>
      <c r="E58">
        <v>1</v>
      </c>
      <c r="F58">
        <v>2</v>
      </c>
      <c r="H58">
        <v>23077</v>
      </c>
      <c r="I58">
        <v>23077</v>
      </c>
      <c r="J58">
        <v>21890</v>
      </c>
      <c r="K58">
        <v>21889.5</v>
      </c>
      <c r="L58">
        <v>7.67207384964503</v>
      </c>
      <c r="O58">
        <v>112558.02079093301</v>
      </c>
      <c r="P58">
        <v>108511.397154426</v>
      </c>
      <c r="Q58">
        <v>5.2739068693616096</v>
      </c>
    </row>
    <row r="59" spans="1:17" x14ac:dyDescent="0.25">
      <c r="A59" t="s">
        <v>732</v>
      </c>
      <c r="B59" t="s">
        <v>642</v>
      </c>
      <c r="C59" t="s">
        <v>734</v>
      </c>
      <c r="D59" t="s">
        <v>643</v>
      </c>
      <c r="E59">
        <v>3</v>
      </c>
      <c r="F59">
        <v>2</v>
      </c>
      <c r="H59">
        <v>93</v>
      </c>
      <c r="I59">
        <v>93</v>
      </c>
      <c r="J59">
        <v>95</v>
      </c>
      <c r="K59">
        <v>94.5</v>
      </c>
      <c r="L59">
        <v>2.2447834323382398</v>
      </c>
      <c r="O59" t="s">
        <v>417</v>
      </c>
      <c r="P59" t="s">
        <v>417</v>
      </c>
      <c r="Q59" t="s">
        <v>417</v>
      </c>
    </row>
    <row r="60" spans="1:17" x14ac:dyDescent="0.25">
      <c r="A60" t="s">
        <v>732</v>
      </c>
      <c r="B60" t="s">
        <v>642</v>
      </c>
      <c r="C60" t="s">
        <v>734</v>
      </c>
      <c r="D60" t="s">
        <v>644</v>
      </c>
      <c r="E60">
        <v>3</v>
      </c>
      <c r="F60">
        <v>2</v>
      </c>
      <c r="H60">
        <v>96</v>
      </c>
      <c r="I60">
        <v>96</v>
      </c>
      <c r="J60">
        <v>95</v>
      </c>
      <c r="K60">
        <v>94.5</v>
      </c>
      <c r="L60">
        <v>2.2447834323382398</v>
      </c>
      <c r="O60" t="s">
        <v>417</v>
      </c>
      <c r="P60" t="s">
        <v>417</v>
      </c>
      <c r="Q60" t="s">
        <v>417</v>
      </c>
    </row>
    <row r="61" spans="1:17" x14ac:dyDescent="0.25">
      <c r="A61" t="s">
        <v>732</v>
      </c>
      <c r="B61" t="s">
        <v>642</v>
      </c>
      <c r="C61" t="s">
        <v>483</v>
      </c>
      <c r="D61" t="s">
        <v>644</v>
      </c>
      <c r="E61">
        <v>10</v>
      </c>
      <c r="F61">
        <v>2</v>
      </c>
      <c r="H61">
        <v>5110</v>
      </c>
      <c r="I61">
        <v>5110</v>
      </c>
      <c r="J61">
        <v>4908</v>
      </c>
      <c r="K61">
        <v>4908</v>
      </c>
      <c r="L61">
        <v>5.8205203667352299</v>
      </c>
      <c r="O61">
        <v>13197.763710810499</v>
      </c>
      <c r="P61">
        <v>12672.3004573751</v>
      </c>
      <c r="Q61">
        <v>5.8641070106931599</v>
      </c>
    </row>
    <row r="62" spans="1:17" x14ac:dyDescent="0.25">
      <c r="A62" t="s">
        <v>732</v>
      </c>
      <c r="B62" t="s">
        <v>642</v>
      </c>
      <c r="C62" t="s">
        <v>483</v>
      </c>
      <c r="D62" t="s">
        <v>643</v>
      </c>
      <c r="E62">
        <v>10</v>
      </c>
      <c r="F62">
        <v>2</v>
      </c>
      <c r="H62">
        <v>4706</v>
      </c>
      <c r="I62">
        <v>4706</v>
      </c>
      <c r="J62">
        <v>4908</v>
      </c>
      <c r="K62">
        <v>4908</v>
      </c>
      <c r="L62">
        <v>5.8205203667352299</v>
      </c>
      <c r="O62">
        <v>12146.8372039397</v>
      </c>
      <c r="P62">
        <v>12672.3004573751</v>
      </c>
      <c r="Q62">
        <v>5.8641070106931599</v>
      </c>
    </row>
    <row r="63" spans="1:17" x14ac:dyDescent="0.25">
      <c r="A63" t="s">
        <v>732</v>
      </c>
      <c r="B63" t="s">
        <v>645</v>
      </c>
      <c r="C63" t="s">
        <v>733</v>
      </c>
      <c r="D63" t="s">
        <v>646</v>
      </c>
      <c r="E63">
        <v>1</v>
      </c>
      <c r="F63">
        <v>2</v>
      </c>
      <c r="H63">
        <v>26216</v>
      </c>
      <c r="I63">
        <v>26216</v>
      </c>
      <c r="J63">
        <v>25092</v>
      </c>
      <c r="K63">
        <v>25091.5</v>
      </c>
      <c r="L63">
        <v>6.3379357586774203</v>
      </c>
      <c r="O63">
        <v>122941.566746964</v>
      </c>
      <c r="P63">
        <v>119238.49983735901</v>
      </c>
      <c r="Q63">
        <v>4.39197696472419</v>
      </c>
    </row>
    <row r="64" spans="1:17" x14ac:dyDescent="0.25">
      <c r="A64" t="s">
        <v>732</v>
      </c>
      <c r="B64" t="s">
        <v>645</v>
      </c>
      <c r="C64" t="s">
        <v>733</v>
      </c>
      <c r="D64" t="s">
        <v>647</v>
      </c>
      <c r="E64">
        <v>1</v>
      </c>
      <c r="F64">
        <v>2</v>
      </c>
      <c r="H64">
        <v>23967</v>
      </c>
      <c r="I64">
        <v>23967</v>
      </c>
      <c r="J64">
        <v>25092</v>
      </c>
      <c r="K64">
        <v>25091.5</v>
      </c>
      <c r="L64">
        <v>6.3379357586774203</v>
      </c>
      <c r="O64">
        <v>115535.43292775301</v>
      </c>
      <c r="P64">
        <v>119238.49983735901</v>
      </c>
      <c r="Q64">
        <v>4.39197696472419</v>
      </c>
    </row>
    <row r="65" spans="1:17" x14ac:dyDescent="0.25">
      <c r="A65" t="s">
        <v>732</v>
      </c>
      <c r="B65" t="s">
        <v>645</v>
      </c>
      <c r="C65" t="s">
        <v>734</v>
      </c>
      <c r="D65" t="s">
        <v>646</v>
      </c>
      <c r="E65">
        <v>3</v>
      </c>
      <c r="F65">
        <v>2</v>
      </c>
      <c r="H65">
        <v>142</v>
      </c>
      <c r="I65">
        <v>142</v>
      </c>
      <c r="J65">
        <v>145</v>
      </c>
      <c r="K65">
        <v>145</v>
      </c>
      <c r="L65">
        <v>2.92595909456502</v>
      </c>
      <c r="O65">
        <v>19.190413052694399</v>
      </c>
      <c r="P65">
        <v>20.341985215586799</v>
      </c>
      <c r="Q65">
        <v>8.0059490435862504</v>
      </c>
    </row>
    <row r="66" spans="1:17" x14ac:dyDescent="0.25">
      <c r="A66" t="s">
        <v>732</v>
      </c>
      <c r="B66" t="s">
        <v>645</v>
      </c>
      <c r="C66" t="s">
        <v>734</v>
      </c>
      <c r="D66" t="s">
        <v>647</v>
      </c>
      <c r="E66">
        <v>3</v>
      </c>
      <c r="F66">
        <v>2</v>
      </c>
      <c r="H66">
        <v>148</v>
      </c>
      <c r="I66">
        <v>148</v>
      </c>
      <c r="J66">
        <v>145</v>
      </c>
      <c r="K66">
        <v>145</v>
      </c>
      <c r="L66">
        <v>2.92595909456502</v>
      </c>
      <c r="O66">
        <v>21.493557378479199</v>
      </c>
      <c r="P66">
        <v>20.341985215586799</v>
      </c>
      <c r="Q66">
        <v>8.0059490435862504</v>
      </c>
    </row>
    <row r="67" spans="1:17" x14ac:dyDescent="0.25">
      <c r="A67" t="s">
        <v>732</v>
      </c>
      <c r="B67" t="s">
        <v>645</v>
      </c>
      <c r="C67" t="s">
        <v>483</v>
      </c>
      <c r="D67" t="s">
        <v>646</v>
      </c>
      <c r="E67">
        <v>10</v>
      </c>
      <c r="F67">
        <v>2</v>
      </c>
      <c r="H67">
        <v>7751</v>
      </c>
      <c r="I67">
        <v>7751</v>
      </c>
      <c r="J67">
        <v>7721</v>
      </c>
      <c r="K67">
        <v>7721</v>
      </c>
      <c r="L67">
        <v>0.54949367790691395</v>
      </c>
      <c r="O67">
        <v>19966.423177992401</v>
      </c>
      <c r="P67">
        <v>19890.352151387</v>
      </c>
      <c r="Q67">
        <v>0.540868641792701</v>
      </c>
    </row>
    <row r="68" spans="1:17" x14ac:dyDescent="0.25">
      <c r="A68" t="s">
        <v>732</v>
      </c>
      <c r="B68" t="s">
        <v>645</v>
      </c>
      <c r="C68" t="s">
        <v>483</v>
      </c>
      <c r="D68" t="s">
        <v>647</v>
      </c>
      <c r="E68">
        <v>10</v>
      </c>
      <c r="F68">
        <v>2</v>
      </c>
      <c r="H68">
        <v>7691</v>
      </c>
      <c r="I68">
        <v>7691</v>
      </c>
      <c r="J68">
        <v>7721</v>
      </c>
      <c r="K68">
        <v>7721</v>
      </c>
      <c r="L68">
        <v>0.54949367790691395</v>
      </c>
      <c r="O68">
        <v>19814.281124781599</v>
      </c>
      <c r="P68">
        <v>19890.352151387</v>
      </c>
      <c r="Q68">
        <v>0.540868641792701</v>
      </c>
    </row>
    <row r="69" spans="1:17" x14ac:dyDescent="0.25">
      <c r="A69" t="s">
        <v>732</v>
      </c>
      <c r="B69" t="s">
        <v>648</v>
      </c>
      <c r="C69" t="s">
        <v>733</v>
      </c>
      <c r="D69" t="s">
        <v>649</v>
      </c>
      <c r="E69">
        <v>1</v>
      </c>
      <c r="F69">
        <v>2</v>
      </c>
      <c r="H69">
        <v>5827</v>
      </c>
      <c r="I69">
        <v>5827</v>
      </c>
      <c r="J69">
        <v>5598</v>
      </c>
      <c r="K69">
        <v>5597.5</v>
      </c>
      <c r="L69">
        <v>5.7983387684613703</v>
      </c>
      <c r="O69">
        <v>44531.552391642501</v>
      </c>
      <c r="P69">
        <v>43343.609582118603</v>
      </c>
      <c r="Q69">
        <v>3.8760150544668002</v>
      </c>
    </row>
    <row r="70" spans="1:17" x14ac:dyDescent="0.25">
      <c r="A70" t="s">
        <v>732</v>
      </c>
      <c r="B70" t="s">
        <v>648</v>
      </c>
      <c r="C70" t="s">
        <v>733</v>
      </c>
      <c r="D70" t="s">
        <v>650</v>
      </c>
      <c r="E70">
        <v>1</v>
      </c>
      <c r="F70">
        <v>2</v>
      </c>
      <c r="H70">
        <v>5368</v>
      </c>
      <c r="I70">
        <v>5368</v>
      </c>
      <c r="J70">
        <v>5598</v>
      </c>
      <c r="K70">
        <v>5597.5</v>
      </c>
      <c r="L70">
        <v>5.7983387684613703</v>
      </c>
      <c r="O70">
        <v>42155.666772594799</v>
      </c>
      <c r="P70">
        <v>43343.609582118603</v>
      </c>
      <c r="Q70">
        <v>3.8760150544668002</v>
      </c>
    </row>
    <row r="71" spans="1:17" x14ac:dyDescent="0.25">
      <c r="A71" t="s">
        <v>732</v>
      </c>
      <c r="B71" t="s">
        <v>648</v>
      </c>
      <c r="C71" t="s">
        <v>734</v>
      </c>
      <c r="D71" t="s">
        <v>650</v>
      </c>
      <c r="E71">
        <v>3</v>
      </c>
      <c r="F71">
        <v>2</v>
      </c>
      <c r="H71">
        <v>100</v>
      </c>
      <c r="I71">
        <v>100</v>
      </c>
      <c r="J71">
        <v>104</v>
      </c>
      <c r="K71">
        <v>104</v>
      </c>
      <c r="L71">
        <v>5.4392829322042102</v>
      </c>
      <c r="O71">
        <v>1.6449645791729599</v>
      </c>
      <c r="P71">
        <v>3.49993990619895</v>
      </c>
      <c r="Q71">
        <v>74.953608794861694</v>
      </c>
    </row>
    <row r="72" spans="1:17" x14ac:dyDescent="0.25">
      <c r="A72" t="s">
        <v>732</v>
      </c>
      <c r="B72" t="s">
        <v>648</v>
      </c>
      <c r="C72" t="s">
        <v>734</v>
      </c>
      <c r="D72" t="s">
        <v>649</v>
      </c>
      <c r="E72">
        <v>3</v>
      </c>
      <c r="F72">
        <v>2</v>
      </c>
      <c r="H72">
        <v>108</v>
      </c>
      <c r="I72">
        <v>108</v>
      </c>
      <c r="J72">
        <v>104</v>
      </c>
      <c r="K72">
        <v>104</v>
      </c>
      <c r="L72">
        <v>5.4392829322042102</v>
      </c>
      <c r="O72">
        <v>5.3549152332249399</v>
      </c>
      <c r="P72">
        <v>3.49993990619895</v>
      </c>
      <c r="Q72">
        <v>74.953608794861694</v>
      </c>
    </row>
    <row r="73" spans="1:17" x14ac:dyDescent="0.25">
      <c r="A73" t="s">
        <v>732</v>
      </c>
      <c r="B73" t="s">
        <v>648</v>
      </c>
      <c r="C73" t="s">
        <v>483</v>
      </c>
      <c r="D73" t="s">
        <v>650</v>
      </c>
      <c r="E73">
        <v>10</v>
      </c>
      <c r="F73">
        <v>2</v>
      </c>
      <c r="H73">
        <v>2907</v>
      </c>
      <c r="I73">
        <v>2907</v>
      </c>
      <c r="J73">
        <v>2748</v>
      </c>
      <c r="K73">
        <v>2748</v>
      </c>
      <c r="L73">
        <v>8.1826767255211799</v>
      </c>
      <c r="O73">
        <v>7395.2002116844196</v>
      </c>
      <c r="P73">
        <v>6967.33189199157</v>
      </c>
      <c r="Q73">
        <v>8.6847761811796094</v>
      </c>
    </row>
    <row r="74" spans="1:17" x14ac:dyDescent="0.25">
      <c r="A74" t="s">
        <v>732</v>
      </c>
      <c r="B74" t="s">
        <v>648</v>
      </c>
      <c r="C74" t="s">
        <v>483</v>
      </c>
      <c r="D74" t="s">
        <v>649</v>
      </c>
      <c r="E74">
        <v>10</v>
      </c>
      <c r="F74">
        <v>2</v>
      </c>
      <c r="H74">
        <v>2589</v>
      </c>
      <c r="I74">
        <v>2589</v>
      </c>
      <c r="J74">
        <v>2748</v>
      </c>
      <c r="K74">
        <v>2748</v>
      </c>
      <c r="L74">
        <v>8.1826767255211799</v>
      </c>
      <c r="O74">
        <v>6539.4635722987196</v>
      </c>
      <c r="P74">
        <v>6967.33189199157</v>
      </c>
      <c r="Q74">
        <v>8.6847761811796094</v>
      </c>
    </row>
    <row r="75" spans="1:17" x14ac:dyDescent="0.25">
      <c r="A75" t="s">
        <v>732</v>
      </c>
      <c r="B75" t="s">
        <v>651</v>
      </c>
      <c r="C75" t="s">
        <v>733</v>
      </c>
      <c r="D75" t="s">
        <v>652</v>
      </c>
      <c r="E75">
        <v>1</v>
      </c>
      <c r="F75">
        <v>2</v>
      </c>
      <c r="H75">
        <v>18085</v>
      </c>
      <c r="I75">
        <v>18085</v>
      </c>
      <c r="J75">
        <v>18105</v>
      </c>
      <c r="K75">
        <v>18104.5</v>
      </c>
      <c r="L75">
        <v>0.152322154526638</v>
      </c>
      <c r="O75">
        <v>95256.047242028697</v>
      </c>
      <c r="P75">
        <v>95325.942444259897</v>
      </c>
      <c r="Q75">
        <v>0.103693433713335</v>
      </c>
    </row>
    <row r="76" spans="1:17" x14ac:dyDescent="0.25">
      <c r="A76" t="s">
        <v>732</v>
      </c>
      <c r="B76" t="s">
        <v>651</v>
      </c>
      <c r="C76" t="s">
        <v>733</v>
      </c>
      <c r="D76" t="s">
        <v>653</v>
      </c>
      <c r="E76">
        <v>1</v>
      </c>
      <c r="F76">
        <v>2</v>
      </c>
      <c r="H76">
        <v>18124</v>
      </c>
      <c r="I76">
        <v>18124</v>
      </c>
      <c r="J76">
        <v>18105</v>
      </c>
      <c r="K76">
        <v>18104.5</v>
      </c>
      <c r="L76">
        <v>0.152322154526638</v>
      </c>
      <c r="O76">
        <v>95395.837646490996</v>
      </c>
      <c r="P76">
        <v>95325.942444259897</v>
      </c>
      <c r="Q76">
        <v>0.103693433713335</v>
      </c>
    </row>
    <row r="77" spans="1:17" x14ac:dyDescent="0.25">
      <c r="A77" t="s">
        <v>732</v>
      </c>
      <c r="B77" t="s">
        <v>651</v>
      </c>
      <c r="C77" t="s">
        <v>734</v>
      </c>
      <c r="D77" t="s">
        <v>652</v>
      </c>
      <c r="E77">
        <v>3</v>
      </c>
      <c r="F77">
        <v>2</v>
      </c>
      <c r="H77">
        <v>150</v>
      </c>
      <c r="I77">
        <v>150</v>
      </c>
      <c r="J77">
        <v>135</v>
      </c>
      <c r="K77">
        <v>134.5</v>
      </c>
      <c r="L77">
        <v>16.297628413965001</v>
      </c>
      <c r="O77">
        <v>22.255419712325399</v>
      </c>
      <c r="P77">
        <v>16.145983744149198</v>
      </c>
      <c r="Q77">
        <v>53.512051922978301</v>
      </c>
    </row>
    <row r="78" spans="1:17" x14ac:dyDescent="0.25">
      <c r="A78" t="s">
        <v>732</v>
      </c>
      <c r="B78" t="s">
        <v>651</v>
      </c>
      <c r="C78" t="s">
        <v>734</v>
      </c>
      <c r="D78" t="s">
        <v>653</v>
      </c>
      <c r="E78">
        <v>3</v>
      </c>
      <c r="F78">
        <v>2</v>
      </c>
      <c r="H78">
        <v>119</v>
      </c>
      <c r="I78">
        <v>119</v>
      </c>
      <c r="J78">
        <v>135</v>
      </c>
      <c r="K78">
        <v>134.5</v>
      </c>
      <c r="L78">
        <v>16.297628413965001</v>
      </c>
      <c r="O78">
        <v>10.036547775973</v>
      </c>
      <c r="P78">
        <v>16.145983744149198</v>
      </c>
      <c r="Q78">
        <v>53.512051922978301</v>
      </c>
    </row>
    <row r="79" spans="1:17" x14ac:dyDescent="0.25">
      <c r="A79" t="s">
        <v>732</v>
      </c>
      <c r="B79" t="s">
        <v>651</v>
      </c>
      <c r="C79" t="s">
        <v>483</v>
      </c>
      <c r="D79" t="s">
        <v>653</v>
      </c>
      <c r="E79">
        <v>10</v>
      </c>
      <c r="F79">
        <v>2</v>
      </c>
      <c r="H79">
        <v>3351</v>
      </c>
      <c r="I79">
        <v>3351</v>
      </c>
      <c r="J79">
        <v>3323</v>
      </c>
      <c r="K79">
        <v>3323</v>
      </c>
      <c r="L79">
        <v>1.1916334561073301</v>
      </c>
      <c r="O79">
        <v>8580.8043988952104</v>
      </c>
      <c r="P79">
        <v>8506.3059427283406</v>
      </c>
      <c r="Q79">
        <v>1.2385720405118801</v>
      </c>
    </row>
    <row r="80" spans="1:17" x14ac:dyDescent="0.25">
      <c r="A80" t="s">
        <v>732</v>
      </c>
      <c r="B80" t="s">
        <v>651</v>
      </c>
      <c r="C80" t="s">
        <v>483</v>
      </c>
      <c r="D80" t="s">
        <v>652</v>
      </c>
      <c r="E80">
        <v>10</v>
      </c>
      <c r="F80">
        <v>2</v>
      </c>
      <c r="H80">
        <v>3295</v>
      </c>
      <c r="I80">
        <v>3295</v>
      </c>
      <c r="J80">
        <v>3323</v>
      </c>
      <c r="K80">
        <v>3323</v>
      </c>
      <c r="L80">
        <v>1.1916334561073301</v>
      </c>
      <c r="O80">
        <v>8431.8074865614799</v>
      </c>
      <c r="P80">
        <v>8506.3059427283406</v>
      </c>
      <c r="Q80">
        <v>1.2385720405118801</v>
      </c>
    </row>
    <row r="81" spans="1:17" x14ac:dyDescent="0.25">
      <c r="A81" t="s">
        <v>732</v>
      </c>
      <c r="B81" t="s">
        <v>654</v>
      </c>
      <c r="C81" t="s">
        <v>733</v>
      </c>
      <c r="D81" t="s">
        <v>655</v>
      </c>
      <c r="E81">
        <v>1</v>
      </c>
      <c r="F81">
        <v>2</v>
      </c>
      <c r="H81">
        <v>2553</v>
      </c>
      <c r="I81">
        <v>2553</v>
      </c>
      <c r="J81">
        <v>2542</v>
      </c>
      <c r="K81">
        <v>2542</v>
      </c>
      <c r="L81">
        <v>0.61197282400094499</v>
      </c>
      <c r="O81">
        <v>25559.647134857201</v>
      </c>
      <c r="P81">
        <v>25484.543213574601</v>
      </c>
      <c r="Q81">
        <v>0.416774133148339</v>
      </c>
    </row>
    <row r="82" spans="1:17" x14ac:dyDescent="0.25">
      <c r="A82" t="s">
        <v>732</v>
      </c>
      <c r="B82" t="s">
        <v>654</v>
      </c>
      <c r="C82" t="s">
        <v>733</v>
      </c>
      <c r="D82" t="s">
        <v>656</v>
      </c>
      <c r="E82">
        <v>1</v>
      </c>
      <c r="F82">
        <v>2</v>
      </c>
      <c r="H82">
        <v>2531</v>
      </c>
      <c r="I82">
        <v>2531</v>
      </c>
      <c r="J82">
        <v>2542</v>
      </c>
      <c r="K82">
        <v>2542</v>
      </c>
      <c r="L82">
        <v>0.61197282400094499</v>
      </c>
      <c r="O82">
        <v>25409.4392922921</v>
      </c>
      <c r="P82">
        <v>25484.543213574601</v>
      </c>
      <c r="Q82">
        <v>0.416774133148339</v>
      </c>
    </row>
    <row r="83" spans="1:17" x14ac:dyDescent="0.25">
      <c r="A83" t="s">
        <v>732</v>
      </c>
      <c r="B83" t="s">
        <v>654</v>
      </c>
      <c r="C83" t="s">
        <v>734</v>
      </c>
      <c r="D83" t="s">
        <v>655</v>
      </c>
      <c r="E83">
        <v>3</v>
      </c>
      <c r="F83">
        <v>2</v>
      </c>
      <c r="H83">
        <v>76</v>
      </c>
      <c r="I83">
        <v>76</v>
      </c>
      <c r="J83">
        <v>76</v>
      </c>
      <c r="K83">
        <v>76</v>
      </c>
      <c r="L83">
        <v>0</v>
      </c>
      <c r="O83" t="s">
        <v>417</v>
      </c>
      <c r="P83" t="s">
        <v>417</v>
      </c>
      <c r="Q83" t="s">
        <v>417</v>
      </c>
    </row>
    <row r="84" spans="1:17" x14ac:dyDescent="0.25">
      <c r="A84" t="s">
        <v>732</v>
      </c>
      <c r="B84" t="s">
        <v>654</v>
      </c>
      <c r="C84" t="s">
        <v>734</v>
      </c>
      <c r="D84" t="s">
        <v>656</v>
      </c>
      <c r="E84">
        <v>3</v>
      </c>
      <c r="F84">
        <v>2</v>
      </c>
      <c r="H84">
        <v>76</v>
      </c>
      <c r="I84">
        <v>76</v>
      </c>
      <c r="J84">
        <v>76</v>
      </c>
      <c r="K84">
        <v>76</v>
      </c>
      <c r="L84">
        <v>0</v>
      </c>
      <c r="O84" t="s">
        <v>417</v>
      </c>
      <c r="P84" t="s">
        <v>417</v>
      </c>
      <c r="Q84" t="s">
        <v>417</v>
      </c>
    </row>
    <row r="85" spans="1:17" x14ac:dyDescent="0.25">
      <c r="A85" t="s">
        <v>732</v>
      </c>
      <c r="B85" t="s">
        <v>654</v>
      </c>
      <c r="C85" t="s">
        <v>483</v>
      </c>
      <c r="D85" t="s">
        <v>655</v>
      </c>
      <c r="E85">
        <v>10</v>
      </c>
      <c r="F85">
        <v>2</v>
      </c>
      <c r="H85">
        <v>1127</v>
      </c>
      <c r="I85">
        <v>1127</v>
      </c>
      <c r="J85">
        <v>1162</v>
      </c>
      <c r="K85">
        <v>1162</v>
      </c>
      <c r="L85">
        <v>4.2596794047382298</v>
      </c>
      <c r="O85">
        <v>2500.0850674960602</v>
      </c>
      <c r="P85">
        <v>2599.6774950878198</v>
      </c>
      <c r="Q85">
        <v>5.4177859398352499</v>
      </c>
    </row>
    <row r="86" spans="1:17" x14ac:dyDescent="0.25">
      <c r="A86" t="s">
        <v>732</v>
      </c>
      <c r="B86" t="s">
        <v>654</v>
      </c>
      <c r="C86" t="s">
        <v>483</v>
      </c>
      <c r="D86" t="s">
        <v>656</v>
      </c>
      <c r="E86">
        <v>10</v>
      </c>
      <c r="F86">
        <v>2</v>
      </c>
      <c r="H86">
        <v>1197</v>
      </c>
      <c r="I86">
        <v>1197</v>
      </c>
      <c r="J86">
        <v>1162</v>
      </c>
      <c r="K86">
        <v>1162</v>
      </c>
      <c r="L86">
        <v>4.2596794047382298</v>
      </c>
      <c r="O86">
        <v>2699.2699226795798</v>
      </c>
      <c r="P86">
        <v>2599.6774950878198</v>
      </c>
      <c r="Q86">
        <v>5.4177859398352499</v>
      </c>
    </row>
    <row r="87" spans="1:17" x14ac:dyDescent="0.25">
      <c r="A87" t="s">
        <v>732</v>
      </c>
      <c r="B87" t="s">
        <v>657</v>
      </c>
      <c r="C87" t="s">
        <v>733</v>
      </c>
      <c r="D87" t="s">
        <v>658</v>
      </c>
      <c r="E87">
        <v>1</v>
      </c>
      <c r="F87">
        <v>2</v>
      </c>
      <c r="H87">
        <v>1905</v>
      </c>
      <c r="I87">
        <v>1905</v>
      </c>
      <c r="J87">
        <v>1918</v>
      </c>
      <c r="K87">
        <v>1918</v>
      </c>
      <c r="L87">
        <v>0.95853891088895904</v>
      </c>
      <c r="O87">
        <v>20909.5553279452</v>
      </c>
      <c r="P87">
        <v>21007.9755006126</v>
      </c>
      <c r="Q87">
        <v>0.66254429415778604</v>
      </c>
    </row>
    <row r="88" spans="1:17" x14ac:dyDescent="0.25">
      <c r="A88" t="s">
        <v>732</v>
      </c>
      <c r="B88" t="s">
        <v>657</v>
      </c>
      <c r="C88" t="s">
        <v>733</v>
      </c>
      <c r="D88" t="s">
        <v>659</v>
      </c>
      <c r="E88">
        <v>1</v>
      </c>
      <c r="F88">
        <v>2</v>
      </c>
      <c r="H88">
        <v>1931</v>
      </c>
      <c r="I88">
        <v>1931</v>
      </c>
      <c r="J88">
        <v>1918</v>
      </c>
      <c r="K88">
        <v>1918</v>
      </c>
      <c r="L88">
        <v>0.95853891088895904</v>
      </c>
      <c r="O88">
        <v>21106.39567328</v>
      </c>
      <c r="P88">
        <v>21007.9755006126</v>
      </c>
      <c r="Q88">
        <v>0.66254429415778604</v>
      </c>
    </row>
    <row r="89" spans="1:17" x14ac:dyDescent="0.25">
      <c r="A89" t="s">
        <v>732</v>
      </c>
      <c r="B89" t="s">
        <v>657</v>
      </c>
      <c r="C89" t="s">
        <v>734</v>
      </c>
      <c r="D89" t="s">
        <v>658</v>
      </c>
      <c r="E89">
        <v>3</v>
      </c>
      <c r="F89">
        <v>2</v>
      </c>
      <c r="H89">
        <v>98</v>
      </c>
      <c r="I89">
        <v>98</v>
      </c>
      <c r="J89">
        <v>93</v>
      </c>
      <c r="K89">
        <v>93</v>
      </c>
      <c r="L89">
        <v>7.6032987224359898</v>
      </c>
      <c r="O89">
        <v>0.60148080787771796</v>
      </c>
      <c r="P89" t="s">
        <v>417</v>
      </c>
      <c r="Q89" t="s">
        <v>417</v>
      </c>
    </row>
    <row r="90" spans="1:17" x14ac:dyDescent="0.25">
      <c r="A90" t="s">
        <v>732</v>
      </c>
      <c r="B90" t="s">
        <v>657</v>
      </c>
      <c r="C90" t="s">
        <v>734</v>
      </c>
      <c r="D90" t="s">
        <v>659</v>
      </c>
      <c r="E90">
        <v>3</v>
      </c>
      <c r="F90">
        <v>2</v>
      </c>
      <c r="H90">
        <v>88</v>
      </c>
      <c r="I90">
        <v>88</v>
      </c>
      <c r="J90">
        <v>93</v>
      </c>
      <c r="K90">
        <v>93</v>
      </c>
      <c r="L90">
        <v>7.6032987224359898</v>
      </c>
      <c r="O90" t="s">
        <v>417</v>
      </c>
      <c r="P90" t="s">
        <v>417</v>
      </c>
      <c r="Q90" t="s">
        <v>417</v>
      </c>
    </row>
    <row r="91" spans="1:17" x14ac:dyDescent="0.25">
      <c r="A91" t="s">
        <v>732</v>
      </c>
      <c r="B91" t="s">
        <v>657</v>
      </c>
      <c r="C91" t="s">
        <v>483</v>
      </c>
      <c r="D91" t="s">
        <v>658</v>
      </c>
      <c r="E91">
        <v>10</v>
      </c>
      <c r="F91">
        <v>2</v>
      </c>
      <c r="H91">
        <v>1558</v>
      </c>
      <c r="I91">
        <v>1558</v>
      </c>
      <c r="J91">
        <v>1514</v>
      </c>
      <c r="K91">
        <v>1514</v>
      </c>
      <c r="L91">
        <v>4.1099997849680401</v>
      </c>
      <c r="O91">
        <v>3714.56563942108</v>
      </c>
      <c r="P91">
        <v>3591.6357738881902</v>
      </c>
      <c r="Q91">
        <v>4.8403873332930898</v>
      </c>
    </row>
    <row r="92" spans="1:17" x14ac:dyDescent="0.25">
      <c r="A92" t="s">
        <v>732</v>
      </c>
      <c r="B92" t="s">
        <v>657</v>
      </c>
      <c r="C92" t="s">
        <v>483</v>
      </c>
      <c r="D92" t="s">
        <v>659</v>
      </c>
      <c r="E92">
        <v>10</v>
      </c>
      <c r="F92">
        <v>2</v>
      </c>
      <c r="H92">
        <v>1470</v>
      </c>
      <c r="I92">
        <v>1470</v>
      </c>
      <c r="J92">
        <v>1514</v>
      </c>
      <c r="K92">
        <v>1514</v>
      </c>
      <c r="L92">
        <v>4.1099997849680401</v>
      </c>
      <c r="O92">
        <v>3468.7059083553099</v>
      </c>
      <c r="P92">
        <v>3591.6357738881902</v>
      </c>
      <c r="Q92">
        <v>4.8403873332930898</v>
      </c>
    </row>
    <row r="93" spans="1:17" x14ac:dyDescent="0.25">
      <c r="A93" t="s">
        <v>732</v>
      </c>
      <c r="B93" t="s">
        <v>660</v>
      </c>
      <c r="C93" t="s">
        <v>733</v>
      </c>
      <c r="D93" t="s">
        <v>661</v>
      </c>
      <c r="E93">
        <v>1</v>
      </c>
      <c r="F93">
        <v>2</v>
      </c>
      <c r="H93">
        <v>17695</v>
      </c>
      <c r="I93">
        <v>17695</v>
      </c>
      <c r="J93">
        <v>17722</v>
      </c>
      <c r="K93">
        <v>17721.5</v>
      </c>
      <c r="L93">
        <v>0.21147566178307101</v>
      </c>
      <c r="O93">
        <v>93853.510644411901</v>
      </c>
      <c r="P93">
        <v>93949.061247040401</v>
      </c>
      <c r="Q93">
        <v>0.143832153654745</v>
      </c>
    </row>
    <row r="94" spans="1:17" x14ac:dyDescent="0.25">
      <c r="A94" t="s">
        <v>732</v>
      </c>
      <c r="B94" t="s">
        <v>660</v>
      </c>
      <c r="C94" t="s">
        <v>733</v>
      </c>
      <c r="D94" t="s">
        <v>662</v>
      </c>
      <c r="E94">
        <v>1</v>
      </c>
      <c r="F94">
        <v>2</v>
      </c>
      <c r="H94">
        <v>17748</v>
      </c>
      <c r="I94">
        <v>17748</v>
      </c>
      <c r="J94">
        <v>17722</v>
      </c>
      <c r="K94">
        <v>17721.5</v>
      </c>
      <c r="L94">
        <v>0.21147566178307101</v>
      </c>
      <c r="O94">
        <v>94044.6118496688</v>
      </c>
      <c r="P94">
        <v>93949.061247040401</v>
      </c>
      <c r="Q94">
        <v>0.143832153654745</v>
      </c>
    </row>
    <row r="95" spans="1:17" x14ac:dyDescent="0.25">
      <c r="A95" t="s">
        <v>732</v>
      </c>
      <c r="B95" t="s">
        <v>660</v>
      </c>
      <c r="C95" t="s">
        <v>734</v>
      </c>
      <c r="D95" t="s">
        <v>662</v>
      </c>
      <c r="E95">
        <v>3</v>
      </c>
      <c r="F95">
        <v>2</v>
      </c>
      <c r="H95">
        <v>116</v>
      </c>
      <c r="I95">
        <v>116</v>
      </c>
      <c r="J95">
        <v>120</v>
      </c>
      <c r="K95">
        <v>119.5</v>
      </c>
      <c r="L95">
        <v>4.1420480906324899</v>
      </c>
      <c r="O95">
        <v>8.7881522447893392</v>
      </c>
      <c r="P95">
        <v>10.2322813163352</v>
      </c>
      <c r="Q95">
        <v>19.959448491091301</v>
      </c>
    </row>
    <row r="96" spans="1:17" x14ac:dyDescent="0.25">
      <c r="A96" t="s">
        <v>732</v>
      </c>
      <c r="B96" t="s">
        <v>660</v>
      </c>
      <c r="C96" t="s">
        <v>734</v>
      </c>
      <c r="D96" t="s">
        <v>661</v>
      </c>
      <c r="E96">
        <v>3</v>
      </c>
      <c r="F96">
        <v>2</v>
      </c>
      <c r="H96">
        <v>123</v>
      </c>
      <c r="I96">
        <v>123</v>
      </c>
      <c r="J96">
        <v>120</v>
      </c>
      <c r="K96">
        <v>119.5</v>
      </c>
      <c r="L96">
        <v>4.1420480906324899</v>
      </c>
      <c r="O96">
        <v>11.6764103878811</v>
      </c>
      <c r="P96">
        <v>10.2322813163352</v>
      </c>
      <c r="Q96">
        <v>19.959448491091301</v>
      </c>
    </row>
    <row r="97" spans="1:17" x14ac:dyDescent="0.25">
      <c r="A97" t="s">
        <v>732</v>
      </c>
      <c r="B97" t="s">
        <v>660</v>
      </c>
      <c r="C97" t="s">
        <v>483</v>
      </c>
      <c r="D97" t="s">
        <v>662</v>
      </c>
      <c r="E97">
        <v>10</v>
      </c>
      <c r="F97">
        <v>2</v>
      </c>
      <c r="H97">
        <v>5367</v>
      </c>
      <c r="I97">
        <v>5367</v>
      </c>
      <c r="J97">
        <v>5337</v>
      </c>
      <c r="K97">
        <v>5336.5</v>
      </c>
      <c r="L97">
        <v>0.80827346861012594</v>
      </c>
      <c r="O97">
        <v>13863.814951224</v>
      </c>
      <c r="P97">
        <v>13784.8535898848</v>
      </c>
      <c r="Q97">
        <v>0.81007917408234698</v>
      </c>
    </row>
    <row r="98" spans="1:17" x14ac:dyDescent="0.25">
      <c r="A98" t="s">
        <v>732</v>
      </c>
      <c r="B98" t="s">
        <v>660</v>
      </c>
      <c r="C98" t="s">
        <v>483</v>
      </c>
      <c r="D98" t="s">
        <v>661</v>
      </c>
      <c r="E98">
        <v>10</v>
      </c>
      <c r="F98">
        <v>2</v>
      </c>
      <c r="H98">
        <v>5306</v>
      </c>
      <c r="I98">
        <v>5306</v>
      </c>
      <c r="J98">
        <v>5337</v>
      </c>
      <c r="K98">
        <v>5336.5</v>
      </c>
      <c r="L98">
        <v>0.80827346861012594</v>
      </c>
      <c r="O98">
        <v>13705.892228545599</v>
      </c>
      <c r="P98">
        <v>13784.8535898848</v>
      </c>
      <c r="Q98">
        <v>0.81007917408234698</v>
      </c>
    </row>
    <row r="99" spans="1:17" x14ac:dyDescent="0.25">
      <c r="A99" t="s">
        <v>732</v>
      </c>
      <c r="B99" t="s">
        <v>663</v>
      </c>
      <c r="C99" t="s">
        <v>733</v>
      </c>
      <c r="D99" t="s">
        <v>664</v>
      </c>
      <c r="E99">
        <v>1</v>
      </c>
      <c r="F99">
        <v>2</v>
      </c>
      <c r="H99">
        <v>40742</v>
      </c>
      <c r="I99">
        <v>40742</v>
      </c>
      <c r="J99">
        <v>41253</v>
      </c>
      <c r="K99">
        <v>41252.5</v>
      </c>
      <c r="L99">
        <v>1.7500903547456801</v>
      </c>
      <c r="O99">
        <v>167955.189839142</v>
      </c>
      <c r="P99">
        <v>169473.96901307601</v>
      </c>
      <c r="Q99">
        <v>1.26737936128802</v>
      </c>
    </row>
    <row r="100" spans="1:17" x14ac:dyDescent="0.25">
      <c r="A100" t="s">
        <v>732</v>
      </c>
      <c r="B100" t="s">
        <v>663</v>
      </c>
      <c r="C100" t="s">
        <v>733</v>
      </c>
      <c r="D100" t="s">
        <v>665</v>
      </c>
      <c r="E100">
        <v>1</v>
      </c>
      <c r="F100">
        <v>2</v>
      </c>
      <c r="H100">
        <v>41763</v>
      </c>
      <c r="I100">
        <v>41763</v>
      </c>
      <c r="J100">
        <v>41253</v>
      </c>
      <c r="K100">
        <v>41252.5</v>
      </c>
      <c r="L100">
        <v>1.7500903547456801</v>
      </c>
      <c r="O100">
        <v>170992.74818701099</v>
      </c>
      <c r="P100">
        <v>169473.96901307601</v>
      </c>
      <c r="Q100">
        <v>1.26737936128802</v>
      </c>
    </row>
    <row r="101" spans="1:17" x14ac:dyDescent="0.25">
      <c r="A101" t="s">
        <v>732</v>
      </c>
      <c r="B101" t="s">
        <v>663</v>
      </c>
      <c r="C101" t="s">
        <v>734</v>
      </c>
      <c r="D101" t="s">
        <v>664</v>
      </c>
      <c r="E101">
        <v>3</v>
      </c>
      <c r="F101">
        <v>2</v>
      </c>
      <c r="H101">
        <v>132</v>
      </c>
      <c r="I101">
        <v>132</v>
      </c>
      <c r="J101">
        <v>137</v>
      </c>
      <c r="K101">
        <v>136.5</v>
      </c>
      <c r="L101">
        <v>4.6622425133178904</v>
      </c>
      <c r="O101">
        <v>15.2840879107912</v>
      </c>
      <c r="P101">
        <v>17.043951327675899</v>
      </c>
      <c r="Q101">
        <v>14.602381010330401</v>
      </c>
    </row>
    <row r="102" spans="1:17" x14ac:dyDescent="0.25">
      <c r="A102" t="s">
        <v>732</v>
      </c>
      <c r="B102" t="s">
        <v>663</v>
      </c>
      <c r="C102" t="s">
        <v>734</v>
      </c>
      <c r="D102" t="s">
        <v>665</v>
      </c>
      <c r="E102">
        <v>3</v>
      </c>
      <c r="F102">
        <v>2</v>
      </c>
      <c r="H102">
        <v>141</v>
      </c>
      <c r="I102">
        <v>141</v>
      </c>
      <c r="J102">
        <v>137</v>
      </c>
      <c r="K102">
        <v>136.5</v>
      </c>
      <c r="L102">
        <v>4.6622425133178904</v>
      </c>
      <c r="O102">
        <v>18.803814744560501</v>
      </c>
      <c r="P102">
        <v>17.043951327675899</v>
      </c>
      <c r="Q102">
        <v>14.602381010330401</v>
      </c>
    </row>
    <row r="103" spans="1:17" x14ac:dyDescent="0.25">
      <c r="A103" t="s">
        <v>732</v>
      </c>
      <c r="B103" t="s">
        <v>663</v>
      </c>
      <c r="C103" t="s">
        <v>483</v>
      </c>
      <c r="D103" t="s">
        <v>664</v>
      </c>
      <c r="E103">
        <v>10</v>
      </c>
      <c r="F103">
        <v>2</v>
      </c>
      <c r="H103">
        <v>12719</v>
      </c>
      <c r="I103">
        <v>12719</v>
      </c>
      <c r="J103">
        <v>12820</v>
      </c>
      <c r="K103">
        <v>12819.5</v>
      </c>
      <c r="L103">
        <v>1.10868959802251</v>
      </c>
      <c r="O103">
        <v>32375.913553663198</v>
      </c>
      <c r="P103">
        <v>32623.7132572546</v>
      </c>
      <c r="Q103">
        <v>1.07419317601144</v>
      </c>
    </row>
    <row r="104" spans="1:17" x14ac:dyDescent="0.25">
      <c r="A104" t="s">
        <v>732</v>
      </c>
      <c r="B104" t="s">
        <v>663</v>
      </c>
      <c r="C104" t="s">
        <v>483</v>
      </c>
      <c r="D104" t="s">
        <v>665</v>
      </c>
      <c r="E104">
        <v>10</v>
      </c>
      <c r="F104">
        <v>2</v>
      </c>
      <c r="H104">
        <v>12920</v>
      </c>
      <c r="I104">
        <v>12920</v>
      </c>
      <c r="J104">
        <v>12820</v>
      </c>
      <c r="K104">
        <v>12819.5</v>
      </c>
      <c r="L104">
        <v>1.10868959802251</v>
      </c>
      <c r="O104">
        <v>32871.512960845997</v>
      </c>
      <c r="P104">
        <v>32623.7132572546</v>
      </c>
      <c r="Q104">
        <v>1.07419317601144</v>
      </c>
    </row>
    <row r="105" spans="1:17" x14ac:dyDescent="0.25">
      <c r="A105" t="s">
        <v>732</v>
      </c>
      <c r="B105" t="s">
        <v>666</v>
      </c>
      <c r="C105" t="s">
        <v>733</v>
      </c>
      <c r="D105" t="s">
        <v>667</v>
      </c>
      <c r="E105">
        <v>1</v>
      </c>
      <c r="F105">
        <v>2</v>
      </c>
      <c r="H105">
        <v>6746</v>
      </c>
      <c r="I105">
        <v>6746</v>
      </c>
      <c r="J105">
        <v>7756</v>
      </c>
      <c r="K105">
        <v>7755.5</v>
      </c>
      <c r="L105">
        <v>18.408208254988502</v>
      </c>
      <c r="O105">
        <v>49107.275017444197</v>
      </c>
      <c r="P105">
        <v>53800.117715639302</v>
      </c>
      <c r="Q105">
        <v>12.3358127670821</v>
      </c>
    </row>
    <row r="106" spans="1:17" x14ac:dyDescent="0.25">
      <c r="A106" t="s">
        <v>732</v>
      </c>
      <c r="B106" t="s">
        <v>666</v>
      </c>
      <c r="C106" t="s">
        <v>733</v>
      </c>
      <c r="D106" t="s">
        <v>668</v>
      </c>
      <c r="E106">
        <v>1</v>
      </c>
      <c r="F106">
        <v>2</v>
      </c>
      <c r="H106">
        <v>8765</v>
      </c>
      <c r="I106">
        <v>8765</v>
      </c>
      <c r="J106">
        <v>7756</v>
      </c>
      <c r="K106">
        <v>7755.5</v>
      </c>
      <c r="L106">
        <v>18.408208254988502</v>
      </c>
      <c r="O106">
        <v>58492.9604138344</v>
      </c>
      <c r="P106">
        <v>53800.117715639302</v>
      </c>
      <c r="Q106">
        <v>12.3358127670821</v>
      </c>
    </row>
    <row r="107" spans="1:17" x14ac:dyDescent="0.25">
      <c r="A107" t="s">
        <v>732</v>
      </c>
      <c r="B107" t="s">
        <v>666</v>
      </c>
      <c r="C107" t="s">
        <v>734</v>
      </c>
      <c r="D107" t="s">
        <v>668</v>
      </c>
      <c r="E107">
        <v>3</v>
      </c>
      <c r="F107">
        <v>2</v>
      </c>
      <c r="H107">
        <v>136</v>
      </c>
      <c r="I107">
        <v>136</v>
      </c>
      <c r="J107">
        <v>125</v>
      </c>
      <c r="K107">
        <v>125</v>
      </c>
      <c r="L107">
        <v>12.445079348883199</v>
      </c>
      <c r="O107">
        <v>16.857866791690601</v>
      </c>
      <c r="P107">
        <v>12.4017267270094</v>
      </c>
      <c r="Q107">
        <v>50.8149699959244</v>
      </c>
    </row>
    <row r="108" spans="1:17" x14ac:dyDescent="0.25">
      <c r="A108" t="s">
        <v>732</v>
      </c>
      <c r="B108" t="s">
        <v>666</v>
      </c>
      <c r="C108" t="s">
        <v>734</v>
      </c>
      <c r="D108" t="s">
        <v>667</v>
      </c>
      <c r="E108">
        <v>3</v>
      </c>
      <c r="F108">
        <v>2</v>
      </c>
      <c r="H108">
        <v>114</v>
      </c>
      <c r="I108">
        <v>114</v>
      </c>
      <c r="J108">
        <v>125</v>
      </c>
      <c r="K108">
        <v>125</v>
      </c>
      <c r="L108">
        <v>12.445079348883199</v>
      </c>
      <c r="O108">
        <v>7.9455866623281404</v>
      </c>
      <c r="P108">
        <v>12.4017267270094</v>
      </c>
      <c r="Q108">
        <v>50.8149699959244</v>
      </c>
    </row>
    <row r="109" spans="1:17" x14ac:dyDescent="0.25">
      <c r="A109" t="s">
        <v>732</v>
      </c>
      <c r="B109" t="s">
        <v>666</v>
      </c>
      <c r="C109" t="s">
        <v>483</v>
      </c>
      <c r="D109" t="s">
        <v>668</v>
      </c>
      <c r="E109">
        <v>10</v>
      </c>
      <c r="F109">
        <v>2</v>
      </c>
      <c r="H109">
        <v>4178</v>
      </c>
      <c r="I109">
        <v>4178</v>
      </c>
      <c r="J109">
        <v>4105</v>
      </c>
      <c r="K109">
        <v>4105</v>
      </c>
      <c r="L109">
        <v>2.5149230220033099</v>
      </c>
      <c r="O109">
        <v>10765.455122863499</v>
      </c>
      <c r="P109">
        <v>10573.6051508075</v>
      </c>
      <c r="Q109">
        <v>2.56598226009798</v>
      </c>
    </row>
    <row r="110" spans="1:17" x14ac:dyDescent="0.25">
      <c r="A110" t="s">
        <v>732</v>
      </c>
      <c r="B110" t="s">
        <v>666</v>
      </c>
      <c r="C110" t="s">
        <v>483</v>
      </c>
      <c r="D110" t="s">
        <v>667</v>
      </c>
      <c r="E110">
        <v>10</v>
      </c>
      <c r="F110">
        <v>2</v>
      </c>
      <c r="H110">
        <v>4032</v>
      </c>
      <c r="I110">
        <v>4032</v>
      </c>
      <c r="J110">
        <v>4105</v>
      </c>
      <c r="K110">
        <v>4105</v>
      </c>
      <c r="L110">
        <v>2.5149230220033099</v>
      </c>
      <c r="O110">
        <v>10381.7551787515</v>
      </c>
      <c r="P110">
        <v>10573.6051508075</v>
      </c>
      <c r="Q110">
        <v>2.56598226009798</v>
      </c>
    </row>
    <row r="111" spans="1:17" x14ac:dyDescent="0.25">
      <c r="A111" t="s">
        <v>732</v>
      </c>
      <c r="B111" t="s">
        <v>669</v>
      </c>
      <c r="C111" t="s">
        <v>733</v>
      </c>
      <c r="D111" t="s">
        <v>670</v>
      </c>
      <c r="E111">
        <v>1</v>
      </c>
      <c r="F111">
        <v>2</v>
      </c>
      <c r="H111">
        <v>137</v>
      </c>
      <c r="I111">
        <v>137</v>
      </c>
      <c r="J111">
        <v>140</v>
      </c>
      <c r="K111">
        <v>140</v>
      </c>
      <c r="L111">
        <v>3.03045763365663</v>
      </c>
      <c r="O111">
        <v>982.45949296124797</v>
      </c>
      <c r="P111">
        <v>1097.25205807671</v>
      </c>
      <c r="Q111">
        <v>14.795251578788401</v>
      </c>
    </row>
    <row r="112" spans="1:17" x14ac:dyDescent="0.25">
      <c r="A112" t="s">
        <v>732</v>
      </c>
      <c r="B112" t="s">
        <v>669</v>
      </c>
      <c r="C112" t="s">
        <v>733</v>
      </c>
      <c r="D112" t="s">
        <v>671</v>
      </c>
      <c r="E112">
        <v>1</v>
      </c>
      <c r="F112">
        <v>2</v>
      </c>
      <c r="H112">
        <v>143</v>
      </c>
      <c r="I112">
        <v>143</v>
      </c>
      <c r="J112">
        <v>140</v>
      </c>
      <c r="K112">
        <v>140</v>
      </c>
      <c r="L112">
        <v>3.03045763365663</v>
      </c>
      <c r="O112">
        <v>1212.0446231921701</v>
      </c>
      <c r="P112">
        <v>1097.25205807671</v>
      </c>
      <c r="Q112">
        <v>14.795251578788401</v>
      </c>
    </row>
    <row r="113" spans="1:17" x14ac:dyDescent="0.25">
      <c r="A113" t="s">
        <v>732</v>
      </c>
      <c r="B113" t="s">
        <v>669</v>
      </c>
      <c r="C113" t="s">
        <v>734</v>
      </c>
      <c r="D113" t="s">
        <v>670</v>
      </c>
      <c r="E113">
        <v>3</v>
      </c>
      <c r="F113">
        <v>2</v>
      </c>
      <c r="H113">
        <v>77</v>
      </c>
      <c r="I113">
        <v>77</v>
      </c>
      <c r="J113">
        <v>88</v>
      </c>
      <c r="K113">
        <v>88</v>
      </c>
      <c r="L113">
        <v>17.6776695296636</v>
      </c>
      <c r="O113" t="s">
        <v>417</v>
      </c>
      <c r="P113" t="s">
        <v>417</v>
      </c>
      <c r="Q113" t="s">
        <v>417</v>
      </c>
    </row>
    <row r="114" spans="1:17" x14ac:dyDescent="0.25">
      <c r="A114" t="s">
        <v>732</v>
      </c>
      <c r="B114" t="s">
        <v>669</v>
      </c>
      <c r="C114" t="s">
        <v>734</v>
      </c>
      <c r="D114" t="s">
        <v>671</v>
      </c>
      <c r="E114">
        <v>3</v>
      </c>
      <c r="F114">
        <v>2</v>
      </c>
      <c r="H114">
        <v>99</v>
      </c>
      <c r="I114">
        <v>99</v>
      </c>
      <c r="J114">
        <v>88</v>
      </c>
      <c r="K114">
        <v>88</v>
      </c>
      <c r="L114">
        <v>17.6776695296636</v>
      </c>
      <c r="O114">
        <v>1.1363281948928801</v>
      </c>
      <c r="P114" t="s">
        <v>417</v>
      </c>
      <c r="Q114" t="s">
        <v>417</v>
      </c>
    </row>
    <row r="115" spans="1:17" x14ac:dyDescent="0.25">
      <c r="A115" t="s">
        <v>732</v>
      </c>
      <c r="B115" t="s">
        <v>669</v>
      </c>
      <c r="C115" t="s">
        <v>483</v>
      </c>
      <c r="D115" t="s">
        <v>671</v>
      </c>
      <c r="E115">
        <v>10</v>
      </c>
      <c r="F115">
        <v>2</v>
      </c>
      <c r="H115">
        <v>252</v>
      </c>
      <c r="I115">
        <v>252</v>
      </c>
      <c r="J115">
        <v>285</v>
      </c>
      <c r="K115">
        <v>284.5</v>
      </c>
      <c r="L115">
        <v>16.155339464718999</v>
      </c>
      <c r="O115" t="s">
        <v>417</v>
      </c>
      <c r="P115" t="s">
        <v>417</v>
      </c>
      <c r="Q115" t="s">
        <v>417</v>
      </c>
    </row>
    <row r="116" spans="1:17" x14ac:dyDescent="0.25">
      <c r="A116" t="s">
        <v>732</v>
      </c>
      <c r="B116" t="s">
        <v>669</v>
      </c>
      <c r="C116" t="s">
        <v>483</v>
      </c>
      <c r="D116" t="s">
        <v>670</v>
      </c>
      <c r="E116">
        <v>10</v>
      </c>
      <c r="F116">
        <v>2</v>
      </c>
      <c r="H116">
        <v>317</v>
      </c>
      <c r="I116">
        <v>317</v>
      </c>
      <c r="J116">
        <v>285</v>
      </c>
      <c r="K116">
        <v>284.5</v>
      </c>
      <c r="L116">
        <v>16.155339464718999</v>
      </c>
      <c r="O116">
        <v>72.457038495025401</v>
      </c>
      <c r="P116" t="s">
        <v>417</v>
      </c>
      <c r="Q116" t="s">
        <v>417</v>
      </c>
    </row>
    <row r="117" spans="1:17" x14ac:dyDescent="0.25">
      <c r="A117" t="s">
        <v>732</v>
      </c>
      <c r="B117" t="s">
        <v>672</v>
      </c>
      <c r="C117" t="s">
        <v>733</v>
      </c>
      <c r="D117" t="s">
        <v>673</v>
      </c>
      <c r="E117">
        <v>1</v>
      </c>
      <c r="F117">
        <v>2</v>
      </c>
      <c r="H117">
        <v>127</v>
      </c>
      <c r="I117">
        <v>127</v>
      </c>
      <c r="J117">
        <v>125</v>
      </c>
      <c r="K117">
        <v>124.5</v>
      </c>
      <c r="L117">
        <v>2.8397862698254901</v>
      </c>
      <c r="O117">
        <v>506.72247721667998</v>
      </c>
      <c r="P117">
        <v>311.93992728545999</v>
      </c>
      <c r="Q117">
        <v>88.306785932620599</v>
      </c>
    </row>
    <row r="118" spans="1:17" x14ac:dyDescent="0.25">
      <c r="A118" t="s">
        <v>732</v>
      </c>
      <c r="B118" t="s">
        <v>672</v>
      </c>
      <c r="C118" t="s">
        <v>733</v>
      </c>
      <c r="D118" t="s">
        <v>674</v>
      </c>
      <c r="E118">
        <v>1</v>
      </c>
      <c r="F118">
        <v>2</v>
      </c>
      <c r="H118">
        <v>122</v>
      </c>
      <c r="I118">
        <v>122</v>
      </c>
      <c r="J118">
        <v>125</v>
      </c>
      <c r="K118">
        <v>124.5</v>
      </c>
      <c r="L118">
        <v>2.8397862698254901</v>
      </c>
      <c r="O118">
        <v>117.15737735424101</v>
      </c>
      <c r="P118">
        <v>311.93992728545999</v>
      </c>
      <c r="Q118">
        <v>88.306785932620599</v>
      </c>
    </row>
    <row r="119" spans="1:17" x14ac:dyDescent="0.25">
      <c r="A119" t="s">
        <v>732</v>
      </c>
      <c r="B119" t="s">
        <v>672</v>
      </c>
      <c r="C119" t="s">
        <v>734</v>
      </c>
      <c r="D119" t="s">
        <v>673</v>
      </c>
      <c r="E119">
        <v>3</v>
      </c>
      <c r="F119">
        <v>2</v>
      </c>
      <c r="H119">
        <v>88</v>
      </c>
      <c r="I119">
        <v>88</v>
      </c>
      <c r="J119">
        <v>90</v>
      </c>
      <c r="K119">
        <v>89.5</v>
      </c>
      <c r="L119">
        <v>2.3701903279995999</v>
      </c>
      <c r="O119" t="s">
        <v>417</v>
      </c>
      <c r="P119" t="s">
        <v>417</v>
      </c>
      <c r="Q119" t="s">
        <v>417</v>
      </c>
    </row>
    <row r="120" spans="1:17" x14ac:dyDescent="0.25">
      <c r="A120" t="s">
        <v>732</v>
      </c>
      <c r="B120" t="s">
        <v>672</v>
      </c>
      <c r="C120" t="s">
        <v>734</v>
      </c>
      <c r="D120" t="s">
        <v>674</v>
      </c>
      <c r="E120">
        <v>3</v>
      </c>
      <c r="F120">
        <v>2</v>
      </c>
      <c r="H120">
        <v>91</v>
      </c>
      <c r="I120">
        <v>91</v>
      </c>
      <c r="J120">
        <v>90</v>
      </c>
      <c r="K120">
        <v>89.5</v>
      </c>
      <c r="L120">
        <v>2.3701903279995999</v>
      </c>
      <c r="O120" t="s">
        <v>417</v>
      </c>
      <c r="P120" t="s">
        <v>417</v>
      </c>
      <c r="Q120" t="s">
        <v>417</v>
      </c>
    </row>
    <row r="121" spans="1:17" x14ac:dyDescent="0.25">
      <c r="A121" t="s">
        <v>732</v>
      </c>
      <c r="B121" t="s">
        <v>672</v>
      </c>
      <c r="C121" t="s">
        <v>483</v>
      </c>
      <c r="D121" t="s">
        <v>673</v>
      </c>
      <c r="E121">
        <v>10</v>
      </c>
      <c r="F121">
        <v>2</v>
      </c>
      <c r="H121">
        <v>241</v>
      </c>
      <c r="I121">
        <v>241</v>
      </c>
      <c r="J121">
        <v>251</v>
      </c>
      <c r="K121">
        <v>251</v>
      </c>
      <c r="L121">
        <v>5.6343169815661103</v>
      </c>
      <c r="O121" t="s">
        <v>417</v>
      </c>
      <c r="P121" t="s">
        <v>417</v>
      </c>
      <c r="Q121" t="s">
        <v>417</v>
      </c>
    </row>
    <row r="122" spans="1:17" x14ac:dyDescent="0.25">
      <c r="A122" t="s">
        <v>732</v>
      </c>
      <c r="B122" t="s">
        <v>672</v>
      </c>
      <c r="C122" t="s">
        <v>483</v>
      </c>
      <c r="D122" t="s">
        <v>674</v>
      </c>
      <c r="E122">
        <v>10</v>
      </c>
      <c r="F122">
        <v>2</v>
      </c>
      <c r="H122">
        <v>261</v>
      </c>
      <c r="I122">
        <v>261</v>
      </c>
      <c r="J122">
        <v>251</v>
      </c>
      <c r="K122">
        <v>251</v>
      </c>
      <c r="L122">
        <v>5.6343169815661103</v>
      </c>
      <c r="O122" t="s">
        <v>417</v>
      </c>
      <c r="P122" t="s">
        <v>417</v>
      </c>
      <c r="Q122" t="s">
        <v>417</v>
      </c>
    </row>
    <row r="123" spans="1:17" x14ac:dyDescent="0.25">
      <c r="A123" t="s">
        <v>732</v>
      </c>
      <c r="B123" t="s">
        <v>675</v>
      </c>
      <c r="C123" t="s">
        <v>733</v>
      </c>
      <c r="D123" t="s">
        <v>676</v>
      </c>
      <c r="E123">
        <v>1</v>
      </c>
      <c r="F123">
        <v>2</v>
      </c>
      <c r="H123">
        <v>106</v>
      </c>
      <c r="I123">
        <v>106</v>
      </c>
      <c r="J123">
        <v>111</v>
      </c>
      <c r="K123">
        <v>110.5</v>
      </c>
      <c r="L123">
        <v>5.7592407517456303</v>
      </c>
      <c r="O123" t="s">
        <v>417</v>
      </c>
      <c r="P123" t="s">
        <v>417</v>
      </c>
      <c r="Q123" t="s">
        <v>417</v>
      </c>
    </row>
    <row r="124" spans="1:17" x14ac:dyDescent="0.25">
      <c r="A124" t="s">
        <v>732</v>
      </c>
      <c r="B124" t="s">
        <v>675</v>
      </c>
      <c r="C124" t="s">
        <v>733</v>
      </c>
      <c r="D124" t="s">
        <v>677</v>
      </c>
      <c r="E124">
        <v>1</v>
      </c>
      <c r="F124">
        <v>2</v>
      </c>
      <c r="H124">
        <v>115</v>
      </c>
      <c r="I124">
        <v>115</v>
      </c>
      <c r="J124">
        <v>111</v>
      </c>
      <c r="K124">
        <v>110.5</v>
      </c>
      <c r="L124">
        <v>5.7592407517456303</v>
      </c>
      <c r="O124" t="s">
        <v>417</v>
      </c>
      <c r="P124" t="s">
        <v>417</v>
      </c>
      <c r="Q124" t="s">
        <v>417</v>
      </c>
    </row>
    <row r="125" spans="1:17" x14ac:dyDescent="0.25">
      <c r="A125" t="s">
        <v>732</v>
      </c>
      <c r="B125" t="s">
        <v>675</v>
      </c>
      <c r="C125" t="s">
        <v>734</v>
      </c>
      <c r="D125" t="s">
        <v>676</v>
      </c>
      <c r="E125">
        <v>3</v>
      </c>
      <c r="F125">
        <v>2</v>
      </c>
      <c r="H125">
        <v>77</v>
      </c>
      <c r="I125">
        <v>77</v>
      </c>
      <c r="J125">
        <v>81</v>
      </c>
      <c r="K125">
        <v>81</v>
      </c>
      <c r="L125">
        <v>6.9837706783856497</v>
      </c>
      <c r="O125" t="s">
        <v>417</v>
      </c>
      <c r="P125" t="s">
        <v>417</v>
      </c>
      <c r="Q125" t="s">
        <v>417</v>
      </c>
    </row>
    <row r="126" spans="1:17" x14ac:dyDescent="0.25">
      <c r="A126" t="s">
        <v>732</v>
      </c>
      <c r="B126" t="s">
        <v>675</v>
      </c>
      <c r="C126" t="s">
        <v>734</v>
      </c>
      <c r="D126" t="s">
        <v>677</v>
      </c>
      <c r="E126">
        <v>3</v>
      </c>
      <c r="F126">
        <v>2</v>
      </c>
      <c r="H126">
        <v>85</v>
      </c>
      <c r="I126">
        <v>85</v>
      </c>
      <c r="J126">
        <v>81</v>
      </c>
      <c r="K126">
        <v>81</v>
      </c>
      <c r="L126">
        <v>6.9837706783856497</v>
      </c>
      <c r="O126" t="s">
        <v>417</v>
      </c>
      <c r="P126" t="s">
        <v>417</v>
      </c>
      <c r="Q126" t="s">
        <v>417</v>
      </c>
    </row>
    <row r="127" spans="1:17" x14ac:dyDescent="0.25">
      <c r="A127" t="s">
        <v>732</v>
      </c>
      <c r="B127" t="s">
        <v>675</v>
      </c>
      <c r="C127" t="s">
        <v>483</v>
      </c>
      <c r="D127" t="s">
        <v>677</v>
      </c>
      <c r="E127">
        <v>10</v>
      </c>
      <c r="F127">
        <v>2</v>
      </c>
      <c r="H127">
        <v>250</v>
      </c>
      <c r="I127">
        <v>250</v>
      </c>
      <c r="J127">
        <v>262</v>
      </c>
      <c r="K127">
        <v>261.5</v>
      </c>
      <c r="L127">
        <v>6.2192948249677196</v>
      </c>
      <c r="O127" t="s">
        <v>417</v>
      </c>
      <c r="P127" t="s">
        <v>417</v>
      </c>
      <c r="Q127" t="s">
        <v>417</v>
      </c>
    </row>
    <row r="128" spans="1:17" x14ac:dyDescent="0.25">
      <c r="A128" t="s">
        <v>732</v>
      </c>
      <c r="B128" t="s">
        <v>675</v>
      </c>
      <c r="C128" t="s">
        <v>483</v>
      </c>
      <c r="D128" t="s">
        <v>676</v>
      </c>
      <c r="E128">
        <v>10</v>
      </c>
      <c r="F128">
        <v>2</v>
      </c>
      <c r="H128">
        <v>273</v>
      </c>
      <c r="I128">
        <v>273</v>
      </c>
      <c r="J128">
        <v>262</v>
      </c>
      <c r="K128">
        <v>261.5</v>
      </c>
      <c r="L128">
        <v>6.2192948249677196</v>
      </c>
      <c r="O128" t="s">
        <v>417</v>
      </c>
      <c r="P128" t="s">
        <v>417</v>
      </c>
      <c r="Q128" t="s">
        <v>417</v>
      </c>
    </row>
    <row r="129" spans="1:17" x14ac:dyDescent="0.25">
      <c r="A129" t="s">
        <v>732</v>
      </c>
      <c r="B129" t="s">
        <v>678</v>
      </c>
      <c r="C129" t="s">
        <v>733</v>
      </c>
      <c r="D129" t="s">
        <v>679</v>
      </c>
      <c r="E129">
        <v>1</v>
      </c>
      <c r="F129">
        <v>2</v>
      </c>
      <c r="H129">
        <v>111</v>
      </c>
      <c r="I129">
        <v>111</v>
      </c>
      <c r="J129">
        <v>121</v>
      </c>
      <c r="K129">
        <v>120.5</v>
      </c>
      <c r="L129">
        <v>11.1494015290824</v>
      </c>
      <c r="O129" t="s">
        <v>417</v>
      </c>
      <c r="P129" t="s">
        <v>417</v>
      </c>
      <c r="Q129" t="s">
        <v>417</v>
      </c>
    </row>
    <row r="130" spans="1:17" x14ac:dyDescent="0.25">
      <c r="A130" t="s">
        <v>732</v>
      </c>
      <c r="B130" t="s">
        <v>678</v>
      </c>
      <c r="C130" t="s">
        <v>733</v>
      </c>
      <c r="D130" t="s">
        <v>680</v>
      </c>
      <c r="E130">
        <v>1</v>
      </c>
      <c r="F130">
        <v>2</v>
      </c>
      <c r="H130">
        <v>130</v>
      </c>
      <c r="I130">
        <v>130</v>
      </c>
      <c r="J130">
        <v>121</v>
      </c>
      <c r="K130">
        <v>120.5</v>
      </c>
      <c r="L130">
        <v>11.1494015290824</v>
      </c>
      <c r="O130">
        <v>668.77122191323701</v>
      </c>
      <c r="P130" t="s">
        <v>417</v>
      </c>
      <c r="Q130" t="s">
        <v>417</v>
      </c>
    </row>
    <row r="131" spans="1:17" x14ac:dyDescent="0.25">
      <c r="A131" t="s">
        <v>732</v>
      </c>
      <c r="B131" t="s">
        <v>678</v>
      </c>
      <c r="C131" t="s">
        <v>734</v>
      </c>
      <c r="D131" t="s">
        <v>679</v>
      </c>
      <c r="E131">
        <v>3</v>
      </c>
      <c r="F131">
        <v>2</v>
      </c>
      <c r="H131">
        <v>91</v>
      </c>
      <c r="I131">
        <v>91</v>
      </c>
      <c r="J131">
        <v>94</v>
      </c>
      <c r="K131">
        <v>93.5</v>
      </c>
      <c r="L131">
        <v>3.7813196854895499</v>
      </c>
      <c r="O131" t="s">
        <v>417</v>
      </c>
      <c r="P131" t="s">
        <v>417</v>
      </c>
      <c r="Q131" t="s">
        <v>417</v>
      </c>
    </row>
    <row r="132" spans="1:17" x14ac:dyDescent="0.25">
      <c r="A132" t="s">
        <v>732</v>
      </c>
      <c r="B132" t="s">
        <v>678</v>
      </c>
      <c r="C132" t="s">
        <v>734</v>
      </c>
      <c r="D132" t="s">
        <v>680</v>
      </c>
      <c r="E132">
        <v>3</v>
      </c>
      <c r="F132">
        <v>2</v>
      </c>
      <c r="H132">
        <v>96</v>
      </c>
      <c r="I132">
        <v>96</v>
      </c>
      <c r="J132">
        <v>94</v>
      </c>
      <c r="K132">
        <v>93.5</v>
      </c>
      <c r="L132">
        <v>3.7813196854895499</v>
      </c>
      <c r="O132" t="s">
        <v>417</v>
      </c>
      <c r="P132" t="s">
        <v>417</v>
      </c>
      <c r="Q132" t="s">
        <v>417</v>
      </c>
    </row>
    <row r="133" spans="1:17" x14ac:dyDescent="0.25">
      <c r="A133" t="s">
        <v>732</v>
      </c>
      <c r="B133" t="s">
        <v>678</v>
      </c>
      <c r="C133" t="s">
        <v>483</v>
      </c>
      <c r="D133" t="s">
        <v>679</v>
      </c>
      <c r="E133">
        <v>10</v>
      </c>
      <c r="F133">
        <v>2</v>
      </c>
      <c r="H133">
        <v>293</v>
      </c>
      <c r="I133">
        <v>293</v>
      </c>
      <c r="J133">
        <v>278</v>
      </c>
      <c r="K133">
        <v>278</v>
      </c>
      <c r="L133">
        <v>7.6306487178404403</v>
      </c>
      <c r="O133" t="s">
        <v>417</v>
      </c>
      <c r="P133" t="s">
        <v>417</v>
      </c>
      <c r="Q133" t="s">
        <v>417</v>
      </c>
    </row>
    <row r="134" spans="1:17" x14ac:dyDescent="0.25">
      <c r="A134" t="s">
        <v>732</v>
      </c>
      <c r="B134" t="s">
        <v>678</v>
      </c>
      <c r="C134" t="s">
        <v>483</v>
      </c>
      <c r="D134" t="s">
        <v>680</v>
      </c>
      <c r="E134">
        <v>10</v>
      </c>
      <c r="F134">
        <v>2</v>
      </c>
      <c r="H134">
        <v>263</v>
      </c>
      <c r="I134">
        <v>263</v>
      </c>
      <c r="J134">
        <v>278</v>
      </c>
      <c r="K134">
        <v>278</v>
      </c>
      <c r="L134">
        <v>7.6306487178404403</v>
      </c>
      <c r="O134" t="s">
        <v>417</v>
      </c>
      <c r="P134" t="s">
        <v>417</v>
      </c>
      <c r="Q134" t="s">
        <v>417</v>
      </c>
    </row>
    <row r="135" spans="1:17" x14ac:dyDescent="0.25">
      <c r="A135" t="s">
        <v>732</v>
      </c>
      <c r="B135" t="s">
        <v>681</v>
      </c>
      <c r="C135" t="s">
        <v>733</v>
      </c>
      <c r="D135" t="s">
        <v>682</v>
      </c>
      <c r="E135">
        <v>1</v>
      </c>
      <c r="F135">
        <v>2</v>
      </c>
      <c r="H135">
        <v>61373</v>
      </c>
      <c r="I135">
        <v>61373</v>
      </c>
      <c r="J135">
        <v>60503</v>
      </c>
      <c r="K135">
        <v>60503</v>
      </c>
      <c r="L135">
        <v>2.033561640356</v>
      </c>
      <c r="O135">
        <v>227799.81843720999</v>
      </c>
      <c r="P135">
        <v>225315.663749509</v>
      </c>
      <c r="Q135">
        <v>1.55920151840201</v>
      </c>
    </row>
    <row r="136" spans="1:17" x14ac:dyDescent="0.25">
      <c r="A136" t="s">
        <v>732</v>
      </c>
      <c r="B136" t="s">
        <v>681</v>
      </c>
      <c r="C136" t="s">
        <v>733</v>
      </c>
      <c r="D136" t="s">
        <v>683</v>
      </c>
      <c r="E136">
        <v>1</v>
      </c>
      <c r="F136">
        <v>2</v>
      </c>
      <c r="H136">
        <v>59633</v>
      </c>
      <c r="I136">
        <v>59633</v>
      </c>
      <c r="J136">
        <v>60503</v>
      </c>
      <c r="K136">
        <v>60503</v>
      </c>
      <c r="L136">
        <v>2.033561640356</v>
      </c>
      <c r="O136">
        <v>222831.50906180701</v>
      </c>
      <c r="P136">
        <v>225315.663749509</v>
      </c>
      <c r="Q136">
        <v>1.55920151840201</v>
      </c>
    </row>
    <row r="137" spans="1:17" x14ac:dyDescent="0.25">
      <c r="A137" t="s">
        <v>732</v>
      </c>
      <c r="B137" t="s">
        <v>681</v>
      </c>
      <c r="C137" t="s">
        <v>734</v>
      </c>
      <c r="D137" t="s">
        <v>682</v>
      </c>
      <c r="E137">
        <v>3</v>
      </c>
      <c r="F137">
        <v>2</v>
      </c>
      <c r="H137">
        <v>195</v>
      </c>
      <c r="I137">
        <v>195</v>
      </c>
      <c r="J137">
        <v>196</v>
      </c>
      <c r="K137">
        <v>196</v>
      </c>
      <c r="L137">
        <v>0.72153753182300695</v>
      </c>
      <c r="O137">
        <v>38.827846090462998</v>
      </c>
      <c r="P137">
        <v>39.186212847451003</v>
      </c>
      <c r="Q137">
        <v>1.29333020776742</v>
      </c>
    </row>
    <row r="138" spans="1:17" x14ac:dyDescent="0.25">
      <c r="A138" t="s">
        <v>732</v>
      </c>
      <c r="B138" t="s">
        <v>681</v>
      </c>
      <c r="C138" t="s">
        <v>734</v>
      </c>
      <c r="D138" t="s">
        <v>683</v>
      </c>
      <c r="E138">
        <v>3</v>
      </c>
      <c r="F138">
        <v>2</v>
      </c>
      <c r="H138">
        <v>197</v>
      </c>
      <c r="I138">
        <v>197</v>
      </c>
      <c r="J138">
        <v>196</v>
      </c>
      <c r="K138">
        <v>196</v>
      </c>
      <c r="L138">
        <v>0.72153753182300695</v>
      </c>
      <c r="O138">
        <v>39.544579604439001</v>
      </c>
      <c r="P138">
        <v>39.186212847451003</v>
      </c>
      <c r="Q138">
        <v>1.29333020776742</v>
      </c>
    </row>
    <row r="139" spans="1:17" x14ac:dyDescent="0.25">
      <c r="A139" t="s">
        <v>732</v>
      </c>
      <c r="B139" t="s">
        <v>681</v>
      </c>
      <c r="C139" t="s">
        <v>483</v>
      </c>
      <c r="D139" t="s">
        <v>682</v>
      </c>
      <c r="E139">
        <v>10</v>
      </c>
      <c r="F139">
        <v>2</v>
      </c>
      <c r="H139">
        <v>11081</v>
      </c>
      <c r="I139">
        <v>11081</v>
      </c>
      <c r="J139">
        <v>11066</v>
      </c>
      <c r="K139">
        <v>11065.5</v>
      </c>
      <c r="L139">
        <v>0.19809597593224801</v>
      </c>
      <c r="O139">
        <v>28320.429778000998</v>
      </c>
      <c r="P139">
        <v>28281.901789286199</v>
      </c>
      <c r="Q139">
        <v>0.192656082951635</v>
      </c>
    </row>
    <row r="140" spans="1:17" x14ac:dyDescent="0.25">
      <c r="A140" t="s">
        <v>732</v>
      </c>
      <c r="B140" t="s">
        <v>681</v>
      </c>
      <c r="C140" t="s">
        <v>483</v>
      </c>
      <c r="D140" t="s">
        <v>683</v>
      </c>
      <c r="E140">
        <v>10</v>
      </c>
      <c r="F140">
        <v>2</v>
      </c>
      <c r="H140">
        <v>11050</v>
      </c>
      <c r="I140">
        <v>11050</v>
      </c>
      <c r="J140">
        <v>11066</v>
      </c>
      <c r="K140">
        <v>11065.5</v>
      </c>
      <c r="L140">
        <v>0.19809597593224801</v>
      </c>
      <c r="O140">
        <v>28243.3738005714</v>
      </c>
      <c r="P140">
        <v>28281.901789286199</v>
      </c>
      <c r="Q140">
        <v>0.192656082951635</v>
      </c>
    </row>
    <row r="141" spans="1:17" x14ac:dyDescent="0.25">
      <c r="A141" t="s">
        <v>732</v>
      </c>
      <c r="B141" t="s">
        <v>684</v>
      </c>
      <c r="C141" t="s">
        <v>733</v>
      </c>
      <c r="D141" t="s">
        <v>685</v>
      </c>
      <c r="E141">
        <v>1</v>
      </c>
      <c r="F141">
        <v>2</v>
      </c>
      <c r="H141">
        <v>135383</v>
      </c>
      <c r="I141">
        <v>135383</v>
      </c>
      <c r="J141">
        <v>133123</v>
      </c>
      <c r="K141">
        <v>133123</v>
      </c>
      <c r="L141">
        <v>2.4008793754371398</v>
      </c>
      <c r="O141">
        <v>449305.04642162798</v>
      </c>
      <c r="P141">
        <v>441887.52862587699</v>
      </c>
      <c r="Q141">
        <v>2.37389688242965</v>
      </c>
    </row>
    <row r="142" spans="1:17" x14ac:dyDescent="0.25">
      <c r="A142" t="s">
        <v>732</v>
      </c>
      <c r="B142" t="s">
        <v>684</v>
      </c>
      <c r="C142" t="s">
        <v>733</v>
      </c>
      <c r="D142" t="s">
        <v>686</v>
      </c>
      <c r="E142">
        <v>1</v>
      </c>
      <c r="F142">
        <v>2</v>
      </c>
      <c r="H142">
        <v>130863</v>
      </c>
      <c r="I142">
        <v>130863</v>
      </c>
      <c r="J142">
        <v>133123</v>
      </c>
      <c r="K142">
        <v>133123</v>
      </c>
      <c r="L142">
        <v>2.4008793754371398</v>
      </c>
      <c r="O142">
        <v>434470.010830126</v>
      </c>
      <c r="P142">
        <v>441887.52862587699</v>
      </c>
      <c r="Q142">
        <v>2.37389688242965</v>
      </c>
    </row>
    <row r="143" spans="1:17" x14ac:dyDescent="0.25">
      <c r="A143" t="s">
        <v>732</v>
      </c>
      <c r="B143" t="s">
        <v>684</v>
      </c>
      <c r="C143" t="s">
        <v>734</v>
      </c>
      <c r="D143" t="s">
        <v>685</v>
      </c>
      <c r="E143">
        <v>3</v>
      </c>
      <c r="F143">
        <v>2</v>
      </c>
      <c r="H143">
        <v>422</v>
      </c>
      <c r="I143">
        <v>422</v>
      </c>
      <c r="J143">
        <v>442</v>
      </c>
      <c r="K143">
        <v>441.5</v>
      </c>
      <c r="L143">
        <v>6.2462433672197797</v>
      </c>
      <c r="O143">
        <v>114.94619587197</v>
      </c>
      <c r="P143">
        <v>121.155459451753</v>
      </c>
      <c r="Q143">
        <v>7.2478985318644602</v>
      </c>
    </row>
    <row r="144" spans="1:17" x14ac:dyDescent="0.25">
      <c r="A144" t="s">
        <v>732</v>
      </c>
      <c r="B144" t="s">
        <v>684</v>
      </c>
      <c r="C144" t="s">
        <v>734</v>
      </c>
      <c r="D144" t="s">
        <v>686</v>
      </c>
      <c r="E144">
        <v>3</v>
      </c>
      <c r="F144">
        <v>2</v>
      </c>
      <c r="H144">
        <v>461</v>
      </c>
      <c r="I144">
        <v>461</v>
      </c>
      <c r="J144">
        <v>442</v>
      </c>
      <c r="K144">
        <v>441.5</v>
      </c>
      <c r="L144">
        <v>6.2462433672197797</v>
      </c>
      <c r="O144">
        <v>127.36472303153499</v>
      </c>
      <c r="P144">
        <v>121.155459451753</v>
      </c>
      <c r="Q144">
        <v>7.2478985318644602</v>
      </c>
    </row>
    <row r="145" spans="1:17" x14ac:dyDescent="0.25">
      <c r="A145" t="s">
        <v>732</v>
      </c>
      <c r="B145" t="s">
        <v>684</v>
      </c>
      <c r="C145" t="s">
        <v>483</v>
      </c>
      <c r="D145" t="s">
        <v>685</v>
      </c>
      <c r="E145">
        <v>10</v>
      </c>
      <c r="F145">
        <v>2</v>
      </c>
      <c r="H145">
        <v>15187</v>
      </c>
      <c r="I145">
        <v>15187</v>
      </c>
      <c r="J145">
        <v>15562</v>
      </c>
      <c r="K145">
        <v>15562</v>
      </c>
      <c r="L145">
        <v>3.4078530130440199</v>
      </c>
      <c r="O145">
        <v>38433.4737256566</v>
      </c>
      <c r="P145">
        <v>39348.350569632101</v>
      </c>
      <c r="Q145">
        <v>3.28814606437364</v>
      </c>
    </row>
    <row r="146" spans="1:17" x14ac:dyDescent="0.25">
      <c r="A146" t="s">
        <v>732</v>
      </c>
      <c r="B146" t="s">
        <v>684</v>
      </c>
      <c r="C146" t="s">
        <v>483</v>
      </c>
      <c r="D146" t="s">
        <v>686</v>
      </c>
      <c r="E146">
        <v>10</v>
      </c>
      <c r="F146">
        <v>2</v>
      </c>
      <c r="H146">
        <v>15937</v>
      </c>
      <c r="I146">
        <v>15937</v>
      </c>
      <c r="J146">
        <v>15562</v>
      </c>
      <c r="K146">
        <v>15562</v>
      </c>
      <c r="L146">
        <v>3.4078530130440199</v>
      </c>
      <c r="O146">
        <v>40263.227413607703</v>
      </c>
      <c r="P146">
        <v>39348.350569632101</v>
      </c>
      <c r="Q146">
        <v>3.28814606437364</v>
      </c>
    </row>
    <row r="147" spans="1:17" x14ac:dyDescent="0.25">
      <c r="A147" t="s">
        <v>732</v>
      </c>
      <c r="B147" t="s">
        <v>687</v>
      </c>
      <c r="C147" t="s">
        <v>733</v>
      </c>
      <c r="D147" t="s">
        <v>688</v>
      </c>
      <c r="E147">
        <v>1</v>
      </c>
      <c r="F147">
        <v>2</v>
      </c>
      <c r="H147">
        <v>4431</v>
      </c>
      <c r="I147">
        <v>4431</v>
      </c>
      <c r="J147">
        <v>4183</v>
      </c>
      <c r="K147">
        <v>4183</v>
      </c>
      <c r="L147">
        <v>8.3845317587503594</v>
      </c>
      <c r="O147">
        <v>37076.918540014703</v>
      </c>
      <c r="P147">
        <v>35657.839579118299</v>
      </c>
      <c r="Q147">
        <v>5.6281612578496798</v>
      </c>
    </row>
    <row r="148" spans="1:17" x14ac:dyDescent="0.25">
      <c r="A148" t="s">
        <v>732</v>
      </c>
      <c r="B148" t="s">
        <v>687</v>
      </c>
      <c r="C148" t="s">
        <v>733</v>
      </c>
      <c r="D148" t="s">
        <v>689</v>
      </c>
      <c r="E148">
        <v>1</v>
      </c>
      <c r="F148">
        <v>2</v>
      </c>
      <c r="H148">
        <v>3935</v>
      </c>
      <c r="I148">
        <v>3935</v>
      </c>
      <c r="J148">
        <v>4183</v>
      </c>
      <c r="K148">
        <v>4183</v>
      </c>
      <c r="L148">
        <v>8.3845317587503594</v>
      </c>
      <c r="O148">
        <v>34238.760618221801</v>
      </c>
      <c r="P148">
        <v>35657.839579118299</v>
      </c>
      <c r="Q148">
        <v>5.6281612578496798</v>
      </c>
    </row>
    <row r="149" spans="1:17" x14ac:dyDescent="0.25">
      <c r="A149" t="s">
        <v>732</v>
      </c>
      <c r="B149" t="s">
        <v>687</v>
      </c>
      <c r="C149" t="s">
        <v>734</v>
      </c>
      <c r="D149" t="s">
        <v>688</v>
      </c>
      <c r="E149">
        <v>3</v>
      </c>
      <c r="F149">
        <v>2</v>
      </c>
      <c r="H149">
        <v>97</v>
      </c>
      <c r="I149">
        <v>97</v>
      </c>
      <c r="J149">
        <v>97</v>
      </c>
      <c r="K149">
        <v>96.5</v>
      </c>
      <c r="L149">
        <v>0.73275314112595602</v>
      </c>
      <c r="O149" t="s">
        <v>417</v>
      </c>
      <c r="P149" t="s">
        <v>417</v>
      </c>
      <c r="Q149" t="s">
        <v>417</v>
      </c>
    </row>
    <row r="150" spans="1:17" x14ac:dyDescent="0.25">
      <c r="A150" t="s">
        <v>732</v>
      </c>
      <c r="B150" t="s">
        <v>687</v>
      </c>
      <c r="C150" t="s">
        <v>734</v>
      </c>
      <c r="D150" t="s">
        <v>689</v>
      </c>
      <c r="E150">
        <v>3</v>
      </c>
      <c r="F150">
        <v>2</v>
      </c>
      <c r="H150">
        <v>96</v>
      </c>
      <c r="I150">
        <v>96</v>
      </c>
      <c r="J150">
        <v>97</v>
      </c>
      <c r="K150">
        <v>96.5</v>
      </c>
      <c r="L150">
        <v>0.73275314112595602</v>
      </c>
      <c r="O150" t="s">
        <v>417</v>
      </c>
      <c r="P150" t="s">
        <v>417</v>
      </c>
      <c r="Q150" t="s">
        <v>417</v>
      </c>
    </row>
    <row r="151" spans="1:17" x14ac:dyDescent="0.25">
      <c r="A151" t="s">
        <v>732</v>
      </c>
      <c r="B151" t="s">
        <v>687</v>
      </c>
      <c r="C151" t="s">
        <v>483</v>
      </c>
      <c r="D151" t="s">
        <v>688</v>
      </c>
      <c r="E151">
        <v>10</v>
      </c>
      <c r="F151">
        <v>2</v>
      </c>
      <c r="H151">
        <v>281</v>
      </c>
      <c r="I151">
        <v>281</v>
      </c>
      <c r="J151">
        <v>276</v>
      </c>
      <c r="K151">
        <v>276</v>
      </c>
      <c r="L151">
        <v>2.5619810912555998</v>
      </c>
      <c r="O151" t="s">
        <v>417</v>
      </c>
      <c r="P151" t="s">
        <v>417</v>
      </c>
      <c r="Q151" t="s">
        <v>417</v>
      </c>
    </row>
    <row r="152" spans="1:17" x14ac:dyDescent="0.25">
      <c r="A152" t="s">
        <v>732</v>
      </c>
      <c r="B152" t="s">
        <v>687</v>
      </c>
      <c r="C152" t="s">
        <v>483</v>
      </c>
      <c r="D152" t="s">
        <v>689</v>
      </c>
      <c r="E152">
        <v>10</v>
      </c>
      <c r="F152">
        <v>2</v>
      </c>
      <c r="H152">
        <v>271</v>
      </c>
      <c r="I152">
        <v>271</v>
      </c>
      <c r="J152">
        <v>276</v>
      </c>
      <c r="K152">
        <v>276</v>
      </c>
      <c r="L152">
        <v>2.5619810912555998</v>
      </c>
      <c r="O152" t="s">
        <v>417</v>
      </c>
      <c r="P152" t="s">
        <v>417</v>
      </c>
      <c r="Q152" t="s">
        <v>417</v>
      </c>
    </row>
    <row r="153" spans="1:17" x14ac:dyDescent="0.25">
      <c r="A153" t="s">
        <v>732</v>
      </c>
      <c r="B153" t="s">
        <v>690</v>
      </c>
      <c r="C153" t="s">
        <v>733</v>
      </c>
      <c r="D153" t="s">
        <v>691</v>
      </c>
      <c r="E153">
        <v>1</v>
      </c>
      <c r="F153">
        <v>2</v>
      </c>
      <c r="H153">
        <v>5016</v>
      </c>
      <c r="I153">
        <v>5016</v>
      </c>
      <c r="J153">
        <v>5140</v>
      </c>
      <c r="K153">
        <v>5139.5</v>
      </c>
      <c r="L153">
        <v>3.39829506670059</v>
      </c>
      <c r="O153">
        <v>40286.4879757257</v>
      </c>
      <c r="P153">
        <v>40944.544052277502</v>
      </c>
      <c r="Q153">
        <v>2.27290802670412</v>
      </c>
    </row>
    <row r="154" spans="1:17" x14ac:dyDescent="0.25">
      <c r="A154" t="s">
        <v>732</v>
      </c>
      <c r="B154" t="s">
        <v>690</v>
      </c>
      <c r="C154" t="s">
        <v>733</v>
      </c>
      <c r="D154" t="s">
        <v>692</v>
      </c>
      <c r="E154">
        <v>1</v>
      </c>
      <c r="F154">
        <v>2</v>
      </c>
      <c r="H154">
        <v>5263</v>
      </c>
      <c r="I154">
        <v>5263</v>
      </c>
      <c r="J154">
        <v>5140</v>
      </c>
      <c r="K154">
        <v>5139.5</v>
      </c>
      <c r="L154">
        <v>3.39829506670059</v>
      </c>
      <c r="O154">
        <v>41602.600128829399</v>
      </c>
      <c r="P154">
        <v>40944.544052277502</v>
      </c>
      <c r="Q154">
        <v>2.27290802670412</v>
      </c>
    </row>
    <row r="155" spans="1:17" x14ac:dyDescent="0.25">
      <c r="A155" t="s">
        <v>732</v>
      </c>
      <c r="B155" t="s">
        <v>690</v>
      </c>
      <c r="C155" t="s">
        <v>734</v>
      </c>
      <c r="D155" t="s">
        <v>691</v>
      </c>
      <c r="E155">
        <v>3</v>
      </c>
      <c r="F155">
        <v>2</v>
      </c>
      <c r="H155">
        <v>86</v>
      </c>
      <c r="I155">
        <v>86</v>
      </c>
      <c r="J155">
        <v>99</v>
      </c>
      <c r="K155">
        <v>99</v>
      </c>
      <c r="L155">
        <v>18.570481122070898</v>
      </c>
      <c r="O155" t="s">
        <v>417</v>
      </c>
      <c r="P155">
        <v>7.0935373774333899</v>
      </c>
      <c r="Q155" t="s">
        <v>417</v>
      </c>
    </row>
    <row r="156" spans="1:17" x14ac:dyDescent="0.25">
      <c r="A156" t="s">
        <v>732</v>
      </c>
      <c r="B156" t="s">
        <v>690</v>
      </c>
      <c r="C156" t="s">
        <v>734</v>
      </c>
      <c r="D156" t="s">
        <v>692</v>
      </c>
      <c r="E156">
        <v>3</v>
      </c>
      <c r="F156">
        <v>2</v>
      </c>
      <c r="H156">
        <v>112</v>
      </c>
      <c r="I156">
        <v>112</v>
      </c>
      <c r="J156">
        <v>99</v>
      </c>
      <c r="K156">
        <v>99</v>
      </c>
      <c r="L156">
        <v>18.570481122070898</v>
      </c>
      <c r="O156">
        <v>7.0935373774333899</v>
      </c>
      <c r="P156" t="s">
        <v>417</v>
      </c>
      <c r="Q156" t="s">
        <v>417</v>
      </c>
    </row>
    <row r="157" spans="1:17" x14ac:dyDescent="0.25">
      <c r="A157" t="s">
        <v>732</v>
      </c>
      <c r="B157" t="s">
        <v>690</v>
      </c>
      <c r="C157" t="s">
        <v>483</v>
      </c>
      <c r="D157" t="s">
        <v>691</v>
      </c>
      <c r="E157">
        <v>10</v>
      </c>
      <c r="F157">
        <v>2</v>
      </c>
      <c r="H157">
        <v>265</v>
      </c>
      <c r="I157">
        <v>265</v>
      </c>
      <c r="J157">
        <v>271</v>
      </c>
      <c r="K157">
        <v>271</v>
      </c>
      <c r="L157">
        <v>3.1311001380954102</v>
      </c>
      <c r="O157" t="s">
        <v>417</v>
      </c>
      <c r="P157" t="s">
        <v>417</v>
      </c>
      <c r="Q157" t="s">
        <v>417</v>
      </c>
    </row>
    <row r="158" spans="1:17" x14ac:dyDescent="0.25">
      <c r="A158" t="s">
        <v>732</v>
      </c>
      <c r="B158" t="s">
        <v>690</v>
      </c>
      <c r="C158" t="s">
        <v>483</v>
      </c>
      <c r="D158" t="s">
        <v>692</v>
      </c>
      <c r="E158">
        <v>10</v>
      </c>
      <c r="F158">
        <v>2</v>
      </c>
      <c r="H158">
        <v>277</v>
      </c>
      <c r="I158">
        <v>277</v>
      </c>
      <c r="J158">
        <v>271</v>
      </c>
      <c r="K158">
        <v>271</v>
      </c>
      <c r="L158">
        <v>3.1311001380954102</v>
      </c>
      <c r="O158" t="s">
        <v>417</v>
      </c>
      <c r="P158" t="s">
        <v>417</v>
      </c>
      <c r="Q158" t="s">
        <v>417</v>
      </c>
    </row>
    <row r="159" spans="1:17" x14ac:dyDescent="0.25">
      <c r="A159" t="s">
        <v>732</v>
      </c>
      <c r="B159" t="s">
        <v>693</v>
      </c>
      <c r="C159" t="s">
        <v>733</v>
      </c>
      <c r="D159" t="s">
        <v>694</v>
      </c>
      <c r="E159">
        <v>1</v>
      </c>
      <c r="F159">
        <v>2</v>
      </c>
      <c r="H159">
        <v>2248</v>
      </c>
      <c r="I159">
        <v>2248</v>
      </c>
      <c r="J159">
        <v>2167</v>
      </c>
      <c r="K159">
        <v>2167</v>
      </c>
      <c r="L159">
        <v>5.2861697532173801</v>
      </c>
      <c r="O159">
        <v>23432.683445074199</v>
      </c>
      <c r="P159">
        <v>22846.4105377571</v>
      </c>
      <c r="Q159">
        <v>3.6290825441024501</v>
      </c>
    </row>
    <row r="160" spans="1:17" x14ac:dyDescent="0.25">
      <c r="A160" t="s">
        <v>732</v>
      </c>
      <c r="B160" t="s">
        <v>693</v>
      </c>
      <c r="C160" t="s">
        <v>733</v>
      </c>
      <c r="D160" t="s">
        <v>695</v>
      </c>
      <c r="E160">
        <v>1</v>
      </c>
      <c r="F160">
        <v>2</v>
      </c>
      <c r="H160">
        <v>2086</v>
      </c>
      <c r="I160">
        <v>2086</v>
      </c>
      <c r="J160">
        <v>2167</v>
      </c>
      <c r="K160">
        <v>2167</v>
      </c>
      <c r="L160">
        <v>5.2861697532173801</v>
      </c>
      <c r="O160">
        <v>22260.13763044</v>
      </c>
      <c r="P160">
        <v>22846.4105377571</v>
      </c>
      <c r="Q160">
        <v>3.6290825441024501</v>
      </c>
    </row>
    <row r="161" spans="1:17" x14ac:dyDescent="0.25">
      <c r="A161" t="s">
        <v>732</v>
      </c>
      <c r="B161" t="s">
        <v>693</v>
      </c>
      <c r="C161" t="s">
        <v>734</v>
      </c>
      <c r="D161" t="s">
        <v>694</v>
      </c>
      <c r="E161">
        <v>3</v>
      </c>
      <c r="F161">
        <v>2</v>
      </c>
      <c r="H161">
        <v>117</v>
      </c>
      <c r="I161">
        <v>117</v>
      </c>
      <c r="J161">
        <v>115</v>
      </c>
      <c r="K161">
        <v>114.5</v>
      </c>
      <c r="L161">
        <v>3.0878025379325198</v>
      </c>
      <c r="O161">
        <v>9.2062294910932891</v>
      </c>
      <c r="P161">
        <v>8.1498834342633408</v>
      </c>
      <c r="Q161">
        <v>18.3303102698092</v>
      </c>
    </row>
    <row r="162" spans="1:17" x14ac:dyDescent="0.25">
      <c r="A162" t="s">
        <v>732</v>
      </c>
      <c r="B162" t="s">
        <v>693</v>
      </c>
      <c r="C162" t="s">
        <v>734</v>
      </c>
      <c r="D162" t="s">
        <v>695</v>
      </c>
      <c r="E162">
        <v>3</v>
      </c>
      <c r="F162">
        <v>2</v>
      </c>
      <c r="H162">
        <v>112</v>
      </c>
      <c r="I162">
        <v>112</v>
      </c>
      <c r="J162">
        <v>115</v>
      </c>
      <c r="K162">
        <v>114.5</v>
      </c>
      <c r="L162">
        <v>3.0878025379325198</v>
      </c>
      <c r="O162">
        <v>7.0935373774333899</v>
      </c>
      <c r="P162">
        <v>8.1498834342633408</v>
      </c>
      <c r="Q162">
        <v>18.3303102698092</v>
      </c>
    </row>
    <row r="163" spans="1:17" x14ac:dyDescent="0.25">
      <c r="A163" t="s">
        <v>732</v>
      </c>
      <c r="B163" t="s">
        <v>693</v>
      </c>
      <c r="C163" t="s">
        <v>483</v>
      </c>
      <c r="D163" t="s">
        <v>695</v>
      </c>
      <c r="E163">
        <v>10</v>
      </c>
      <c r="F163">
        <v>2</v>
      </c>
      <c r="H163">
        <v>255</v>
      </c>
      <c r="I163">
        <v>255</v>
      </c>
      <c r="J163">
        <v>257</v>
      </c>
      <c r="K163">
        <v>257</v>
      </c>
      <c r="L163">
        <v>1.1005553014576599</v>
      </c>
      <c r="O163" t="s">
        <v>417</v>
      </c>
      <c r="P163" t="s">
        <v>417</v>
      </c>
      <c r="Q163" t="s">
        <v>417</v>
      </c>
    </row>
    <row r="164" spans="1:17" x14ac:dyDescent="0.25">
      <c r="A164" t="s">
        <v>732</v>
      </c>
      <c r="B164" t="s">
        <v>693</v>
      </c>
      <c r="C164" t="s">
        <v>483</v>
      </c>
      <c r="D164" t="s">
        <v>694</v>
      </c>
      <c r="E164">
        <v>10</v>
      </c>
      <c r="F164">
        <v>2</v>
      </c>
      <c r="H164">
        <v>259</v>
      </c>
      <c r="I164">
        <v>259</v>
      </c>
      <c r="J164">
        <v>257</v>
      </c>
      <c r="K164">
        <v>257</v>
      </c>
      <c r="L164">
        <v>1.1005553014576599</v>
      </c>
      <c r="O164" t="s">
        <v>417</v>
      </c>
      <c r="P164" t="s">
        <v>417</v>
      </c>
      <c r="Q164" t="s">
        <v>417</v>
      </c>
    </row>
    <row r="165" spans="1:17" x14ac:dyDescent="0.25">
      <c r="A165" t="s">
        <v>732</v>
      </c>
      <c r="B165" t="s">
        <v>696</v>
      </c>
      <c r="C165" t="s">
        <v>733</v>
      </c>
      <c r="D165" t="s">
        <v>697</v>
      </c>
      <c r="E165">
        <v>1</v>
      </c>
      <c r="F165">
        <v>2</v>
      </c>
      <c r="H165">
        <v>6613</v>
      </c>
      <c r="I165">
        <v>6613</v>
      </c>
      <c r="J165">
        <v>6983</v>
      </c>
      <c r="K165">
        <v>6982.5</v>
      </c>
      <c r="L165">
        <v>7.4837366458554699</v>
      </c>
      <c r="O165">
        <v>48458.618604676099</v>
      </c>
      <c r="P165">
        <v>50234.735442679201</v>
      </c>
      <c r="Q165">
        <v>5.0001428265293599</v>
      </c>
    </row>
    <row r="166" spans="1:17" x14ac:dyDescent="0.25">
      <c r="A166" t="s">
        <v>732</v>
      </c>
      <c r="B166" t="s">
        <v>696</v>
      </c>
      <c r="C166" t="s">
        <v>733</v>
      </c>
      <c r="D166" t="s">
        <v>698</v>
      </c>
      <c r="E166">
        <v>1</v>
      </c>
      <c r="F166">
        <v>2</v>
      </c>
      <c r="H166">
        <v>7352</v>
      </c>
      <c r="I166">
        <v>7352</v>
      </c>
      <c r="J166">
        <v>6983</v>
      </c>
      <c r="K166">
        <v>6982.5</v>
      </c>
      <c r="L166">
        <v>7.4837366458554699</v>
      </c>
      <c r="O166">
        <v>52010.8522806822</v>
      </c>
      <c r="P166">
        <v>50234.735442679201</v>
      </c>
      <c r="Q166">
        <v>5.0001428265293599</v>
      </c>
    </row>
    <row r="167" spans="1:17" x14ac:dyDescent="0.25">
      <c r="A167" t="s">
        <v>732</v>
      </c>
      <c r="B167" t="s">
        <v>696</v>
      </c>
      <c r="C167" t="s">
        <v>734</v>
      </c>
      <c r="D167" t="s">
        <v>697</v>
      </c>
      <c r="E167">
        <v>3</v>
      </c>
      <c r="F167">
        <v>2</v>
      </c>
      <c r="H167">
        <v>97</v>
      </c>
      <c r="I167">
        <v>97</v>
      </c>
      <c r="J167">
        <v>100</v>
      </c>
      <c r="K167">
        <v>99.5</v>
      </c>
      <c r="L167">
        <v>3.5533004079725998</v>
      </c>
      <c r="O167" t="s">
        <v>417</v>
      </c>
      <c r="P167">
        <v>2.61803194371244</v>
      </c>
      <c r="Q167" t="s">
        <v>417</v>
      </c>
    </row>
    <row r="168" spans="1:17" x14ac:dyDescent="0.25">
      <c r="A168" t="s">
        <v>732</v>
      </c>
      <c r="B168" t="s">
        <v>696</v>
      </c>
      <c r="C168" t="s">
        <v>734</v>
      </c>
      <c r="D168" t="s">
        <v>698</v>
      </c>
      <c r="E168">
        <v>3</v>
      </c>
      <c r="F168">
        <v>2</v>
      </c>
      <c r="H168">
        <v>102</v>
      </c>
      <c r="I168">
        <v>102</v>
      </c>
      <c r="J168">
        <v>100</v>
      </c>
      <c r="K168">
        <v>99.5</v>
      </c>
      <c r="L168">
        <v>3.5533004079725998</v>
      </c>
      <c r="O168">
        <v>2.61803194371244</v>
      </c>
      <c r="P168" t="s">
        <v>417</v>
      </c>
      <c r="Q168" t="s">
        <v>417</v>
      </c>
    </row>
    <row r="169" spans="1:17" x14ac:dyDescent="0.25">
      <c r="A169" t="s">
        <v>732</v>
      </c>
      <c r="B169" t="s">
        <v>696</v>
      </c>
      <c r="C169" t="s">
        <v>483</v>
      </c>
      <c r="D169" t="s">
        <v>697</v>
      </c>
      <c r="E169">
        <v>10</v>
      </c>
      <c r="F169">
        <v>2</v>
      </c>
      <c r="H169">
        <v>285</v>
      </c>
      <c r="I169">
        <v>285</v>
      </c>
      <c r="J169">
        <v>293</v>
      </c>
      <c r="K169">
        <v>292.5</v>
      </c>
      <c r="L169">
        <v>3.6261886214694701</v>
      </c>
      <c r="O169" t="s">
        <v>417</v>
      </c>
      <c r="P169" t="s">
        <v>417</v>
      </c>
      <c r="Q169" t="s">
        <v>417</v>
      </c>
    </row>
    <row r="170" spans="1:17" x14ac:dyDescent="0.25">
      <c r="A170" t="s">
        <v>732</v>
      </c>
      <c r="B170" t="s">
        <v>696</v>
      </c>
      <c r="C170" t="s">
        <v>483</v>
      </c>
      <c r="D170" t="s">
        <v>698</v>
      </c>
      <c r="E170">
        <v>10</v>
      </c>
      <c r="F170">
        <v>2</v>
      </c>
      <c r="H170">
        <v>300</v>
      </c>
      <c r="I170">
        <v>300</v>
      </c>
      <c r="J170">
        <v>293</v>
      </c>
      <c r="K170">
        <v>292.5</v>
      </c>
      <c r="L170">
        <v>3.6261886214694701</v>
      </c>
      <c r="O170">
        <v>10.961723435301799</v>
      </c>
      <c r="P170" t="s">
        <v>417</v>
      </c>
      <c r="Q170" t="s">
        <v>417</v>
      </c>
    </row>
    <row r="171" spans="1:17" x14ac:dyDescent="0.25">
      <c r="A171" t="s">
        <v>732</v>
      </c>
      <c r="B171" t="s">
        <v>699</v>
      </c>
      <c r="C171" t="s">
        <v>733</v>
      </c>
      <c r="D171" t="s">
        <v>700</v>
      </c>
      <c r="E171">
        <v>1</v>
      </c>
      <c r="G171">
        <v>300000</v>
      </c>
      <c r="H171">
        <v>165162</v>
      </c>
      <c r="I171">
        <v>165162</v>
      </c>
      <c r="J171">
        <v>178821</v>
      </c>
      <c r="K171">
        <v>178821</v>
      </c>
      <c r="L171">
        <v>10.8022788422244</v>
      </c>
      <c r="M171">
        <v>92.467791782519996</v>
      </c>
      <c r="N171">
        <v>101.87450297995601</v>
      </c>
      <c r="O171">
        <v>277403.37534755998</v>
      </c>
      <c r="P171">
        <v>305623.508939869</v>
      </c>
      <c r="Q171">
        <v>13.0583199560332</v>
      </c>
    </row>
    <row r="172" spans="1:17" x14ac:dyDescent="0.25">
      <c r="A172" t="s">
        <v>732</v>
      </c>
      <c r="B172" t="s">
        <v>699</v>
      </c>
      <c r="C172" t="s">
        <v>733</v>
      </c>
      <c r="D172" t="s">
        <v>701</v>
      </c>
      <c r="E172">
        <v>1</v>
      </c>
      <c r="G172">
        <v>300000</v>
      </c>
      <c r="H172">
        <v>192480</v>
      </c>
      <c r="I172">
        <v>192480</v>
      </c>
      <c r="J172">
        <v>178821</v>
      </c>
      <c r="K172">
        <v>178821</v>
      </c>
      <c r="L172">
        <v>10.8022788422244</v>
      </c>
      <c r="M172">
        <v>111.281214177392</v>
      </c>
      <c r="N172">
        <v>101.87450297995601</v>
      </c>
      <c r="O172">
        <v>333843.64253217803</v>
      </c>
      <c r="P172">
        <v>305623.508939869</v>
      </c>
      <c r="Q172">
        <v>13.0583199560332</v>
      </c>
    </row>
    <row r="173" spans="1:17" x14ac:dyDescent="0.25">
      <c r="A173" t="s">
        <v>732</v>
      </c>
      <c r="B173" t="s">
        <v>699</v>
      </c>
      <c r="C173" t="s">
        <v>734</v>
      </c>
      <c r="D173" t="s">
        <v>700</v>
      </c>
      <c r="E173">
        <v>3</v>
      </c>
      <c r="G173">
        <v>34100</v>
      </c>
      <c r="H173">
        <v>458338</v>
      </c>
      <c r="I173">
        <v>458338</v>
      </c>
      <c r="J173">
        <v>474824</v>
      </c>
      <c r="K173">
        <v>474823.5</v>
      </c>
      <c r="L173">
        <v>4.9100387159653298</v>
      </c>
      <c r="M173">
        <v>119.674735681792</v>
      </c>
      <c r="N173">
        <v>123.56545708675399</v>
      </c>
      <c r="O173">
        <v>40809.084867491103</v>
      </c>
      <c r="P173">
        <v>42135.820866583097</v>
      </c>
      <c r="Q173">
        <v>4.4529523930377799</v>
      </c>
    </row>
    <row r="174" spans="1:17" x14ac:dyDescent="0.25">
      <c r="A174" t="s">
        <v>732</v>
      </c>
      <c r="B174" t="s">
        <v>699</v>
      </c>
      <c r="C174" t="s">
        <v>734</v>
      </c>
      <c r="D174" t="s">
        <v>701</v>
      </c>
      <c r="E174">
        <v>3</v>
      </c>
      <c r="G174">
        <v>34100</v>
      </c>
      <c r="H174">
        <v>491309</v>
      </c>
      <c r="I174">
        <v>491309</v>
      </c>
      <c r="J174">
        <v>474824</v>
      </c>
      <c r="K174">
        <v>474823.5</v>
      </c>
      <c r="L174">
        <v>4.9100387159653298</v>
      </c>
      <c r="M174">
        <v>127.456178491716</v>
      </c>
      <c r="N174">
        <v>123.56545708675399</v>
      </c>
      <c r="O174">
        <v>43462.5568656752</v>
      </c>
      <c r="P174">
        <v>42135.820866583097</v>
      </c>
      <c r="Q174">
        <v>4.4529523930377799</v>
      </c>
    </row>
    <row r="175" spans="1:17" x14ac:dyDescent="0.25">
      <c r="A175" t="s">
        <v>732</v>
      </c>
      <c r="B175" t="s">
        <v>699</v>
      </c>
      <c r="C175" t="s">
        <v>483</v>
      </c>
      <c r="D175" t="s">
        <v>700</v>
      </c>
      <c r="E175">
        <v>10</v>
      </c>
      <c r="G175">
        <v>200000</v>
      </c>
      <c r="H175">
        <v>193228</v>
      </c>
      <c r="I175">
        <v>193228</v>
      </c>
      <c r="J175">
        <v>189724</v>
      </c>
      <c r="K175">
        <v>189723.5</v>
      </c>
      <c r="L175">
        <v>2.6122812563211699</v>
      </c>
      <c r="M175">
        <v>108.569393392864</v>
      </c>
      <c r="N175">
        <v>106.700256893565</v>
      </c>
      <c r="O175">
        <v>217138.786785729</v>
      </c>
      <c r="P175">
        <v>213400.51378713001</v>
      </c>
      <c r="Q175">
        <v>2.4773681565478198</v>
      </c>
    </row>
    <row r="176" spans="1:17" x14ac:dyDescent="0.25">
      <c r="A176" t="s">
        <v>732</v>
      </c>
      <c r="B176" t="s">
        <v>699</v>
      </c>
      <c r="C176" t="s">
        <v>483</v>
      </c>
      <c r="D176" t="s">
        <v>701</v>
      </c>
      <c r="E176">
        <v>10</v>
      </c>
      <c r="G176">
        <v>200000</v>
      </c>
      <c r="H176">
        <v>186219</v>
      </c>
      <c r="I176">
        <v>186219</v>
      </c>
      <c r="J176">
        <v>189724</v>
      </c>
      <c r="K176">
        <v>189723.5</v>
      </c>
      <c r="L176">
        <v>2.6122812563211699</v>
      </c>
      <c r="M176">
        <v>104.831120394265</v>
      </c>
      <c r="N176">
        <v>106.700256893565</v>
      </c>
      <c r="O176">
        <v>209662.24078853099</v>
      </c>
      <c r="P176">
        <v>213400.51378713001</v>
      </c>
      <c r="Q176">
        <v>2.4773681565478198</v>
      </c>
    </row>
    <row r="177" spans="1:17" x14ac:dyDescent="0.25">
      <c r="A177" t="s">
        <v>732</v>
      </c>
      <c r="B177" t="s">
        <v>702</v>
      </c>
      <c r="C177" t="s">
        <v>733</v>
      </c>
      <c r="D177" t="s">
        <v>703</v>
      </c>
      <c r="E177">
        <v>1</v>
      </c>
      <c r="G177">
        <v>75000</v>
      </c>
      <c r="H177">
        <v>28146</v>
      </c>
      <c r="I177">
        <v>28146</v>
      </c>
      <c r="J177">
        <v>32554</v>
      </c>
      <c r="K177">
        <v>32554</v>
      </c>
      <c r="L177">
        <v>19.149270083371</v>
      </c>
      <c r="M177">
        <v>86.118422019434604</v>
      </c>
      <c r="N177">
        <v>95.257949833507297</v>
      </c>
      <c r="O177">
        <v>64588.816514575898</v>
      </c>
      <c r="P177">
        <v>71443.462375130403</v>
      </c>
      <c r="Q177">
        <v>13.5686776914037</v>
      </c>
    </row>
    <row r="178" spans="1:17" x14ac:dyDescent="0.25">
      <c r="A178" t="s">
        <v>732</v>
      </c>
      <c r="B178" t="s">
        <v>702</v>
      </c>
      <c r="C178" t="s">
        <v>733</v>
      </c>
      <c r="D178" t="s">
        <v>704</v>
      </c>
      <c r="E178">
        <v>1</v>
      </c>
      <c r="G178">
        <v>75000</v>
      </c>
      <c r="H178">
        <v>36962</v>
      </c>
      <c r="I178">
        <v>36962</v>
      </c>
      <c r="J178">
        <v>32554</v>
      </c>
      <c r="K178">
        <v>32554</v>
      </c>
      <c r="L178">
        <v>19.149270083371</v>
      </c>
      <c r="M178">
        <v>104.397477647579</v>
      </c>
      <c r="N178">
        <v>95.257949833507297</v>
      </c>
      <c r="O178">
        <v>78298.108235684893</v>
      </c>
      <c r="P178">
        <v>71443.462375130403</v>
      </c>
      <c r="Q178">
        <v>13.5686776914037</v>
      </c>
    </row>
    <row r="179" spans="1:17" x14ac:dyDescent="0.25">
      <c r="A179" t="s">
        <v>732</v>
      </c>
      <c r="B179" t="s">
        <v>702</v>
      </c>
      <c r="C179" t="s">
        <v>734</v>
      </c>
      <c r="D179" t="s">
        <v>703</v>
      </c>
      <c r="E179">
        <v>3</v>
      </c>
      <c r="G179">
        <v>8525</v>
      </c>
      <c r="H179">
        <v>75301</v>
      </c>
      <c r="I179">
        <v>75301</v>
      </c>
      <c r="J179">
        <v>78488</v>
      </c>
      <c r="K179">
        <v>78488</v>
      </c>
      <c r="L179">
        <v>5.7424047284719304</v>
      </c>
      <c r="M179">
        <v>93.133059493115496</v>
      </c>
      <c r="N179">
        <v>96.692747010510999</v>
      </c>
      <c r="O179">
        <v>7939.5933217881002</v>
      </c>
      <c r="P179">
        <v>8243.0566826460599</v>
      </c>
      <c r="Q179">
        <v>5.20634537807027</v>
      </c>
    </row>
    <row r="180" spans="1:17" x14ac:dyDescent="0.25">
      <c r="A180" t="s">
        <v>732</v>
      </c>
      <c r="B180" t="s">
        <v>702</v>
      </c>
      <c r="C180" t="s">
        <v>734</v>
      </c>
      <c r="D180" t="s">
        <v>704</v>
      </c>
      <c r="E180">
        <v>3</v>
      </c>
      <c r="G180">
        <v>8525</v>
      </c>
      <c r="H180">
        <v>81675</v>
      </c>
      <c r="I180">
        <v>81675</v>
      </c>
      <c r="J180">
        <v>78488</v>
      </c>
      <c r="K180">
        <v>78488</v>
      </c>
      <c r="L180">
        <v>5.7424047284719304</v>
      </c>
      <c r="M180">
        <v>100.252434527906</v>
      </c>
      <c r="N180">
        <v>96.692747010510999</v>
      </c>
      <c r="O180">
        <v>8546.5200435040297</v>
      </c>
      <c r="P180">
        <v>8243.0566826460599</v>
      </c>
      <c r="Q180">
        <v>5.20634537807027</v>
      </c>
    </row>
    <row r="181" spans="1:17" x14ac:dyDescent="0.25">
      <c r="A181" t="s">
        <v>732</v>
      </c>
      <c r="B181" t="s">
        <v>702</v>
      </c>
      <c r="C181" t="s">
        <v>483</v>
      </c>
      <c r="D181" t="s">
        <v>704</v>
      </c>
      <c r="E181">
        <v>10</v>
      </c>
      <c r="G181">
        <v>50000</v>
      </c>
      <c r="H181">
        <v>39358</v>
      </c>
      <c r="I181">
        <v>39358</v>
      </c>
      <c r="J181">
        <v>38733</v>
      </c>
      <c r="K181">
        <v>38733</v>
      </c>
      <c r="L181">
        <v>2.2819907481557902</v>
      </c>
      <c r="M181">
        <v>95.748436578658399</v>
      </c>
      <c r="N181">
        <v>94.297133854813197</v>
      </c>
      <c r="O181">
        <v>47874.218289329197</v>
      </c>
      <c r="P181">
        <v>47148.566927406602</v>
      </c>
      <c r="Q181">
        <v>2.1765794051927698</v>
      </c>
    </row>
    <row r="182" spans="1:17" x14ac:dyDescent="0.25">
      <c r="A182" t="s">
        <v>732</v>
      </c>
      <c r="B182" t="s">
        <v>702</v>
      </c>
      <c r="C182" t="s">
        <v>483</v>
      </c>
      <c r="D182" t="s">
        <v>703</v>
      </c>
      <c r="E182">
        <v>10</v>
      </c>
      <c r="G182">
        <v>50000</v>
      </c>
      <c r="H182">
        <v>38108</v>
      </c>
      <c r="I182">
        <v>38108</v>
      </c>
      <c r="J182">
        <v>38733</v>
      </c>
      <c r="K182">
        <v>38733</v>
      </c>
      <c r="L182">
        <v>2.2819907481557902</v>
      </c>
      <c r="M182">
        <v>92.845831130967994</v>
      </c>
      <c r="N182">
        <v>94.297133854813197</v>
      </c>
      <c r="O182">
        <v>46422.915565484</v>
      </c>
      <c r="P182">
        <v>47148.566927406602</v>
      </c>
      <c r="Q182">
        <v>2.1765794051927698</v>
      </c>
    </row>
    <row r="183" spans="1:17" x14ac:dyDescent="0.25">
      <c r="A183" t="s">
        <v>732</v>
      </c>
      <c r="B183" t="s">
        <v>705</v>
      </c>
      <c r="C183" t="s">
        <v>733</v>
      </c>
      <c r="D183" t="s">
        <v>706</v>
      </c>
      <c r="E183">
        <v>1</v>
      </c>
      <c r="G183">
        <v>18750</v>
      </c>
      <c r="H183">
        <v>4492</v>
      </c>
      <c r="I183">
        <v>4492</v>
      </c>
      <c r="J183">
        <v>5103</v>
      </c>
      <c r="K183">
        <v>5103</v>
      </c>
      <c r="L183">
        <v>16.932872557514401</v>
      </c>
      <c r="M183">
        <v>99.781720066961</v>
      </c>
      <c r="N183">
        <v>108.494474579634</v>
      </c>
      <c r="O183">
        <v>18709.0725125551</v>
      </c>
      <c r="P183">
        <v>20342.7139836815</v>
      </c>
      <c r="Q183">
        <v>11.356979832559601</v>
      </c>
    </row>
    <row r="184" spans="1:17" x14ac:dyDescent="0.25">
      <c r="A184" t="s">
        <v>732</v>
      </c>
      <c r="B184" t="s">
        <v>705</v>
      </c>
      <c r="C184" t="s">
        <v>733</v>
      </c>
      <c r="D184" t="s">
        <v>707</v>
      </c>
      <c r="E184">
        <v>1</v>
      </c>
      <c r="G184">
        <v>18750</v>
      </c>
      <c r="H184">
        <v>5714</v>
      </c>
      <c r="I184">
        <v>5714</v>
      </c>
      <c r="J184">
        <v>5103</v>
      </c>
      <c r="K184">
        <v>5103</v>
      </c>
      <c r="L184">
        <v>16.932872557514401</v>
      </c>
      <c r="M184">
        <v>117.207229092308</v>
      </c>
      <c r="N184">
        <v>108.494474579634</v>
      </c>
      <c r="O184">
        <v>21976.355454807799</v>
      </c>
      <c r="P184">
        <v>20342.7139836815</v>
      </c>
      <c r="Q184">
        <v>11.356979832559601</v>
      </c>
    </row>
    <row r="185" spans="1:17" x14ac:dyDescent="0.25">
      <c r="A185" t="s">
        <v>732</v>
      </c>
      <c r="B185" t="s">
        <v>705</v>
      </c>
      <c r="C185" t="s">
        <v>734</v>
      </c>
      <c r="D185" t="s">
        <v>706</v>
      </c>
      <c r="E185">
        <v>3</v>
      </c>
      <c r="G185">
        <v>2131.25</v>
      </c>
      <c r="H185">
        <v>14667</v>
      </c>
      <c r="I185">
        <v>14667</v>
      </c>
      <c r="J185">
        <v>15335</v>
      </c>
      <c r="K185">
        <v>15335</v>
      </c>
      <c r="L185">
        <v>6.16038252145567</v>
      </c>
      <c r="M185">
        <v>84.309115209561298</v>
      </c>
      <c r="N185">
        <v>87.793511554487793</v>
      </c>
      <c r="O185">
        <v>1796.8380179037699</v>
      </c>
      <c r="P185">
        <v>1871.0992150050199</v>
      </c>
      <c r="Q185">
        <v>5.6128072341882502</v>
      </c>
    </row>
    <row r="186" spans="1:17" x14ac:dyDescent="0.25">
      <c r="A186" t="s">
        <v>732</v>
      </c>
      <c r="B186" t="s">
        <v>705</v>
      </c>
      <c r="C186" t="s">
        <v>734</v>
      </c>
      <c r="D186" t="s">
        <v>707</v>
      </c>
      <c r="E186">
        <v>3</v>
      </c>
      <c r="G186">
        <v>2131.25</v>
      </c>
      <c r="H186">
        <v>16003</v>
      </c>
      <c r="I186">
        <v>16003</v>
      </c>
      <c r="J186">
        <v>15335</v>
      </c>
      <c r="K186">
        <v>15335</v>
      </c>
      <c r="L186">
        <v>6.16038252145567</v>
      </c>
      <c r="M186">
        <v>91.277907899414203</v>
      </c>
      <c r="N186">
        <v>87.793511554487793</v>
      </c>
      <c r="O186">
        <v>1945.3604121062599</v>
      </c>
      <c r="P186">
        <v>1871.0992150050199</v>
      </c>
      <c r="Q186">
        <v>5.6128072341882502</v>
      </c>
    </row>
    <row r="187" spans="1:17" x14ac:dyDescent="0.25">
      <c r="A187" t="s">
        <v>732</v>
      </c>
      <c r="B187" t="s">
        <v>705</v>
      </c>
      <c r="C187" t="s">
        <v>483</v>
      </c>
      <c r="D187" t="s">
        <v>706</v>
      </c>
      <c r="E187">
        <v>10</v>
      </c>
      <c r="G187">
        <v>12500</v>
      </c>
      <c r="H187">
        <v>8976</v>
      </c>
      <c r="I187">
        <v>8976</v>
      </c>
      <c r="J187">
        <v>9497</v>
      </c>
      <c r="K187">
        <v>9497</v>
      </c>
      <c r="L187">
        <v>7.7582948930860498</v>
      </c>
      <c r="M187">
        <v>92.236161982835796</v>
      </c>
      <c r="N187">
        <v>97.460339362371002</v>
      </c>
      <c r="O187">
        <v>11529.5202478544</v>
      </c>
      <c r="P187">
        <v>12182.5424202963</v>
      </c>
      <c r="Q187">
        <v>7.58062464251371</v>
      </c>
    </row>
    <row r="188" spans="1:17" x14ac:dyDescent="0.25">
      <c r="A188" t="s">
        <v>732</v>
      </c>
      <c r="B188" t="s">
        <v>705</v>
      </c>
      <c r="C188" t="s">
        <v>483</v>
      </c>
      <c r="D188" t="s">
        <v>707</v>
      </c>
      <c r="E188">
        <v>10</v>
      </c>
      <c r="G188">
        <v>12500</v>
      </c>
      <c r="H188">
        <v>10018</v>
      </c>
      <c r="I188">
        <v>10018</v>
      </c>
      <c r="J188">
        <v>9497</v>
      </c>
      <c r="K188">
        <v>9497</v>
      </c>
      <c r="L188">
        <v>7.7582948930860498</v>
      </c>
      <c r="M188">
        <v>102.68451674190599</v>
      </c>
      <c r="N188">
        <v>97.460339362371002</v>
      </c>
      <c r="O188">
        <v>12835.564592738199</v>
      </c>
      <c r="P188">
        <v>12182.5424202963</v>
      </c>
      <c r="Q188">
        <v>7.58062464251371</v>
      </c>
    </row>
    <row r="189" spans="1:17" x14ac:dyDescent="0.25">
      <c r="A189" t="s">
        <v>732</v>
      </c>
      <c r="B189" t="s">
        <v>708</v>
      </c>
      <c r="C189" t="s">
        <v>733</v>
      </c>
      <c r="D189" t="s">
        <v>709</v>
      </c>
      <c r="E189">
        <v>1</v>
      </c>
      <c r="G189">
        <v>4687.5</v>
      </c>
      <c r="H189">
        <v>637</v>
      </c>
      <c r="I189">
        <v>637</v>
      </c>
      <c r="J189">
        <v>619</v>
      </c>
      <c r="K189">
        <v>618.5</v>
      </c>
      <c r="L189">
        <v>4.2300648187392502</v>
      </c>
      <c r="M189">
        <v>100.026172508477</v>
      </c>
      <c r="N189">
        <v>97.679839419327905</v>
      </c>
      <c r="O189">
        <v>4688.7268363349003</v>
      </c>
      <c r="P189">
        <v>4578.7424727809903</v>
      </c>
      <c r="Q189">
        <v>3.39703268990431</v>
      </c>
    </row>
    <row r="190" spans="1:17" x14ac:dyDescent="0.25">
      <c r="A190" t="s">
        <v>732</v>
      </c>
      <c r="B190" t="s">
        <v>708</v>
      </c>
      <c r="C190" t="s">
        <v>733</v>
      </c>
      <c r="D190" t="s">
        <v>710</v>
      </c>
      <c r="E190">
        <v>1</v>
      </c>
      <c r="G190">
        <v>4687.5</v>
      </c>
      <c r="H190">
        <v>600</v>
      </c>
      <c r="I190">
        <v>600</v>
      </c>
      <c r="J190">
        <v>619</v>
      </c>
      <c r="K190">
        <v>618.5</v>
      </c>
      <c r="L190">
        <v>4.2300648187392502</v>
      </c>
      <c r="M190">
        <v>95.333506330177997</v>
      </c>
      <c r="N190">
        <v>97.679839419327905</v>
      </c>
      <c r="O190">
        <v>4468.7581092270902</v>
      </c>
      <c r="P190">
        <v>4578.7424727809903</v>
      </c>
      <c r="Q190">
        <v>3.39703268990431</v>
      </c>
    </row>
    <row r="191" spans="1:17" x14ac:dyDescent="0.25">
      <c r="A191" t="s">
        <v>732</v>
      </c>
      <c r="B191" t="s">
        <v>708</v>
      </c>
      <c r="C191" t="s">
        <v>734</v>
      </c>
      <c r="D191" t="s">
        <v>710</v>
      </c>
      <c r="E191">
        <v>3</v>
      </c>
      <c r="G191">
        <v>532.8125</v>
      </c>
      <c r="H191">
        <v>3472</v>
      </c>
      <c r="I191">
        <v>3472</v>
      </c>
      <c r="J191">
        <v>3593</v>
      </c>
      <c r="K191">
        <v>3593</v>
      </c>
      <c r="L191">
        <v>4.7625895086875696</v>
      </c>
      <c r="M191">
        <v>89.7323900764938</v>
      </c>
      <c r="N191">
        <v>92.634880080756105</v>
      </c>
      <c r="O191">
        <v>478.10539087631798</v>
      </c>
      <c r="P191">
        <v>493.57022043027899</v>
      </c>
      <c r="Q191">
        <v>4.4310962837127699</v>
      </c>
    </row>
    <row r="192" spans="1:17" x14ac:dyDescent="0.25">
      <c r="A192" t="s">
        <v>732</v>
      </c>
      <c r="B192" t="s">
        <v>708</v>
      </c>
      <c r="C192" t="s">
        <v>734</v>
      </c>
      <c r="D192" t="s">
        <v>709</v>
      </c>
      <c r="E192">
        <v>3</v>
      </c>
      <c r="G192">
        <v>532.8125</v>
      </c>
      <c r="H192">
        <v>3714</v>
      </c>
      <c r="I192">
        <v>3714</v>
      </c>
      <c r="J192">
        <v>3593</v>
      </c>
      <c r="K192">
        <v>3593</v>
      </c>
      <c r="L192">
        <v>4.7625895086875696</v>
      </c>
      <c r="M192">
        <v>95.537370085018495</v>
      </c>
      <c r="N192">
        <v>92.634880080756105</v>
      </c>
      <c r="O192">
        <v>509.03504998423898</v>
      </c>
      <c r="P192">
        <v>493.57022043027899</v>
      </c>
      <c r="Q192">
        <v>4.4310962837127699</v>
      </c>
    </row>
    <row r="193" spans="1:17" x14ac:dyDescent="0.25">
      <c r="A193" t="s">
        <v>732</v>
      </c>
      <c r="B193" t="s">
        <v>708</v>
      </c>
      <c r="C193" t="s">
        <v>483</v>
      </c>
      <c r="D193" t="s">
        <v>709</v>
      </c>
      <c r="E193">
        <v>10</v>
      </c>
      <c r="G193">
        <v>3125</v>
      </c>
      <c r="H193">
        <v>2637</v>
      </c>
      <c r="I193">
        <v>2637</v>
      </c>
      <c r="J193">
        <v>2504</v>
      </c>
      <c r="K193">
        <v>2503.5</v>
      </c>
      <c r="L193">
        <v>7.5413425435114103</v>
      </c>
      <c r="M193">
        <v>106.704308843034</v>
      </c>
      <c r="N193">
        <v>100.92389439725299</v>
      </c>
      <c r="O193">
        <v>3334.5096513448202</v>
      </c>
      <c r="P193">
        <v>3153.8716999141702</v>
      </c>
      <c r="Q193">
        <v>8.0999059283060895</v>
      </c>
    </row>
    <row r="194" spans="1:17" x14ac:dyDescent="0.25">
      <c r="A194" t="s">
        <v>732</v>
      </c>
      <c r="B194" t="s">
        <v>708</v>
      </c>
      <c r="C194" t="s">
        <v>483</v>
      </c>
      <c r="D194" t="s">
        <v>710</v>
      </c>
      <c r="E194">
        <v>10</v>
      </c>
      <c r="G194">
        <v>3125</v>
      </c>
      <c r="H194">
        <v>2370</v>
      </c>
      <c r="I194">
        <v>2370</v>
      </c>
      <c r="J194">
        <v>2504</v>
      </c>
      <c r="K194">
        <v>2503.5</v>
      </c>
      <c r="L194">
        <v>7.5413425435114103</v>
      </c>
      <c r="M194">
        <v>95.143479951472898</v>
      </c>
      <c r="N194">
        <v>100.92389439725299</v>
      </c>
      <c r="O194">
        <v>2973.2337484835298</v>
      </c>
      <c r="P194">
        <v>3153.8716999141702</v>
      </c>
      <c r="Q194">
        <v>8.0999059283060895</v>
      </c>
    </row>
    <row r="195" spans="1:17" x14ac:dyDescent="0.25">
      <c r="A195" t="s">
        <v>732</v>
      </c>
      <c r="B195" t="s">
        <v>711</v>
      </c>
      <c r="C195" t="s">
        <v>733</v>
      </c>
      <c r="D195" t="s">
        <v>712</v>
      </c>
      <c r="E195">
        <v>1</v>
      </c>
      <c r="G195">
        <v>1171.875</v>
      </c>
      <c r="H195">
        <v>169</v>
      </c>
      <c r="I195">
        <v>169</v>
      </c>
      <c r="J195">
        <v>175</v>
      </c>
      <c r="K195">
        <v>174.5</v>
      </c>
      <c r="L195">
        <v>4.4574066435828197</v>
      </c>
      <c r="M195">
        <v>86.086302341476596</v>
      </c>
      <c r="N195">
        <v>92.261075143167204</v>
      </c>
      <c r="O195">
        <v>1008.82385556417</v>
      </c>
      <c r="P195">
        <v>1081.18447433399</v>
      </c>
      <c r="Q195">
        <v>9.4649313669634694</v>
      </c>
    </row>
    <row r="196" spans="1:17" x14ac:dyDescent="0.25">
      <c r="A196" t="s">
        <v>732</v>
      </c>
      <c r="B196" t="s">
        <v>711</v>
      </c>
      <c r="C196" t="s">
        <v>733</v>
      </c>
      <c r="D196" t="s">
        <v>713</v>
      </c>
      <c r="E196">
        <v>1</v>
      </c>
      <c r="G196">
        <v>1171.875</v>
      </c>
      <c r="H196">
        <v>180</v>
      </c>
      <c r="I196">
        <v>180</v>
      </c>
      <c r="J196">
        <v>175</v>
      </c>
      <c r="K196">
        <v>174.5</v>
      </c>
      <c r="L196">
        <v>4.4574066435828197</v>
      </c>
      <c r="M196">
        <v>98.435847944857798</v>
      </c>
      <c r="N196">
        <v>92.261075143167204</v>
      </c>
      <c r="O196">
        <v>1153.5450931037999</v>
      </c>
      <c r="P196">
        <v>1081.18447433399</v>
      </c>
      <c r="Q196">
        <v>9.4649313669634694</v>
      </c>
    </row>
    <row r="197" spans="1:17" x14ac:dyDescent="0.25">
      <c r="A197" t="s">
        <v>732</v>
      </c>
      <c r="B197" t="s">
        <v>711</v>
      </c>
      <c r="C197" t="s">
        <v>734</v>
      </c>
      <c r="D197" t="s">
        <v>712</v>
      </c>
      <c r="E197">
        <v>3</v>
      </c>
      <c r="G197">
        <v>133.203125</v>
      </c>
      <c r="H197">
        <v>1019</v>
      </c>
      <c r="I197">
        <v>1019</v>
      </c>
      <c r="J197">
        <v>992</v>
      </c>
      <c r="K197">
        <v>991.5</v>
      </c>
      <c r="L197">
        <v>3.9224279339647099</v>
      </c>
      <c r="M197">
        <v>110.887453945804</v>
      </c>
      <c r="N197">
        <v>107.884894195885</v>
      </c>
      <c r="O197">
        <v>147.705553888747</v>
      </c>
      <c r="P197">
        <v>143.70605047186299</v>
      </c>
      <c r="Q197">
        <v>3.9359177684889999</v>
      </c>
    </row>
    <row r="198" spans="1:17" x14ac:dyDescent="0.25">
      <c r="A198" t="s">
        <v>732</v>
      </c>
      <c r="B198" t="s">
        <v>711</v>
      </c>
      <c r="C198" t="s">
        <v>734</v>
      </c>
      <c r="D198" t="s">
        <v>713</v>
      </c>
      <c r="E198">
        <v>3</v>
      </c>
      <c r="G198">
        <v>133.203125</v>
      </c>
      <c r="H198">
        <v>964</v>
      </c>
      <c r="I198">
        <v>964</v>
      </c>
      <c r="J198">
        <v>992</v>
      </c>
      <c r="K198">
        <v>991.5</v>
      </c>
      <c r="L198">
        <v>3.9224279339647099</v>
      </c>
      <c r="M198">
        <v>104.88233444596599</v>
      </c>
      <c r="N198">
        <v>107.884894195885</v>
      </c>
      <c r="O198">
        <v>139.70654705497799</v>
      </c>
      <c r="P198">
        <v>143.70605047186299</v>
      </c>
      <c r="Q198">
        <v>3.9359177684889999</v>
      </c>
    </row>
    <row r="199" spans="1:17" x14ac:dyDescent="0.25">
      <c r="A199" t="s">
        <v>732</v>
      </c>
      <c r="B199" t="s">
        <v>711</v>
      </c>
      <c r="C199" t="s">
        <v>483</v>
      </c>
      <c r="D199" t="s">
        <v>713</v>
      </c>
      <c r="E199">
        <v>10</v>
      </c>
      <c r="G199">
        <v>781.25</v>
      </c>
      <c r="H199">
        <v>822</v>
      </c>
      <c r="I199">
        <v>822</v>
      </c>
      <c r="J199">
        <v>842</v>
      </c>
      <c r="K199">
        <v>841.5</v>
      </c>
      <c r="L199">
        <v>3.2771437274242801</v>
      </c>
      <c r="M199">
        <v>103.702185761618</v>
      </c>
      <c r="N199">
        <v>107.34263019357201</v>
      </c>
      <c r="O199">
        <v>810.17332626264601</v>
      </c>
      <c r="P199">
        <v>838.61429838728804</v>
      </c>
      <c r="Q199">
        <v>4.7961987510937698</v>
      </c>
    </row>
    <row r="200" spans="1:17" x14ac:dyDescent="0.25">
      <c r="A200" t="s">
        <v>732</v>
      </c>
      <c r="B200" t="s">
        <v>711</v>
      </c>
      <c r="C200" t="s">
        <v>483</v>
      </c>
      <c r="D200" t="s">
        <v>712</v>
      </c>
      <c r="E200">
        <v>10</v>
      </c>
      <c r="G200">
        <v>781.25</v>
      </c>
      <c r="H200">
        <v>861</v>
      </c>
      <c r="I200">
        <v>861</v>
      </c>
      <c r="J200">
        <v>842</v>
      </c>
      <c r="K200">
        <v>841.5</v>
      </c>
      <c r="L200">
        <v>3.2771437274242801</v>
      </c>
      <c r="M200">
        <v>110.983074625527</v>
      </c>
      <c r="N200">
        <v>107.34263019357201</v>
      </c>
      <c r="O200">
        <v>867.05527051193098</v>
      </c>
      <c r="P200">
        <v>838.61429838728804</v>
      </c>
      <c r="Q200">
        <v>4.7961987510937698</v>
      </c>
    </row>
    <row r="201" spans="1:17" x14ac:dyDescent="0.25">
      <c r="A201" t="s">
        <v>732</v>
      </c>
      <c r="B201" t="s">
        <v>714</v>
      </c>
      <c r="C201" t="s">
        <v>733</v>
      </c>
      <c r="D201" t="s">
        <v>715</v>
      </c>
      <c r="E201">
        <v>1</v>
      </c>
      <c r="G201">
        <v>292.96875</v>
      </c>
      <c r="H201">
        <v>122</v>
      </c>
      <c r="I201">
        <v>122</v>
      </c>
      <c r="J201">
        <v>127</v>
      </c>
      <c r="K201">
        <v>126.5</v>
      </c>
      <c r="L201">
        <v>5.0307992337382803</v>
      </c>
      <c r="M201">
        <v>19.994859068457199</v>
      </c>
      <c r="N201">
        <v>71.270344767343801</v>
      </c>
      <c r="O201">
        <v>58.578688677120901</v>
      </c>
      <c r="P201">
        <v>208.79983818557699</v>
      </c>
      <c r="Q201">
        <v>101.745666489127</v>
      </c>
    </row>
    <row r="202" spans="1:17" x14ac:dyDescent="0.25">
      <c r="A202" t="s">
        <v>732</v>
      </c>
      <c r="B202" t="s">
        <v>714</v>
      </c>
      <c r="C202" t="s">
        <v>733</v>
      </c>
      <c r="D202" t="s">
        <v>716</v>
      </c>
      <c r="E202">
        <v>1</v>
      </c>
      <c r="G202">
        <v>292.96875</v>
      </c>
      <c r="H202">
        <v>131</v>
      </c>
      <c r="I202">
        <v>131</v>
      </c>
      <c r="J202">
        <v>127</v>
      </c>
      <c r="K202">
        <v>126.5</v>
      </c>
      <c r="L202">
        <v>5.0307992337382803</v>
      </c>
      <c r="M202">
        <v>122.54583046623</v>
      </c>
      <c r="N202">
        <v>71.270344767343801</v>
      </c>
      <c r="O202">
        <v>359.02098769403398</v>
      </c>
      <c r="P202">
        <v>208.79983818557699</v>
      </c>
      <c r="Q202">
        <v>101.745666489127</v>
      </c>
    </row>
    <row r="203" spans="1:17" x14ac:dyDescent="0.25">
      <c r="A203" t="s">
        <v>732</v>
      </c>
      <c r="B203" t="s">
        <v>714</v>
      </c>
      <c r="C203" t="s">
        <v>734</v>
      </c>
      <c r="D203" t="s">
        <v>715</v>
      </c>
      <c r="E203">
        <v>3</v>
      </c>
      <c r="G203">
        <v>33.30078125</v>
      </c>
      <c r="H203">
        <v>307</v>
      </c>
      <c r="I203">
        <v>307</v>
      </c>
      <c r="J203">
        <v>309</v>
      </c>
      <c r="K203">
        <v>308.5</v>
      </c>
      <c r="L203">
        <v>0.68762409839858696</v>
      </c>
      <c r="M203">
        <v>116.228859958619</v>
      </c>
      <c r="N203">
        <v>116.97992281190101</v>
      </c>
      <c r="O203">
        <v>38.705118404188603</v>
      </c>
      <c r="P203">
        <v>38.955228202010197</v>
      </c>
      <c r="Q203">
        <v>0.90798766811854403</v>
      </c>
    </row>
    <row r="204" spans="1:17" x14ac:dyDescent="0.25">
      <c r="A204" t="s">
        <v>732</v>
      </c>
      <c r="B204" t="s">
        <v>714</v>
      </c>
      <c r="C204" t="s">
        <v>734</v>
      </c>
      <c r="D204" t="s">
        <v>716</v>
      </c>
      <c r="E204">
        <v>3</v>
      </c>
      <c r="G204">
        <v>33.30078125</v>
      </c>
      <c r="H204">
        <v>310</v>
      </c>
      <c r="I204">
        <v>310</v>
      </c>
      <c r="J204">
        <v>309</v>
      </c>
      <c r="K204">
        <v>308.5</v>
      </c>
      <c r="L204">
        <v>0.68762409839858696</v>
      </c>
      <c r="M204">
        <v>117.73098566518399</v>
      </c>
      <c r="N204">
        <v>116.97992281190101</v>
      </c>
      <c r="O204">
        <v>39.205337999831798</v>
      </c>
      <c r="P204">
        <v>38.955228202010197</v>
      </c>
      <c r="Q204">
        <v>0.90798766811854403</v>
      </c>
    </row>
    <row r="205" spans="1:17" x14ac:dyDescent="0.25">
      <c r="A205" t="s">
        <v>732</v>
      </c>
      <c r="B205" t="s">
        <v>714</v>
      </c>
      <c r="C205" t="s">
        <v>483</v>
      </c>
      <c r="D205" t="s">
        <v>716</v>
      </c>
      <c r="E205">
        <v>10</v>
      </c>
      <c r="G205">
        <v>195.3125</v>
      </c>
      <c r="H205">
        <v>410</v>
      </c>
      <c r="I205">
        <v>410</v>
      </c>
      <c r="J205">
        <v>404</v>
      </c>
      <c r="K205">
        <v>404</v>
      </c>
      <c r="L205">
        <v>2.1003171718412301</v>
      </c>
      <c r="M205">
        <v>96.739618158970899</v>
      </c>
      <c r="N205">
        <v>91.849906083903505</v>
      </c>
      <c r="O205">
        <v>188.94456671674001</v>
      </c>
      <c r="P205">
        <v>179.39434782012401</v>
      </c>
      <c r="Q205">
        <v>7.5286926546695296</v>
      </c>
    </row>
    <row r="206" spans="1:17" x14ac:dyDescent="0.25">
      <c r="A206" t="s">
        <v>732</v>
      </c>
      <c r="B206" t="s">
        <v>714</v>
      </c>
      <c r="C206" t="s">
        <v>483</v>
      </c>
      <c r="D206" t="s">
        <v>715</v>
      </c>
      <c r="E206">
        <v>10</v>
      </c>
      <c r="G206">
        <v>195.3125</v>
      </c>
      <c r="H206">
        <v>398</v>
      </c>
      <c r="I206">
        <v>398</v>
      </c>
      <c r="J206">
        <v>404</v>
      </c>
      <c r="K206">
        <v>404</v>
      </c>
      <c r="L206">
        <v>2.1003171718412301</v>
      </c>
      <c r="M206">
        <v>86.960194008836197</v>
      </c>
      <c r="N206">
        <v>91.849906083903505</v>
      </c>
      <c r="O206">
        <v>169.84412892350801</v>
      </c>
      <c r="P206">
        <v>179.39434782012401</v>
      </c>
      <c r="Q206">
        <v>7.5286926546695296</v>
      </c>
    </row>
    <row r="207" spans="1:17" x14ac:dyDescent="0.25">
      <c r="A207" t="s">
        <v>732</v>
      </c>
      <c r="B207" t="s">
        <v>717</v>
      </c>
      <c r="C207" t="s">
        <v>733</v>
      </c>
      <c r="D207" t="s">
        <v>718</v>
      </c>
      <c r="E207">
        <v>1</v>
      </c>
      <c r="G207">
        <v>73.2421875</v>
      </c>
      <c r="H207">
        <v>124</v>
      </c>
      <c r="I207">
        <v>124</v>
      </c>
      <c r="J207">
        <v>126</v>
      </c>
      <c r="K207">
        <v>125.5</v>
      </c>
      <c r="L207">
        <v>1.6902950944698301</v>
      </c>
      <c r="M207">
        <v>210.266022300759</v>
      </c>
      <c r="N207">
        <v>278.09428337367302</v>
      </c>
      <c r="O207">
        <v>154.003434302313</v>
      </c>
      <c r="P207">
        <v>203.68233645532601</v>
      </c>
      <c r="Q207">
        <v>34.4932105607529</v>
      </c>
    </row>
    <row r="208" spans="1:17" x14ac:dyDescent="0.25">
      <c r="A208" t="s">
        <v>732</v>
      </c>
      <c r="B208" t="s">
        <v>717</v>
      </c>
      <c r="C208" t="s">
        <v>733</v>
      </c>
      <c r="D208" t="s">
        <v>719</v>
      </c>
      <c r="E208">
        <v>1</v>
      </c>
      <c r="G208">
        <v>73.2421875</v>
      </c>
      <c r="H208">
        <v>127</v>
      </c>
      <c r="I208">
        <v>127</v>
      </c>
      <c r="J208">
        <v>126</v>
      </c>
      <c r="K208">
        <v>125.5</v>
      </c>
      <c r="L208">
        <v>1.6902950944698301</v>
      </c>
      <c r="M208">
        <v>345.92254444658602</v>
      </c>
      <c r="N208">
        <v>278.09428337367302</v>
      </c>
      <c r="O208">
        <v>253.36123860833999</v>
      </c>
      <c r="P208">
        <v>203.68233645532601</v>
      </c>
      <c r="Q208">
        <v>34.4932105607529</v>
      </c>
    </row>
    <row r="209" spans="1:17" x14ac:dyDescent="0.25">
      <c r="A209" t="s">
        <v>732</v>
      </c>
      <c r="B209" t="s">
        <v>717</v>
      </c>
      <c r="C209" t="s">
        <v>734</v>
      </c>
      <c r="D209" t="s">
        <v>718</v>
      </c>
      <c r="E209">
        <v>3</v>
      </c>
      <c r="G209">
        <v>8.3251953125</v>
      </c>
      <c r="H209">
        <v>145</v>
      </c>
      <c r="I209">
        <v>145</v>
      </c>
      <c r="J209">
        <v>146</v>
      </c>
      <c r="K209">
        <v>145.5</v>
      </c>
      <c r="L209">
        <v>0.48598404205260998</v>
      </c>
      <c r="M209">
        <v>122.19173076436201</v>
      </c>
      <c r="N209">
        <v>123.34322043948799</v>
      </c>
      <c r="O209">
        <v>10.172700241857299</v>
      </c>
      <c r="P209">
        <v>10.268564006314801</v>
      </c>
      <c r="Q209">
        <v>1.3202609026205301</v>
      </c>
    </row>
    <row r="210" spans="1:17" x14ac:dyDescent="0.25">
      <c r="A210" t="s">
        <v>732</v>
      </c>
      <c r="B210" t="s">
        <v>717</v>
      </c>
      <c r="C210" t="s">
        <v>734</v>
      </c>
      <c r="D210" t="s">
        <v>719</v>
      </c>
      <c r="E210">
        <v>3</v>
      </c>
      <c r="G210">
        <v>8.3251953125</v>
      </c>
      <c r="H210">
        <v>146</v>
      </c>
      <c r="I210">
        <v>146</v>
      </c>
      <c r="J210">
        <v>146</v>
      </c>
      <c r="K210">
        <v>145.5</v>
      </c>
      <c r="L210">
        <v>0.48598404205260998</v>
      </c>
      <c r="M210">
        <v>124.49471011461399</v>
      </c>
      <c r="N210">
        <v>123.34322043948799</v>
      </c>
      <c r="O210">
        <v>10.3644277707723</v>
      </c>
      <c r="P210">
        <v>10.268564006314801</v>
      </c>
      <c r="Q210">
        <v>1.3202609026205301</v>
      </c>
    </row>
    <row r="211" spans="1:17" x14ac:dyDescent="0.25">
      <c r="A211" t="s">
        <v>732</v>
      </c>
      <c r="B211" t="s">
        <v>717</v>
      </c>
      <c r="C211" t="s">
        <v>483</v>
      </c>
      <c r="D211" t="s">
        <v>719</v>
      </c>
      <c r="E211">
        <v>10</v>
      </c>
      <c r="G211">
        <v>48.828125</v>
      </c>
      <c r="H211">
        <v>349</v>
      </c>
      <c r="I211">
        <v>349</v>
      </c>
      <c r="J211">
        <v>340</v>
      </c>
      <c r="K211">
        <v>339.5</v>
      </c>
      <c r="L211">
        <v>3.9572986281426799</v>
      </c>
      <c r="M211">
        <v>185.04081481177499</v>
      </c>
      <c r="N211">
        <v>152.47794049881199</v>
      </c>
      <c r="O211">
        <v>90.351960357311995</v>
      </c>
      <c r="P211">
        <v>74.452119384185906</v>
      </c>
      <c r="Q211">
        <v>30.201652994913001</v>
      </c>
    </row>
    <row r="212" spans="1:17" x14ac:dyDescent="0.25">
      <c r="A212" t="s">
        <v>732</v>
      </c>
      <c r="B212" t="s">
        <v>717</v>
      </c>
      <c r="C212" t="s">
        <v>483</v>
      </c>
      <c r="D212" t="s">
        <v>718</v>
      </c>
      <c r="E212">
        <v>10</v>
      </c>
      <c r="G212">
        <v>48.828125</v>
      </c>
      <c r="H212">
        <v>330</v>
      </c>
      <c r="I212">
        <v>330</v>
      </c>
      <c r="J212">
        <v>340</v>
      </c>
      <c r="K212">
        <v>339.5</v>
      </c>
      <c r="L212">
        <v>3.9572986281426799</v>
      </c>
      <c r="M212">
        <v>119.91506618584999</v>
      </c>
      <c r="N212">
        <v>152.47794049881199</v>
      </c>
      <c r="O212">
        <v>58.552278411059902</v>
      </c>
      <c r="P212">
        <v>74.452119384185906</v>
      </c>
      <c r="Q212">
        <v>30.201652994913001</v>
      </c>
    </row>
    <row r="213" spans="1:17" x14ac:dyDescent="0.25">
      <c r="A213" t="s">
        <v>732</v>
      </c>
      <c r="B213" t="s">
        <v>720</v>
      </c>
      <c r="C213" t="s">
        <v>733</v>
      </c>
      <c r="D213" t="s">
        <v>721</v>
      </c>
      <c r="E213">
        <v>1</v>
      </c>
      <c r="G213">
        <v>0</v>
      </c>
      <c r="H213">
        <v>130</v>
      </c>
      <c r="I213">
        <v>130</v>
      </c>
      <c r="J213">
        <v>124</v>
      </c>
      <c r="K213">
        <v>124</v>
      </c>
      <c r="L213">
        <v>6.8429688501923902</v>
      </c>
      <c r="N213" t="s">
        <v>417</v>
      </c>
      <c r="O213">
        <v>334.385610956618</v>
      </c>
      <c r="P213" t="s">
        <v>417</v>
      </c>
      <c r="Q213" t="s">
        <v>417</v>
      </c>
    </row>
    <row r="214" spans="1:17" x14ac:dyDescent="0.25">
      <c r="A214" t="s">
        <v>732</v>
      </c>
      <c r="B214" t="s">
        <v>720</v>
      </c>
      <c r="C214" t="s">
        <v>733</v>
      </c>
      <c r="D214" t="s">
        <v>722</v>
      </c>
      <c r="E214">
        <v>1</v>
      </c>
      <c r="G214">
        <v>0</v>
      </c>
      <c r="H214">
        <v>118</v>
      </c>
      <c r="I214">
        <v>118</v>
      </c>
      <c r="J214">
        <v>124</v>
      </c>
      <c r="K214">
        <v>124</v>
      </c>
      <c r="L214">
        <v>6.8429688501923902</v>
      </c>
      <c r="N214" t="s">
        <v>417</v>
      </c>
      <c r="O214" t="s">
        <v>417</v>
      </c>
      <c r="P214" t="s">
        <v>417</v>
      </c>
      <c r="Q214" t="s">
        <v>417</v>
      </c>
    </row>
    <row r="215" spans="1:17" x14ac:dyDescent="0.25">
      <c r="A215" t="s">
        <v>732</v>
      </c>
      <c r="B215" t="s">
        <v>720</v>
      </c>
      <c r="C215" t="s">
        <v>734</v>
      </c>
      <c r="D215" t="s">
        <v>721</v>
      </c>
      <c r="E215">
        <v>3</v>
      </c>
      <c r="G215">
        <v>0</v>
      </c>
      <c r="H215">
        <v>98</v>
      </c>
      <c r="I215">
        <v>98</v>
      </c>
      <c r="J215">
        <v>90</v>
      </c>
      <c r="K215">
        <v>90</v>
      </c>
      <c r="L215">
        <v>12.570787221094101</v>
      </c>
      <c r="N215" t="s">
        <v>417</v>
      </c>
      <c r="O215">
        <v>0.30074040393885898</v>
      </c>
      <c r="P215" t="s">
        <v>417</v>
      </c>
      <c r="Q215" t="s">
        <v>417</v>
      </c>
    </row>
    <row r="216" spans="1:17" x14ac:dyDescent="0.25">
      <c r="A216" t="s">
        <v>732</v>
      </c>
      <c r="B216" t="s">
        <v>720</v>
      </c>
      <c r="C216" t="s">
        <v>734</v>
      </c>
      <c r="D216" t="s">
        <v>722</v>
      </c>
      <c r="E216">
        <v>3</v>
      </c>
      <c r="G216">
        <v>0</v>
      </c>
      <c r="H216">
        <v>82</v>
      </c>
      <c r="I216">
        <v>82</v>
      </c>
      <c r="J216">
        <v>90</v>
      </c>
      <c r="K216">
        <v>90</v>
      </c>
      <c r="L216">
        <v>12.570787221094101</v>
      </c>
      <c r="N216" t="s">
        <v>417</v>
      </c>
      <c r="O216" t="s">
        <v>417</v>
      </c>
      <c r="P216" t="s">
        <v>417</v>
      </c>
      <c r="Q216" t="s">
        <v>417</v>
      </c>
    </row>
    <row r="217" spans="1:17" x14ac:dyDescent="0.25">
      <c r="A217" t="s">
        <v>732</v>
      </c>
      <c r="B217" t="s">
        <v>720</v>
      </c>
      <c r="C217" t="s">
        <v>483</v>
      </c>
      <c r="D217" t="s">
        <v>722</v>
      </c>
      <c r="E217">
        <v>10</v>
      </c>
      <c r="G217">
        <v>0</v>
      </c>
      <c r="H217">
        <v>288</v>
      </c>
      <c r="I217">
        <v>288</v>
      </c>
      <c r="J217">
        <v>287</v>
      </c>
      <c r="K217">
        <v>287</v>
      </c>
      <c r="L217">
        <v>0.49275733880595601</v>
      </c>
      <c r="N217" t="s">
        <v>417</v>
      </c>
      <c r="O217" t="s">
        <v>417</v>
      </c>
      <c r="P217" t="s">
        <v>417</v>
      </c>
      <c r="Q217" t="s">
        <v>417</v>
      </c>
    </row>
    <row r="218" spans="1:17" x14ac:dyDescent="0.25">
      <c r="A218" t="s">
        <v>732</v>
      </c>
      <c r="B218" t="s">
        <v>720</v>
      </c>
      <c r="C218" t="s">
        <v>483</v>
      </c>
      <c r="D218" t="s">
        <v>721</v>
      </c>
      <c r="E218">
        <v>10</v>
      </c>
      <c r="G218">
        <v>0</v>
      </c>
      <c r="H218">
        <v>286</v>
      </c>
      <c r="I218">
        <v>286</v>
      </c>
      <c r="J218">
        <v>287</v>
      </c>
      <c r="K218">
        <v>287</v>
      </c>
      <c r="L218">
        <v>0.49275733880595601</v>
      </c>
      <c r="N218" t="s">
        <v>417</v>
      </c>
      <c r="O218" t="s">
        <v>417</v>
      </c>
      <c r="P218" t="s">
        <v>417</v>
      </c>
      <c r="Q218" t="s">
        <v>417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BBD8-AAD7-4FD5-BA30-E276387D4D25}">
  <dimension ref="A1:W40"/>
  <sheetViews>
    <sheetView workbookViewId="0">
      <selection activeCell="F26" sqref="F26"/>
    </sheetView>
  </sheetViews>
  <sheetFormatPr defaultRowHeight="15" x14ac:dyDescent="0.25"/>
  <cols>
    <col min="5" max="5" width="11.7109375" bestFit="1" customWidth="1"/>
    <col min="6" max="6" width="12.28515625" bestFit="1" customWidth="1"/>
    <col min="7" max="7" width="10.7109375" bestFit="1" customWidth="1"/>
    <col min="8" max="8" width="9.28515625" bestFit="1" customWidth="1"/>
    <col min="9" max="9" width="10.5703125" bestFit="1" customWidth="1"/>
    <col min="10" max="10" width="11.28515625" bestFit="1" customWidth="1"/>
    <col min="11" max="12" width="9.5703125" bestFit="1" customWidth="1"/>
  </cols>
  <sheetData>
    <row r="1" spans="1:23" ht="15.75" thickBot="1" x14ac:dyDescent="0.3">
      <c r="A1" s="173" t="s">
        <v>8</v>
      </c>
      <c r="B1" s="536" t="s">
        <v>53</v>
      </c>
      <c r="C1" s="52" t="s">
        <v>54</v>
      </c>
      <c r="D1" s="174" t="s">
        <v>723</v>
      </c>
      <c r="E1" s="536" t="s">
        <v>733</v>
      </c>
      <c r="F1" s="536" t="s">
        <v>734</v>
      </c>
      <c r="G1" s="536" t="s">
        <v>483</v>
      </c>
    </row>
    <row r="2" spans="1:23" x14ac:dyDescent="0.25">
      <c r="A2" s="667" t="s">
        <v>86</v>
      </c>
      <c r="B2" s="660" t="s">
        <v>227</v>
      </c>
      <c r="C2" s="50">
        <v>1</v>
      </c>
      <c r="D2" s="324" t="s">
        <v>615</v>
      </c>
      <c r="E2" s="615" cm="1">
        <f t="array" ref="E2">_xlfn.XLOOKUP(1,($D2=MSD_MMP!$B:$B)*(E$1=MSD_MMP!$C:$C),MSD_MMP!$P:$P)</f>
        <v>4868.0996863140299</v>
      </c>
      <c r="F2" s="615" t="str" cm="1">
        <f t="array" ref="F2">_xlfn.XLOOKUP(1,($D2=MSD_MMP!$B:$B)*(F$1=MSD_MMP!$C:$C),MSD_MMP!$P:$P)</f>
        <v>NaN</v>
      </c>
      <c r="G2" s="615" cm="1">
        <f t="array" ref="G2">_xlfn.XLOOKUP(1,($D2=MSD_MMP!$B:$B)*(G$1=MSD_MMP!$C:$C),MSD_MMP!$P:$P)</f>
        <v>101.683016805156</v>
      </c>
      <c r="I2" s="649" t="s">
        <v>725</v>
      </c>
      <c r="J2" s="660"/>
      <c r="K2" s="838" t="s">
        <v>482</v>
      </c>
      <c r="L2" s="677"/>
      <c r="M2" s="839"/>
      <c r="N2" s="838" t="s">
        <v>485</v>
      </c>
      <c r="O2" s="677"/>
      <c r="P2" s="839"/>
      <c r="Q2" s="677" t="s">
        <v>483</v>
      </c>
      <c r="R2" s="677"/>
      <c r="S2" s="839"/>
    </row>
    <row r="3" spans="1:23" x14ac:dyDescent="0.25">
      <c r="A3" s="665"/>
      <c r="B3" s="715"/>
      <c r="C3">
        <v>2</v>
      </c>
      <c r="D3" s="168" t="s">
        <v>618</v>
      </c>
      <c r="E3" s="615" cm="1">
        <f t="array" ref="E3">_xlfn.XLOOKUP(1,($D3=MSD_MMP!$B:$B)*(E$1=MSD_MMP!$C:$C),MSD_MMP!$P:$P)</f>
        <v>20382.108779780701</v>
      </c>
      <c r="F3" s="615" cm="1">
        <f t="array" ref="F3">_xlfn.XLOOKUP(1,($D3=MSD_MMP!$B:$B)*(F$1=MSD_MMP!$C:$C),MSD_MMP!$P:$P)</f>
        <v>33.678699999999992</v>
      </c>
      <c r="G3" s="615" cm="1">
        <f t="array" ref="G3">_xlfn.XLOOKUP(1,($D3=MSD_MMP!$B:$B)*(G$1=MSD_MMP!$C:$C),MSD_MMP!$P:$P)</f>
        <v>1225.7206073464299</v>
      </c>
      <c r="I3" s="650"/>
      <c r="J3" s="720"/>
      <c r="K3" s="60" t="s">
        <v>106</v>
      </c>
      <c r="L3" s="60" t="s">
        <v>724</v>
      </c>
      <c r="M3" s="90" t="s">
        <v>108</v>
      </c>
      <c r="N3" s="60" t="s">
        <v>106</v>
      </c>
      <c r="O3" s="60" t="s">
        <v>724</v>
      </c>
      <c r="P3" s="90" t="s">
        <v>108</v>
      </c>
      <c r="Q3" s="60" t="s">
        <v>106</v>
      </c>
      <c r="R3" s="60" t="s">
        <v>724</v>
      </c>
      <c r="S3" s="90" t="s">
        <v>108</v>
      </c>
    </row>
    <row r="4" spans="1:23" x14ac:dyDescent="0.25">
      <c r="A4" s="665"/>
      <c r="B4" s="715"/>
      <c r="C4">
        <v>3</v>
      </c>
      <c r="D4" s="168" t="s">
        <v>621</v>
      </c>
      <c r="E4" s="615" cm="1">
        <f t="array" ref="E4">_xlfn.XLOOKUP(1,($D4=MSD_MMP!$B:$B)*(E$1=MSD_MMP!$C:$C),MSD_MMP!$P:$P)</f>
        <v>23789.457261321499</v>
      </c>
      <c r="F4" s="615" cm="1">
        <f t="array" ref="F4">_xlfn.XLOOKUP(1,($D4=MSD_MMP!$B:$B)*(F$1=MSD_MMP!$C:$C),MSD_MMP!$P:$P)</f>
        <v>34.113410337704302</v>
      </c>
      <c r="G4" s="615" cm="1">
        <f t="array" ref="G4">_xlfn.XLOOKUP(1,($D4=MSD_MMP!$B:$B)*(G$1=MSD_MMP!$C:$C),MSD_MMP!$P:$P)</f>
        <v>1258.36315551138</v>
      </c>
      <c r="I4" s="745" t="s">
        <v>24</v>
      </c>
      <c r="J4" s="605">
        <v>0.15</v>
      </c>
      <c r="K4" s="611">
        <f>AVERAGE(E2:E6)</f>
        <v>14033.417081107093</v>
      </c>
      <c r="L4" s="611">
        <f>STDEV(E2:E6)</f>
        <v>9445.3643411663124</v>
      </c>
      <c r="M4" s="622">
        <f>COUNT(E2:E6)</f>
        <v>4</v>
      </c>
      <c r="N4" s="164">
        <f>AVERAGE(F2:F6)</f>
        <v>33.896055168852143</v>
      </c>
      <c r="O4" s="164">
        <f>STDEV(F2:F6)</f>
        <v>0.30738662764261154</v>
      </c>
      <c r="P4" s="126">
        <f>COUNT(F2:F6)</f>
        <v>2</v>
      </c>
      <c r="Q4" s="164">
        <f>AVERAGE(G2:G6)</f>
        <v>701.89767467341892</v>
      </c>
      <c r="R4" s="164">
        <f>STDEV(G2:G6)</f>
        <v>625.77225424142637</v>
      </c>
      <c r="S4" s="126">
        <f>COUNT(G2:G6)</f>
        <v>4</v>
      </c>
    </row>
    <row r="5" spans="1:23" x14ac:dyDescent="0.25">
      <c r="A5" s="665"/>
      <c r="B5" s="715"/>
      <c r="C5">
        <v>4</v>
      </c>
      <c r="D5" s="168" t="s">
        <v>624</v>
      </c>
      <c r="E5" s="615" cm="1">
        <f t="array" ref="E5">_xlfn.XLOOKUP(1,($D5=MSD_MMP!$B:$B)*(E$1=MSD_MMP!$C:$C),MSD_MMP!$P:$P)</f>
        <v>7094.0025970121396</v>
      </c>
      <c r="F5" s="615" t="str" cm="1">
        <f t="array" ref="F5">_xlfn.XLOOKUP(1,($D5=MSD_MMP!$B:$B)*(F$1=MSD_MMP!$C:$C),MSD_MMP!$P:$P)</f>
        <v>NaN</v>
      </c>
      <c r="G5" s="615" cm="1">
        <f t="array" ref="G5">_xlfn.XLOOKUP(1,($D5=MSD_MMP!$B:$B)*(G$1=MSD_MMP!$C:$C),MSD_MMP!$P:$P)</f>
        <v>221.82391903070999</v>
      </c>
      <c r="I5" s="665"/>
      <c r="J5" s="602">
        <v>0.5</v>
      </c>
      <c r="K5" s="612">
        <f>AVERAGE(E7:E10)</f>
        <v>73678.639406123257</v>
      </c>
      <c r="L5" s="612">
        <f>STDEV(E7:E10)</f>
        <v>78274.619749493024</v>
      </c>
      <c r="M5" s="623">
        <f>COUNT(E7:E10)</f>
        <v>4</v>
      </c>
      <c r="N5">
        <f>AVERAGE(F7:F10)</f>
        <v>43.308416052928287</v>
      </c>
      <c r="O5">
        <f>STDEV(F7:F10)</f>
        <v>42.625726001131255</v>
      </c>
      <c r="P5" s="30">
        <f>COUNT(F7:F10)</f>
        <v>4</v>
      </c>
      <c r="Q5">
        <f>AVERAGE(G7:G10)</f>
        <v>24294.074889255418</v>
      </c>
      <c r="R5">
        <f>STDEV(G7:G10)</f>
        <v>27717.274128242763</v>
      </c>
      <c r="S5" s="30">
        <f>COUNT(G7:G10)</f>
        <v>4</v>
      </c>
    </row>
    <row r="6" spans="1:23" x14ac:dyDescent="0.25">
      <c r="A6" s="746"/>
      <c r="B6" s="720"/>
      <c r="C6" s="60">
        <v>5</v>
      </c>
      <c r="D6" s="230" t="s">
        <v>627</v>
      </c>
      <c r="E6" s="616" t="str" cm="1">
        <f t="array" ref="E6">_xlfn.XLOOKUP(1,($D6=MSD_MMP!$B:$B)*(E$1=MSD_MMP!$C:$C),MSD_MMP!$P:$P)</f>
        <v>NaN</v>
      </c>
      <c r="F6" s="616" t="str" cm="1">
        <f t="array" ref="F6">_xlfn.XLOOKUP(1,($D6=MSD_MMP!$B:$B)*(F$1=MSD_MMP!$C:$C),MSD_MMP!$P:$P)</f>
        <v>NaN</v>
      </c>
      <c r="G6" s="616" t="str" cm="1">
        <f t="array" ref="G6">_xlfn.XLOOKUP(1,($D6=MSD_MMP!$B:$B)*(G$1=MSD_MMP!$C:$C),MSD_MMP!$P:$P)</f>
        <v>NaN</v>
      </c>
      <c r="I6" s="746"/>
      <c r="J6" s="606" t="s">
        <v>167</v>
      </c>
      <c r="K6" s="613">
        <f>AVERAGE(E11:E16)</f>
        <v>136147.7869978697</v>
      </c>
      <c r="L6" s="613">
        <f>STDEV(E11:E16)</f>
        <v>167814.08831800628</v>
      </c>
      <c r="M6" s="624">
        <f>COUNT(E11:E16)</f>
        <v>6</v>
      </c>
      <c r="N6" s="60">
        <f>AVERAGE(F11:F16)</f>
        <v>35.640625010922633</v>
      </c>
      <c r="O6" s="60">
        <f>STDEV(F11:F16)</f>
        <v>49.966305747524764</v>
      </c>
      <c r="P6" s="90">
        <f>COUNT(F11:F16)</f>
        <v>5</v>
      </c>
      <c r="Q6" s="60">
        <f>AVERAGE(G11:G16)</f>
        <v>33815.126179459148</v>
      </c>
      <c r="R6" s="60">
        <f>STDEV(G11:G16)</f>
        <v>7825.1609762362023</v>
      </c>
      <c r="S6" s="90">
        <f>COUNT(G11:G16)</f>
        <v>2</v>
      </c>
    </row>
    <row r="7" spans="1:23" x14ac:dyDescent="0.25">
      <c r="A7" s="665" t="s">
        <v>234</v>
      </c>
      <c r="B7" s="715" t="s">
        <v>235</v>
      </c>
      <c r="C7">
        <v>1</v>
      </c>
      <c r="D7" s="168" t="s">
        <v>630</v>
      </c>
      <c r="E7" s="615" cm="1">
        <f t="array" ref="E7">_xlfn.XLOOKUP(1,($D7=MSD_MMP!$B:$B)*(E$1=MSD_MMP!$C:$C),MSD_MMP!$P:$P)</f>
        <v>39626.448787554</v>
      </c>
      <c r="F7" s="615" cm="1">
        <f t="array" ref="F7">_xlfn.XLOOKUP(1,($D7=MSD_MMP!$B:$B)*(F$1=MSD_MMP!$C:$C),MSD_MMP!$P:$P)</f>
        <v>8.6771642946690104</v>
      </c>
      <c r="G7" s="615" cm="1">
        <f t="array" ref="G7">_xlfn.XLOOKUP(1,($D7=MSD_MMP!$B:$B)*(G$1=MSD_MMP!$C:$C),MSD_MMP!$P:$P)</f>
        <v>3667.1319626729</v>
      </c>
      <c r="I7" s="665" t="s">
        <v>28</v>
      </c>
      <c r="J7" s="602">
        <v>0.15</v>
      </c>
      <c r="K7" s="612">
        <f>AVERAGE(E17:E21)</f>
        <v>91604.862254540873</v>
      </c>
      <c r="L7" s="612">
        <f>STDEV(E17:E21)</f>
        <v>33627.586867874226</v>
      </c>
      <c r="M7" s="623">
        <f>COUNT(E17:E21)</f>
        <v>4</v>
      </c>
      <c r="N7">
        <f>AVERAGE(F17:F21)</f>
        <v>13.329302955311649</v>
      </c>
      <c r="O7">
        <f>STDEV(F17:F21)</f>
        <v>8.7672054014106031</v>
      </c>
      <c r="P7" s="30">
        <f>COUNT(F17:F21)</f>
        <v>3</v>
      </c>
      <c r="Q7">
        <f>AVERAGE(G17:G21)</f>
        <v>10127.193587713966</v>
      </c>
      <c r="R7">
        <f>STDEV(G17:G21)</f>
        <v>6539.7311744429653</v>
      </c>
      <c r="S7" s="30">
        <f>COUNT(G17:G21)</f>
        <v>5</v>
      </c>
    </row>
    <row r="8" spans="1:23" x14ac:dyDescent="0.25">
      <c r="A8" s="665"/>
      <c r="B8" s="715"/>
      <c r="C8">
        <v>2</v>
      </c>
      <c r="D8" s="168" t="s">
        <v>633</v>
      </c>
      <c r="E8" s="615" cm="1">
        <f t="array" ref="E8">_xlfn.XLOOKUP(1,($D8=MSD_MMP!$B:$B)*(E$1=MSD_MMP!$C:$C),MSD_MMP!$P:$P)</f>
        <v>16977.273581821901</v>
      </c>
      <c r="F8" s="615" cm="1">
        <f t="array" ref="F8">_xlfn.XLOOKUP(1,($D8=MSD_MMP!$B:$B)*(F$1=MSD_MMP!$C:$C),MSD_MMP!$P:$P)</f>
        <v>5.3549152332249399</v>
      </c>
      <c r="G8" s="615" cm="1">
        <f t="array" ref="G8">_xlfn.XLOOKUP(1,($D8=MSD_MMP!$B:$B)*(G$1=MSD_MMP!$C:$C),MSD_MMP!$P:$P)</f>
        <v>7547.9484993352698</v>
      </c>
      <c r="I8" s="665"/>
      <c r="J8" s="602">
        <v>0.5</v>
      </c>
      <c r="K8" s="612">
        <f>AVERAGE(E22:E25)</f>
        <v>84557.780869092079</v>
      </c>
      <c r="L8" s="612">
        <f>STDEV(E22:E25)</f>
        <v>63988.454065491642</v>
      </c>
      <c r="M8" s="623">
        <f>COUNT(E22:E25)</f>
        <v>4</v>
      </c>
      <c r="N8">
        <f>AVERAGE(F22:F25)</f>
        <v>13.225986457006833</v>
      </c>
      <c r="O8">
        <f>STDEV(F22:F25)</f>
        <v>3.4798369448468645</v>
      </c>
      <c r="P8" s="30">
        <f>COUNT(F22:F25)</f>
        <v>3</v>
      </c>
      <c r="Q8">
        <f>AVERAGE(G22:G25)</f>
        <v>15143.451942958774</v>
      </c>
      <c r="R8">
        <f>STDEV(G22:G25)</f>
        <v>12406.090998763179</v>
      </c>
      <c r="S8" s="30">
        <f>COUNT(G22:G25)</f>
        <v>4</v>
      </c>
    </row>
    <row r="9" spans="1:23" ht="15.75" thickBot="1" x14ac:dyDescent="0.3">
      <c r="A9" s="665"/>
      <c r="B9" s="715"/>
      <c r="C9">
        <v>3</v>
      </c>
      <c r="D9" s="168" t="s">
        <v>636</v>
      </c>
      <c r="E9" s="615" cm="1">
        <f t="array" ref="E9">_xlfn.XLOOKUP(1,($D9=MSD_MMP!$B:$B)*(E$1=MSD_MMP!$C:$C),MSD_MMP!$P:$P)</f>
        <v>48741.664652042098</v>
      </c>
      <c r="F9" s="615" cm="1">
        <f t="array" ref="F9">_xlfn.XLOOKUP(1,($D9=MSD_MMP!$B:$B)*(F$1=MSD_MMP!$C:$C),MSD_MMP!$P:$P)</f>
        <v>89.002722334027396</v>
      </c>
      <c r="G9" s="615" cm="1">
        <f t="array" ref="G9">_xlfn.XLOOKUP(1,($D9=MSD_MMP!$B:$B)*(G$1=MSD_MMP!$C:$C),MSD_MMP!$P:$P)</f>
        <v>21761.924660493401</v>
      </c>
      <c r="I9" s="666"/>
      <c r="J9" s="607" t="s">
        <v>167</v>
      </c>
      <c r="K9" s="614">
        <f>AVERAGE(E26:E29)</f>
        <v>704.59599268108502</v>
      </c>
      <c r="L9" s="614">
        <f>STDEV(E26:E29)</f>
        <v>555.2995330305497</v>
      </c>
      <c r="M9" s="625">
        <f>COUNT(E26:E29)</f>
        <v>2</v>
      </c>
      <c r="N9" s="2" t="e">
        <f>AVERAGE(F26:F29)</f>
        <v>#DIV/0!</v>
      </c>
      <c r="O9" s="2" t="e">
        <f>STDEV(F26:F29)</f>
        <v>#DIV/0!</v>
      </c>
      <c r="P9" s="9">
        <f>COUNT(F26:F29)</f>
        <v>0</v>
      </c>
      <c r="Q9" s="2" t="e">
        <f>AVERAGE(G26:G29)</f>
        <v>#DIV/0!</v>
      </c>
      <c r="R9" s="2" t="e">
        <f>STDEV(G26:G29)</f>
        <v>#DIV/0!</v>
      </c>
      <c r="S9" s="9">
        <f>COUNT(G26:G29)</f>
        <v>0</v>
      </c>
    </row>
    <row r="10" spans="1:23" x14ac:dyDescent="0.25">
      <c r="A10" s="746"/>
      <c r="B10" s="720"/>
      <c r="C10" s="60">
        <v>4</v>
      </c>
      <c r="D10" s="230" t="s">
        <v>639</v>
      </c>
      <c r="E10" s="616" cm="1">
        <f t="array" ref="E10">_xlfn.XLOOKUP(1,($D10=MSD_MMP!$B:$B)*(E$1=MSD_MMP!$C:$C),MSD_MMP!$P:$P)</f>
        <v>189369.17060307501</v>
      </c>
      <c r="F10" s="616" cm="1">
        <f t="array" ref="F10">_xlfn.XLOOKUP(1,($D10=MSD_MMP!$B:$B)*(F$1=MSD_MMP!$C:$C),MSD_MMP!$P:$P)</f>
        <v>70.198862349791796</v>
      </c>
      <c r="G10" s="616" cm="1">
        <f t="array" ref="G10">_xlfn.XLOOKUP(1,($D10=MSD_MMP!$B:$B)*(G$1=MSD_MMP!$C:$C),MSD_MMP!$P:$P)</f>
        <v>64199.294434520103</v>
      </c>
      <c r="M10" s="30"/>
    </row>
    <row r="11" spans="1:23" x14ac:dyDescent="0.25">
      <c r="A11" s="665" t="s">
        <v>285</v>
      </c>
      <c r="B11" s="715" t="s">
        <v>560</v>
      </c>
      <c r="C11">
        <v>1</v>
      </c>
      <c r="D11" s="168" t="s">
        <v>681</v>
      </c>
      <c r="E11" s="615" cm="1">
        <f t="array" ref="E11">_xlfn.XLOOKUP(1,($D11=MSD_MMP!$B:$B)*(E$1=MSD_MMP!$C:$C),MSD_MMP!$P:$P)</f>
        <v>225315.663749509</v>
      </c>
      <c r="F11" s="615" cm="1">
        <f t="array" ref="F11">_xlfn.XLOOKUP(1,($D11=MSD_MMP!$B:$B)*(F$1=MSD_MMP!$C:$C),MSD_MMP!$P:$P)</f>
        <v>39.186212847451003</v>
      </c>
      <c r="G11" s="615" cm="1">
        <f t="array" ref="G11">_xlfn.XLOOKUP(1,($D11=MSD_MMP!$B:$B)*(G$1=MSD_MMP!$C:$C),MSD_MMP!$P:$P)</f>
        <v>28281.901789286199</v>
      </c>
    </row>
    <row r="12" spans="1:23" ht="15.75" thickBot="1" x14ac:dyDescent="0.3">
      <c r="A12" s="665"/>
      <c r="B12" s="715"/>
      <c r="C12">
        <v>2</v>
      </c>
      <c r="D12" s="168" t="s">
        <v>684</v>
      </c>
      <c r="E12" s="615" cm="1">
        <f t="array" ref="E12">_xlfn.XLOOKUP(1,($D12=MSD_MMP!$B:$B)*(E$1=MSD_MMP!$C:$C),MSD_MMP!$P:$P)</f>
        <v>441887.52862587699</v>
      </c>
      <c r="F12" s="615" cm="1">
        <f t="array" ref="F12">_xlfn.XLOOKUP(1,($D12=MSD_MMP!$B:$B)*(F$1=MSD_MMP!$C:$C),MSD_MMP!$P:$P)</f>
        <v>121.155459451753</v>
      </c>
      <c r="G12" s="615" cm="1">
        <f t="array" ref="G12">_xlfn.XLOOKUP(1,($D12=MSD_MMP!$B:$B)*(G$1=MSD_MMP!$C:$C),MSD_MMP!$P:$P)</f>
        <v>39348.350569632101</v>
      </c>
    </row>
    <row r="13" spans="1:23" ht="15.75" thickBot="1" x14ac:dyDescent="0.3">
      <c r="A13" s="665"/>
      <c r="B13" s="715"/>
      <c r="C13">
        <v>3</v>
      </c>
      <c r="D13" s="168" t="s">
        <v>687</v>
      </c>
      <c r="E13" s="615" cm="1">
        <f t="array" ref="E13">_xlfn.XLOOKUP(1,($D13=MSD_MMP!$B:$B)*(E$1=MSD_MMP!$C:$C),MSD_MMP!$P:$P)</f>
        <v>35657.839579118299</v>
      </c>
      <c r="F13" s="615" t="str" cm="1">
        <f t="array" ref="F13">_xlfn.XLOOKUP(1,($D13=MSD_MMP!$B:$B)*(F$1=MSD_MMP!$C:$C),MSD_MMP!$P:$P)</f>
        <v>NaN</v>
      </c>
      <c r="G13" s="615" t="str" cm="1">
        <f t="array" ref="G13">_xlfn.XLOOKUP(1,($D13=MSD_MMP!$B:$B)*(G$1=MSD_MMP!$C:$C),MSD_MMP!$P:$P)</f>
        <v>NaN</v>
      </c>
      <c r="I13" s="654" t="s">
        <v>515</v>
      </c>
      <c r="J13" s="836"/>
      <c r="K13" s="536" t="s">
        <v>482</v>
      </c>
      <c r="L13" s="536" t="s">
        <v>485</v>
      </c>
      <c r="M13" s="536" t="s">
        <v>483</v>
      </c>
      <c r="U13" t="s">
        <v>735</v>
      </c>
    </row>
    <row r="14" spans="1:23" x14ac:dyDescent="0.25">
      <c r="A14" s="665"/>
      <c r="B14" s="715"/>
      <c r="C14">
        <v>4</v>
      </c>
      <c r="D14" s="168" t="s">
        <v>690</v>
      </c>
      <c r="E14" s="615" cm="1">
        <f t="array" ref="E14">_xlfn.XLOOKUP(1,($D14=MSD_MMP!$B:$B)*(E$1=MSD_MMP!$C:$C),MSD_MMP!$P:$P)</f>
        <v>40944.544052277502</v>
      </c>
      <c r="F14" s="615" cm="1">
        <f t="array" ref="F14">_xlfn.XLOOKUP(1,($D14=MSD_MMP!$B:$B)*(F$1=MSD_MMP!$C:$C),MSD_MMP!$P:$P)</f>
        <v>7.0935373774333899</v>
      </c>
      <c r="G14" s="615" t="str" cm="1">
        <f t="array" ref="G14">_xlfn.XLOOKUP(1,($D14=MSD_MMP!$B:$B)*(G$1=MSD_MMP!$C:$C),MSD_MMP!$P:$P)</f>
        <v>NaN</v>
      </c>
      <c r="I14" s="667" t="s">
        <v>24</v>
      </c>
      <c r="J14" s="30" t="s">
        <v>726</v>
      </c>
      <c r="K14" s="30">
        <f>TTEST(E2:E6,E11:E16,2,2)</f>
        <v>0.19209324901237565</v>
      </c>
      <c r="L14" s="30">
        <f t="shared" ref="L14:M14" si="0">TTEST(F2:F6,F11:F16,2,2)</f>
        <v>0.96459293871137186</v>
      </c>
      <c r="M14" s="30">
        <f t="shared" si="0"/>
        <v>6.3729999502583248E-4</v>
      </c>
      <c r="U14" s="627">
        <v>111086.656504663</v>
      </c>
      <c r="V14" s="627">
        <v>20.118328575083002</v>
      </c>
      <c r="W14" s="627">
        <v>62114.573224949803</v>
      </c>
    </row>
    <row r="15" spans="1:23" x14ac:dyDescent="0.25">
      <c r="A15" s="665"/>
      <c r="B15" s="715"/>
      <c r="C15">
        <v>5</v>
      </c>
      <c r="D15" s="168" t="s">
        <v>693</v>
      </c>
      <c r="E15" s="615" cm="1">
        <f t="array" ref="E15">_xlfn.XLOOKUP(1,($D15=MSD_MMP!$B:$B)*(E$1=MSD_MMP!$C:$C),MSD_MMP!$P:$P)</f>
        <v>22846.4105377571</v>
      </c>
      <c r="F15" s="615" cm="1">
        <f t="array" ref="F15">_xlfn.XLOOKUP(1,($D15=MSD_MMP!$B:$B)*(F$1=MSD_MMP!$C:$C),MSD_MMP!$P:$P)</f>
        <v>8.1498834342633408</v>
      </c>
      <c r="G15" s="615" t="str" cm="1">
        <f t="array" ref="G15">_xlfn.XLOOKUP(1,($D15=MSD_MMP!$B:$B)*(G$1=MSD_MMP!$C:$C),MSD_MMP!$P:$P)</f>
        <v>NaN</v>
      </c>
      <c r="I15" s="665"/>
      <c r="J15" s="30" t="s">
        <v>385</v>
      </c>
      <c r="K15" s="30">
        <f>TTEST(E11:E16,E7:E10,2,2)</f>
        <v>0.51206600001946412</v>
      </c>
      <c r="L15" s="30">
        <f t="shared" ref="L15:M15" si="1">TTEST(F11:F16,F7:F10,2,2)</f>
        <v>0.81467216718463209</v>
      </c>
      <c r="M15" s="30">
        <f t="shared" si="1"/>
        <v>0.67466720963955895</v>
      </c>
      <c r="U15" s="627">
        <v>102135.962749</v>
      </c>
      <c r="V15" s="627">
        <v>40.6491999042779</v>
      </c>
      <c r="W15" s="627">
        <v>72597.901424946205</v>
      </c>
    </row>
    <row r="16" spans="1:23" x14ac:dyDescent="0.25">
      <c r="A16" s="746"/>
      <c r="B16" s="720"/>
      <c r="C16" s="59">
        <v>6</v>
      </c>
      <c r="D16" s="230" t="s">
        <v>696</v>
      </c>
      <c r="E16" s="616" cm="1">
        <f t="array" ref="E16">_xlfn.XLOOKUP(1,($D16=MSD_MMP!$B:$B)*(E$1=MSD_MMP!$C:$C),MSD_MMP!$P:$P)</f>
        <v>50234.735442679201</v>
      </c>
      <c r="F16" s="616" cm="1">
        <f t="array" ref="F16">_xlfn.XLOOKUP(1,($D16=MSD_MMP!$B:$B)*(F$1=MSD_MMP!$C:$C),MSD_MMP!$P:$P)</f>
        <v>2.61803194371244</v>
      </c>
      <c r="G16" s="626" t="str" cm="1">
        <f t="array" ref="G16">_xlfn.XLOOKUP(1,($D16=MSD_MMP!$B:$B)*(G$1=MSD_MMP!$C:$C),MSD_MMP!$P:$P)</f>
        <v>NaN</v>
      </c>
      <c r="I16" s="746"/>
      <c r="J16" s="90" t="s">
        <v>727</v>
      </c>
      <c r="K16" s="90">
        <f>TTEST(E2:E6,E7:E10,2,2)</f>
        <v>0.18103746008542929</v>
      </c>
      <c r="L16" s="90">
        <f t="shared" ref="L16:M16" si="2">TTEST(F2:F6,F7:F10,2,2)</f>
        <v>0.78308669366337147</v>
      </c>
      <c r="M16" s="90">
        <f t="shared" si="2"/>
        <v>0.13967067426227933</v>
      </c>
      <c r="U16" s="627">
        <v>125561.20430210599</v>
      </c>
      <c r="V16" s="627">
        <v>1.4586071190819301</v>
      </c>
      <c r="W16" s="627">
        <v>96392.824339767307</v>
      </c>
    </row>
    <row r="17" spans="1:23" x14ac:dyDescent="0.25">
      <c r="A17" s="665" t="s">
        <v>87</v>
      </c>
      <c r="B17" s="715" t="s">
        <v>289</v>
      </c>
      <c r="C17">
        <v>1</v>
      </c>
      <c r="D17" s="168" t="s">
        <v>642</v>
      </c>
      <c r="E17" s="615" cm="1">
        <f t="array" ref="E17">_xlfn.XLOOKUP(1,($D17=MSD_MMP!$B:$B)*(E$1=MSD_MMP!$C:$C),MSD_MMP!$P:$P)</f>
        <v>108511.397154426</v>
      </c>
      <c r="F17" s="615" t="str" cm="1">
        <f t="array" ref="F17">_xlfn.XLOOKUP(1,($D17=MSD_MMP!$B:$B)*(F$1=MSD_MMP!$C:$C),MSD_MMP!$P:$P)</f>
        <v>NaN</v>
      </c>
      <c r="G17" s="615" cm="1">
        <f t="array" ref="G17">_xlfn.XLOOKUP(1,($D17=MSD_MMP!$B:$B)*(G$1=MSD_MMP!$C:$C),MSD_MMP!$P:$P)</f>
        <v>12672.3004573751</v>
      </c>
      <c r="I17" s="665" t="s">
        <v>28</v>
      </c>
      <c r="J17" s="30" t="s">
        <v>726</v>
      </c>
      <c r="K17" s="30">
        <f>TTEST(E17:E21,E26:E29,2,2)</f>
        <v>2.267665548175981E-2</v>
      </c>
      <c r="L17" s="30" t="e">
        <f t="shared" ref="L17:M17" si="3">TTEST(F17:F21,F26:F29,2,2)</f>
        <v>#DIV/0!</v>
      </c>
      <c r="M17" s="30" t="e">
        <f t="shared" si="3"/>
        <v>#DIV/0!</v>
      </c>
      <c r="U17" s="627">
        <v>186187.24512696001</v>
      </c>
      <c r="V17" s="627">
        <v>140.725766098299</v>
      </c>
      <c r="W17" s="627">
        <v>81507.213768207803</v>
      </c>
    </row>
    <row r="18" spans="1:23" x14ac:dyDescent="0.25">
      <c r="A18" s="665"/>
      <c r="B18" s="715"/>
      <c r="C18">
        <v>2</v>
      </c>
      <c r="D18" s="168" t="s">
        <v>645</v>
      </c>
      <c r="E18" s="615" cm="1">
        <f t="array" ref="E18">_xlfn.XLOOKUP(1,($D18=MSD_MMP!$B:$B)*(E$1=MSD_MMP!$C:$C),MSD_MMP!$P:$P)</f>
        <v>119238.49983735901</v>
      </c>
      <c r="F18" s="615" cm="1">
        <f t="array" ref="F18">_xlfn.XLOOKUP(1,($D18=MSD_MMP!$B:$B)*(F$1=MSD_MMP!$C:$C),MSD_MMP!$P:$P)</f>
        <v>20.341985215586799</v>
      </c>
      <c r="G18" s="615" cm="1">
        <f t="array" ref="G18">_xlfn.XLOOKUP(1,($D18=MSD_MMP!$B:$B)*(G$1=MSD_MMP!$C:$C),MSD_MMP!$P:$P)</f>
        <v>19890.352151387</v>
      </c>
      <c r="I18" s="665"/>
      <c r="J18" s="30" t="s">
        <v>385</v>
      </c>
      <c r="K18" s="30">
        <f>TTEST(E26:E29,E22:E25,2,2)</f>
        <v>0.1555177581404594</v>
      </c>
      <c r="L18" s="30" t="e">
        <f t="shared" ref="L18:M18" si="4">TTEST(F26:F29,F22:F25,2,2)</f>
        <v>#DIV/0!</v>
      </c>
      <c r="M18" s="30" t="e">
        <f t="shared" si="4"/>
        <v>#DIV/0!</v>
      </c>
      <c r="U18" s="627">
        <v>128948.381564991</v>
      </c>
      <c r="V18" s="627">
        <v>72.527618155916301</v>
      </c>
      <c r="W18" s="627">
        <v>87517.054192827403</v>
      </c>
    </row>
    <row r="19" spans="1:23" x14ac:dyDescent="0.25">
      <c r="A19" s="665"/>
      <c r="B19" s="715"/>
      <c r="C19">
        <v>3</v>
      </c>
      <c r="D19" s="168" t="s">
        <v>648</v>
      </c>
      <c r="E19" s="615" cm="1">
        <f t="array" ref="E19">_xlfn.XLOOKUP(1,($D19=MSD_MMP!$B:$B)*(E$1=MSD_MMP!$C:$C),MSD_MMP!$P:$P)</f>
        <v>43343.609582118603</v>
      </c>
      <c r="F19" s="615" cm="1">
        <f t="array" ref="F19">_xlfn.XLOOKUP(1,($D19=MSD_MMP!$B:$B)*(F$1=MSD_MMP!$C:$C),MSD_MMP!$P:$P)</f>
        <v>3.49993990619895</v>
      </c>
      <c r="G19" s="615" cm="1">
        <f t="array" ref="G19">_xlfn.XLOOKUP(1,($D19=MSD_MMP!$B:$B)*(G$1=MSD_MMP!$C:$C),MSD_MMP!$P:$P)</f>
        <v>6967.33189199157</v>
      </c>
      <c r="I19" s="746"/>
      <c r="J19" s="90" t="s">
        <v>727</v>
      </c>
      <c r="K19" s="90">
        <f>TTEST(E17:E21,E22:E25,2,2)</f>
        <v>0.8518461281633869</v>
      </c>
      <c r="L19" s="90">
        <f t="shared" ref="L19:M19" si="5">TTEST(F17:F21,F22:F25,2,2)</f>
        <v>0.98577247003016555</v>
      </c>
      <c r="M19" s="90">
        <f t="shared" si="5"/>
        <v>0.45738067951300887</v>
      </c>
      <c r="T19" t="s">
        <v>736</v>
      </c>
      <c r="U19">
        <f>AVERAGE(U14:U18)</f>
        <v>130783.890049544</v>
      </c>
      <c r="V19">
        <f t="shared" ref="V19:W19" si="6">AVERAGE(V14:V18)</f>
        <v>55.09590397053163</v>
      </c>
      <c r="W19">
        <f t="shared" si="6"/>
        <v>80025.9133901397</v>
      </c>
    </row>
    <row r="20" spans="1:23" x14ac:dyDescent="0.25">
      <c r="A20" s="665"/>
      <c r="B20" s="715"/>
      <c r="C20">
        <v>4</v>
      </c>
      <c r="D20" s="168" t="s">
        <v>651</v>
      </c>
      <c r="E20" s="615" cm="1">
        <f t="array" ref="E20">_xlfn.XLOOKUP(1,($D20=MSD_MMP!$B:$B)*(E$1=MSD_MMP!$C:$C),MSD_MMP!$P:$P)</f>
        <v>95325.942444259897</v>
      </c>
      <c r="F20" s="615" cm="1">
        <f t="array" ref="F20">_xlfn.XLOOKUP(1,($D20=MSD_MMP!$B:$B)*(F$1=MSD_MMP!$C:$C),MSD_MMP!$P:$P)</f>
        <v>16.145983744149198</v>
      </c>
      <c r="G20" s="615" cm="1">
        <f t="array" ref="G20">_xlfn.XLOOKUP(1,($D20=MSD_MMP!$B:$B)*(G$1=MSD_MMP!$C:$C),MSD_MMP!$P:$P)</f>
        <v>8506.3059427283406</v>
      </c>
      <c r="I20" s="665" t="s">
        <v>393</v>
      </c>
      <c r="J20" s="30" t="s">
        <v>167</v>
      </c>
      <c r="K20" s="30">
        <f>TTEST(E26:E29,E11:E16,2,2)</f>
        <v>0.32046489972199887</v>
      </c>
      <c r="L20" s="30" t="e">
        <f t="shared" ref="L20:M20" si="7">TTEST(F26:F29,F11:F16,2,2)</f>
        <v>#DIV/0!</v>
      </c>
      <c r="M20" s="30" t="e">
        <f t="shared" si="7"/>
        <v>#DIV/0!</v>
      </c>
    </row>
    <row r="21" spans="1:23" x14ac:dyDescent="0.25">
      <c r="A21" s="746"/>
      <c r="B21" s="720"/>
      <c r="C21" s="60">
        <v>5</v>
      </c>
      <c r="D21" s="230" t="s">
        <v>654</v>
      </c>
      <c r="E21" s="616" t="s">
        <v>417</v>
      </c>
      <c r="F21" s="616" t="str" cm="1">
        <f t="array" ref="F21">_xlfn.XLOOKUP(1,($D21=MSD_MMP!$B:$B)*(F$1=MSD_MMP!$C:$C),MSD_MMP!$P:$P)</f>
        <v>NaN</v>
      </c>
      <c r="G21" s="616" cm="1">
        <f t="array" ref="G21">_xlfn.XLOOKUP(1,($D21=MSD_MMP!$B:$B)*(G$1=MSD_MMP!$C:$C),MSD_MMP!$P:$P)</f>
        <v>2599.6774950878198</v>
      </c>
      <c r="I21" s="665"/>
      <c r="J21" s="608">
        <v>0.15</v>
      </c>
      <c r="K21" s="30">
        <f>TTEST(E2:E6,E17:E21,2,2)</f>
        <v>4.3679833259281497E-3</v>
      </c>
      <c r="L21" s="30">
        <f t="shared" ref="L21:M21" si="8">TTEST(F2:F6,F17:F21,2,2)</f>
        <v>5.1410162386359599E-2</v>
      </c>
      <c r="M21" s="30">
        <f t="shared" si="8"/>
        <v>2.5317208732870449E-2</v>
      </c>
    </row>
    <row r="22" spans="1:23" ht="15.75" thickBot="1" x14ac:dyDescent="0.3">
      <c r="A22" s="665" t="s">
        <v>292</v>
      </c>
      <c r="B22" s="715" t="s">
        <v>293</v>
      </c>
      <c r="C22">
        <v>1</v>
      </c>
      <c r="D22" s="168" t="s">
        <v>657</v>
      </c>
      <c r="E22" s="615" cm="1">
        <f t="array" ref="E22">_xlfn.XLOOKUP(1,($D22=MSD_MMP!$B:$B)*(E$1=MSD_MMP!$C:$C),MSD_MMP!$P:$P)</f>
        <v>21007.9755006126</v>
      </c>
      <c r="F22" s="615" t="str" cm="1">
        <f t="array" ref="F22">_xlfn.XLOOKUP(1,($D22=MSD_MMP!$B:$B)*(F$1=MSD_MMP!$C:$C),MSD_MMP!$P:$P)</f>
        <v>NaN</v>
      </c>
      <c r="G22" s="615" cm="1">
        <f t="array" ref="G22">_xlfn.XLOOKUP(1,($D22=MSD_MMP!$B:$B)*(G$1=MSD_MMP!$C:$C),MSD_MMP!$P:$P)</f>
        <v>3591.6357738881902</v>
      </c>
      <c r="I22" s="666"/>
      <c r="J22" s="609">
        <v>0.5</v>
      </c>
      <c r="K22" s="9">
        <f>TTEST(E7:E10,E22:E25,2,2)</f>
        <v>0.83673014979524041</v>
      </c>
      <c r="L22" s="9">
        <f t="shared" ref="L22:M22" si="9">TTEST(F7:F10,F22:F25,2,2)</f>
        <v>0.28736817398562614</v>
      </c>
      <c r="M22" s="9">
        <f t="shared" si="9"/>
        <v>0.56879245603433737</v>
      </c>
    </row>
    <row r="23" spans="1:23" x14ac:dyDescent="0.25">
      <c r="A23" s="665"/>
      <c r="B23" s="715"/>
      <c r="C23">
        <v>2</v>
      </c>
      <c r="D23" s="168" t="s">
        <v>660</v>
      </c>
      <c r="E23" s="615" cm="1">
        <f t="array" ref="E23">_xlfn.XLOOKUP(1,($D23=MSD_MMP!$B:$B)*(E$1=MSD_MMP!$C:$C),MSD_MMP!$P:$P)</f>
        <v>93949.061247040401</v>
      </c>
      <c r="F23" s="615" cm="1">
        <f t="array" ref="F23">_xlfn.XLOOKUP(1,($D23=MSD_MMP!$B:$B)*(F$1=MSD_MMP!$C:$C),MSD_MMP!$P:$P)</f>
        <v>10.2322813163352</v>
      </c>
      <c r="G23" s="615" cm="1">
        <f t="array" ref="G23">_xlfn.XLOOKUP(1,($D23=MSD_MMP!$B:$B)*(G$1=MSD_MMP!$C:$C),MSD_MMP!$P:$P)</f>
        <v>13784.8535898848</v>
      </c>
    </row>
    <row r="24" spans="1:23" x14ac:dyDescent="0.25">
      <c r="A24" s="665"/>
      <c r="B24" s="715"/>
      <c r="C24">
        <v>3</v>
      </c>
      <c r="D24" s="168" t="s">
        <v>663</v>
      </c>
      <c r="E24" s="615" cm="1">
        <f t="array" ref="E24">_xlfn.XLOOKUP(1,($D24=MSD_MMP!$B:$B)*(E$1=MSD_MMP!$C:$C),MSD_MMP!$P:$P)</f>
        <v>169473.96901307601</v>
      </c>
      <c r="F24" s="615" cm="1">
        <f t="array" ref="F24">_xlfn.XLOOKUP(1,($D24=MSD_MMP!$B:$B)*(F$1=MSD_MMP!$C:$C),MSD_MMP!$P:$P)</f>
        <v>17.043951327675899</v>
      </c>
      <c r="G24" s="615" cm="1">
        <f t="array" ref="G24">_xlfn.XLOOKUP(1,($D24=MSD_MMP!$B:$B)*(G$1=MSD_MMP!$C:$C),MSD_MMP!$P:$P)</f>
        <v>32623.7132572546</v>
      </c>
    </row>
    <row r="25" spans="1:23" x14ac:dyDescent="0.25">
      <c r="A25" s="746"/>
      <c r="B25" s="720"/>
      <c r="C25" s="60">
        <v>4</v>
      </c>
      <c r="D25" s="230" t="s">
        <v>666</v>
      </c>
      <c r="E25" s="616" cm="1">
        <f t="array" ref="E25">_xlfn.XLOOKUP(1,($D25=MSD_MMP!$B:$B)*(E$1=MSD_MMP!$C:$C),MSD_MMP!$P:$P)</f>
        <v>53800.117715639302</v>
      </c>
      <c r="F25" s="616" cm="1">
        <f t="array" ref="F25">_xlfn.XLOOKUP(1,($D25=MSD_MMP!$B:$B)*(F$1=MSD_MMP!$C:$C),MSD_MMP!$P:$P)</f>
        <v>12.4017267270094</v>
      </c>
      <c r="G25" s="616" cm="1">
        <f t="array" ref="G25">_xlfn.XLOOKUP(1,($D25=MSD_MMP!$B:$B)*(G$1=MSD_MMP!$C:$C),MSD_MMP!$P:$P)</f>
        <v>10573.6051508075</v>
      </c>
    </row>
    <row r="26" spans="1:23" x14ac:dyDescent="0.25">
      <c r="A26" s="665" t="s">
        <v>561</v>
      </c>
      <c r="B26" s="715" t="s">
        <v>559</v>
      </c>
      <c r="C26">
        <v>1</v>
      </c>
      <c r="D26" s="168" t="s">
        <v>669</v>
      </c>
      <c r="E26" s="615" cm="1">
        <f t="array" ref="E26">_xlfn.XLOOKUP(1,($D26=MSD_MMP!$B:$B)*(E$1=MSD_MMP!$C:$C),MSD_MMP!$P:$P)</f>
        <v>1097.25205807671</v>
      </c>
      <c r="F26" s="615" t="str" cm="1">
        <f t="array" ref="F26">_xlfn.XLOOKUP(1,($D26=MSD_MMP!$B:$B)*(F$1=MSD_MMP!$C:$C),MSD_MMP!$P:$P)</f>
        <v>NaN</v>
      </c>
      <c r="G26" s="615" t="str" cm="1">
        <f t="array" ref="G26">_xlfn.XLOOKUP(1,($D26=MSD_MMP!$B:$B)*(G$1=MSD_MMP!$C:$C),MSD_MMP!$P:$P)</f>
        <v>NaN</v>
      </c>
    </row>
    <row r="27" spans="1:23" x14ac:dyDescent="0.25">
      <c r="A27" s="665"/>
      <c r="B27" s="715"/>
      <c r="C27">
        <v>2</v>
      </c>
      <c r="D27" s="168" t="s">
        <v>672</v>
      </c>
      <c r="E27" s="615" cm="1">
        <f t="array" ref="E27">_xlfn.XLOOKUP(1,($D27=MSD_MMP!$B:$B)*(E$1=MSD_MMP!$C:$C),MSD_MMP!$P:$P)</f>
        <v>311.93992728545999</v>
      </c>
      <c r="F27" s="615" t="str" cm="1">
        <f t="array" ref="F27">_xlfn.XLOOKUP(1,($D27=MSD_MMP!$B:$B)*(F$1=MSD_MMP!$C:$C),MSD_MMP!$P:$P)</f>
        <v>NaN</v>
      </c>
      <c r="G27" s="615" t="str" cm="1">
        <f t="array" ref="G27">_xlfn.XLOOKUP(1,($D27=MSD_MMP!$B:$B)*(G$1=MSD_MMP!$C:$C),MSD_MMP!$P:$P)</f>
        <v>NaN</v>
      </c>
    </row>
    <row r="28" spans="1:23" x14ac:dyDescent="0.25">
      <c r="A28" s="665"/>
      <c r="B28" s="715"/>
      <c r="C28">
        <v>3</v>
      </c>
      <c r="D28" s="168" t="s">
        <v>675</v>
      </c>
      <c r="E28" s="615" t="str" cm="1">
        <f t="array" ref="E28">_xlfn.XLOOKUP(1,($D28=MSD_MMP!$B:$B)*(E$1=MSD_MMP!$C:$C),MSD_MMP!$P:$P)</f>
        <v>NaN</v>
      </c>
      <c r="F28" s="615" t="str" cm="1">
        <f t="array" ref="F28">_xlfn.XLOOKUP(1,($D28=MSD_MMP!$B:$B)*(F$1=MSD_MMP!$C:$C),MSD_MMP!$P:$P)</f>
        <v>NaN</v>
      </c>
      <c r="G28" s="615" t="str" cm="1">
        <f t="array" ref="G28">_xlfn.XLOOKUP(1,($D28=MSD_MMP!$B:$B)*(G$1=MSD_MMP!$C:$C),MSD_MMP!$P:$P)</f>
        <v>NaN</v>
      </c>
    </row>
    <row r="29" spans="1:23" ht="15.75" thickBot="1" x14ac:dyDescent="0.3">
      <c r="A29" s="666"/>
      <c r="B29" s="661"/>
      <c r="C29" s="2">
        <v>4</v>
      </c>
      <c r="D29" s="170" t="s">
        <v>678</v>
      </c>
      <c r="E29" s="617" t="str" cm="1">
        <f t="array" ref="E29">_xlfn.XLOOKUP(1,($D29=MSD_MMP!$B:$B)*(E$1=MSD_MMP!$C:$C),MSD_MMP!$P:$P)</f>
        <v>NaN</v>
      </c>
      <c r="F29" s="617" t="str" cm="1">
        <f t="array" ref="F29">_xlfn.XLOOKUP(1,($D29=MSD_MMP!$B:$B)*(F$1=MSD_MMP!$C:$C),MSD_MMP!$P:$P)</f>
        <v>NaN</v>
      </c>
      <c r="G29" s="617" t="str" cm="1">
        <f t="array" ref="G29">_xlfn.XLOOKUP(1,($D29=MSD_MMP!$B:$B)*(G$1=MSD_MMP!$C:$C),MSD_MMP!$P:$P)</f>
        <v>NaN</v>
      </c>
    </row>
    <row r="32" spans="1:23" ht="15.75" thickBot="1" x14ac:dyDescent="0.3"/>
    <row r="33" spans="3:10" x14ac:dyDescent="0.25">
      <c r="C33" s="649" t="s">
        <v>730</v>
      </c>
      <c r="D33" s="660"/>
      <c r="E33" s="838" t="s">
        <v>482</v>
      </c>
      <c r="F33" s="839"/>
      <c r="G33" s="838" t="s">
        <v>485</v>
      </c>
      <c r="H33" s="839"/>
      <c r="I33" s="677" t="s">
        <v>483</v>
      </c>
      <c r="J33" s="839"/>
    </row>
    <row r="34" spans="3:10" x14ac:dyDescent="0.25">
      <c r="C34" s="650"/>
      <c r="D34" s="720"/>
      <c r="E34" s="60" t="s">
        <v>728</v>
      </c>
      <c r="F34" s="90" t="s">
        <v>729</v>
      </c>
      <c r="G34" s="453" t="s">
        <v>728</v>
      </c>
      <c r="H34" s="90" t="s">
        <v>729</v>
      </c>
      <c r="I34" s="60" t="s">
        <v>728</v>
      </c>
      <c r="J34" s="90" t="s">
        <v>729</v>
      </c>
    </row>
    <row r="35" spans="3:10" x14ac:dyDescent="0.25">
      <c r="C35" s="665" t="s">
        <v>24</v>
      </c>
      <c r="D35" s="610">
        <v>0.15</v>
      </c>
      <c r="E35" s="618">
        <f t="shared" ref="E35:E40" si="10">K4+2*L4</f>
        <v>32924.145763439716</v>
      </c>
      <c r="F35" s="620">
        <f t="shared" ref="F35:F40" si="11">K4-2*L4</f>
        <v>-4857.3116012255323</v>
      </c>
      <c r="G35" s="618">
        <f>N4+2*O4</f>
        <v>34.510828424137365</v>
      </c>
      <c r="H35" s="620">
        <f>N4-2*O4</f>
        <v>33.281281913566922</v>
      </c>
      <c r="I35" s="618">
        <f>Q4+2*R4</f>
        <v>1953.4421831562718</v>
      </c>
      <c r="J35" s="620">
        <f>Q4-2*R4</f>
        <v>-549.64683380943382</v>
      </c>
    </row>
    <row r="36" spans="3:10" x14ac:dyDescent="0.25">
      <c r="C36" s="665"/>
      <c r="D36" s="610">
        <v>0.5</v>
      </c>
      <c r="E36" s="618">
        <f t="shared" si="10"/>
        <v>230227.8789051093</v>
      </c>
      <c r="F36" s="620">
        <f t="shared" si="11"/>
        <v>-82870.600092862791</v>
      </c>
      <c r="G36" s="618">
        <f t="shared" ref="G36:G40" si="12">N5+2*O5</f>
        <v>128.5598680551908</v>
      </c>
      <c r="H36" s="620">
        <f t="shared" ref="H36:H40" si="13">N5-2*O5</f>
        <v>-41.943035949334224</v>
      </c>
      <c r="I36" s="618">
        <f t="shared" ref="I36:I40" si="14">Q5+2*R5</f>
        <v>79728.623145740945</v>
      </c>
      <c r="J36" s="620">
        <f t="shared" ref="J36:J40" si="15">Q5-2*R5</f>
        <v>-31140.473367230108</v>
      </c>
    </row>
    <row r="37" spans="3:10" x14ac:dyDescent="0.25">
      <c r="C37" s="746"/>
      <c r="D37" s="606" t="s">
        <v>167</v>
      </c>
      <c r="E37" s="618">
        <f t="shared" si="10"/>
        <v>471775.96363388223</v>
      </c>
      <c r="F37" s="620">
        <f t="shared" si="11"/>
        <v>-199480.38963814286</v>
      </c>
      <c r="G37" s="618">
        <f t="shared" si="12"/>
        <v>135.57323650597215</v>
      </c>
      <c r="H37" s="620">
        <f t="shared" si="13"/>
        <v>-64.291986484126895</v>
      </c>
      <c r="I37" s="618">
        <f t="shared" si="14"/>
        <v>49465.448131931553</v>
      </c>
      <c r="J37" s="620">
        <f t="shared" si="15"/>
        <v>18164.804226986744</v>
      </c>
    </row>
    <row r="38" spans="3:10" x14ac:dyDescent="0.25">
      <c r="C38" s="665" t="s">
        <v>28</v>
      </c>
      <c r="D38" s="610">
        <v>0.15</v>
      </c>
      <c r="E38" s="618">
        <f t="shared" si="10"/>
        <v>158860.03599028933</v>
      </c>
      <c r="F38" s="620">
        <f t="shared" si="11"/>
        <v>24349.68851879242</v>
      </c>
      <c r="G38" s="618">
        <f t="shared" si="12"/>
        <v>30.863713758132853</v>
      </c>
      <c r="H38" s="620">
        <f t="shared" si="13"/>
        <v>-4.2051078475095576</v>
      </c>
      <c r="I38" s="618">
        <f t="shared" si="14"/>
        <v>23206.655936599898</v>
      </c>
      <c r="J38" s="620">
        <f t="shared" si="15"/>
        <v>-2952.2687611719648</v>
      </c>
    </row>
    <row r="39" spans="3:10" x14ac:dyDescent="0.25">
      <c r="C39" s="665"/>
      <c r="D39" s="610">
        <v>0.5</v>
      </c>
      <c r="E39" s="618">
        <f t="shared" si="10"/>
        <v>212534.68900007536</v>
      </c>
      <c r="F39" s="620">
        <f t="shared" si="11"/>
        <v>-43419.127261891204</v>
      </c>
      <c r="G39" s="618">
        <f t="shared" si="12"/>
        <v>20.185660346700562</v>
      </c>
      <c r="H39" s="620">
        <f t="shared" si="13"/>
        <v>6.2663125673131042</v>
      </c>
      <c r="I39" s="618">
        <f t="shared" si="14"/>
        <v>39955.633940485131</v>
      </c>
      <c r="J39" s="620">
        <f t="shared" si="15"/>
        <v>-9668.7300545675826</v>
      </c>
    </row>
    <row r="40" spans="3:10" ht="15.75" thickBot="1" x14ac:dyDescent="0.3">
      <c r="C40" s="666"/>
      <c r="D40" s="607" t="s">
        <v>167</v>
      </c>
      <c r="E40" s="619">
        <f t="shared" si="10"/>
        <v>1815.1950587421843</v>
      </c>
      <c r="F40" s="621">
        <f t="shared" si="11"/>
        <v>-406.00307338001437</v>
      </c>
      <c r="G40" s="619" t="e">
        <f t="shared" si="12"/>
        <v>#DIV/0!</v>
      </c>
      <c r="H40" s="621" t="e">
        <f t="shared" si="13"/>
        <v>#DIV/0!</v>
      </c>
      <c r="I40" s="619" t="e">
        <f t="shared" si="14"/>
        <v>#DIV/0!</v>
      </c>
      <c r="J40" s="621" t="e">
        <f t="shared" si="15"/>
        <v>#DIV/0!</v>
      </c>
    </row>
  </sheetData>
  <mergeCells count="28">
    <mergeCell ref="Q2:S2"/>
    <mergeCell ref="I4:I6"/>
    <mergeCell ref="A2:A6"/>
    <mergeCell ref="B2:B6"/>
    <mergeCell ref="I2:J3"/>
    <mergeCell ref="N2:P2"/>
    <mergeCell ref="B7:B10"/>
    <mergeCell ref="I7:I9"/>
    <mergeCell ref="A11:A16"/>
    <mergeCell ref="B11:B16"/>
    <mergeCell ref="I13:J13"/>
    <mergeCell ref="I14:I16"/>
    <mergeCell ref="C38:C40"/>
    <mergeCell ref="E33:F33"/>
    <mergeCell ref="K2:M2"/>
    <mergeCell ref="C35:C37"/>
    <mergeCell ref="A26:A29"/>
    <mergeCell ref="B26:B29"/>
    <mergeCell ref="C33:D34"/>
    <mergeCell ref="G33:H33"/>
    <mergeCell ref="I33:J33"/>
    <mergeCell ref="A17:A21"/>
    <mergeCell ref="B17:B21"/>
    <mergeCell ref="I17:I19"/>
    <mergeCell ref="I20:I22"/>
    <mergeCell ref="A22:A25"/>
    <mergeCell ref="B22:B25"/>
    <mergeCell ref="A7:A10"/>
  </mergeCells>
  <conditionalFormatting sqref="K14:M22">
    <cfRule type="cellIs" dxfId="8" priority="1" operator="lessThan">
      <formula>0.05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80C6-B253-42A4-8F8D-BDBDA73EA462}">
  <dimension ref="A1:W40"/>
  <sheetViews>
    <sheetView workbookViewId="0">
      <selection activeCell="J22" sqref="J22"/>
    </sheetView>
  </sheetViews>
  <sheetFormatPr defaultRowHeight="15" x14ac:dyDescent="0.25"/>
  <cols>
    <col min="5" max="5" width="11.7109375" bestFit="1" customWidth="1"/>
    <col min="6" max="6" width="12.28515625" bestFit="1" customWidth="1"/>
    <col min="7" max="7" width="10.7109375" bestFit="1" customWidth="1"/>
    <col min="8" max="8" width="9.28515625" bestFit="1" customWidth="1"/>
    <col min="9" max="9" width="10.5703125" bestFit="1" customWidth="1"/>
    <col min="10" max="10" width="11.28515625" bestFit="1" customWidth="1"/>
    <col min="11" max="12" width="9.5703125" bestFit="1" customWidth="1"/>
  </cols>
  <sheetData>
    <row r="1" spans="1:23" ht="15.75" thickBot="1" x14ac:dyDescent="0.3">
      <c r="A1" s="173" t="s">
        <v>8</v>
      </c>
      <c r="B1" s="536" t="s">
        <v>53</v>
      </c>
      <c r="C1" s="52" t="s">
        <v>54</v>
      </c>
      <c r="D1" s="174" t="s">
        <v>723</v>
      </c>
      <c r="E1" s="536" t="s">
        <v>733</v>
      </c>
      <c r="F1" s="536" t="s">
        <v>734</v>
      </c>
      <c r="G1" s="536" t="s">
        <v>483</v>
      </c>
    </row>
    <row r="2" spans="1:23" x14ac:dyDescent="0.25">
      <c r="A2" s="667" t="s">
        <v>86</v>
      </c>
      <c r="B2" s="660" t="s">
        <v>227</v>
      </c>
      <c r="C2" s="50">
        <v>1</v>
      </c>
      <c r="D2" s="324" t="s">
        <v>615</v>
      </c>
      <c r="E2" s="636" cm="1">
        <f t="array" ref="E2">_xlfn.XLOOKUP(1,($D2=MSD_MMP!$B:$B)*(E$1=MSD_MMP!$C:$C),MSD_MMP!$H:$H)</f>
        <v>304</v>
      </c>
      <c r="F2" s="636" cm="1">
        <f t="array" ref="F2">_xlfn.XLOOKUP(1,($D2=MSD_MMP!$B:$B)*(F$1=MSD_MMP!$C:$C),MSD_MMP!$H:$H)</f>
        <v>64</v>
      </c>
      <c r="G2" s="637" cm="1">
        <f t="array" ref="G2">_xlfn.XLOOKUP(1,($D2=MSD_MMP!$B:$B)*(G$1=MSD_MMP!$C:$C),MSD_MMP!$H:$H)</f>
        <v>331</v>
      </c>
      <c r="I2" s="649" t="s">
        <v>725</v>
      </c>
      <c r="J2" s="660"/>
      <c r="K2" s="838" t="s">
        <v>482</v>
      </c>
      <c r="L2" s="677"/>
      <c r="M2" s="839"/>
      <c r="N2" s="838" t="s">
        <v>485</v>
      </c>
      <c r="O2" s="677"/>
      <c r="P2" s="839"/>
      <c r="Q2" s="677" t="s">
        <v>483</v>
      </c>
      <c r="R2" s="677"/>
      <c r="S2" s="839"/>
    </row>
    <row r="3" spans="1:23" x14ac:dyDescent="0.25">
      <c r="A3" s="665"/>
      <c r="B3" s="715"/>
      <c r="C3">
        <v>2</v>
      </c>
      <c r="D3" s="168" t="s">
        <v>618</v>
      </c>
      <c r="E3" s="615" cm="1">
        <f t="array" ref="E3">_xlfn.XLOOKUP(1,($D3=MSD_MMP!$B:$B)*(E$1=MSD_MMP!$C:$C),MSD_MMP!$H:$H)</f>
        <v>1996</v>
      </c>
      <c r="F3" s="615" cm="1">
        <f t="array" ref="F3">_xlfn.XLOOKUP(1,($D3=MSD_MMP!$B:$B)*(F$1=MSD_MMP!$C:$C),MSD_MMP!$H:$H)</f>
        <v>185</v>
      </c>
      <c r="G3" s="638" cm="1">
        <f t="array" ref="G3">_xlfn.XLOOKUP(1,($D3=MSD_MMP!$B:$B)*(G$1=MSD_MMP!$C:$C),MSD_MMP!$H:$H)</f>
        <v>677</v>
      </c>
      <c r="I3" s="650"/>
      <c r="J3" s="720"/>
      <c r="K3" s="60" t="s">
        <v>106</v>
      </c>
      <c r="L3" s="60" t="s">
        <v>724</v>
      </c>
      <c r="M3" s="90" t="s">
        <v>108</v>
      </c>
      <c r="N3" s="60" t="s">
        <v>106</v>
      </c>
      <c r="O3" s="60" t="s">
        <v>724</v>
      </c>
      <c r="P3" s="90" t="s">
        <v>108</v>
      </c>
      <c r="Q3" s="60" t="s">
        <v>106</v>
      </c>
      <c r="R3" s="60" t="s">
        <v>724</v>
      </c>
      <c r="S3" s="90" t="s">
        <v>108</v>
      </c>
    </row>
    <row r="4" spans="1:23" x14ac:dyDescent="0.25">
      <c r="A4" s="665"/>
      <c r="B4" s="715"/>
      <c r="C4">
        <v>3</v>
      </c>
      <c r="D4" s="168" t="s">
        <v>621</v>
      </c>
      <c r="E4" s="615" cm="1">
        <f t="array" ref="E4">_xlfn.XLOOKUP(1,($D4=MSD_MMP!$B:$B)*(E$1=MSD_MMP!$C:$C),MSD_MMP!$H:$H)</f>
        <v>2234</v>
      </c>
      <c r="F4" s="615" cm="1">
        <f t="array" ref="F4">_xlfn.XLOOKUP(1,($D4=MSD_MMP!$B:$B)*(F$1=MSD_MMP!$C:$C),MSD_MMP!$H:$H)</f>
        <v>192</v>
      </c>
      <c r="G4" s="638" cm="1">
        <f t="array" ref="G4">_xlfn.XLOOKUP(1,($D4=MSD_MMP!$B:$B)*(G$1=MSD_MMP!$C:$C),MSD_MMP!$H:$H)</f>
        <v>709</v>
      </c>
      <c r="I4" s="745" t="s">
        <v>24</v>
      </c>
      <c r="J4" s="605">
        <v>0.15</v>
      </c>
      <c r="K4" s="611">
        <f>AVERAGE(E2:E6)</f>
        <v>1019.6</v>
      </c>
      <c r="L4" s="611">
        <f>STDEV(E2:E6)</f>
        <v>1010.2112650332108</v>
      </c>
      <c r="M4" s="622">
        <f>COUNT(E2:E6)</f>
        <v>5</v>
      </c>
      <c r="N4" s="164">
        <f>AVERAGE(F2:F6)</f>
        <v>124</v>
      </c>
      <c r="O4" s="164">
        <f>STDEV(F2:F6)</f>
        <v>60.020829717690511</v>
      </c>
      <c r="P4" s="126">
        <f>COUNT(F2:F6)</f>
        <v>5</v>
      </c>
      <c r="Q4" s="164">
        <f>AVERAGE(G2:G6)</f>
        <v>473.2</v>
      </c>
      <c r="R4" s="164">
        <f>STDEV(G2:G6)</f>
        <v>202.72690990591261</v>
      </c>
      <c r="S4" s="126">
        <f>COUNT(G2:G6)</f>
        <v>5</v>
      </c>
    </row>
    <row r="5" spans="1:23" x14ac:dyDescent="0.25">
      <c r="A5" s="665"/>
      <c r="B5" s="715"/>
      <c r="C5">
        <v>4</v>
      </c>
      <c r="D5" s="168" t="s">
        <v>624</v>
      </c>
      <c r="E5" s="615" cm="1">
        <f t="array" ref="E5">_xlfn.XLOOKUP(1,($D5=MSD_MMP!$B:$B)*(E$1=MSD_MMP!$C:$C),MSD_MMP!$H:$H)</f>
        <v>446</v>
      </c>
      <c r="F5" s="615" cm="1">
        <f t="array" ref="F5">_xlfn.XLOOKUP(1,($D5=MSD_MMP!$B:$B)*(F$1=MSD_MMP!$C:$C),MSD_MMP!$H:$H)</f>
        <v>96</v>
      </c>
      <c r="G5" s="638" cm="1">
        <f t="array" ref="G5">_xlfn.XLOOKUP(1,($D5=MSD_MMP!$B:$B)*(G$1=MSD_MMP!$C:$C),MSD_MMP!$H:$H)</f>
        <v>362</v>
      </c>
      <c r="I5" s="665"/>
      <c r="J5" s="602">
        <v>0.5</v>
      </c>
      <c r="K5" s="612">
        <f>AVERAGE(E7:E10)</f>
        <v>15732.25</v>
      </c>
      <c r="L5" s="612">
        <f>STDEV(E7:E10)</f>
        <v>23127.949042590582</v>
      </c>
      <c r="M5" s="623">
        <f>COUNT(E7:E10)</f>
        <v>4</v>
      </c>
      <c r="N5">
        <f>AVERAGE(F7:F10)</f>
        <v>211.75</v>
      </c>
      <c r="O5">
        <f>STDEV(F7:F10)</f>
        <v>121.39844864467311</v>
      </c>
      <c r="P5" s="30">
        <f>COUNT(F7:F10)</f>
        <v>4</v>
      </c>
      <c r="Q5">
        <f>AVERAGE(G7:G10)</f>
        <v>9636.25</v>
      </c>
      <c r="R5">
        <f>STDEV(G7:G10)</f>
        <v>11069.21094372434</v>
      </c>
      <c r="S5" s="30">
        <f>COUNT(G7:G10)</f>
        <v>4</v>
      </c>
    </row>
    <row r="6" spans="1:23" x14ac:dyDescent="0.25">
      <c r="A6" s="746"/>
      <c r="B6" s="720"/>
      <c r="C6" s="60">
        <v>5</v>
      </c>
      <c r="D6" s="230" t="s">
        <v>627</v>
      </c>
      <c r="E6" s="635" cm="1">
        <f t="array" ref="E6">_xlfn.XLOOKUP(1,($D6=MSD_MMP!$B:$B)*(E$1=MSD_MMP!$C:$C),MSD_MMP!$H:$H)</f>
        <v>118</v>
      </c>
      <c r="F6" s="616" cm="1">
        <f t="array" ref="F6">_xlfn.XLOOKUP(1,($D6=MSD_MMP!$B:$B)*(F$1=MSD_MMP!$C:$C),MSD_MMP!$H:$H)</f>
        <v>83</v>
      </c>
      <c r="G6" s="639" cm="1">
        <f t="array" ref="G6">_xlfn.XLOOKUP(1,($D6=MSD_MMP!$B:$B)*(G$1=MSD_MMP!$C:$C),MSD_MMP!$H:$H)</f>
        <v>287</v>
      </c>
      <c r="I6" s="746"/>
      <c r="J6" s="606" t="s">
        <v>167</v>
      </c>
      <c r="K6" s="613">
        <f>AVERAGE(E11:E16)</f>
        <v>35844</v>
      </c>
      <c r="L6" s="613">
        <f>STDEV(E11:E16)</f>
        <v>53814.546531583823</v>
      </c>
      <c r="M6" s="624">
        <f>COUNT(E11:E16)</f>
        <v>6</v>
      </c>
      <c r="N6" s="60">
        <f>AVERAGE(F11:F16)</f>
        <v>169</v>
      </c>
      <c r="O6" s="60">
        <f>STDEV(F11:F16)</f>
        <v>130.1122592225652</v>
      </c>
      <c r="P6" s="90">
        <f>COUNT(F11:F16)</f>
        <v>6</v>
      </c>
      <c r="Q6" s="60">
        <f>AVERAGE(G11:G16)</f>
        <v>4559</v>
      </c>
      <c r="R6" s="60">
        <f>STDEV(G11:G16)</f>
        <v>6767.8959802881127</v>
      </c>
      <c r="S6" s="90">
        <f>COUNT(G11:G16)</f>
        <v>6</v>
      </c>
    </row>
    <row r="7" spans="1:23" x14ac:dyDescent="0.25">
      <c r="A7" s="665" t="s">
        <v>234</v>
      </c>
      <c r="B7" s="715" t="s">
        <v>235</v>
      </c>
      <c r="C7">
        <v>1</v>
      </c>
      <c r="D7" s="168" t="s">
        <v>630</v>
      </c>
      <c r="E7" s="615" cm="1">
        <f t="array" ref="E7">_xlfn.XLOOKUP(1,($D7=MSD_MMP!$B:$B)*(E$1=MSD_MMP!$C:$C),MSD_MMP!$H:$H)</f>
        <v>4700</v>
      </c>
      <c r="F7" s="615" cm="1">
        <f t="array" ref="F7">_xlfn.XLOOKUP(1,($D7=MSD_MMP!$B:$B)*(F$1=MSD_MMP!$C:$C),MSD_MMP!$H:$H)</f>
        <v>126</v>
      </c>
      <c r="G7" s="638" cm="1">
        <f t="array" ref="G7">_xlfn.XLOOKUP(1,($D7=MSD_MMP!$B:$B)*(G$1=MSD_MMP!$C:$C),MSD_MMP!$H:$H)</f>
        <v>1555</v>
      </c>
      <c r="I7" s="665" t="s">
        <v>28</v>
      </c>
      <c r="J7" s="602">
        <v>0.15</v>
      </c>
      <c r="K7" s="612">
        <f>AVERAGE(E17:E21)</f>
        <v>14676.6</v>
      </c>
      <c r="L7" s="612">
        <f>STDEV(E17:E21)</f>
        <v>10079.403320633619</v>
      </c>
      <c r="M7" s="623">
        <f>COUNT(E17:E21)</f>
        <v>5</v>
      </c>
      <c r="N7">
        <f>AVERAGE(F17:F21)</f>
        <v>112.2</v>
      </c>
      <c r="O7">
        <f>STDEV(F17:F21)</f>
        <v>32.19006057776221</v>
      </c>
      <c r="P7" s="30">
        <f>COUNT(F17:F21)</f>
        <v>5</v>
      </c>
      <c r="Q7">
        <f>AVERAGE(G17:G21)</f>
        <v>4049.2</v>
      </c>
      <c r="R7">
        <f>STDEV(G17:G21)</f>
        <v>2507.9860844909008</v>
      </c>
      <c r="S7" s="30">
        <f>COUNT(G17:G21)</f>
        <v>5</v>
      </c>
    </row>
    <row r="8" spans="1:23" x14ac:dyDescent="0.25">
      <c r="A8" s="665"/>
      <c r="B8" s="715"/>
      <c r="C8">
        <v>2</v>
      </c>
      <c r="D8" s="168" t="s">
        <v>633</v>
      </c>
      <c r="E8" s="615" cm="1">
        <f t="array" ref="E8">_xlfn.XLOOKUP(1,($D8=MSD_MMP!$B:$B)*(E$1=MSD_MMP!$C:$C),MSD_MMP!$H:$H)</f>
        <v>1429</v>
      </c>
      <c r="F8" s="615" cm="1">
        <f t="array" ref="F8">_xlfn.XLOOKUP(1,($D8=MSD_MMP!$B:$B)*(F$1=MSD_MMP!$C:$C),MSD_MMP!$H:$H)</f>
        <v>92</v>
      </c>
      <c r="G8" s="638" cm="1">
        <f t="array" ref="G8">_xlfn.XLOOKUP(1,($D8=MSD_MMP!$B:$B)*(G$1=MSD_MMP!$C:$C),MSD_MMP!$H:$H)</f>
        <v>2932</v>
      </c>
      <c r="I8" s="665"/>
      <c r="J8" s="602">
        <v>0.5</v>
      </c>
      <c r="K8" s="612">
        <f>AVERAGE(E22:E25)</f>
        <v>16772</v>
      </c>
      <c r="L8" s="612">
        <f>STDEV(E22:E25)</f>
        <v>17291.242426924291</v>
      </c>
      <c r="M8" s="623">
        <f>COUNT(E22:E25)</f>
        <v>4</v>
      </c>
      <c r="N8">
        <f>AVERAGE(F22:F25)</f>
        <v>120.5</v>
      </c>
      <c r="O8">
        <f>STDEV(F22:F25)</f>
        <v>17.310882896798379</v>
      </c>
      <c r="P8" s="30">
        <f>COUNT(F22:F25)</f>
        <v>4</v>
      </c>
      <c r="Q8">
        <f>AVERAGE(G22:G25)</f>
        <v>5955.5</v>
      </c>
      <c r="R8">
        <f>STDEV(G22:G25)</f>
        <v>4781.5191797865527</v>
      </c>
      <c r="S8" s="30">
        <f>COUNT(G22:G25)</f>
        <v>4</v>
      </c>
    </row>
    <row r="9" spans="1:23" ht="15.75" thickBot="1" x14ac:dyDescent="0.3">
      <c r="A9" s="665"/>
      <c r="B9" s="715"/>
      <c r="C9">
        <v>3</v>
      </c>
      <c r="D9" s="168" t="s">
        <v>636</v>
      </c>
      <c r="E9" s="615" cm="1">
        <f t="array" ref="E9">_xlfn.XLOOKUP(1,($D9=MSD_MMP!$B:$B)*(E$1=MSD_MMP!$C:$C),MSD_MMP!$H:$H)</f>
        <v>6520</v>
      </c>
      <c r="F9" s="615" cm="1">
        <f t="array" ref="F9">_xlfn.XLOOKUP(1,($D9=MSD_MMP!$B:$B)*(F$1=MSD_MMP!$C:$C),MSD_MMP!$H:$H)</f>
        <v>341</v>
      </c>
      <c r="G9" s="638" cm="1">
        <f t="array" ref="G9">_xlfn.XLOOKUP(1,($D9=MSD_MMP!$B:$B)*(G$1=MSD_MMP!$C:$C),MSD_MMP!$H:$H)</f>
        <v>8426</v>
      </c>
      <c r="I9" s="666"/>
      <c r="J9" s="607" t="s">
        <v>167</v>
      </c>
      <c r="K9" s="614">
        <f>AVERAGE(E26:E29)</f>
        <v>120.25</v>
      </c>
      <c r="L9" s="614">
        <f>STDEV(E26:E29)</f>
        <v>14.314910641239317</v>
      </c>
      <c r="M9" s="625">
        <f>COUNT(E26:E29)</f>
        <v>4</v>
      </c>
      <c r="N9" s="2">
        <f>AVERAGE(F26:F29)</f>
        <v>83.25</v>
      </c>
      <c r="O9" s="2">
        <f>STDEV(F26:F29)</f>
        <v>7.3200637519992497</v>
      </c>
      <c r="P9" s="9">
        <f>COUNT(F26:F29)</f>
        <v>4</v>
      </c>
      <c r="Q9" s="2">
        <f>AVERAGE(G26:G29)</f>
        <v>259</v>
      </c>
      <c r="R9" s="2">
        <f>STDEV(G26:G29)</f>
        <v>23.166067138525406</v>
      </c>
      <c r="S9" s="9">
        <f>COUNT(G26:G29)</f>
        <v>4</v>
      </c>
    </row>
    <row r="10" spans="1:23" x14ac:dyDescent="0.25">
      <c r="A10" s="746"/>
      <c r="B10" s="720"/>
      <c r="C10" s="60">
        <v>4</v>
      </c>
      <c r="D10" s="230" t="s">
        <v>639</v>
      </c>
      <c r="E10" s="635" cm="1">
        <f t="array" ref="E10">_xlfn.XLOOKUP(1,($D10=MSD_MMP!$B:$B)*(E$1=MSD_MMP!$C:$C),MSD_MMP!$H:$H)</f>
        <v>50280</v>
      </c>
      <c r="F10" s="616" cm="1">
        <f t="array" ref="F10">_xlfn.XLOOKUP(1,($D10=MSD_MMP!$B:$B)*(F$1=MSD_MMP!$C:$C),MSD_MMP!$H:$H)</f>
        <v>288</v>
      </c>
      <c r="G10" s="639" cm="1">
        <f t="array" ref="G10">_xlfn.XLOOKUP(1,($D10=MSD_MMP!$B:$B)*(G$1=MSD_MMP!$C:$C),MSD_MMP!$H:$H)</f>
        <v>25632</v>
      </c>
      <c r="M10" s="30"/>
    </row>
    <row r="11" spans="1:23" x14ac:dyDescent="0.25">
      <c r="A11" s="665" t="s">
        <v>285</v>
      </c>
      <c r="B11" s="715" t="s">
        <v>560</v>
      </c>
      <c r="C11">
        <v>1</v>
      </c>
      <c r="D11" s="168" t="s">
        <v>681</v>
      </c>
      <c r="E11" s="615" cm="1">
        <f t="array" ref="E11">_xlfn.XLOOKUP(1,($D11=MSD_MMP!$B:$B)*(E$1=MSD_MMP!$C:$C),MSD_MMP!$H:$H)</f>
        <v>61373</v>
      </c>
      <c r="F11" s="615" cm="1">
        <f t="array" ref="F11">_xlfn.XLOOKUP(1,($D11=MSD_MMP!$B:$B)*(F$1=MSD_MMP!$C:$C),MSD_MMP!$H:$H)</f>
        <v>195</v>
      </c>
      <c r="G11" s="638" cm="1">
        <f t="array" ref="G11">_xlfn.XLOOKUP(1,($D11=MSD_MMP!$B:$B)*(G$1=MSD_MMP!$C:$C),MSD_MMP!$H:$H)</f>
        <v>11081</v>
      </c>
    </row>
    <row r="12" spans="1:23" ht="15.75" thickBot="1" x14ac:dyDescent="0.3">
      <c r="A12" s="665"/>
      <c r="B12" s="715"/>
      <c r="C12">
        <v>2</v>
      </c>
      <c r="D12" s="168" t="s">
        <v>684</v>
      </c>
      <c r="E12" s="615" cm="1">
        <f t="array" ref="E12">_xlfn.XLOOKUP(1,($D12=MSD_MMP!$B:$B)*(E$1=MSD_MMP!$C:$C),MSD_MMP!$H:$H)</f>
        <v>135383</v>
      </c>
      <c r="F12" s="615" cm="1">
        <f t="array" ref="F12">_xlfn.XLOOKUP(1,($D12=MSD_MMP!$B:$B)*(F$1=MSD_MMP!$C:$C),MSD_MMP!$H:$H)</f>
        <v>422</v>
      </c>
      <c r="G12" s="638" cm="1">
        <f t="array" ref="G12">_xlfn.XLOOKUP(1,($D12=MSD_MMP!$B:$B)*(G$1=MSD_MMP!$C:$C),MSD_MMP!$H:$H)</f>
        <v>15187</v>
      </c>
    </row>
    <row r="13" spans="1:23" ht="15.75" thickBot="1" x14ac:dyDescent="0.3">
      <c r="A13" s="665"/>
      <c r="B13" s="715"/>
      <c r="C13">
        <v>3</v>
      </c>
      <c r="D13" s="168" t="s">
        <v>687</v>
      </c>
      <c r="E13" s="615" cm="1">
        <f t="array" ref="E13">_xlfn.XLOOKUP(1,($D13=MSD_MMP!$B:$B)*(E$1=MSD_MMP!$C:$C),MSD_MMP!$H:$H)</f>
        <v>4431</v>
      </c>
      <c r="F13" s="615" cm="1">
        <f t="array" ref="F13">_xlfn.XLOOKUP(1,($D13=MSD_MMP!$B:$B)*(F$1=MSD_MMP!$C:$C),MSD_MMP!$H:$H)</f>
        <v>97</v>
      </c>
      <c r="G13" s="638" cm="1">
        <f t="array" ref="G13">_xlfn.XLOOKUP(1,($D13=MSD_MMP!$B:$B)*(G$1=MSD_MMP!$C:$C),MSD_MMP!$H:$H)</f>
        <v>281</v>
      </c>
      <c r="I13" s="654" t="s">
        <v>515</v>
      </c>
      <c r="J13" s="836"/>
      <c r="K13" s="536" t="s">
        <v>482</v>
      </c>
      <c r="L13" s="536" t="s">
        <v>485</v>
      </c>
      <c r="M13" s="536" t="s">
        <v>483</v>
      </c>
      <c r="U13" t="s">
        <v>735</v>
      </c>
    </row>
    <row r="14" spans="1:23" x14ac:dyDescent="0.25">
      <c r="A14" s="665"/>
      <c r="B14" s="715"/>
      <c r="C14">
        <v>4</v>
      </c>
      <c r="D14" s="168" t="s">
        <v>690</v>
      </c>
      <c r="E14" s="615" cm="1">
        <f t="array" ref="E14">_xlfn.XLOOKUP(1,($D14=MSD_MMP!$B:$B)*(E$1=MSD_MMP!$C:$C),MSD_MMP!$H:$H)</f>
        <v>5016</v>
      </c>
      <c r="F14" s="615" cm="1">
        <f t="array" ref="F14">_xlfn.XLOOKUP(1,($D14=MSD_MMP!$B:$B)*(F$1=MSD_MMP!$C:$C),MSD_MMP!$H:$H)</f>
        <v>86</v>
      </c>
      <c r="G14" s="638" cm="1">
        <f t="array" ref="G14">_xlfn.XLOOKUP(1,($D14=MSD_MMP!$B:$B)*(G$1=MSD_MMP!$C:$C),MSD_MMP!$H:$H)</f>
        <v>265</v>
      </c>
      <c r="I14" s="667" t="s">
        <v>24</v>
      </c>
      <c r="J14" s="30" t="s">
        <v>726</v>
      </c>
      <c r="K14" s="30">
        <f>TTEST(E2:E6,E11:E16,2,2)</f>
        <v>0.18550349928475923</v>
      </c>
      <c r="L14" s="30">
        <f t="shared" ref="L14:M14" si="0">TTEST(F2:F6,F11:F16,2,2)</f>
        <v>0.49665366468959093</v>
      </c>
      <c r="M14" s="30">
        <f t="shared" si="0"/>
        <v>0.21399597666148037</v>
      </c>
      <c r="U14" s="627">
        <v>111086.656504663</v>
      </c>
      <c r="V14" s="627">
        <v>20.118328575083002</v>
      </c>
      <c r="W14" s="627">
        <v>62114.573224949803</v>
      </c>
    </row>
    <row r="15" spans="1:23" x14ac:dyDescent="0.25">
      <c r="A15" s="665"/>
      <c r="B15" s="715"/>
      <c r="C15">
        <v>5</v>
      </c>
      <c r="D15" s="168" t="s">
        <v>693</v>
      </c>
      <c r="E15" s="615" cm="1">
        <f t="array" ref="E15">_xlfn.XLOOKUP(1,($D15=MSD_MMP!$B:$B)*(E$1=MSD_MMP!$C:$C),MSD_MMP!$H:$H)</f>
        <v>2248</v>
      </c>
      <c r="F15" s="615" cm="1">
        <f t="array" ref="F15">_xlfn.XLOOKUP(1,($D15=MSD_MMP!$B:$B)*(F$1=MSD_MMP!$C:$C),MSD_MMP!$H:$H)</f>
        <v>117</v>
      </c>
      <c r="G15" s="638" cm="1">
        <f t="array" ref="G15">_xlfn.XLOOKUP(1,($D15=MSD_MMP!$B:$B)*(G$1=MSD_MMP!$C:$C),MSD_MMP!$H:$H)</f>
        <v>255</v>
      </c>
      <c r="I15" s="665"/>
      <c r="J15" s="30" t="s">
        <v>385</v>
      </c>
      <c r="K15" s="30">
        <f>TTEST(E11:E16,E7:E10,2,2)</f>
        <v>0.50682261984579324</v>
      </c>
      <c r="L15" s="30">
        <f t="shared" ref="L15:M15" si="1">TTEST(F11:F16,F7:F10,2,2)</f>
        <v>0.61592378963408967</v>
      </c>
      <c r="M15" s="30">
        <f t="shared" si="1"/>
        <v>0.38900584214377854</v>
      </c>
      <c r="U15" s="627">
        <v>102135.962749</v>
      </c>
      <c r="V15" s="627">
        <v>40.6491999042779</v>
      </c>
      <c r="W15" s="627">
        <v>72597.901424946205</v>
      </c>
    </row>
    <row r="16" spans="1:23" x14ac:dyDescent="0.25">
      <c r="A16" s="746"/>
      <c r="B16" s="720"/>
      <c r="C16" s="59">
        <v>6</v>
      </c>
      <c r="D16" s="230" t="s">
        <v>696</v>
      </c>
      <c r="E16" s="635" cm="1">
        <f t="array" ref="E16">_xlfn.XLOOKUP(1,($D16=MSD_MMP!$B:$B)*(E$1=MSD_MMP!$C:$C),MSD_MMP!$H:$H)</f>
        <v>6613</v>
      </c>
      <c r="F16" s="616" cm="1">
        <f t="array" ref="F16">_xlfn.XLOOKUP(1,($D16=MSD_MMP!$B:$B)*(F$1=MSD_MMP!$C:$C),MSD_MMP!$H:$H)</f>
        <v>97</v>
      </c>
      <c r="G16" s="639" cm="1">
        <f t="array" ref="G16">_xlfn.XLOOKUP(1,($D16=MSD_MMP!$B:$B)*(G$1=MSD_MMP!$C:$C),MSD_MMP!$H:$H)</f>
        <v>285</v>
      </c>
      <c r="I16" s="746"/>
      <c r="J16" s="90" t="s">
        <v>727</v>
      </c>
      <c r="K16" s="90">
        <f>TTEST(E2:E6,E7:E10,2,2)</f>
        <v>0.19122617010647153</v>
      </c>
      <c r="L16" s="90">
        <f t="shared" ref="L16:M16" si="2">TTEST(F2:F6,F7:F10,2,2)</f>
        <v>0.1959588304445605</v>
      </c>
      <c r="M16" s="90">
        <f t="shared" si="2"/>
        <v>0.1014845559373637</v>
      </c>
      <c r="U16" s="627">
        <v>125561.20430210599</v>
      </c>
      <c r="V16" s="627">
        <v>1.4586071190819301</v>
      </c>
      <c r="W16" s="627">
        <v>96392.824339767307</v>
      </c>
    </row>
    <row r="17" spans="1:23" x14ac:dyDescent="0.25">
      <c r="A17" s="665" t="s">
        <v>87</v>
      </c>
      <c r="B17" s="715" t="s">
        <v>289</v>
      </c>
      <c r="C17">
        <v>1</v>
      </c>
      <c r="D17" s="168" t="s">
        <v>642</v>
      </c>
      <c r="E17" s="615" cm="1">
        <f t="array" ref="E17">_xlfn.XLOOKUP(1,($D17=MSD_MMP!$B:$B)*(E$1=MSD_MMP!$C:$C),MSD_MMP!$H:$H)</f>
        <v>20702</v>
      </c>
      <c r="F17" s="615" cm="1">
        <f t="array" ref="F17">_xlfn.XLOOKUP(1,($D17=MSD_MMP!$B:$B)*(F$1=MSD_MMP!$C:$C),MSD_MMP!$H:$H)</f>
        <v>93</v>
      </c>
      <c r="G17" s="638" cm="1">
        <f t="array" ref="G17">_xlfn.XLOOKUP(1,($D17=MSD_MMP!$B:$B)*(G$1=MSD_MMP!$C:$C),MSD_MMP!$H:$H)</f>
        <v>5110</v>
      </c>
      <c r="I17" s="665" t="s">
        <v>28</v>
      </c>
      <c r="J17" s="30" t="s">
        <v>726</v>
      </c>
      <c r="K17" s="30">
        <f>TTEST(E17:E21,E26:E29,2,2)</f>
        <v>2.4761541942274805E-2</v>
      </c>
      <c r="L17" s="30">
        <f t="shared" ref="L17:M17" si="3">TTEST(F17:F21,F26:F29,2,2)</f>
        <v>0.12538850704916524</v>
      </c>
      <c r="M17" s="30">
        <f t="shared" si="3"/>
        <v>2.0510952102104543E-2</v>
      </c>
      <c r="U17" s="627">
        <v>186187.24512696001</v>
      </c>
      <c r="V17" s="627">
        <v>140.725766098299</v>
      </c>
      <c r="W17" s="627">
        <v>81507.213768207803</v>
      </c>
    </row>
    <row r="18" spans="1:23" x14ac:dyDescent="0.25">
      <c r="A18" s="665"/>
      <c r="B18" s="715"/>
      <c r="C18">
        <v>2</v>
      </c>
      <c r="D18" s="168" t="s">
        <v>645</v>
      </c>
      <c r="E18" s="615" cm="1">
        <f t="array" ref="E18">_xlfn.XLOOKUP(1,($D18=MSD_MMP!$B:$B)*(E$1=MSD_MMP!$C:$C),MSD_MMP!$H:$H)</f>
        <v>26216</v>
      </c>
      <c r="F18" s="615" cm="1">
        <f t="array" ref="F18">_xlfn.XLOOKUP(1,($D18=MSD_MMP!$B:$B)*(F$1=MSD_MMP!$C:$C),MSD_MMP!$H:$H)</f>
        <v>142</v>
      </c>
      <c r="G18" s="638" cm="1">
        <f t="array" ref="G18">_xlfn.XLOOKUP(1,($D18=MSD_MMP!$B:$B)*(G$1=MSD_MMP!$C:$C),MSD_MMP!$H:$H)</f>
        <v>7751</v>
      </c>
      <c r="I18" s="665"/>
      <c r="J18" s="30" t="s">
        <v>385</v>
      </c>
      <c r="K18" s="30">
        <f>TTEST(E26:E29,E22:E25,2,2)</f>
        <v>0.10240604481192865</v>
      </c>
      <c r="L18" s="30">
        <f t="shared" ref="L18:M18" si="4">TTEST(F26:F29,F22:F25,2,2)</f>
        <v>7.4191386871803678E-3</v>
      </c>
      <c r="M18" s="30">
        <f t="shared" si="4"/>
        <v>5.4567702786536332E-2</v>
      </c>
      <c r="U18" s="627">
        <v>128948.381564991</v>
      </c>
      <c r="V18" s="627">
        <v>72.527618155916301</v>
      </c>
      <c r="W18" s="627">
        <v>87517.054192827403</v>
      </c>
    </row>
    <row r="19" spans="1:23" x14ac:dyDescent="0.25">
      <c r="A19" s="665"/>
      <c r="B19" s="715"/>
      <c r="C19">
        <v>3</v>
      </c>
      <c r="D19" s="168" t="s">
        <v>648</v>
      </c>
      <c r="E19" s="615" cm="1">
        <f t="array" ref="E19">_xlfn.XLOOKUP(1,($D19=MSD_MMP!$B:$B)*(E$1=MSD_MMP!$C:$C),MSD_MMP!$H:$H)</f>
        <v>5827</v>
      </c>
      <c r="F19" s="615" cm="1">
        <f t="array" ref="F19">_xlfn.XLOOKUP(1,($D19=MSD_MMP!$B:$B)*(F$1=MSD_MMP!$C:$C),MSD_MMP!$H:$H)</f>
        <v>100</v>
      </c>
      <c r="G19" s="638" cm="1">
        <f t="array" ref="G19">_xlfn.XLOOKUP(1,($D19=MSD_MMP!$B:$B)*(G$1=MSD_MMP!$C:$C),MSD_MMP!$H:$H)</f>
        <v>2907</v>
      </c>
      <c r="I19" s="746"/>
      <c r="J19" s="90" t="s">
        <v>727</v>
      </c>
      <c r="K19" s="90">
        <f>TTEST(E17:E21,E22:E25,2,2)</f>
        <v>0.8254764541638655</v>
      </c>
      <c r="L19" s="90">
        <f t="shared" ref="L19:M19" si="5">TTEST(F17:F21,F22:F25,2,2)</f>
        <v>0.65882248698562729</v>
      </c>
      <c r="M19" s="90">
        <f t="shared" si="5"/>
        <v>0.46286999273837925</v>
      </c>
      <c r="T19" t="s">
        <v>736</v>
      </c>
      <c r="U19">
        <f>AVERAGE(U14:U18)</f>
        <v>130783.890049544</v>
      </c>
      <c r="V19">
        <f t="shared" ref="V19:W19" si="6">AVERAGE(V14:V18)</f>
        <v>55.09590397053163</v>
      </c>
      <c r="W19">
        <f t="shared" si="6"/>
        <v>80025.9133901397</v>
      </c>
    </row>
    <row r="20" spans="1:23" x14ac:dyDescent="0.25">
      <c r="A20" s="665"/>
      <c r="B20" s="715"/>
      <c r="C20">
        <v>4</v>
      </c>
      <c r="D20" s="168" t="s">
        <v>651</v>
      </c>
      <c r="E20" s="615" cm="1">
        <f t="array" ref="E20">_xlfn.XLOOKUP(1,($D20=MSD_MMP!$B:$B)*(E$1=MSD_MMP!$C:$C),MSD_MMP!$H:$H)</f>
        <v>18085</v>
      </c>
      <c r="F20" s="615" cm="1">
        <f t="array" ref="F20">_xlfn.XLOOKUP(1,($D20=MSD_MMP!$B:$B)*(F$1=MSD_MMP!$C:$C),MSD_MMP!$H:$H)</f>
        <v>150</v>
      </c>
      <c r="G20" s="638" cm="1">
        <f t="array" ref="G20">_xlfn.XLOOKUP(1,($D20=MSD_MMP!$B:$B)*(G$1=MSD_MMP!$C:$C),MSD_MMP!$H:$H)</f>
        <v>3351</v>
      </c>
      <c r="I20" s="665" t="s">
        <v>393</v>
      </c>
      <c r="J20" s="30" t="s">
        <v>167</v>
      </c>
      <c r="K20" s="30">
        <f>TTEST(E26:E29,E11:E16,2,2)</f>
        <v>0.22953042631402065</v>
      </c>
      <c r="L20" s="30">
        <f t="shared" ref="L20:M20" si="7">TTEST(F26:F29,F11:F16,2,2)</f>
        <v>0.23300979783003889</v>
      </c>
      <c r="M20" s="30">
        <f t="shared" si="7"/>
        <v>0.24835410082152454</v>
      </c>
    </row>
    <row r="21" spans="1:23" x14ac:dyDescent="0.25">
      <c r="A21" s="746"/>
      <c r="B21" s="720"/>
      <c r="C21" s="60">
        <v>5</v>
      </c>
      <c r="D21" s="230" t="s">
        <v>654</v>
      </c>
      <c r="E21" s="635" cm="1">
        <f t="array" ref="E21">_xlfn.XLOOKUP(1,($D21=MSD_MMP!$B:$B)*(E$1=MSD_MMP!$C:$C),MSD_MMP!$H:$H)</f>
        <v>2553</v>
      </c>
      <c r="F21" s="616" cm="1">
        <f t="array" ref="F21">_xlfn.XLOOKUP(1,($D21=MSD_MMP!$B:$B)*(F$1=MSD_MMP!$C:$C),MSD_MMP!$H:$H)</f>
        <v>76</v>
      </c>
      <c r="G21" s="639" cm="1">
        <f t="array" ref="G21">_xlfn.XLOOKUP(1,($D21=MSD_MMP!$B:$B)*(G$1=MSD_MMP!$C:$C),MSD_MMP!$H:$H)</f>
        <v>1127</v>
      </c>
      <c r="I21" s="665"/>
      <c r="J21" s="608">
        <v>0.15</v>
      </c>
      <c r="K21" s="30">
        <f>TTEST(E2:E6,E17:E21,2,2)</f>
        <v>1.6695222024190982E-2</v>
      </c>
      <c r="L21" s="30">
        <f t="shared" ref="L21:M21" si="8">TTEST(F2:F6,F17:F21,2,2)</f>
        <v>0.70855721003015315</v>
      </c>
      <c r="M21" s="30">
        <f t="shared" si="8"/>
        <v>1.3038199563266005E-2</v>
      </c>
    </row>
    <row r="22" spans="1:23" ht="15.75" thickBot="1" x14ac:dyDescent="0.3">
      <c r="A22" s="665" t="s">
        <v>292</v>
      </c>
      <c r="B22" s="715" t="s">
        <v>293</v>
      </c>
      <c r="C22">
        <v>1</v>
      </c>
      <c r="D22" s="168" t="s">
        <v>657</v>
      </c>
      <c r="E22" s="615" cm="1">
        <f t="array" ref="E22">_xlfn.XLOOKUP(1,($D22=MSD_MMP!$B:$B)*(E$1=MSD_MMP!$C:$C),MSD_MMP!$H:$H)</f>
        <v>1905</v>
      </c>
      <c r="F22" s="615" cm="1">
        <f t="array" ref="F22">_xlfn.XLOOKUP(1,($D22=MSD_MMP!$B:$B)*(F$1=MSD_MMP!$C:$C),MSD_MMP!$H:$H)</f>
        <v>98</v>
      </c>
      <c r="G22" s="638" cm="1">
        <f t="array" ref="G22">_xlfn.XLOOKUP(1,($D22=MSD_MMP!$B:$B)*(G$1=MSD_MMP!$C:$C),MSD_MMP!$H:$H)</f>
        <v>1558</v>
      </c>
      <c r="I22" s="666"/>
      <c r="J22" s="609">
        <v>0.5</v>
      </c>
      <c r="K22" s="9">
        <f>TTEST(E7:E10,E22:E25,2,2)</f>
        <v>0.94493282458441485</v>
      </c>
      <c r="L22" s="9">
        <f t="shared" ref="L22:M22" si="9">TTEST(F7:F10,F22:F25,2,2)</f>
        <v>0.18725102216864725</v>
      </c>
      <c r="M22" s="9">
        <f t="shared" si="9"/>
        <v>0.56391329126017342</v>
      </c>
    </row>
    <row r="23" spans="1:23" x14ac:dyDescent="0.25">
      <c r="A23" s="665"/>
      <c r="B23" s="715"/>
      <c r="C23">
        <v>2</v>
      </c>
      <c r="D23" s="168" t="s">
        <v>660</v>
      </c>
      <c r="E23" s="615" cm="1">
        <f t="array" ref="E23">_xlfn.XLOOKUP(1,($D23=MSD_MMP!$B:$B)*(E$1=MSD_MMP!$C:$C),MSD_MMP!$H:$H)</f>
        <v>17695</v>
      </c>
      <c r="F23" s="615" cm="1">
        <f t="array" ref="F23">_xlfn.XLOOKUP(1,($D23=MSD_MMP!$B:$B)*(F$1=MSD_MMP!$C:$C),MSD_MMP!$H:$H)</f>
        <v>116</v>
      </c>
      <c r="G23" s="638" cm="1">
        <f t="array" ref="G23">_xlfn.XLOOKUP(1,($D23=MSD_MMP!$B:$B)*(G$1=MSD_MMP!$C:$C),MSD_MMP!$H:$H)</f>
        <v>5367</v>
      </c>
    </row>
    <row r="24" spans="1:23" x14ac:dyDescent="0.25">
      <c r="A24" s="665"/>
      <c r="B24" s="715"/>
      <c r="C24">
        <v>3</v>
      </c>
      <c r="D24" s="168" t="s">
        <v>663</v>
      </c>
      <c r="E24" s="615" cm="1">
        <f t="array" ref="E24">_xlfn.XLOOKUP(1,($D24=MSD_MMP!$B:$B)*(E$1=MSD_MMP!$C:$C),MSD_MMP!$H:$H)</f>
        <v>40742</v>
      </c>
      <c r="F24" s="615" cm="1">
        <f t="array" ref="F24">_xlfn.XLOOKUP(1,($D24=MSD_MMP!$B:$B)*(F$1=MSD_MMP!$C:$C),MSD_MMP!$H:$H)</f>
        <v>132</v>
      </c>
      <c r="G24" s="638" cm="1">
        <f t="array" ref="G24">_xlfn.XLOOKUP(1,($D24=MSD_MMP!$B:$B)*(G$1=MSD_MMP!$C:$C),MSD_MMP!$H:$H)</f>
        <v>12719</v>
      </c>
    </row>
    <row r="25" spans="1:23" x14ac:dyDescent="0.25">
      <c r="A25" s="746"/>
      <c r="B25" s="720"/>
      <c r="C25" s="60">
        <v>4</v>
      </c>
      <c r="D25" s="230" t="s">
        <v>666</v>
      </c>
      <c r="E25" s="635" cm="1">
        <f t="array" ref="E25">_xlfn.XLOOKUP(1,($D25=MSD_MMP!$B:$B)*(E$1=MSD_MMP!$C:$C),MSD_MMP!$H:$H)</f>
        <v>6746</v>
      </c>
      <c r="F25" s="616" cm="1">
        <f t="array" ref="F25">_xlfn.XLOOKUP(1,($D25=MSD_MMP!$B:$B)*(F$1=MSD_MMP!$C:$C),MSD_MMP!$H:$H)</f>
        <v>136</v>
      </c>
      <c r="G25" s="639" cm="1">
        <f t="array" ref="G25">_xlfn.XLOOKUP(1,($D25=MSD_MMP!$B:$B)*(G$1=MSD_MMP!$C:$C),MSD_MMP!$H:$H)</f>
        <v>4178</v>
      </c>
    </row>
    <row r="26" spans="1:23" x14ac:dyDescent="0.25">
      <c r="A26" s="665" t="s">
        <v>561</v>
      </c>
      <c r="B26" s="715" t="s">
        <v>559</v>
      </c>
      <c r="C26">
        <v>1</v>
      </c>
      <c r="D26" s="168" t="s">
        <v>669</v>
      </c>
      <c r="E26" s="615" cm="1">
        <f t="array" ref="E26">_xlfn.XLOOKUP(1,($D26=MSD_MMP!$B:$B)*(E$1=MSD_MMP!$C:$C),MSD_MMP!$H:$H)</f>
        <v>137</v>
      </c>
      <c r="F26" s="615" cm="1">
        <f t="array" ref="F26">_xlfn.XLOOKUP(1,($D26=MSD_MMP!$B:$B)*(F$1=MSD_MMP!$C:$C),MSD_MMP!$H:$H)</f>
        <v>77</v>
      </c>
      <c r="G26" s="638" cm="1">
        <f t="array" ref="G26">_xlfn.XLOOKUP(1,($D26=MSD_MMP!$B:$B)*(G$1=MSD_MMP!$C:$C),MSD_MMP!$H:$H)</f>
        <v>252</v>
      </c>
    </row>
    <row r="27" spans="1:23" x14ac:dyDescent="0.25">
      <c r="A27" s="665"/>
      <c r="B27" s="715"/>
      <c r="C27">
        <v>2</v>
      </c>
      <c r="D27" s="168" t="s">
        <v>672</v>
      </c>
      <c r="E27" s="615" cm="1">
        <f t="array" ref="E27">_xlfn.XLOOKUP(1,($D27=MSD_MMP!$B:$B)*(E$1=MSD_MMP!$C:$C),MSD_MMP!$H:$H)</f>
        <v>127</v>
      </c>
      <c r="F27" s="615" cm="1">
        <f t="array" ref="F27">_xlfn.XLOOKUP(1,($D27=MSD_MMP!$B:$B)*(F$1=MSD_MMP!$C:$C),MSD_MMP!$H:$H)</f>
        <v>88</v>
      </c>
      <c r="G27" s="638" cm="1">
        <f t="array" ref="G27">_xlfn.XLOOKUP(1,($D27=MSD_MMP!$B:$B)*(G$1=MSD_MMP!$C:$C),MSD_MMP!$H:$H)</f>
        <v>241</v>
      </c>
    </row>
    <row r="28" spans="1:23" x14ac:dyDescent="0.25">
      <c r="A28" s="665"/>
      <c r="B28" s="715"/>
      <c r="C28">
        <v>3</v>
      </c>
      <c r="D28" s="168" t="s">
        <v>675</v>
      </c>
      <c r="E28" s="615" cm="1">
        <f t="array" ref="E28">_xlfn.XLOOKUP(1,($D28=MSD_MMP!$B:$B)*(E$1=MSD_MMP!$C:$C),MSD_MMP!$H:$H)</f>
        <v>106</v>
      </c>
      <c r="F28" s="615" cm="1">
        <f t="array" ref="F28">_xlfn.XLOOKUP(1,($D28=MSD_MMP!$B:$B)*(F$1=MSD_MMP!$C:$C),MSD_MMP!$H:$H)</f>
        <v>77</v>
      </c>
      <c r="G28" s="638" cm="1">
        <f t="array" ref="G28">_xlfn.XLOOKUP(1,($D28=MSD_MMP!$B:$B)*(G$1=MSD_MMP!$C:$C),MSD_MMP!$H:$H)</f>
        <v>250</v>
      </c>
    </row>
    <row r="29" spans="1:23" ht="15.75" thickBot="1" x14ac:dyDescent="0.3">
      <c r="A29" s="666"/>
      <c r="B29" s="661"/>
      <c r="C29" s="2">
        <v>4</v>
      </c>
      <c r="D29" s="170" t="s">
        <v>678</v>
      </c>
      <c r="E29" s="617" cm="1">
        <f t="array" ref="E29">_xlfn.XLOOKUP(1,($D29=MSD_MMP!$B:$B)*(E$1=MSD_MMP!$C:$C),MSD_MMP!$H:$H)</f>
        <v>111</v>
      </c>
      <c r="F29" s="617" cm="1">
        <f t="array" ref="F29">_xlfn.XLOOKUP(1,($D29=MSD_MMP!$B:$B)*(F$1=MSD_MMP!$C:$C),MSD_MMP!$H:$H)</f>
        <v>91</v>
      </c>
      <c r="G29" s="640" cm="1">
        <f t="array" ref="G29">_xlfn.XLOOKUP(1,($D29=MSD_MMP!$B:$B)*(G$1=MSD_MMP!$C:$C),MSD_MMP!$H:$H)</f>
        <v>293</v>
      </c>
    </row>
    <row r="30" spans="1:23" x14ac:dyDescent="0.25">
      <c r="D30" s="632" t="s">
        <v>741</v>
      </c>
      <c r="E30" s="633">
        <f>AVERAGE(121,101,96,110,120,125,115,123)</f>
        <v>113.875</v>
      </c>
      <c r="F30" s="633">
        <f>AVERAGE(103,90,81,92,94,90,105,101)</f>
        <v>94.5</v>
      </c>
      <c r="G30" s="633">
        <f>AVERAGE(271,273,281,266,289,279,294,285)</f>
        <v>279.75</v>
      </c>
    </row>
    <row r="31" spans="1:23" x14ac:dyDescent="0.25">
      <c r="D31" s="634"/>
      <c r="E31" s="634">
        <f>STDEV(121,101,96,110,120,125,115,123)</f>
        <v>10.669549461635468</v>
      </c>
      <c r="F31" s="634">
        <f>STDEV(103,90,81,92,94,90,105,101)</f>
        <v>8.0533932511173738</v>
      </c>
      <c r="G31" s="634">
        <f>STDEV(271,273,281,266,289,279,294,285)</f>
        <v>9.4830676169988077</v>
      </c>
    </row>
    <row r="32" spans="1:23" ht="15.75" thickBot="1" x14ac:dyDescent="0.3"/>
    <row r="33" spans="3:10" x14ac:dyDescent="0.25">
      <c r="C33" s="649" t="s">
        <v>730</v>
      </c>
      <c r="D33" s="660"/>
      <c r="E33" s="838" t="s">
        <v>482</v>
      </c>
      <c r="F33" s="839"/>
      <c r="G33" s="838" t="s">
        <v>485</v>
      </c>
      <c r="H33" s="839"/>
      <c r="I33" s="677" t="s">
        <v>483</v>
      </c>
      <c r="J33" s="839"/>
    </row>
    <row r="34" spans="3:10" x14ac:dyDescent="0.25">
      <c r="C34" s="650"/>
      <c r="D34" s="720"/>
      <c r="E34" s="60" t="s">
        <v>728</v>
      </c>
      <c r="F34" s="90" t="s">
        <v>729</v>
      </c>
      <c r="G34" s="453" t="s">
        <v>728</v>
      </c>
      <c r="H34" s="90" t="s">
        <v>729</v>
      </c>
      <c r="I34" s="60" t="s">
        <v>728</v>
      </c>
      <c r="J34" s="90" t="s">
        <v>729</v>
      </c>
    </row>
    <row r="35" spans="3:10" x14ac:dyDescent="0.25">
      <c r="C35" s="665" t="s">
        <v>24</v>
      </c>
      <c r="D35" s="610">
        <v>0.15</v>
      </c>
      <c r="E35" s="618">
        <f t="shared" ref="E35:E40" si="10">K4+2*L4</f>
        <v>3040.0225300664215</v>
      </c>
      <c r="F35" s="620">
        <f t="shared" ref="F35:F40" si="11">K4-2*L4</f>
        <v>-1000.8225300664216</v>
      </c>
      <c r="G35" s="618">
        <f>N4+2*O4</f>
        <v>244.04165943538101</v>
      </c>
      <c r="H35" s="620">
        <f>N4-2*O4</f>
        <v>3.9583405646189789</v>
      </c>
      <c r="I35" s="618">
        <f>Q4+2*R4</f>
        <v>878.6538198118252</v>
      </c>
      <c r="J35" s="620">
        <f>Q4-2*R4</f>
        <v>67.746180188174776</v>
      </c>
    </row>
    <row r="36" spans="3:10" x14ac:dyDescent="0.25">
      <c r="C36" s="665"/>
      <c r="D36" s="610">
        <v>0.5</v>
      </c>
      <c r="E36" s="618">
        <f t="shared" si="10"/>
        <v>61988.148085181165</v>
      </c>
      <c r="F36" s="620">
        <f t="shared" si="11"/>
        <v>-30523.648085181165</v>
      </c>
      <c r="G36" s="618">
        <f t="shared" ref="G36:G40" si="12">N5+2*O5</f>
        <v>454.54689728934625</v>
      </c>
      <c r="H36" s="620">
        <f t="shared" ref="H36:H40" si="13">N5-2*O5</f>
        <v>-31.046897289346219</v>
      </c>
      <c r="I36" s="618">
        <f t="shared" ref="I36:I40" si="14">Q5+2*R5</f>
        <v>31774.67188744868</v>
      </c>
      <c r="J36" s="620">
        <f t="shared" ref="J36:J40" si="15">Q5-2*R5</f>
        <v>-12502.17188744868</v>
      </c>
    </row>
    <row r="37" spans="3:10" x14ac:dyDescent="0.25">
      <c r="C37" s="746"/>
      <c r="D37" s="606" t="s">
        <v>167</v>
      </c>
      <c r="E37" s="618">
        <f t="shared" si="10"/>
        <v>143473.09306316765</v>
      </c>
      <c r="F37" s="620">
        <f t="shared" si="11"/>
        <v>-71785.093063167646</v>
      </c>
      <c r="G37" s="618">
        <f t="shared" si="12"/>
        <v>429.2245184451304</v>
      </c>
      <c r="H37" s="620">
        <f t="shared" si="13"/>
        <v>-91.2245184451304</v>
      </c>
      <c r="I37" s="618">
        <f t="shared" si="14"/>
        <v>18094.791960576225</v>
      </c>
      <c r="J37" s="620">
        <f t="shared" si="15"/>
        <v>-8976.7919605762254</v>
      </c>
    </row>
    <row r="38" spans="3:10" x14ac:dyDescent="0.25">
      <c r="C38" s="665" t="s">
        <v>28</v>
      </c>
      <c r="D38" s="610">
        <v>0.15</v>
      </c>
      <c r="E38" s="618">
        <f t="shared" si="10"/>
        <v>34835.40664126724</v>
      </c>
      <c r="F38" s="620">
        <f t="shared" si="11"/>
        <v>-5482.2066412672375</v>
      </c>
      <c r="G38" s="618">
        <f t="shared" si="12"/>
        <v>176.58012115552441</v>
      </c>
      <c r="H38" s="620">
        <f t="shared" si="13"/>
        <v>47.819878844475582</v>
      </c>
      <c r="I38" s="618">
        <f t="shared" si="14"/>
        <v>9065.1721689818005</v>
      </c>
      <c r="J38" s="620">
        <f t="shared" si="15"/>
        <v>-966.77216898180177</v>
      </c>
    </row>
    <row r="39" spans="3:10" x14ac:dyDescent="0.25">
      <c r="C39" s="665"/>
      <c r="D39" s="610">
        <v>0.5</v>
      </c>
      <c r="E39" s="618">
        <f t="shared" si="10"/>
        <v>51354.484853848582</v>
      </c>
      <c r="F39" s="620">
        <f t="shared" si="11"/>
        <v>-17810.484853848582</v>
      </c>
      <c r="G39" s="618">
        <f t="shared" si="12"/>
        <v>155.12176579359675</v>
      </c>
      <c r="H39" s="620">
        <f t="shared" si="13"/>
        <v>85.878234206403249</v>
      </c>
      <c r="I39" s="618">
        <f t="shared" si="14"/>
        <v>15518.538359573105</v>
      </c>
      <c r="J39" s="620">
        <f t="shared" si="15"/>
        <v>-3607.5383595731055</v>
      </c>
    </row>
    <row r="40" spans="3:10" ht="15.75" thickBot="1" x14ac:dyDescent="0.3">
      <c r="C40" s="666"/>
      <c r="D40" s="607" t="s">
        <v>167</v>
      </c>
      <c r="E40" s="619">
        <f t="shared" si="10"/>
        <v>148.87982128247864</v>
      </c>
      <c r="F40" s="621">
        <f t="shared" si="11"/>
        <v>91.62017871752137</v>
      </c>
      <c r="G40" s="619">
        <f t="shared" si="12"/>
        <v>97.890127503998499</v>
      </c>
      <c r="H40" s="621">
        <f t="shared" si="13"/>
        <v>68.609872496001501</v>
      </c>
      <c r="I40" s="619">
        <f t="shared" si="14"/>
        <v>305.33213427705084</v>
      </c>
      <c r="J40" s="621">
        <f t="shared" si="15"/>
        <v>212.66786572294919</v>
      </c>
    </row>
  </sheetData>
  <mergeCells count="28">
    <mergeCell ref="C35:C37"/>
    <mergeCell ref="C38:C40"/>
    <mergeCell ref="A26:A29"/>
    <mergeCell ref="B26:B29"/>
    <mergeCell ref="C33:D34"/>
    <mergeCell ref="E33:F33"/>
    <mergeCell ref="G33:H33"/>
    <mergeCell ref="I33:J33"/>
    <mergeCell ref="A17:A21"/>
    <mergeCell ref="B17:B21"/>
    <mergeCell ref="I17:I19"/>
    <mergeCell ref="I20:I22"/>
    <mergeCell ref="A22:A25"/>
    <mergeCell ref="B22:B25"/>
    <mergeCell ref="A7:A10"/>
    <mergeCell ref="B7:B10"/>
    <mergeCell ref="I7:I9"/>
    <mergeCell ref="A11:A16"/>
    <mergeCell ref="B11:B16"/>
    <mergeCell ref="I13:J13"/>
    <mergeCell ref="I14:I16"/>
    <mergeCell ref="Q2:S2"/>
    <mergeCell ref="I4:I6"/>
    <mergeCell ref="A2:A6"/>
    <mergeCell ref="B2:B6"/>
    <mergeCell ref="I2:J3"/>
    <mergeCell ref="K2:M2"/>
    <mergeCell ref="N2:P2"/>
  </mergeCells>
  <conditionalFormatting sqref="E2:E29">
    <cfRule type="cellIs" dxfId="7" priority="3" operator="lessThan">
      <formula>$E$30+2*$E$31</formula>
    </cfRule>
    <cfRule type="cellIs" dxfId="6" priority="6" operator="lessThan">
      <formula>$E$30</formula>
    </cfRule>
  </conditionalFormatting>
  <conditionalFormatting sqref="F2:F29">
    <cfRule type="cellIs" dxfId="5" priority="2" operator="lessThan">
      <formula>$F$30+2*$F$31</formula>
    </cfRule>
    <cfRule type="cellIs" dxfId="4" priority="5" operator="lessThan">
      <formula>$F$30</formula>
    </cfRule>
  </conditionalFormatting>
  <conditionalFormatting sqref="G2:G29">
    <cfRule type="cellIs" dxfId="3" priority="1" operator="lessThan">
      <formula>$G$30+1.5*$G$31</formula>
    </cfRule>
    <cfRule type="cellIs" dxfId="2" priority="4" operator="lessThan">
      <formula>$G$30</formula>
    </cfRule>
  </conditionalFormatting>
  <conditionalFormatting sqref="K14:M22">
    <cfRule type="cellIs" dxfId="1" priority="7" operator="lessThan">
      <formula>0.05</formula>
    </cfRule>
  </conditionalFormatting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748F-A59F-4769-958E-DDD7A8295DC9}">
  <dimension ref="A1:V29"/>
  <sheetViews>
    <sheetView workbookViewId="0">
      <selection activeCell="D16" sqref="D16"/>
    </sheetView>
  </sheetViews>
  <sheetFormatPr defaultRowHeight="15" x14ac:dyDescent="0.25"/>
  <cols>
    <col min="1" max="1" width="10.85546875" customWidth="1"/>
    <col min="4" max="4" width="12.140625" customWidth="1"/>
    <col min="5" max="5" width="10.7109375" customWidth="1"/>
    <col min="6" max="6" width="11.85546875" customWidth="1"/>
    <col min="8" max="8" width="11.7109375" customWidth="1"/>
    <col min="10" max="10" width="10.140625" customWidth="1"/>
  </cols>
  <sheetData>
    <row r="1" spans="1:22" ht="15.75" thickBot="1" x14ac:dyDescent="0.3">
      <c r="B1" t="s">
        <v>737</v>
      </c>
    </row>
    <row r="2" spans="1:22" x14ac:dyDescent="0.25">
      <c r="A2" t="s">
        <v>738</v>
      </c>
      <c r="B2">
        <v>20.227964444444446</v>
      </c>
      <c r="D2" s="615">
        <v>4868.0996863140299</v>
      </c>
      <c r="E2" s="615" t="s">
        <v>417</v>
      </c>
      <c r="F2" s="615">
        <v>101.683016805156</v>
      </c>
      <c r="H2" s="630">
        <f>D2/$B2</f>
        <v>240.66186687662682</v>
      </c>
      <c r="I2" s="630"/>
      <c r="J2" s="630">
        <f t="shared" ref="I2:J17" si="0">F2/$B2</f>
        <v>5.0268536453297434</v>
      </c>
      <c r="L2" s="649" t="s">
        <v>725</v>
      </c>
      <c r="M2" s="660"/>
      <c r="N2" s="838" t="s">
        <v>482</v>
      </c>
      <c r="O2" s="677"/>
      <c r="P2" s="839"/>
      <c r="Q2" s="838" t="s">
        <v>485</v>
      </c>
      <c r="R2" s="677"/>
      <c r="S2" s="839"/>
      <c r="T2" s="677" t="s">
        <v>483</v>
      </c>
      <c r="U2" s="677"/>
      <c r="V2" s="839"/>
    </row>
    <row r="3" spans="1:22" x14ac:dyDescent="0.25">
      <c r="B3">
        <v>12.877324444444445</v>
      </c>
      <c r="D3" s="615">
        <v>20382.108779780701</v>
      </c>
      <c r="E3" s="615">
        <v>33.678699999999992</v>
      </c>
      <c r="F3" s="615">
        <v>1225.7206073464299</v>
      </c>
      <c r="H3" s="630">
        <f t="shared" ref="H3:H27" si="1">D3/$B3</f>
        <v>1582.7906540456843</v>
      </c>
      <c r="I3" s="630">
        <f t="shared" si="0"/>
        <v>2.6153491857176672</v>
      </c>
      <c r="J3" s="630">
        <f t="shared" si="0"/>
        <v>95.184416035679845</v>
      </c>
      <c r="L3" s="650"/>
      <c r="M3" s="720"/>
      <c r="N3" s="60" t="s">
        <v>106</v>
      </c>
      <c r="O3" s="60" t="s">
        <v>724</v>
      </c>
      <c r="P3" s="90" t="s">
        <v>108</v>
      </c>
      <c r="Q3" s="60" t="s">
        <v>106</v>
      </c>
      <c r="R3" s="60" t="s">
        <v>724</v>
      </c>
      <c r="S3" s="90" t="s">
        <v>108</v>
      </c>
      <c r="T3" s="60" t="s">
        <v>106</v>
      </c>
      <c r="U3" s="60" t="s">
        <v>724</v>
      </c>
      <c r="V3" s="90" t="s">
        <v>108</v>
      </c>
    </row>
    <row r="4" spans="1:22" x14ac:dyDescent="0.25">
      <c r="B4">
        <v>22.065624444444445</v>
      </c>
      <c r="D4" s="615">
        <v>23789.457261321499</v>
      </c>
      <c r="E4" s="615">
        <v>34.113410337704302</v>
      </c>
      <c r="F4" s="615">
        <v>1258.36315551138</v>
      </c>
      <c r="H4" s="630">
        <f t="shared" si="1"/>
        <v>1078.1230017404321</v>
      </c>
      <c r="I4" s="630">
        <f t="shared" si="0"/>
        <v>1.5459979582083923</v>
      </c>
      <c r="J4" s="630">
        <f t="shared" si="0"/>
        <v>57.028214120094994</v>
      </c>
      <c r="L4" s="745" t="s">
        <v>24</v>
      </c>
      <c r="M4" s="605">
        <v>0.15</v>
      </c>
      <c r="N4" s="611">
        <f>AVERAGE(H2:H6)</f>
        <v>805.76779683190421</v>
      </c>
      <c r="O4" s="611">
        <f>STDEV(H2:H6)</f>
        <v>640.78235731477855</v>
      </c>
      <c r="P4" s="622">
        <f>COUNT(H2:H6)</f>
        <v>4</v>
      </c>
      <c r="Q4" s="164">
        <f>AVERAGE(I2:I6)</f>
        <v>2.0806735719630298</v>
      </c>
      <c r="R4" s="164">
        <f>STDEV(I2:I6)</f>
        <v>0.75614550444196738</v>
      </c>
      <c r="S4" s="126">
        <f>COUNT(I2:I6)</f>
        <v>2</v>
      </c>
      <c r="T4" s="164">
        <f>AVERAGE(J2:J6)</f>
        <v>41.823100516803997</v>
      </c>
      <c r="U4" s="164">
        <f>STDEV(J2:J6)</f>
        <v>42.590819580682357</v>
      </c>
      <c r="V4" s="126">
        <f>COUNT(J2:J6)</f>
        <v>4</v>
      </c>
    </row>
    <row r="5" spans="1:22" x14ac:dyDescent="0.25">
      <c r="B5">
        <v>22.065624444444445</v>
      </c>
      <c r="D5" s="615">
        <v>7094.0025970121396</v>
      </c>
      <c r="E5" s="615" t="s">
        <v>417</v>
      </c>
      <c r="F5" s="615">
        <v>221.82391903070999</v>
      </c>
      <c r="H5" s="630">
        <f t="shared" si="1"/>
        <v>321.49566466487317</v>
      </c>
      <c r="I5" s="630"/>
      <c r="J5" s="630">
        <f t="shared" si="0"/>
        <v>10.05291826611141</v>
      </c>
      <c r="L5" s="665"/>
      <c r="M5" s="602">
        <v>0.5</v>
      </c>
      <c r="N5" s="612">
        <f>AVERAGE(H7:H10)</f>
        <v>1836.4842327872541</v>
      </c>
      <c r="O5" s="612">
        <f>STDEV(H7:H10)</f>
        <v>1664.1073801802202</v>
      </c>
      <c r="P5" s="623">
        <f>COUNT(H7:H10)</f>
        <v>4</v>
      </c>
      <c r="Q5">
        <f>AVERAGE(I7:I10)</f>
        <v>1.0343112007673376</v>
      </c>
      <c r="R5">
        <f>STDEV(I7:I10)</f>
        <v>0.94740399018041466</v>
      </c>
      <c r="S5" s="30">
        <f>COUNT(I7:I10)</f>
        <v>4</v>
      </c>
      <c r="T5">
        <f>AVERAGE(J7:J10)</f>
        <v>575.0769103788341</v>
      </c>
      <c r="U5">
        <f>STDEV(J7:J10)</f>
        <v>600.17562144945862</v>
      </c>
      <c r="V5" s="30">
        <f>COUNT(J7:J10)</f>
        <v>4</v>
      </c>
    </row>
    <row r="6" spans="1:22" x14ac:dyDescent="0.25">
      <c r="B6">
        <v>14.714984444444445</v>
      </c>
      <c r="D6" s="616" t="s">
        <v>417</v>
      </c>
      <c r="E6" s="616" t="s">
        <v>417</v>
      </c>
      <c r="F6" s="616" t="s">
        <v>417</v>
      </c>
      <c r="H6" s="630"/>
      <c r="I6" s="631"/>
      <c r="J6" s="631"/>
      <c r="L6" s="746"/>
      <c r="M6" s="606" t="s">
        <v>167</v>
      </c>
      <c r="N6" s="613" t="e">
        <f>AVERAGE(H11:H16)</f>
        <v>#REF!</v>
      </c>
      <c r="O6" s="613" t="e">
        <f>STDEV(H11:H16)</f>
        <v>#REF!</v>
      </c>
      <c r="P6" s="624">
        <f>COUNT(H11:H16)</f>
        <v>0</v>
      </c>
      <c r="Q6" s="60" t="e">
        <f>AVERAGE(I11:I16)</f>
        <v>#REF!</v>
      </c>
      <c r="R6" s="60" t="e">
        <f>STDEV(I11:I16)</f>
        <v>#REF!</v>
      </c>
      <c r="S6" s="90">
        <f>COUNT(I11:I16)</f>
        <v>0</v>
      </c>
      <c r="T6" s="60" t="e">
        <f>AVERAGE(J11:J16)</f>
        <v>#REF!</v>
      </c>
      <c r="U6" s="60" t="e">
        <f>STDEV(J11:J16)</f>
        <v>#REF!</v>
      </c>
      <c r="V6" s="90">
        <f>COUNT(J11:J16)</f>
        <v>0</v>
      </c>
    </row>
    <row r="7" spans="1:22" x14ac:dyDescent="0.25">
      <c r="A7" t="s">
        <v>240</v>
      </c>
      <c r="B7">
        <v>26.895092857142856</v>
      </c>
      <c r="D7" s="615">
        <v>39626.448787554</v>
      </c>
      <c r="E7" s="615">
        <v>8.6771642946690104</v>
      </c>
      <c r="F7" s="615">
        <v>3667.1319626729</v>
      </c>
      <c r="H7" s="630">
        <f t="shared" si="1"/>
        <v>1473.3709601984112</v>
      </c>
      <c r="I7" s="630">
        <f t="shared" ref="I7:I10" si="2">E7/$B7</f>
        <v>0.322630018076495</v>
      </c>
      <c r="J7" s="630">
        <f t="shared" ref="J7:J10" si="3">F7/$B7</f>
        <v>136.3494813775657</v>
      </c>
      <c r="L7" s="665" t="s">
        <v>28</v>
      </c>
      <c r="M7" s="602">
        <v>0.15</v>
      </c>
      <c r="N7" s="612">
        <f>AVERAGE(H17:H21)</f>
        <v>3206.3957683749068</v>
      </c>
      <c r="O7" s="612">
        <f>STDEV(H17:H21)</f>
        <v>1323.9102357294855</v>
      </c>
      <c r="P7" s="623">
        <f>COUNT(H17:H21)</f>
        <v>5</v>
      </c>
      <c r="Q7">
        <f>AVERAGE(I17:I21)</f>
        <v>0.56111363442292983</v>
      </c>
      <c r="R7">
        <f>STDEV(I17:I21)</f>
        <v>0.3314030497390863</v>
      </c>
      <c r="S7" s="30">
        <f>COUNT(I17:I21)</f>
        <v>3</v>
      </c>
      <c r="T7">
        <f>AVERAGE(J17:J21)</f>
        <v>402.44095001663123</v>
      </c>
      <c r="U7">
        <f>STDEV(J17:J21)</f>
        <v>174.94391889045923</v>
      </c>
      <c r="V7" s="30">
        <f>COUNT(J17:J21)</f>
        <v>5</v>
      </c>
    </row>
    <row r="8" spans="1:22" x14ac:dyDescent="0.25">
      <c r="B8">
        <v>35.706692857142855</v>
      </c>
      <c r="D8" s="615">
        <v>16977.273581821901</v>
      </c>
      <c r="E8" s="615">
        <v>5.3549152332249399</v>
      </c>
      <c r="F8" s="615">
        <v>7547.9484993352698</v>
      </c>
      <c r="H8" s="630">
        <f t="shared" si="1"/>
        <v>475.46474409560795</v>
      </c>
      <c r="I8" s="630">
        <f t="shared" si="2"/>
        <v>0.14996951004813455</v>
      </c>
      <c r="J8" s="630">
        <f t="shared" si="3"/>
        <v>211.38749896366724</v>
      </c>
      <c r="L8" s="665"/>
      <c r="M8" s="602">
        <v>0.5</v>
      </c>
      <c r="N8" s="612">
        <f>AVERAGE(H22:H25)</f>
        <v>4253.9610920495606</v>
      </c>
      <c r="O8" s="612">
        <f>STDEV(H22:H25)</f>
        <v>1333.8694280529885</v>
      </c>
      <c r="P8" s="623">
        <f>COUNT(H22:H25)</f>
        <v>4</v>
      </c>
      <c r="Q8">
        <f>AVERAGE(I22:I25)</f>
        <v>0.668252820303182</v>
      </c>
      <c r="R8">
        <f>STDEV(I22:I25)</f>
        <v>0.23150608592560964</v>
      </c>
      <c r="S8" s="30">
        <f>COUNT(I22:I25)</f>
        <v>3</v>
      </c>
      <c r="T8">
        <f>AVERAGE(J22:J25)</f>
        <v>740.89624630428796</v>
      </c>
      <c r="U8">
        <f>STDEV(J22:J25)</f>
        <v>192.89699058296844</v>
      </c>
      <c r="V8" s="30">
        <f>COUNT(J22:J25)</f>
        <v>4</v>
      </c>
    </row>
    <row r="9" spans="1:22" ht="15.75" thickBot="1" x14ac:dyDescent="0.3">
      <c r="B9">
        <v>42.630092857142856</v>
      </c>
      <c r="D9" s="615">
        <v>48741.664652042098</v>
      </c>
      <c r="E9" s="615">
        <v>89.002722334027396</v>
      </c>
      <c r="F9" s="615">
        <v>21761.924660493401</v>
      </c>
      <c r="H9" s="630">
        <f t="shared" si="1"/>
        <v>1143.36285438973</v>
      </c>
      <c r="I9" s="630">
        <f t="shared" si="2"/>
        <v>2.0877909563153723</v>
      </c>
      <c r="J9" s="630">
        <f t="shared" si="3"/>
        <v>510.48269431219637</v>
      </c>
      <c r="L9" s="666"/>
      <c r="M9" s="607" t="s">
        <v>167</v>
      </c>
      <c r="N9" s="614">
        <f>AVERAGE(H26:H29)</f>
        <v>27.377470478993899</v>
      </c>
      <c r="O9" s="614">
        <f>STDEV(H26:H29)</f>
        <v>13.600629076646767</v>
      </c>
      <c r="P9" s="625">
        <f>COUNT(H26:H29)</f>
        <v>2</v>
      </c>
      <c r="Q9" s="2" t="e">
        <f>AVERAGE(I26:I29)</f>
        <v>#VALUE!</v>
      </c>
      <c r="R9" s="2" t="e">
        <f>STDEV(I26:I29)</f>
        <v>#VALUE!</v>
      </c>
      <c r="S9" s="9">
        <f>COUNT(I26:I29)</f>
        <v>0</v>
      </c>
      <c r="T9" s="2" t="e">
        <f>AVERAGE(J26:J29)</f>
        <v>#VALUE!</v>
      </c>
      <c r="U9" s="2" t="e">
        <f>STDEV(J26:J29)</f>
        <v>#VALUE!</v>
      </c>
      <c r="V9" s="9">
        <f>COUNT(J26:J29)</f>
        <v>0</v>
      </c>
    </row>
    <row r="10" spans="1:22" x14ac:dyDescent="0.25">
      <c r="B10">
        <v>44.51829285714286</v>
      </c>
      <c r="D10" s="616">
        <v>189369.17060307501</v>
      </c>
      <c r="E10" s="616">
        <v>70.198862349791796</v>
      </c>
      <c r="F10" s="616">
        <v>64199.294434520103</v>
      </c>
      <c r="H10" s="630">
        <f t="shared" si="1"/>
        <v>4253.7383724652673</v>
      </c>
      <c r="I10" s="631">
        <f t="shared" si="2"/>
        <v>1.5768543186293484</v>
      </c>
      <c r="J10" s="631">
        <f t="shared" si="3"/>
        <v>1442.087966861907</v>
      </c>
      <c r="P10" s="30"/>
    </row>
    <row r="11" spans="1:22" x14ac:dyDescent="0.25">
      <c r="A11" t="s">
        <v>740</v>
      </c>
      <c r="D11" s="615">
        <v>225315.663749509</v>
      </c>
      <c r="E11" s="615">
        <v>39.186212847451003</v>
      </c>
      <c r="F11" s="615">
        <v>28281.901789286199</v>
      </c>
      <c r="H11" s="630" t="e">
        <f>D11/#REF!</f>
        <v>#REF!</v>
      </c>
      <c r="I11" s="630" t="e">
        <f>E11/#REF!</f>
        <v>#REF!</v>
      </c>
      <c r="J11" s="630" t="e">
        <f>F11/#REF!</f>
        <v>#REF!</v>
      </c>
    </row>
    <row r="12" spans="1:22" ht="15.75" thickBot="1" x14ac:dyDescent="0.3">
      <c r="D12" s="615">
        <v>441887.52862587699</v>
      </c>
      <c r="E12" s="615">
        <v>121.155459451753</v>
      </c>
      <c r="F12" s="615">
        <v>39348.350569632101</v>
      </c>
      <c r="H12" s="630" t="e">
        <f>D12/#REF!</f>
        <v>#REF!</v>
      </c>
      <c r="I12" s="630" t="e">
        <f>E12/#REF!</f>
        <v>#REF!</v>
      </c>
      <c r="J12" s="630" t="e">
        <f>F12/#REF!</f>
        <v>#REF!</v>
      </c>
    </row>
    <row r="13" spans="1:22" ht="15.75" thickBot="1" x14ac:dyDescent="0.3">
      <c r="D13" s="615">
        <v>35657.839579118299</v>
      </c>
      <c r="E13" s="615" t="s">
        <v>417</v>
      </c>
      <c r="F13" s="615" t="s">
        <v>417</v>
      </c>
      <c r="H13" s="630" t="e">
        <f>D13/#REF!</f>
        <v>#REF!</v>
      </c>
      <c r="I13" s="630" t="e">
        <f>E13/#REF!</f>
        <v>#VALUE!</v>
      </c>
      <c r="J13" s="630" t="e">
        <f>F13/#REF!</f>
        <v>#VALUE!</v>
      </c>
      <c r="L13" s="654" t="s">
        <v>515</v>
      </c>
      <c r="M13" s="836"/>
      <c r="N13" s="536" t="s">
        <v>482</v>
      </c>
      <c r="O13" s="536" t="s">
        <v>485</v>
      </c>
      <c r="P13" s="536" t="s">
        <v>483</v>
      </c>
    </row>
    <row r="14" spans="1:22" x14ac:dyDescent="0.25">
      <c r="D14" s="615">
        <v>40944.544052277502</v>
      </c>
      <c r="E14" s="615">
        <v>7.0935373774333899</v>
      </c>
      <c r="F14" s="615" t="s">
        <v>417</v>
      </c>
      <c r="H14" s="630" t="e">
        <f>D14/#REF!</f>
        <v>#REF!</v>
      </c>
      <c r="I14" s="630" t="e">
        <f>E14/#REF!</f>
        <v>#REF!</v>
      </c>
      <c r="J14" s="630" t="e">
        <f>F14/#REF!</f>
        <v>#VALUE!</v>
      </c>
      <c r="L14" s="667" t="s">
        <v>24</v>
      </c>
      <c r="M14" s="30" t="s">
        <v>726</v>
      </c>
      <c r="N14" s="30" t="e">
        <f>TTEST(H2:H6,H11:H16,2,2)</f>
        <v>#REF!</v>
      </c>
      <c r="O14" s="30" t="e">
        <f t="shared" ref="O14:P14" si="4">TTEST(I2:I6,I11:I16,2,2)</f>
        <v>#REF!</v>
      </c>
      <c r="P14" s="30" t="e">
        <f t="shared" si="4"/>
        <v>#REF!</v>
      </c>
    </row>
    <row r="15" spans="1:22" x14ac:dyDescent="0.25">
      <c r="D15" s="615">
        <v>22846.4105377571</v>
      </c>
      <c r="E15" s="615">
        <v>8.1498834342633408</v>
      </c>
      <c r="F15" s="615" t="s">
        <v>417</v>
      </c>
      <c r="H15" s="630" t="e">
        <f t="shared" si="1"/>
        <v>#DIV/0!</v>
      </c>
      <c r="I15" s="630" t="e">
        <f t="shared" si="0"/>
        <v>#DIV/0!</v>
      </c>
      <c r="J15" s="630" t="e">
        <f t="shared" si="0"/>
        <v>#VALUE!</v>
      </c>
      <c r="L15" s="665"/>
      <c r="M15" s="30" t="s">
        <v>385</v>
      </c>
      <c r="N15" s="30" t="e">
        <f>TTEST(H11:H16,H7:H10,2,2)</f>
        <v>#REF!</v>
      </c>
      <c r="O15" s="30" t="e">
        <f t="shared" ref="O15:P15" si="5">TTEST(I11:I16,I7:I10,2,2)</f>
        <v>#REF!</v>
      </c>
      <c r="P15" s="30" t="e">
        <f t="shared" si="5"/>
        <v>#REF!</v>
      </c>
    </row>
    <row r="16" spans="1:22" x14ac:dyDescent="0.25">
      <c r="D16" s="616">
        <v>50234.735442679201</v>
      </c>
      <c r="E16" s="616">
        <v>2.61803194371244</v>
      </c>
      <c r="F16" s="626" t="s">
        <v>417</v>
      </c>
      <c r="H16" s="631" t="e">
        <f t="shared" si="1"/>
        <v>#DIV/0!</v>
      </c>
      <c r="I16" s="631" t="e">
        <f t="shared" si="0"/>
        <v>#DIV/0!</v>
      </c>
      <c r="J16" s="631" t="e">
        <f t="shared" si="0"/>
        <v>#VALUE!</v>
      </c>
      <c r="L16" s="746"/>
      <c r="M16" s="90" t="s">
        <v>727</v>
      </c>
      <c r="N16" s="90">
        <f>TTEST(H2:H6,H7:H10,2,2)</f>
        <v>0.29162058465110785</v>
      </c>
      <c r="O16" s="90">
        <f t="shared" ref="O16:P16" si="6">TTEST(I2:I6,I7:I10,2,2)</f>
        <v>0.25206260897088467</v>
      </c>
      <c r="P16" s="90">
        <f t="shared" si="6"/>
        <v>0.12667878901126953</v>
      </c>
    </row>
    <row r="17" spans="1:16" x14ac:dyDescent="0.25">
      <c r="A17" t="s">
        <v>87</v>
      </c>
      <c r="B17">
        <v>32.068412500000001</v>
      </c>
      <c r="D17" s="615">
        <v>108511.397154426</v>
      </c>
      <c r="E17" s="615" t="s">
        <v>417</v>
      </c>
      <c r="F17" s="615">
        <v>12672.3004573751</v>
      </c>
      <c r="H17" s="630">
        <f t="shared" si="1"/>
        <v>3383.7470799162884</v>
      </c>
      <c r="I17" s="630"/>
      <c r="J17" s="630">
        <f t="shared" si="0"/>
        <v>395.16457066202139</v>
      </c>
      <c r="L17" s="665" t="s">
        <v>28</v>
      </c>
      <c r="M17" s="30" t="s">
        <v>726</v>
      </c>
      <c r="N17" s="30">
        <f>TTEST(H17:H21,H26:H29,2,2)</f>
        <v>2.376208794743332E-2</v>
      </c>
      <c r="O17" s="30" t="e">
        <f t="shared" ref="O17:P17" si="7">TTEST(I17:I21,I26:I29,2,2)</f>
        <v>#VALUE!</v>
      </c>
      <c r="P17" s="30" t="e">
        <f t="shared" si="7"/>
        <v>#VALUE!</v>
      </c>
    </row>
    <row r="18" spans="1:16" x14ac:dyDescent="0.25">
      <c r="B18">
        <v>30.914612499999997</v>
      </c>
      <c r="D18" s="615">
        <v>119238.49983735901</v>
      </c>
      <c r="E18" s="615">
        <v>20.341985215586799</v>
      </c>
      <c r="F18" s="615">
        <v>19890.352151387</v>
      </c>
      <c r="H18" s="630">
        <f t="shared" si="1"/>
        <v>3857.0271530124796</v>
      </c>
      <c r="I18" s="630">
        <f t="shared" ref="I18:I29" si="8">E18/$B18</f>
        <v>0.65800550518259937</v>
      </c>
      <c r="J18" s="630">
        <f t="shared" ref="J18:J29" si="9">F18/$B18</f>
        <v>643.39645697926835</v>
      </c>
      <c r="L18" s="665"/>
      <c r="M18" s="30" t="s">
        <v>385</v>
      </c>
      <c r="N18" s="30">
        <f>TTEST(H26:H29,H22:H25,2,2)</f>
        <v>1.3425717311138823E-2</v>
      </c>
      <c r="O18" s="30" t="e">
        <f t="shared" ref="O18:P18" si="10">TTEST(I26:I29,I22:I25,2,2)</f>
        <v>#VALUE!</v>
      </c>
      <c r="P18" s="30" t="e">
        <f t="shared" si="10"/>
        <v>#VALUE!</v>
      </c>
    </row>
    <row r="19" spans="1:16" x14ac:dyDescent="0.25">
      <c r="B19">
        <v>18.222812500000003</v>
      </c>
      <c r="D19" s="615">
        <v>43343.609582118603</v>
      </c>
      <c r="E19" s="615">
        <v>3.49993990619895</v>
      </c>
      <c r="F19" s="615">
        <v>6967.33189199157</v>
      </c>
      <c r="H19" s="630">
        <f t="shared" si="1"/>
        <v>2378.535672367731</v>
      </c>
      <c r="I19" s="630">
        <f t="shared" si="8"/>
        <v>0.19206365132709066</v>
      </c>
      <c r="J19" s="630">
        <f t="shared" si="9"/>
        <v>382.34119414835493</v>
      </c>
      <c r="L19" s="746"/>
      <c r="M19" s="90" t="s">
        <v>727</v>
      </c>
      <c r="N19" s="90">
        <f>TTEST(H17:H21,H22:H25,2,2)</f>
        <v>0.27812908262746183</v>
      </c>
      <c r="O19" s="90">
        <f t="shared" ref="O19:P19" si="11">TTEST(I17:I21,I22:I25,2,2)</f>
        <v>0.67004116117731627</v>
      </c>
      <c r="P19" s="90">
        <f t="shared" si="11"/>
        <v>2.8126520137283686E-2</v>
      </c>
    </row>
    <row r="20" spans="1:16" x14ac:dyDescent="0.25">
      <c r="B20">
        <v>19.3766125</v>
      </c>
      <c r="D20" s="615">
        <v>95325.942444259897</v>
      </c>
      <c r="E20" s="615">
        <v>16.145983744149198</v>
      </c>
      <c r="F20" s="615">
        <v>8506.3059427283406</v>
      </c>
      <c r="H20" s="630">
        <f t="shared" si="1"/>
        <v>4919.6392013443992</v>
      </c>
      <c r="I20" s="630">
        <f t="shared" si="8"/>
        <v>0.83327174675909932</v>
      </c>
      <c r="J20" s="630">
        <f t="shared" si="9"/>
        <v>438.99860941784021</v>
      </c>
      <c r="L20" s="665" t="s">
        <v>393</v>
      </c>
      <c r="M20" s="30" t="s">
        <v>167</v>
      </c>
      <c r="N20" s="30" t="e">
        <f>TTEST(H26:H29,H11:H16,2,2)</f>
        <v>#REF!</v>
      </c>
      <c r="O20" s="30" t="e">
        <f t="shared" ref="O20:P20" si="12">TTEST(I26:I29,I11:I16,2,2)</f>
        <v>#VALUE!</v>
      </c>
      <c r="P20" s="30" t="e">
        <f t="shared" si="12"/>
        <v>#VALUE!</v>
      </c>
    </row>
    <row r="21" spans="1:16" ht="15.75" thickBot="1" x14ac:dyDescent="0.3">
      <c r="B21" s="2">
        <v>17.069012500000003</v>
      </c>
      <c r="D21" s="616">
        <v>25484.543213574601</v>
      </c>
      <c r="E21" s="616" t="s">
        <v>417</v>
      </c>
      <c r="F21" s="616">
        <v>2599.6774950878198</v>
      </c>
      <c r="H21" s="631">
        <f t="shared" si="1"/>
        <v>1493.0297352336345</v>
      </c>
      <c r="I21" s="631"/>
      <c r="J21" s="631">
        <f t="shared" si="9"/>
        <v>152.30391887567129</v>
      </c>
      <c r="L21" s="665"/>
      <c r="M21" s="608">
        <v>0.15</v>
      </c>
      <c r="N21" s="30">
        <f>TTEST(H2:H6,H17:H21,2,2)</f>
        <v>1.315952268444732E-2</v>
      </c>
      <c r="O21" s="30">
        <f t="shared" ref="O21:P21" si="13">TTEST(I2:I6,I17:I21,2,2)</f>
        <v>4.781769719706621E-2</v>
      </c>
      <c r="P21" s="30">
        <f t="shared" si="13"/>
        <v>5.3404962259391607E-3</v>
      </c>
    </row>
    <row r="22" spans="1:16" ht="15.75" thickBot="1" x14ac:dyDescent="0.3">
      <c r="A22" t="s">
        <v>292</v>
      </c>
      <c r="B22">
        <v>7.8386124999999991</v>
      </c>
      <c r="D22" s="615">
        <v>21007.9755006126</v>
      </c>
      <c r="E22" s="615" t="s">
        <v>417</v>
      </c>
      <c r="F22" s="615">
        <v>3591.6357738881902</v>
      </c>
      <c r="H22" s="630">
        <f t="shared" si="1"/>
        <v>2680.063021435567</v>
      </c>
      <c r="I22" s="630"/>
      <c r="J22" s="630">
        <f t="shared" si="9"/>
        <v>458.19789840206931</v>
      </c>
      <c r="L22" s="666"/>
      <c r="M22" s="609">
        <v>0.5</v>
      </c>
      <c r="N22" s="9">
        <f>TTEST(H7:H10,H22:H25,2,2)</f>
        <v>6.3926603034499277E-2</v>
      </c>
      <c r="O22" s="9">
        <f t="shared" ref="O22:P22" si="14">TTEST(I7:I10,I22:I25,2,2)</f>
        <v>0.55005647743960528</v>
      </c>
      <c r="P22" s="9">
        <f t="shared" si="14"/>
        <v>0.6177114193327502</v>
      </c>
    </row>
    <row r="23" spans="1:16" x14ac:dyDescent="0.25">
      <c r="B23">
        <v>15.915212500000001</v>
      </c>
      <c r="D23" s="615">
        <v>93949.061247040401</v>
      </c>
      <c r="E23" s="615">
        <v>10.2322813163352</v>
      </c>
      <c r="F23" s="615">
        <v>13784.8535898848</v>
      </c>
      <c r="H23" s="630">
        <f t="shared" si="1"/>
        <v>5903.0981362668199</v>
      </c>
      <c r="I23" s="630">
        <f t="shared" si="8"/>
        <v>0.64292458026150767</v>
      </c>
      <c r="J23" s="630">
        <f t="shared" si="9"/>
        <v>866.14323182205703</v>
      </c>
    </row>
    <row r="24" spans="1:16" x14ac:dyDescent="0.25">
      <c r="B24">
        <v>37.837412499999999</v>
      </c>
      <c r="D24" s="615">
        <v>169473.96901307601</v>
      </c>
      <c r="E24" s="615">
        <v>17.043951327675899</v>
      </c>
      <c r="F24" s="615">
        <v>32623.7132572546</v>
      </c>
      <c r="H24" s="630">
        <f t="shared" si="1"/>
        <v>4479.0052441634589</v>
      </c>
      <c r="I24" s="630">
        <f t="shared" si="8"/>
        <v>0.45045234865560374</v>
      </c>
      <c r="J24" s="630">
        <f t="shared" si="9"/>
        <v>862.20782822436922</v>
      </c>
    </row>
    <row r="25" spans="1:16" x14ac:dyDescent="0.25">
      <c r="B25">
        <v>13.607612500000002</v>
      </c>
      <c r="D25" s="616">
        <v>53800.117715639302</v>
      </c>
      <c r="E25" s="616">
        <v>12.4017267270094</v>
      </c>
      <c r="F25" s="616">
        <v>10573.6051508075</v>
      </c>
      <c r="H25" s="631">
        <f t="shared" si="1"/>
        <v>3953.6779663323964</v>
      </c>
      <c r="I25" s="631">
        <f t="shared" si="8"/>
        <v>0.91138153199243432</v>
      </c>
      <c r="J25" s="631">
        <f t="shared" si="9"/>
        <v>777.03602676865603</v>
      </c>
    </row>
    <row r="26" spans="1:16" x14ac:dyDescent="0.25">
      <c r="A26" t="s">
        <v>561</v>
      </c>
      <c r="B26">
        <v>29.659815789473686</v>
      </c>
      <c r="D26" s="615">
        <v>1097.25205807671</v>
      </c>
      <c r="E26" s="615" t="s">
        <v>417</v>
      </c>
      <c r="F26" s="615" t="s">
        <v>417</v>
      </c>
      <c r="H26" s="630">
        <f t="shared" si="1"/>
        <v>36.994567527493764</v>
      </c>
      <c r="I26" s="630" t="e">
        <f t="shared" si="8"/>
        <v>#VALUE!</v>
      </c>
      <c r="J26" s="630" t="e">
        <f t="shared" si="9"/>
        <v>#VALUE!</v>
      </c>
    </row>
    <row r="27" spans="1:16" x14ac:dyDescent="0.25">
      <c r="B27">
        <v>17.563815789473686</v>
      </c>
      <c r="D27" s="615">
        <v>311.93992728545999</v>
      </c>
      <c r="E27" s="615" t="s">
        <v>417</v>
      </c>
      <c r="F27" s="615" t="s">
        <v>417</v>
      </c>
      <c r="H27" s="630">
        <f t="shared" si="1"/>
        <v>17.760373430494031</v>
      </c>
      <c r="I27" s="630" t="e">
        <f t="shared" si="8"/>
        <v>#VALUE!</v>
      </c>
      <c r="J27" s="630" t="e">
        <f t="shared" si="9"/>
        <v>#VALUE!</v>
      </c>
    </row>
    <row r="28" spans="1:16" x14ac:dyDescent="0.25">
      <c r="B28">
        <v>26.635815789473689</v>
      </c>
      <c r="D28" s="615" t="s">
        <v>417</v>
      </c>
      <c r="E28" s="615" t="s">
        <v>417</v>
      </c>
      <c r="F28" s="615" t="s">
        <v>417</v>
      </c>
      <c r="H28" s="630"/>
      <c r="I28" s="630" t="e">
        <f t="shared" si="8"/>
        <v>#VALUE!</v>
      </c>
      <c r="J28" s="630" t="e">
        <f t="shared" si="9"/>
        <v>#VALUE!</v>
      </c>
    </row>
    <row r="29" spans="1:16" ht="15.75" thickBot="1" x14ac:dyDescent="0.3">
      <c r="B29">
        <v>17.059815789473685</v>
      </c>
      <c r="D29" s="617" t="s">
        <v>417</v>
      </c>
      <c r="E29" s="617" t="s">
        <v>417</v>
      </c>
      <c r="F29" s="617" t="s">
        <v>417</v>
      </c>
      <c r="H29" s="630"/>
      <c r="I29" s="630" t="e">
        <f t="shared" si="8"/>
        <v>#VALUE!</v>
      </c>
      <c r="J29" s="630" t="e">
        <f t="shared" si="9"/>
        <v>#VALUE!</v>
      </c>
    </row>
  </sheetData>
  <mergeCells count="10">
    <mergeCell ref="N2:P2"/>
    <mergeCell ref="Q2:S2"/>
    <mergeCell ref="T2:V2"/>
    <mergeCell ref="L4:L6"/>
    <mergeCell ref="L7:L9"/>
    <mergeCell ref="L13:M13"/>
    <mergeCell ref="L14:L16"/>
    <mergeCell ref="L17:L19"/>
    <mergeCell ref="L20:L22"/>
    <mergeCell ref="L2:M3"/>
  </mergeCells>
  <conditionalFormatting sqref="N14:P22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Table of Contents</vt:lpstr>
      <vt:lpstr>Experiment List</vt:lpstr>
      <vt:lpstr>Data Summary</vt:lpstr>
      <vt:lpstr>Statistics</vt:lpstr>
      <vt:lpstr>Biochem Summary</vt:lpstr>
      <vt:lpstr>Chronological Biochem</vt:lpstr>
      <vt:lpstr>Sheet3</vt:lpstr>
      <vt:lpstr>Alamar Blue (Raw)</vt:lpstr>
      <vt:lpstr>Alamar Blue (Analysis)</vt:lpstr>
      <vt:lpstr>PicoGreen</vt:lpstr>
      <vt:lpstr>DMMB</vt:lpstr>
      <vt:lpstr>OHP</vt:lpstr>
      <vt:lpstr>Weights</vt:lpstr>
      <vt:lpstr>Rx</vt:lpstr>
      <vt:lpstr>MMP Activity</vt:lpstr>
      <vt:lpstr>H&amp;E</vt:lpstr>
      <vt:lpstr>Tol Blue</vt:lpstr>
      <vt:lpstr>SHG - ctfire</vt:lpstr>
      <vt:lpstr>SHG2 - NW</vt:lpstr>
      <vt:lpstr>SHG3</vt:lpstr>
      <vt:lpstr>SHG2 - W</vt:lpstr>
      <vt:lpstr>SHG-Summary</vt:lpstr>
      <vt:lpstr>Bioreactor Loading</vt:lpstr>
      <vt:lpstr>Gene Expression</vt:lpstr>
      <vt:lpstr>PCR Plates</vt:lpstr>
      <vt:lpstr>PCR Results</vt:lpstr>
      <vt:lpstr>MSD_Inflammatory</vt:lpstr>
      <vt:lpstr>MSD_In Data</vt:lpstr>
      <vt:lpstr>MSD_MMP</vt:lpstr>
      <vt:lpstr>MSD_MMP_Data</vt:lpstr>
      <vt:lpstr>MSD_MMP_Data-SIGNAL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Mlawer, Sam J</dc:creator>
  <cp:lastModifiedBy>Mlawer, Sam</cp:lastModifiedBy>
  <dcterms:created xsi:type="dcterms:W3CDTF">2022-09-06T17:29:48Z</dcterms:created>
  <dcterms:modified xsi:type="dcterms:W3CDTF">2026-04-01T14:56:47Z</dcterms:modified>
</cp:coreProperties>
</file>